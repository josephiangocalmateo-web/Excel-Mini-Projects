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1BEFC08C-32A8-40A2-99D2-90ED86E71325}" xr6:coauthVersionLast="47" xr6:coauthVersionMax="47" xr10:uidLastSave="{00000000-0000-0000-0000-000000000000}"/>
  <bookViews>
    <workbookView xWindow="-120" yWindow="-120" windowWidth="29040" windowHeight="15720" activeTab="3" xr2:uid="{00000000-000D-0000-FFFF-FFFF00000000}"/>
    <workbookView xWindow="28680" yWindow="-120" windowWidth="29040" windowHeight="15720" activeTab="2" xr2:uid="{0EE75165-5DB8-4453-A9E5-A9554E59752C}"/>
  </bookViews>
  <sheets>
    <sheet name="Country" sheetId="6" r:id="rId1"/>
    <sheet name="Customer_Data" sheetId="1" r:id="rId2"/>
    <sheet name="Tables and Charts" sheetId="2" r:id="rId3"/>
    <sheet name="Analysis" sheetId="3" r:id="rId4"/>
  </sheets>
  <definedNames>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2" l="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s="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s="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F565" i="1" a="1"/>
  <c r="F565" i="1" s="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s="1"/>
  <c r="F577" i="1" a="1"/>
  <c r="F577" i="1" s="1"/>
  <c r="F578" i="1" a="1"/>
  <c r="F578" i="1" s="1"/>
  <c r="F579" i="1" a="1"/>
  <c r="F579" i="1" s="1"/>
  <c r="F580" i="1" a="1"/>
  <c r="F580" i="1" s="1"/>
  <c r="F581" i="1" a="1"/>
  <c r="F581" i="1" s="1"/>
  <c r="F582" i="1" a="1"/>
  <c r="F582" i="1" s="1"/>
  <c r="F583" i="1" a="1"/>
  <c r="F583" i="1" s="1"/>
  <c r="F584" i="1" a="1"/>
  <c r="F584" i="1" s="1"/>
  <c r="F585" i="1" a="1"/>
  <c r="F585" i="1" s="1"/>
  <c r="F586" i="1" a="1"/>
  <c r="F586" i="1" s="1"/>
  <c r="F587" i="1" a="1"/>
  <c r="F587" i="1" s="1"/>
  <c r="F588" i="1" a="1"/>
  <c r="F588" i="1" s="1"/>
  <c r="F589" i="1" a="1"/>
  <c r="F589" i="1" s="1"/>
  <c r="F590" i="1" a="1"/>
  <c r="F590" i="1" s="1"/>
  <c r="F591" i="1" a="1"/>
  <c r="F591" i="1" s="1"/>
  <c r="F592" i="1" a="1"/>
  <c r="F592" i="1" s="1"/>
  <c r="F593" i="1" a="1"/>
  <c r="F593" i="1" s="1"/>
  <c r="F594" i="1" a="1"/>
  <c r="F594" i="1" s="1"/>
  <c r="F595" i="1" a="1"/>
  <c r="F595" i="1" s="1"/>
  <c r="F596" i="1" a="1"/>
  <c r="F596" i="1" s="1"/>
  <c r="F597" i="1" a="1"/>
  <c r="F597" i="1" s="1"/>
  <c r="F598" i="1" a="1"/>
  <c r="F598" i="1" s="1"/>
  <c r="F599" i="1" a="1"/>
  <c r="F599" i="1" s="1"/>
  <c r="F600" i="1" a="1"/>
  <c r="F600" i="1" s="1"/>
  <c r="F601" i="1" a="1"/>
  <c r="F601" i="1" s="1"/>
  <c r="F602" i="1" a="1"/>
  <c r="F602" i="1" s="1"/>
  <c r="F603" i="1" a="1"/>
  <c r="F603" i="1" s="1"/>
  <c r="F604" i="1" a="1"/>
  <c r="F604" i="1" s="1"/>
  <c r="F605" i="1" a="1"/>
  <c r="F605" i="1" s="1"/>
  <c r="F606" i="1" a="1"/>
  <c r="F606" i="1" s="1"/>
  <c r="F607" i="1" a="1"/>
  <c r="F607" i="1" s="1"/>
  <c r="F608" i="1" a="1"/>
  <c r="F608" i="1" s="1"/>
  <c r="F609" i="1" a="1"/>
  <c r="F609" i="1" s="1"/>
  <c r="F610" i="1" a="1"/>
  <c r="F610" i="1" s="1"/>
  <c r="F611" i="1" a="1"/>
  <c r="F611" i="1" s="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s="1"/>
  <c r="F692" i="1" a="1"/>
  <c r="F692" i="1" s="1"/>
  <c r="F693" i="1" a="1"/>
  <c r="F693" i="1" s="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717" i="1" a="1"/>
  <c r="F717" i="1" s="1"/>
  <c r="F718" i="1" a="1"/>
  <c r="F718" i="1" s="1"/>
  <c r="F719" i="1" a="1"/>
  <c r="F719" i="1" s="1"/>
  <c r="F720" i="1" a="1"/>
  <c r="F720" i="1" s="1"/>
  <c r="F721" i="1" a="1"/>
  <c r="F721" i="1" s="1"/>
  <c r="F722" i="1" a="1"/>
  <c r="F722" i="1" s="1"/>
  <c r="F723" i="1" a="1"/>
  <c r="F723" i="1" s="1"/>
  <c r="F724" i="1" a="1"/>
  <c r="F724" i="1" s="1"/>
  <c r="F725" i="1" a="1"/>
  <c r="F725" i="1" s="1"/>
  <c r="F726" i="1" a="1"/>
  <c r="F726" i="1" s="1"/>
  <c r="F727" i="1" a="1"/>
  <c r="F727" i="1" s="1"/>
  <c r="F728" i="1" a="1"/>
  <c r="F728" i="1" s="1"/>
  <c r="F729" i="1" a="1"/>
  <c r="F729" i="1" s="1"/>
  <c r="F730" i="1" a="1"/>
  <c r="F730" i="1" s="1"/>
  <c r="F731" i="1" a="1"/>
  <c r="F731" i="1" s="1"/>
  <c r="F732" i="1" a="1"/>
  <c r="F732" i="1" s="1"/>
  <c r="F733" i="1" a="1"/>
  <c r="F733" i="1" s="1"/>
  <c r="F734" i="1" a="1"/>
  <c r="F734" i="1" s="1"/>
  <c r="F735" i="1" a="1"/>
  <c r="F735" i="1" s="1"/>
  <c r="F736" i="1" a="1"/>
  <c r="F736" i="1" s="1"/>
  <c r="F737" i="1" a="1"/>
  <c r="F737" i="1" s="1"/>
  <c r="F738" i="1" a="1"/>
  <c r="F738" i="1" s="1"/>
  <c r="F739" i="1" a="1"/>
  <c r="F739" i="1" s="1"/>
  <c r="F740" i="1" a="1"/>
  <c r="F740" i="1" s="1"/>
  <c r="F741" i="1" a="1"/>
  <c r="F741" i="1" s="1"/>
  <c r="F742" i="1" a="1"/>
  <c r="F742" i="1" s="1"/>
  <c r="F743" i="1" a="1"/>
  <c r="F743" i="1" s="1"/>
  <c r="F744" i="1" a="1"/>
  <c r="F744" i="1" s="1"/>
  <c r="F745" i="1" a="1"/>
  <c r="F745" i="1" s="1"/>
  <c r="F746" i="1" a="1"/>
  <c r="F746" i="1" s="1"/>
  <c r="F747" i="1" a="1"/>
  <c r="F747" i="1" s="1"/>
  <c r="F748" i="1" a="1"/>
  <c r="F748" i="1" s="1"/>
  <c r="F749" i="1" a="1"/>
  <c r="F749" i="1" s="1"/>
  <c r="F750" i="1" a="1"/>
  <c r="F750" i="1" s="1"/>
  <c r="F751" i="1" a="1"/>
  <c r="F751" i="1" s="1"/>
  <c r="F752" i="1" a="1"/>
  <c r="F752" i="1" s="1"/>
  <c r="F753" i="1" a="1"/>
  <c r="F753" i="1" s="1"/>
  <c r="F754" i="1" a="1"/>
  <c r="F754" i="1" s="1"/>
  <c r="F755" i="1" a="1"/>
  <c r="F755" i="1" s="1"/>
  <c r="F756" i="1" a="1"/>
  <c r="F756" i="1" s="1"/>
  <c r="F757" i="1" a="1"/>
  <c r="F757" i="1" s="1"/>
  <c r="F758" i="1" a="1"/>
  <c r="F758" i="1" s="1"/>
  <c r="F759" i="1" a="1"/>
  <c r="F759" i="1" s="1"/>
  <c r="F760" i="1" a="1"/>
  <c r="F760" i="1" s="1"/>
  <c r="F761" i="1" a="1"/>
  <c r="F761" i="1" s="1"/>
  <c r="F762" i="1" a="1"/>
  <c r="F762" i="1" s="1"/>
  <c r="F763" i="1" a="1"/>
  <c r="F763" i="1" s="1"/>
  <c r="F764" i="1" a="1"/>
  <c r="F764" i="1" s="1"/>
  <c r="F765" i="1" a="1"/>
  <c r="F765" i="1" s="1"/>
  <c r="F766" i="1" a="1"/>
  <c r="F766" i="1" s="1"/>
  <c r="F767" i="1" a="1"/>
  <c r="F767" i="1" s="1"/>
  <c r="F768" i="1" a="1"/>
  <c r="F768" i="1" s="1"/>
  <c r="F769" i="1" a="1"/>
  <c r="F769" i="1" s="1"/>
  <c r="F770" i="1" a="1"/>
  <c r="F770" i="1" s="1"/>
  <c r="F771" i="1" a="1"/>
  <c r="F771" i="1" s="1"/>
  <c r="F772" i="1" a="1"/>
  <c r="F772" i="1" s="1"/>
  <c r="F773" i="1" a="1"/>
  <c r="F773" i="1" s="1"/>
  <c r="F774" i="1" a="1"/>
  <c r="F774" i="1" s="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s="1"/>
  <c r="F786" i="1" a="1"/>
  <c r="F786" i="1" s="1"/>
  <c r="F787" i="1" a="1"/>
  <c r="F787" i="1" s="1"/>
  <c r="F788" i="1" a="1"/>
  <c r="F788" i="1" s="1"/>
  <c r="F789" i="1" a="1"/>
  <c r="F789" i="1" s="1"/>
  <c r="F790" i="1" a="1"/>
  <c r="F790" i="1" s="1"/>
  <c r="F791" i="1" a="1"/>
  <c r="F791" i="1" s="1"/>
  <c r="F792" i="1" a="1"/>
  <c r="F792" i="1" s="1"/>
  <c r="F793" i="1" a="1"/>
  <c r="F793" i="1" s="1"/>
  <c r="F794" i="1" a="1"/>
  <c r="F794" i="1" s="1"/>
  <c r="F795" i="1" a="1"/>
  <c r="F795" i="1" s="1"/>
  <c r="F796" i="1" a="1"/>
  <c r="F796" i="1" s="1"/>
  <c r="F797" i="1" a="1"/>
  <c r="F797" i="1" s="1"/>
  <c r="F798" i="1" a="1"/>
  <c r="F798" i="1" s="1"/>
  <c r="F799" i="1" a="1"/>
  <c r="F799" i="1" s="1"/>
  <c r="F800" i="1" a="1"/>
  <c r="F800" i="1" s="1"/>
  <c r="F801" i="1" a="1"/>
  <c r="F801" i="1" s="1"/>
  <c r="F802" i="1" a="1"/>
  <c r="F802" i="1" s="1"/>
  <c r="F803" i="1" a="1"/>
  <c r="F803" i="1" s="1"/>
  <c r="F804" i="1" a="1"/>
  <c r="F804" i="1" s="1"/>
  <c r="F805" i="1" a="1"/>
  <c r="F805" i="1" s="1"/>
  <c r="F806" i="1" a="1"/>
  <c r="F806" i="1" s="1"/>
  <c r="F807" i="1" a="1"/>
  <c r="F807" i="1" s="1"/>
  <c r="F808" i="1" a="1"/>
  <c r="F808" i="1" s="1"/>
  <c r="F809" i="1" a="1"/>
  <c r="F809" i="1" s="1"/>
  <c r="F810" i="1" a="1"/>
  <c r="F810" i="1" s="1"/>
  <c r="F811" i="1" a="1"/>
  <c r="F811" i="1" s="1"/>
  <c r="F812" i="1" a="1"/>
  <c r="F812" i="1" s="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s="1"/>
  <c r="F827" i="1" a="1"/>
  <c r="F827" i="1" s="1"/>
  <c r="F828" i="1" a="1"/>
  <c r="F828" i="1" s="1"/>
  <c r="F829" i="1" a="1"/>
  <c r="F829" i="1" s="1"/>
  <c r="F830" i="1" a="1"/>
  <c r="F830" i="1" s="1"/>
  <c r="F831" i="1" a="1"/>
  <c r="F831" i="1" s="1"/>
  <c r="F832" i="1" a="1"/>
  <c r="F832" i="1" s="1"/>
  <c r="F833" i="1" a="1"/>
  <c r="F833" i="1" s="1"/>
  <c r="F834" i="1" a="1"/>
  <c r="F834" i="1" s="1"/>
  <c r="F835" i="1" a="1"/>
  <c r="F835" i="1" s="1"/>
  <c r="F836" i="1" a="1"/>
  <c r="F836" i="1" s="1"/>
  <c r="F837" i="1" a="1"/>
  <c r="F837" i="1" s="1"/>
  <c r="F838" i="1" a="1"/>
  <c r="F838" i="1" s="1"/>
  <c r="F839" i="1" a="1"/>
  <c r="F839" i="1" s="1"/>
  <c r="F840" i="1" a="1"/>
  <c r="F840" i="1" s="1"/>
  <c r="F841" i="1" a="1"/>
  <c r="F841" i="1" s="1"/>
  <c r="F842" i="1" a="1"/>
  <c r="F842" i="1" s="1"/>
  <c r="F843" i="1" a="1"/>
  <c r="F843" i="1" s="1"/>
  <c r="F844" i="1" a="1"/>
  <c r="F844" i="1" s="1"/>
  <c r="F845" i="1" a="1"/>
  <c r="F845" i="1" s="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s="1"/>
  <c r="F859" i="1" a="1"/>
  <c r="F859" i="1" s="1"/>
  <c r="F860" i="1" a="1"/>
  <c r="F860" i="1" s="1"/>
  <c r="F861" i="1" a="1"/>
  <c r="F861" i="1" s="1"/>
  <c r="F862" i="1" a="1"/>
  <c r="F862" i="1" s="1"/>
  <c r="F863" i="1" a="1"/>
  <c r="F863" i="1" s="1"/>
  <c r="F864" i="1" a="1"/>
  <c r="F864" i="1" s="1"/>
  <c r="F865" i="1" a="1"/>
  <c r="F865" i="1" s="1"/>
  <c r="F866" i="1" a="1"/>
  <c r="F866" i="1" s="1"/>
  <c r="F867" i="1" a="1"/>
  <c r="F867" i="1" s="1"/>
  <c r="F868" i="1" a="1"/>
  <c r="F868" i="1" s="1"/>
  <c r="F869" i="1" a="1"/>
  <c r="F869" i="1" s="1"/>
  <c r="F870" i="1" a="1"/>
  <c r="F870" i="1" s="1"/>
  <c r="F871" i="1" a="1"/>
  <c r="F871" i="1" s="1"/>
  <c r="F872" i="1" a="1"/>
  <c r="F872" i="1" s="1"/>
  <c r="F873" i="1" a="1"/>
  <c r="F873" i="1" s="1"/>
  <c r="F874" i="1" a="1"/>
  <c r="F874" i="1" s="1"/>
  <c r="F875" i="1" a="1"/>
  <c r="F875" i="1" s="1"/>
  <c r="F876" i="1" a="1"/>
  <c r="F876" i="1" s="1"/>
  <c r="F877" i="1" a="1"/>
  <c r="F877" i="1" s="1"/>
  <c r="F878" i="1" a="1"/>
  <c r="F878" i="1" s="1"/>
  <c r="F879" i="1" a="1"/>
  <c r="F879" i="1" s="1"/>
  <c r="F880" i="1" a="1"/>
  <c r="F880" i="1" s="1"/>
  <c r="F881" i="1" a="1"/>
  <c r="F881" i="1" s="1"/>
  <c r="F882" i="1" a="1"/>
  <c r="F882" i="1" s="1"/>
  <c r="F883" i="1" a="1"/>
  <c r="F883" i="1" s="1"/>
  <c r="F884" i="1" a="1"/>
  <c r="F884" i="1" s="1"/>
  <c r="F885" i="1" a="1"/>
  <c r="F885" i="1" s="1"/>
  <c r="F886" i="1" a="1"/>
  <c r="F886" i="1" s="1"/>
  <c r="F887" i="1" a="1"/>
  <c r="F887" i="1" s="1"/>
  <c r="F888" i="1" a="1"/>
  <c r="F888" i="1" s="1"/>
  <c r="F889" i="1" a="1"/>
  <c r="F889" i="1" s="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s="1"/>
  <c r="F903" i="1" a="1"/>
  <c r="F903" i="1" s="1"/>
  <c r="F904" i="1" a="1"/>
  <c r="F904" i="1" s="1"/>
  <c r="F905" i="1" a="1"/>
  <c r="F905" i="1" s="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s="1"/>
  <c r="F920" i="1" a="1"/>
  <c r="F920" i="1" s="1"/>
  <c r="F921" i="1" a="1"/>
  <c r="F921" i="1" s="1"/>
  <c r="F922" i="1" a="1"/>
  <c r="F922" i="1" s="1"/>
  <c r="F923" i="1" a="1"/>
  <c r="F923" i="1" s="1"/>
  <c r="F924" i="1" a="1"/>
  <c r="F924" i="1" s="1"/>
  <c r="F925" i="1" a="1"/>
  <c r="F925" i="1" s="1"/>
  <c r="F926" i="1" a="1"/>
  <c r="F926" i="1" s="1"/>
  <c r="F927" i="1" a="1"/>
  <c r="F927" i="1" s="1"/>
  <c r="F928" i="1" a="1"/>
  <c r="F928" i="1" s="1"/>
  <c r="F929" i="1" a="1"/>
  <c r="F929" i="1" s="1"/>
  <c r="F930" i="1" a="1"/>
  <c r="F930" i="1" s="1"/>
  <c r="F931" i="1" a="1"/>
  <c r="F931" i="1" s="1"/>
  <c r="F932" i="1" a="1"/>
  <c r="F932" i="1" s="1"/>
  <c r="F933" i="1" a="1"/>
  <c r="F933" i="1" s="1"/>
  <c r="F934" i="1" a="1"/>
  <c r="F934" i="1" s="1"/>
  <c r="F935" i="1" a="1"/>
  <c r="F935" i="1" s="1"/>
  <c r="F936" i="1" a="1"/>
  <c r="F936" i="1" s="1"/>
  <c r="F937" i="1" a="1"/>
  <c r="F937" i="1" s="1"/>
  <c r="F938" i="1" a="1"/>
  <c r="F938" i="1" s="1"/>
  <c r="F939" i="1" a="1"/>
  <c r="F939" i="1" s="1"/>
  <c r="F940" i="1" a="1"/>
  <c r="F940" i="1" s="1"/>
  <c r="F941" i="1" a="1"/>
  <c r="F941" i="1" s="1"/>
  <c r="F942" i="1" a="1"/>
  <c r="F942" i="1" s="1"/>
  <c r="F943" i="1" a="1"/>
  <c r="F943" i="1" s="1"/>
  <c r="F944" i="1" a="1"/>
  <c r="F944" i="1" s="1"/>
  <c r="F945" i="1" a="1"/>
  <c r="F945" i="1" s="1"/>
  <c r="F946" i="1" a="1"/>
  <c r="F946" i="1" s="1"/>
  <c r="F947" i="1" a="1"/>
  <c r="F947" i="1" s="1"/>
  <c r="F948" i="1" a="1"/>
  <c r="F948" i="1" s="1"/>
  <c r="F949" i="1" a="1"/>
  <c r="F949" i="1" s="1"/>
  <c r="F950" i="1" a="1"/>
  <c r="F950" i="1" s="1"/>
  <c r="F951" i="1" a="1"/>
  <c r="F951" i="1" s="1"/>
  <c r="F952" i="1" a="1"/>
  <c r="F952" i="1" s="1"/>
  <c r="F953" i="1" a="1"/>
  <c r="F953" i="1" s="1"/>
  <c r="F954" i="1" a="1"/>
  <c r="F954" i="1" s="1"/>
  <c r="F955" i="1" a="1"/>
  <c r="F955" i="1" s="1"/>
  <c r="F956" i="1" a="1"/>
  <c r="F956" i="1" s="1"/>
  <c r="F957" i="1" a="1"/>
  <c r="F957" i="1" s="1"/>
  <c r="F958" i="1" a="1"/>
  <c r="F958" i="1" s="1"/>
  <c r="F959" i="1" a="1"/>
  <c r="F959" i="1" s="1"/>
  <c r="F960" i="1" a="1"/>
  <c r="F960" i="1" s="1"/>
  <c r="F961" i="1" a="1"/>
  <c r="F961" i="1" s="1"/>
  <c r="F962" i="1" a="1"/>
  <c r="F962" i="1" s="1"/>
  <c r="F963" i="1" a="1"/>
  <c r="F963" i="1" s="1"/>
  <c r="F964" i="1" a="1"/>
  <c r="F964" i="1" s="1"/>
  <c r="F965" i="1" a="1"/>
  <c r="F965" i="1" s="1"/>
  <c r="F966" i="1" a="1"/>
  <c r="F966" i="1" s="1"/>
  <c r="F967" i="1" a="1"/>
  <c r="F967" i="1" s="1"/>
  <c r="F968" i="1" a="1"/>
  <c r="F968" i="1" s="1"/>
  <c r="F969" i="1" a="1"/>
  <c r="F969" i="1" s="1"/>
  <c r="F970" i="1" a="1"/>
  <c r="F970" i="1" s="1"/>
  <c r="F971" i="1" a="1"/>
  <c r="F971" i="1" s="1"/>
  <c r="F972" i="1" a="1"/>
  <c r="F972" i="1" s="1"/>
  <c r="F973" i="1" a="1"/>
  <c r="F973" i="1" s="1"/>
  <c r="F974" i="1" a="1"/>
  <c r="F974" i="1" s="1"/>
  <c r="F975" i="1" a="1"/>
  <c r="F975" i="1" s="1"/>
  <c r="F976" i="1" a="1"/>
  <c r="F976" i="1" s="1"/>
  <c r="F977" i="1" a="1"/>
  <c r="F977" i="1" s="1"/>
  <c r="F978" i="1" a="1"/>
  <c r="F978" i="1" s="1"/>
  <c r="F979" i="1" a="1"/>
  <c r="F979" i="1" s="1"/>
  <c r="F980" i="1" a="1"/>
  <c r="F980" i="1" s="1"/>
  <c r="F981" i="1" a="1"/>
  <c r="F981" i="1" s="1"/>
  <c r="F982" i="1" a="1"/>
  <c r="F982" i="1" s="1"/>
  <c r="F983" i="1" a="1"/>
  <c r="F983" i="1" s="1"/>
  <c r="F984" i="1" a="1"/>
  <c r="F984" i="1" s="1"/>
  <c r="F985" i="1" a="1"/>
  <c r="F985" i="1" s="1"/>
  <c r="F986" i="1" a="1"/>
  <c r="F986" i="1" s="1"/>
  <c r="F987" i="1" a="1"/>
  <c r="F987" i="1" s="1"/>
  <c r="F988" i="1" a="1"/>
  <c r="F988" i="1" s="1"/>
  <c r="F989" i="1" a="1"/>
  <c r="F989" i="1" s="1"/>
  <c r="F990" i="1" a="1"/>
  <c r="F990" i="1" s="1"/>
  <c r="F991" i="1" a="1"/>
  <c r="F991" i="1" s="1"/>
  <c r="F992" i="1" a="1"/>
  <c r="F992" i="1" s="1"/>
  <c r="F993" i="1" a="1"/>
  <c r="F993" i="1" s="1"/>
  <c r="F994" i="1" a="1"/>
  <c r="F994" i="1" s="1"/>
  <c r="A244"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<sst xmlns="http://schemas.openxmlformats.org/spreadsheetml/2006/main" count="8523" uniqueCount="4098">
  <si>
    <t>CustomerID</t>
  </si>
  <si>
    <t>FirstName</t>
  </si>
  <si>
    <t>LastName</t>
  </si>
  <si>
    <t>Gender</t>
  </si>
  <si>
    <t>Age</t>
  </si>
  <si>
    <t>Country</t>
  </si>
  <si>
    <t>City</t>
  </si>
  <si>
    <t>Email</t>
  </si>
  <si>
    <t>PhoneNumber</t>
  </si>
  <si>
    <t>SignupDate</t>
  </si>
  <si>
    <t>LastPurchaseDate</t>
  </si>
  <si>
    <t>TotalOrders</t>
  </si>
  <si>
    <t>TotalSpent</t>
  </si>
  <si>
    <t>LoyaltyMember</t>
  </si>
  <si>
    <t>FeedbackScore</t>
  </si>
  <si>
    <t>AvgOrderValue</t>
  </si>
  <si>
    <t>Damon</t>
  </si>
  <si>
    <t>Danny</t>
  </si>
  <si>
    <t>Mario</t>
  </si>
  <si>
    <t>Gregory</t>
  </si>
  <si>
    <t>Bobby</t>
  </si>
  <si>
    <t>Johnny</t>
  </si>
  <si>
    <t>Alexis</t>
  </si>
  <si>
    <t>Karen</t>
  </si>
  <si>
    <t>Caroline</t>
  </si>
  <si>
    <t>Lacey</t>
  </si>
  <si>
    <t>Christina</t>
  </si>
  <si>
    <t>Donald</t>
  </si>
  <si>
    <t>Christopher</t>
  </si>
  <si>
    <t>Jasmine</t>
  </si>
  <si>
    <t>Gary</t>
  </si>
  <si>
    <t>Laura</t>
  </si>
  <si>
    <t>Cynthia</t>
  </si>
  <si>
    <t>Jennifer</t>
  </si>
  <si>
    <t>Ryan</t>
  </si>
  <si>
    <t>Bradley</t>
  </si>
  <si>
    <t>Eric</t>
  </si>
  <si>
    <t>Jessica</t>
  </si>
  <si>
    <t>Jacqueline</t>
  </si>
  <si>
    <t>Brittney</t>
  </si>
  <si>
    <t>Haley</t>
  </si>
  <si>
    <t>Anthony</t>
  </si>
  <si>
    <t>Catherine</t>
  </si>
  <si>
    <t>Joshua</t>
  </si>
  <si>
    <t>Dakota</t>
  </si>
  <si>
    <t>Samuel</t>
  </si>
  <si>
    <t>Charlotte</t>
  </si>
  <si>
    <t>Walter</t>
  </si>
  <si>
    <t>Samantha</t>
  </si>
  <si>
    <t>Curtis</t>
  </si>
  <si>
    <t>Brandy</t>
  </si>
  <si>
    <t>Todd</t>
  </si>
  <si>
    <t>Rebecca</t>
  </si>
  <si>
    <t>Michael</t>
  </si>
  <si>
    <t>Heather</t>
  </si>
  <si>
    <t>James</t>
  </si>
  <si>
    <t>Vanessa</t>
  </si>
  <si>
    <t>Shannon</t>
  </si>
  <si>
    <t>Jeffrey</t>
  </si>
  <si>
    <t>Natasha</t>
  </si>
  <si>
    <t>Steven</t>
  </si>
  <si>
    <t>Ashley</t>
  </si>
  <si>
    <t>Peggy</t>
  </si>
  <si>
    <t>Timothy</t>
  </si>
  <si>
    <t>Lisa</t>
  </si>
  <si>
    <t>Jerome</t>
  </si>
  <si>
    <t>Dana</t>
  </si>
  <si>
    <t>Nicole</t>
  </si>
  <si>
    <t>David</t>
  </si>
  <si>
    <t>Benjamin</t>
  </si>
  <si>
    <t>Kevin</t>
  </si>
  <si>
    <t>Natalie</t>
  </si>
  <si>
    <t>Kelly</t>
  </si>
  <si>
    <t>Charles</t>
  </si>
  <si>
    <t>Sara</t>
  </si>
  <si>
    <t>Luis</t>
  </si>
  <si>
    <t>George</t>
  </si>
  <si>
    <t>Sean</t>
  </si>
  <si>
    <t>Jason</t>
  </si>
  <si>
    <t>Mitchell</t>
  </si>
  <si>
    <t>Tyler</t>
  </si>
  <si>
    <t>Jordan</t>
  </si>
  <si>
    <t>Jose</t>
  </si>
  <si>
    <t>Anita</t>
  </si>
  <si>
    <t>Bryan</t>
  </si>
  <si>
    <t>Thomas</t>
  </si>
  <si>
    <t>Janice</t>
  </si>
  <si>
    <t>Jeffery</t>
  </si>
  <si>
    <t>Tony</t>
  </si>
  <si>
    <t>Jody</t>
  </si>
  <si>
    <t>Alison</t>
  </si>
  <si>
    <t>Daniel</t>
  </si>
  <si>
    <t>Joseph</t>
  </si>
  <si>
    <t>Stephanie</t>
  </si>
  <si>
    <t>Denise</t>
  </si>
  <si>
    <t>Caitlin</t>
  </si>
  <si>
    <t>William</t>
  </si>
  <si>
    <t>Dawn</t>
  </si>
  <si>
    <t>Breanna</t>
  </si>
  <si>
    <t>Kimberly</t>
  </si>
  <si>
    <t>Christine</t>
  </si>
  <si>
    <t>Patricia</t>
  </si>
  <si>
    <t>Toni</t>
  </si>
  <si>
    <t>John</t>
  </si>
  <si>
    <t>Alexander</t>
  </si>
  <si>
    <t>Kristin</t>
  </si>
  <si>
    <t>Steve</t>
  </si>
  <si>
    <t>Mark</t>
  </si>
  <si>
    <t>Randy</t>
  </si>
  <si>
    <t>Erika</t>
  </si>
  <si>
    <t>Kirk</t>
  </si>
  <si>
    <t>Dennis</t>
  </si>
  <si>
    <t>Tommy</t>
  </si>
  <si>
    <t>Kenneth</t>
  </si>
  <si>
    <t>Brenda</t>
  </si>
  <si>
    <t>Robert</t>
  </si>
  <si>
    <t>Lori</t>
  </si>
  <si>
    <t>Brandon</t>
  </si>
  <si>
    <t>Olivia</t>
  </si>
  <si>
    <t>Brian</t>
  </si>
  <si>
    <t>Sarah</t>
  </si>
  <si>
    <t>Jacob</t>
  </si>
  <si>
    <t>Carla</t>
  </si>
  <si>
    <t>Roberto</t>
  </si>
  <si>
    <t>Katie</t>
  </si>
  <si>
    <t>Autumn</t>
  </si>
  <si>
    <t>Rebekah</t>
  </si>
  <si>
    <t>Kathy</t>
  </si>
  <si>
    <t>Megan</t>
  </si>
  <si>
    <t>Theresa</t>
  </si>
  <si>
    <t>Peter</t>
  </si>
  <si>
    <t>Travis</t>
  </si>
  <si>
    <t>Debra</t>
  </si>
  <si>
    <t>Jackson</t>
  </si>
  <si>
    <t>Kristen</t>
  </si>
  <si>
    <t>Sonya</t>
  </si>
  <si>
    <t>Heidi</t>
  </si>
  <si>
    <t>Elizabeth</t>
  </si>
  <si>
    <t>Vincent</t>
  </si>
  <si>
    <t>Jeremy</t>
  </si>
  <si>
    <t>Scott</t>
  </si>
  <si>
    <t>Edward</t>
  </si>
  <si>
    <t>Brittany</t>
  </si>
  <si>
    <t>Victoria</t>
  </si>
  <si>
    <t>Rodney</t>
  </si>
  <si>
    <t>Crystal</t>
  </si>
  <si>
    <t>Robin</t>
  </si>
  <si>
    <t>Antonio</t>
  </si>
  <si>
    <t>Hunter</t>
  </si>
  <si>
    <t>Douglas</t>
  </si>
  <si>
    <t>Calvin</t>
  </si>
  <si>
    <t>Tasha</t>
  </si>
  <si>
    <t>Roberta</t>
  </si>
  <si>
    <t>Justin</t>
  </si>
  <si>
    <t>Julie</t>
  </si>
  <si>
    <t>Kathleen</t>
  </si>
  <si>
    <t>Clayton</t>
  </si>
  <si>
    <t>Martha</t>
  </si>
  <si>
    <t>Marc</t>
  </si>
  <si>
    <t>Chad</t>
  </si>
  <si>
    <t>Maureen</t>
  </si>
  <si>
    <t>Philip</t>
  </si>
  <si>
    <t>Tammy</t>
  </si>
  <si>
    <t>Leonard</t>
  </si>
  <si>
    <t>Amy</t>
  </si>
  <si>
    <t>Rhonda</t>
  </si>
  <si>
    <t>Frank</t>
  </si>
  <si>
    <t>Cindy</t>
  </si>
  <si>
    <t>Carrie</t>
  </si>
  <si>
    <t>Ricardo</t>
  </si>
  <si>
    <t>Melinda</t>
  </si>
  <si>
    <t>Willie</t>
  </si>
  <si>
    <t>Casey</t>
  </si>
  <si>
    <t>Blake</t>
  </si>
  <si>
    <t>Kristina</t>
  </si>
  <si>
    <t>Oscar</t>
  </si>
  <si>
    <t>Luke</t>
  </si>
  <si>
    <t>Matthew</t>
  </si>
  <si>
    <t>Jorge</t>
  </si>
  <si>
    <t>Mary</t>
  </si>
  <si>
    <t>Michelle</t>
  </si>
  <si>
    <t>Amber</t>
  </si>
  <si>
    <t>Rachel</t>
  </si>
  <si>
    <t>Kyle</t>
  </si>
  <si>
    <t>Tara</t>
  </si>
  <si>
    <t>Nathan</t>
  </si>
  <si>
    <t>Barbara</t>
  </si>
  <si>
    <t>Tom</t>
  </si>
  <si>
    <t>Jesse</t>
  </si>
  <si>
    <t>Shirley</t>
  </si>
  <si>
    <t>Michele</t>
  </si>
  <si>
    <t>Stacey</t>
  </si>
  <si>
    <t>Kelsey</t>
  </si>
  <si>
    <t>Amanda</t>
  </si>
  <si>
    <t>Kelli</t>
  </si>
  <si>
    <t>Paul</t>
  </si>
  <si>
    <t>Kayla</t>
  </si>
  <si>
    <t>Desiree</t>
  </si>
  <si>
    <t>Suzanne</t>
  </si>
  <si>
    <t>Linda</t>
  </si>
  <si>
    <t>Alicia</t>
  </si>
  <si>
    <t>Lindsay</t>
  </si>
  <si>
    <t>Darrell</t>
  </si>
  <si>
    <t>Patrick</t>
  </si>
  <si>
    <t>Keith</t>
  </si>
  <si>
    <t>Alexandra</t>
  </si>
  <si>
    <t>Evan</t>
  </si>
  <si>
    <t>Carol</t>
  </si>
  <si>
    <t>Lawrence</t>
  </si>
  <si>
    <t>Dustin</t>
  </si>
  <si>
    <t>Teresa</t>
  </si>
  <si>
    <t>Faith</t>
  </si>
  <si>
    <t>Kristine</t>
  </si>
  <si>
    <t>Angela</t>
  </si>
  <si>
    <t>Wendy</t>
  </si>
  <si>
    <t>Ronald</t>
  </si>
  <si>
    <t>Lauren</t>
  </si>
  <si>
    <t>Carolyn</t>
  </si>
  <si>
    <t>Ellen</t>
  </si>
  <si>
    <t>Henry</t>
  </si>
  <si>
    <t>Tiffany</t>
  </si>
  <si>
    <t>Kim</t>
  </si>
  <si>
    <t>Anna</t>
  </si>
  <si>
    <t>Holly</t>
  </si>
  <si>
    <t>Sally</t>
  </si>
  <si>
    <t>Jamie</t>
  </si>
  <si>
    <t>Arthur</t>
  </si>
  <si>
    <t>Dylan</t>
  </si>
  <si>
    <t>Carlos</t>
  </si>
  <si>
    <t>Gabriel</t>
  </si>
  <si>
    <t>Erik</t>
  </si>
  <si>
    <t>Cassie</t>
  </si>
  <si>
    <t>Melissa</t>
  </si>
  <si>
    <t>Adam</t>
  </si>
  <si>
    <t>Drew</t>
  </si>
  <si>
    <t>Alex</t>
  </si>
  <si>
    <t>Sherry</t>
  </si>
  <si>
    <t>Ricky</t>
  </si>
  <si>
    <t>Shawna</t>
  </si>
  <si>
    <t>Eddie</t>
  </si>
  <si>
    <t>Katelyn</t>
  </si>
  <si>
    <t>Ruth</t>
  </si>
  <si>
    <t>Zachary</t>
  </si>
  <si>
    <t>Tina</t>
  </si>
  <si>
    <t>Juan</t>
  </si>
  <si>
    <t>Cameron</t>
  </si>
  <si>
    <t>Jay</t>
  </si>
  <si>
    <t>Andrew</t>
  </si>
  <si>
    <t>Jerry</t>
  </si>
  <si>
    <t>Pamela</t>
  </si>
  <si>
    <t>Jonathan</t>
  </si>
  <si>
    <t>Parker</t>
  </si>
  <si>
    <t>Leah</t>
  </si>
  <si>
    <t>Alexandria</t>
  </si>
  <si>
    <t>Erica</t>
  </si>
  <si>
    <t>Allen</t>
  </si>
  <si>
    <t>Earl</t>
  </si>
  <si>
    <t>Ann</t>
  </si>
  <si>
    <t>Emma</t>
  </si>
  <si>
    <t>Joyce</t>
  </si>
  <si>
    <t>Christy</t>
  </si>
  <si>
    <t>Shawn</t>
  </si>
  <si>
    <t>Vernon</t>
  </si>
  <si>
    <t>Mercedes</t>
  </si>
  <si>
    <t>Penny</t>
  </si>
  <si>
    <t>Richard</t>
  </si>
  <si>
    <t>Chase</t>
  </si>
  <si>
    <t>Brad</t>
  </si>
  <si>
    <t>Brett</t>
  </si>
  <si>
    <t>Cody</t>
  </si>
  <si>
    <t>Felicia</t>
  </si>
  <si>
    <t>Devon</t>
  </si>
  <si>
    <t>Katherine</t>
  </si>
  <si>
    <t>Hannah</t>
  </si>
  <si>
    <t>Shari</t>
  </si>
  <si>
    <t>Devin</t>
  </si>
  <si>
    <t>Karla</t>
  </si>
  <si>
    <t>Terri</t>
  </si>
  <si>
    <t>Janet</t>
  </si>
  <si>
    <t>Emily</t>
  </si>
  <si>
    <t>Allison</t>
  </si>
  <si>
    <t>Adrian</t>
  </si>
  <si>
    <t>Francisco</t>
  </si>
  <si>
    <t>Brooke</t>
  </si>
  <si>
    <t>Donna</t>
  </si>
  <si>
    <t>Sydney</t>
  </si>
  <si>
    <t>Caitlyn</t>
  </si>
  <si>
    <t>Alan</t>
  </si>
  <si>
    <t>Christian</t>
  </si>
  <si>
    <t>Jeremiah</t>
  </si>
  <si>
    <t>Tracie</t>
  </si>
  <si>
    <t>Lynn</t>
  </si>
  <si>
    <t>Roger</t>
  </si>
  <si>
    <t>Maria</t>
  </si>
  <si>
    <t>Kaitlyn</t>
  </si>
  <si>
    <t>Aaron</t>
  </si>
  <si>
    <t>Susan</t>
  </si>
  <si>
    <t>Martin</t>
  </si>
  <si>
    <t>Joel</t>
  </si>
  <si>
    <t>Sabrina</t>
  </si>
  <si>
    <t>Alyssa</t>
  </si>
  <si>
    <t>Noah</t>
  </si>
  <si>
    <t>Deborah</t>
  </si>
  <si>
    <t>Melvin</t>
  </si>
  <si>
    <t>Brandi</t>
  </si>
  <si>
    <t>Shane</t>
  </si>
  <si>
    <t>Leslie</t>
  </si>
  <si>
    <t>Taylor</t>
  </si>
  <si>
    <t>Bill</t>
  </si>
  <si>
    <t>Chelsea</t>
  </si>
  <si>
    <t>Stephen</t>
  </si>
  <si>
    <t>Erin</t>
  </si>
  <si>
    <t>Jillian</t>
  </si>
  <si>
    <t>Morgan</t>
  </si>
  <si>
    <t>Jeanette</t>
  </si>
  <si>
    <t>Andrea</t>
  </si>
  <si>
    <t>Jo</t>
  </si>
  <si>
    <t>Carl</t>
  </si>
  <si>
    <t>Chelsey</t>
  </si>
  <si>
    <t>Diana</t>
  </si>
  <si>
    <t>Jared</t>
  </si>
  <si>
    <t>Jill</t>
  </si>
  <si>
    <t>Colleen</t>
  </si>
  <si>
    <t>Courtney</t>
  </si>
  <si>
    <t>Maxwell</t>
  </si>
  <si>
    <t>Dominique</t>
  </si>
  <si>
    <t>Paula</t>
  </si>
  <si>
    <t>Victor</t>
  </si>
  <si>
    <t>Sharon</t>
  </si>
  <si>
    <t>Tonya</t>
  </si>
  <si>
    <t>Cesar</t>
  </si>
  <si>
    <t>Isabella</t>
  </si>
  <si>
    <t>Jaime</t>
  </si>
  <si>
    <t>Melanie</t>
  </si>
  <si>
    <t>Nicholas</t>
  </si>
  <si>
    <t>Deanna</t>
  </si>
  <si>
    <t>Savannah</t>
  </si>
  <si>
    <t>Anne</t>
  </si>
  <si>
    <t>Meredith</t>
  </si>
  <si>
    <t>Barry</t>
  </si>
  <si>
    <t>Russell</t>
  </si>
  <si>
    <t>Mathew</t>
  </si>
  <si>
    <t>Regina</t>
  </si>
  <si>
    <t>Bridget</t>
  </si>
  <si>
    <t>Isaac</t>
  </si>
  <si>
    <t>Angelica</t>
  </si>
  <si>
    <t>Lydia</t>
  </si>
  <si>
    <t>Albert</t>
  </si>
  <si>
    <t>Michaela</t>
  </si>
  <si>
    <t>April</t>
  </si>
  <si>
    <t>Veronica</t>
  </si>
  <si>
    <t>Ivan</t>
  </si>
  <si>
    <t>Jeff</t>
  </si>
  <si>
    <t>Marcus</t>
  </si>
  <si>
    <t>Valerie</t>
  </si>
  <si>
    <t>Phillip</t>
  </si>
  <si>
    <t>Raymond</t>
  </si>
  <si>
    <t>Alfred</t>
  </si>
  <si>
    <t>Mariah</t>
  </si>
  <si>
    <t>Traci</t>
  </si>
  <si>
    <t>Troy</t>
  </si>
  <si>
    <t>Larry</t>
  </si>
  <si>
    <t>Nichole</t>
  </si>
  <si>
    <t>Diane</t>
  </si>
  <si>
    <t>Brady</t>
  </si>
  <si>
    <t>Micheal</t>
  </si>
  <si>
    <t>Sheri</t>
  </si>
  <si>
    <t>Virginia</t>
  </si>
  <si>
    <t>Glenda</t>
  </si>
  <si>
    <t>Pam</t>
  </si>
  <si>
    <t>Bethany</t>
  </si>
  <si>
    <t>Wilson</t>
  </si>
  <si>
    <t>Stevens</t>
  </si>
  <si>
    <t>Mason</t>
  </si>
  <si>
    <t>Morales</t>
  </si>
  <si>
    <t>Bell</t>
  </si>
  <si>
    <t>Johnson</t>
  </si>
  <si>
    <t>Hill</t>
  </si>
  <si>
    <t>Rogers</t>
  </si>
  <si>
    <t>Miller</t>
  </si>
  <si>
    <t>Adams</t>
  </si>
  <si>
    <t>Price</t>
  </si>
  <si>
    <t>Mcgee</t>
  </si>
  <si>
    <t>Murray</t>
  </si>
  <si>
    <t>Marshall</t>
  </si>
  <si>
    <t>Wilkerson</t>
  </si>
  <si>
    <t>Smith</t>
  </si>
  <si>
    <t>Cisneros</t>
  </si>
  <si>
    <t>Kane</t>
  </si>
  <si>
    <t>Craig</t>
  </si>
  <si>
    <t>Tucker</t>
  </si>
  <si>
    <t>Lane</t>
  </si>
  <si>
    <t>Hodges</t>
  </si>
  <si>
    <t>Haynes</t>
  </si>
  <si>
    <t>Serrano</t>
  </si>
  <si>
    <t>Campbell</t>
  </si>
  <si>
    <t>Simmons</t>
  </si>
  <si>
    <t>Gardner</t>
  </si>
  <si>
    <t>White</t>
  </si>
  <si>
    <t>Myers</t>
  </si>
  <si>
    <t>Petersen</t>
  </si>
  <si>
    <t>Roach</t>
  </si>
  <si>
    <t>Pittman</t>
  </si>
  <si>
    <t>Riley</t>
  </si>
  <si>
    <t>Ramos</t>
  </si>
  <si>
    <t>Rocha</t>
  </si>
  <si>
    <t>Nunez</t>
  </si>
  <si>
    <t>Clark</t>
  </si>
  <si>
    <t>Harris</t>
  </si>
  <si>
    <t>Powell</t>
  </si>
  <si>
    <t>Mccarthy</t>
  </si>
  <si>
    <t>King</t>
  </si>
  <si>
    <t>Martinez</t>
  </si>
  <si>
    <t>Stone</t>
  </si>
  <si>
    <t>Garcia</t>
  </si>
  <si>
    <t>Fleming</t>
  </si>
  <si>
    <t>Jones</t>
  </si>
  <si>
    <t>Bridges</t>
  </si>
  <si>
    <t>Singleton</t>
  </si>
  <si>
    <t>Chavez</t>
  </si>
  <si>
    <t>Nelson</t>
  </si>
  <si>
    <t>Valencia</t>
  </si>
  <si>
    <t>Pope</t>
  </si>
  <si>
    <t>Carney</t>
  </si>
  <si>
    <t>Davis</t>
  </si>
  <si>
    <t>Caldwell</t>
  </si>
  <si>
    <t>Huynh</t>
  </si>
  <si>
    <t>Daniels</t>
  </si>
  <si>
    <t>Faulkner</t>
  </si>
  <si>
    <t>Alvarez</t>
  </si>
  <si>
    <t>Schroeder</t>
  </si>
  <si>
    <t>Leblanc</t>
  </si>
  <si>
    <t>Nguyen</t>
  </si>
  <si>
    <t>Gray</t>
  </si>
  <si>
    <t>Aguirre</t>
  </si>
  <si>
    <t>Aguilar</t>
  </si>
  <si>
    <t>Vargas</t>
  </si>
  <si>
    <t>Perez</t>
  </si>
  <si>
    <t>Miles</t>
  </si>
  <si>
    <t>Mathis</t>
  </si>
  <si>
    <t>Patel</t>
  </si>
  <si>
    <t>Brown</t>
  </si>
  <si>
    <t>Hamilton</t>
  </si>
  <si>
    <t>Hudson</t>
  </si>
  <si>
    <t>Richardson</t>
  </si>
  <si>
    <t>Brewer</t>
  </si>
  <si>
    <t>Saunders</t>
  </si>
  <si>
    <t>Huff</t>
  </si>
  <si>
    <t>Nichols</t>
  </si>
  <si>
    <t>Young</t>
  </si>
  <si>
    <t>Norris</t>
  </si>
  <si>
    <t>Robinson</t>
  </si>
  <si>
    <t>Moreno</t>
  </si>
  <si>
    <t>Wright</t>
  </si>
  <si>
    <t>Mcdonald</t>
  </si>
  <si>
    <t>Horn</t>
  </si>
  <si>
    <t>Hernandez</t>
  </si>
  <si>
    <t>Stein</t>
  </si>
  <si>
    <t>Castillo</t>
  </si>
  <si>
    <t>Houston</t>
  </si>
  <si>
    <t>Guzman</t>
  </si>
  <si>
    <t>Cross</t>
  </si>
  <si>
    <t>Woods</t>
  </si>
  <si>
    <t>Hubbard</t>
  </si>
  <si>
    <t>Reyes</t>
  </si>
  <si>
    <t>Pierce</t>
  </si>
  <si>
    <t>Long</t>
  </si>
  <si>
    <t>Contreras</t>
  </si>
  <si>
    <t>Lara</t>
  </si>
  <si>
    <t>Owens</t>
  </si>
  <si>
    <t>Peterson</t>
  </si>
  <si>
    <t>Sullivan</t>
  </si>
  <si>
    <t>Strickland</t>
  </si>
  <si>
    <t>Dalton</t>
  </si>
  <si>
    <t>Thompson</t>
  </si>
  <si>
    <t>Dominguez</t>
  </si>
  <si>
    <t>Watson</t>
  </si>
  <si>
    <t>Wagner</t>
  </si>
  <si>
    <t>Coffey</t>
  </si>
  <si>
    <t>Beard</t>
  </si>
  <si>
    <t>Bailey</t>
  </si>
  <si>
    <t>Carr</t>
  </si>
  <si>
    <t>Edwards</t>
  </si>
  <si>
    <t>Santana</t>
  </si>
  <si>
    <t>Zavala</t>
  </si>
  <si>
    <t>Spencer</t>
  </si>
  <si>
    <t>Fuentes</t>
  </si>
  <si>
    <t>Williams</t>
  </si>
  <si>
    <t>Henderson</t>
  </si>
  <si>
    <t>Mccann</t>
  </si>
  <si>
    <t>Tran</t>
  </si>
  <si>
    <t>Stewart</t>
  </si>
  <si>
    <t>Cooke</t>
  </si>
  <si>
    <t>Rivers</t>
  </si>
  <si>
    <t>Heath</t>
  </si>
  <si>
    <t>Moore</t>
  </si>
  <si>
    <t>Barnes</t>
  </si>
  <si>
    <t>Roberts</t>
  </si>
  <si>
    <t>Bryant</t>
  </si>
  <si>
    <t>Brooks</t>
  </si>
  <si>
    <t>Sampson</t>
  </si>
  <si>
    <t>Rice</t>
  </si>
  <si>
    <t>Christensen</t>
  </si>
  <si>
    <t>Jimenez</t>
  </si>
  <si>
    <t>Key</t>
  </si>
  <si>
    <t>Flynn</t>
  </si>
  <si>
    <t>Obrien</t>
  </si>
  <si>
    <t>Sosa</t>
  </si>
  <si>
    <t>Novak</t>
  </si>
  <si>
    <t>Cummings</t>
  </si>
  <si>
    <t>Olson</t>
  </si>
  <si>
    <t>Matthews</t>
  </si>
  <si>
    <t>Larson</t>
  </si>
  <si>
    <t>Torres</t>
  </si>
  <si>
    <t>Harvey</t>
  </si>
  <si>
    <t>Bowman</t>
  </si>
  <si>
    <t>Shaw</t>
  </si>
  <si>
    <t>Hayes</t>
  </si>
  <si>
    <t>Moss</t>
  </si>
  <si>
    <t>Cabrera</t>
  </si>
  <si>
    <t>Baker</t>
  </si>
  <si>
    <t>Cobb</t>
  </si>
  <si>
    <t>Mcmahon</t>
  </si>
  <si>
    <t>Cooper</t>
  </si>
  <si>
    <t>Mora</t>
  </si>
  <si>
    <t>Decker</t>
  </si>
  <si>
    <t>Guerra</t>
  </si>
  <si>
    <t>Perkins</t>
  </si>
  <si>
    <t>Hicks</t>
  </si>
  <si>
    <t>Santiago</t>
  </si>
  <si>
    <t>Reed</t>
  </si>
  <si>
    <t>Gonzalez</t>
  </si>
  <si>
    <t>Molina</t>
  </si>
  <si>
    <t>Griffith</t>
  </si>
  <si>
    <t>Washington</t>
  </si>
  <si>
    <t>Gross</t>
  </si>
  <si>
    <t>Burton</t>
  </si>
  <si>
    <t>Harding</t>
  </si>
  <si>
    <t>Quinn</t>
  </si>
  <si>
    <t>Robertson</t>
  </si>
  <si>
    <t>Stephenson</t>
  </si>
  <si>
    <t>Burch</t>
  </si>
  <si>
    <t>Wong</t>
  </si>
  <si>
    <t>Hardy</t>
  </si>
  <si>
    <t>Phillips</t>
  </si>
  <si>
    <t>Mooney</t>
  </si>
  <si>
    <t>Andrews</t>
  </si>
  <si>
    <t>Briggs</t>
  </si>
  <si>
    <t>Blevins</t>
  </si>
  <si>
    <t>Ramirez</t>
  </si>
  <si>
    <t>Erickson</t>
  </si>
  <si>
    <t>Lambert</t>
  </si>
  <si>
    <t>Sweeney</t>
  </si>
  <si>
    <t>Grant</t>
  </si>
  <si>
    <t>Zimmerman</t>
  </si>
  <si>
    <t>Ellis</t>
  </si>
  <si>
    <t>Mercado</t>
  </si>
  <si>
    <t>Bentley</t>
  </si>
  <si>
    <t>Hines</t>
  </si>
  <si>
    <t>Mullen</t>
  </si>
  <si>
    <t>Curry</t>
  </si>
  <si>
    <t>Monroe</t>
  </si>
  <si>
    <t>Combs</t>
  </si>
  <si>
    <t>Zuniga</t>
  </si>
  <si>
    <t>Reynolds</t>
  </si>
  <si>
    <t>Carter</t>
  </si>
  <si>
    <t>Holland</t>
  </si>
  <si>
    <t>Bauer</t>
  </si>
  <si>
    <t>Krueger</t>
  </si>
  <si>
    <t>Levy</t>
  </si>
  <si>
    <t>Acosta</t>
  </si>
  <si>
    <t>Rodriguez</t>
  </si>
  <si>
    <t>Fernandez</t>
  </si>
  <si>
    <t>Lee</t>
  </si>
  <si>
    <t>Villarreal</t>
  </si>
  <si>
    <t>Hodge</t>
  </si>
  <si>
    <t>Crosby</t>
  </si>
  <si>
    <t>Terrell</t>
  </si>
  <si>
    <t>Zamora</t>
  </si>
  <si>
    <t>Byrd</t>
  </si>
  <si>
    <t>Knox</t>
  </si>
  <si>
    <t>Hughes</t>
  </si>
  <si>
    <t>Underwood</t>
  </si>
  <si>
    <t>Anderson</t>
  </si>
  <si>
    <t>Murphy</t>
  </si>
  <si>
    <t>Sanchez</t>
  </si>
  <si>
    <t>Graham</t>
  </si>
  <si>
    <t>Walters</t>
  </si>
  <si>
    <t>Lam</t>
  </si>
  <si>
    <t>Wood</t>
  </si>
  <si>
    <t>Hayden</t>
  </si>
  <si>
    <t>Weeks</t>
  </si>
  <si>
    <t>Sandoval</t>
  </si>
  <si>
    <t>Sherman</t>
  </si>
  <si>
    <t>Glover</t>
  </si>
  <si>
    <t>Sharp</t>
  </si>
  <si>
    <t>Vazquez</t>
  </si>
  <si>
    <t>Lucas</t>
  </si>
  <si>
    <t>Crawford</t>
  </si>
  <si>
    <t>Velasquez</t>
  </si>
  <si>
    <t>Mullins</t>
  </si>
  <si>
    <t>Conner</t>
  </si>
  <si>
    <t>Butler</t>
  </si>
  <si>
    <t>Oneill</t>
  </si>
  <si>
    <t>Lewis</t>
  </si>
  <si>
    <t>Neal</t>
  </si>
  <si>
    <t>Bird</t>
  </si>
  <si>
    <t>Carpenter</t>
  </si>
  <si>
    <t>Ortiz</t>
  </si>
  <si>
    <t>Callahan</t>
  </si>
  <si>
    <t>Park</t>
  </si>
  <si>
    <t>Gomez</t>
  </si>
  <si>
    <t>House</t>
  </si>
  <si>
    <t>Cook</t>
  </si>
  <si>
    <t>Mcintyre</t>
  </si>
  <si>
    <t>Gutierrez</t>
  </si>
  <si>
    <t>Bush</t>
  </si>
  <si>
    <t>Willis</t>
  </si>
  <si>
    <t>Collins</t>
  </si>
  <si>
    <t>Hammond</t>
  </si>
  <si>
    <t>Fisher</t>
  </si>
  <si>
    <t>Lopez</t>
  </si>
  <si>
    <t>Gentry</t>
  </si>
  <si>
    <t>Bishop</t>
  </si>
  <si>
    <t>Waller</t>
  </si>
  <si>
    <t>Fischer</t>
  </si>
  <si>
    <t>Atkins</t>
  </si>
  <si>
    <t>Ferguson</t>
  </si>
  <si>
    <t>Lamb</t>
  </si>
  <si>
    <t>Barker</t>
  </si>
  <si>
    <t>Cunningham</t>
  </si>
  <si>
    <t>Farrell</t>
  </si>
  <si>
    <t>Flores</t>
  </si>
  <si>
    <t>Dickerson</t>
  </si>
  <si>
    <t>Walker</t>
  </si>
  <si>
    <t>Patton</t>
  </si>
  <si>
    <t>Mills</t>
  </si>
  <si>
    <t>Farmer</t>
  </si>
  <si>
    <t>Valenzuela</t>
  </si>
  <si>
    <t>Ross</t>
  </si>
  <si>
    <t>Duncan</t>
  </si>
  <si>
    <t>Stuart</t>
  </si>
  <si>
    <t>Griffin</t>
  </si>
  <si>
    <t>Wiley</t>
  </si>
  <si>
    <t>Cruz</t>
  </si>
  <si>
    <t>Sanders</t>
  </si>
  <si>
    <t>Yang</t>
  </si>
  <si>
    <t>Parrish</t>
  </si>
  <si>
    <t>Cohen</t>
  </si>
  <si>
    <t>Schmidt</t>
  </si>
  <si>
    <t>Jacobson</t>
  </si>
  <si>
    <t>Carlson</t>
  </si>
  <si>
    <t>Rivera</t>
  </si>
  <si>
    <t>Stanley</t>
  </si>
  <si>
    <t>Munoz</t>
  </si>
  <si>
    <t>Mccormick</t>
  </si>
  <si>
    <t>Gonzales</t>
  </si>
  <si>
    <t>Wang</t>
  </si>
  <si>
    <t>Moon</t>
  </si>
  <si>
    <t>Singh</t>
  </si>
  <si>
    <t>Diaz</t>
  </si>
  <si>
    <t>Sparks</t>
  </si>
  <si>
    <t>Burns</t>
  </si>
  <si>
    <t>Baldwin</t>
  </si>
  <si>
    <t>Hood</t>
  </si>
  <si>
    <t>Harper</t>
  </si>
  <si>
    <t>Vance</t>
  </si>
  <si>
    <t>Warren</t>
  </si>
  <si>
    <t>Sanford</t>
  </si>
  <si>
    <t>Goodman</t>
  </si>
  <si>
    <t>Hall</t>
  </si>
  <si>
    <t>Buck</t>
  </si>
  <si>
    <t>Austin</t>
  </si>
  <si>
    <t>Townsend</t>
  </si>
  <si>
    <t>Schwartz</t>
  </si>
  <si>
    <t>Malone</t>
  </si>
  <si>
    <t>Reid</t>
  </si>
  <si>
    <t>Burgess</t>
  </si>
  <si>
    <t>Gamble</t>
  </si>
  <si>
    <t>Melton</t>
  </si>
  <si>
    <t>Fox</t>
  </si>
  <si>
    <t>Ponce</t>
  </si>
  <si>
    <t>Bradford</t>
  </si>
  <si>
    <t>Lester</t>
  </si>
  <si>
    <t>Holmes</t>
  </si>
  <si>
    <t>Rosario</t>
  </si>
  <si>
    <t>Bray</t>
  </si>
  <si>
    <t>Schultz</t>
  </si>
  <si>
    <t>Floyd</t>
  </si>
  <si>
    <t>Vasquez</t>
  </si>
  <si>
    <t>Landry</t>
  </si>
  <si>
    <t>Trujillo</t>
  </si>
  <si>
    <t>Dunlap</t>
  </si>
  <si>
    <t>Berger</t>
  </si>
  <si>
    <t>Payne</t>
  </si>
  <si>
    <t>Hays</t>
  </si>
  <si>
    <t>Rivas</t>
  </si>
  <si>
    <t>Howe</t>
  </si>
  <si>
    <t>Crane</t>
  </si>
  <si>
    <t>Meza</t>
  </si>
  <si>
    <t>Webster</t>
  </si>
  <si>
    <t>Ewing</t>
  </si>
  <si>
    <t>Hoffman</t>
  </si>
  <si>
    <t>Herman</t>
  </si>
  <si>
    <t>Hurst</t>
  </si>
  <si>
    <t>Randall</t>
  </si>
  <si>
    <t>Jensen</t>
  </si>
  <si>
    <t>Walsh</t>
  </si>
  <si>
    <t>Little</t>
  </si>
  <si>
    <t>Colon</t>
  </si>
  <si>
    <t>Suarez</t>
  </si>
  <si>
    <t>Gilbert</t>
  </si>
  <si>
    <t>Duffy</t>
  </si>
  <si>
    <t>Evans</t>
  </si>
  <si>
    <t>Soto</t>
  </si>
  <si>
    <t>Lang</t>
  </si>
  <si>
    <t>Garrett</t>
  </si>
  <si>
    <t>Rhodes</t>
  </si>
  <si>
    <t>Hull</t>
  </si>
  <si>
    <t>Francis</t>
  </si>
  <si>
    <t>Cox</t>
  </si>
  <si>
    <t>Morton</t>
  </si>
  <si>
    <t>Chan</t>
  </si>
  <si>
    <t>Stevenson</t>
  </si>
  <si>
    <t>Marks</t>
  </si>
  <si>
    <t>Shah</t>
  </si>
  <si>
    <t>Nolan</t>
  </si>
  <si>
    <t>Ford</t>
  </si>
  <si>
    <t>Snow</t>
  </si>
  <si>
    <t>Schneider</t>
  </si>
  <si>
    <t>Bartlett</t>
  </si>
  <si>
    <t>Montoya</t>
  </si>
  <si>
    <t>Black</t>
  </si>
  <si>
    <t>Bernard</t>
  </si>
  <si>
    <t>Jenkins</t>
  </si>
  <si>
    <t>Rios</t>
  </si>
  <si>
    <t>Parks</t>
  </si>
  <si>
    <t>Reeves</t>
  </si>
  <si>
    <t>Woodward</t>
  </si>
  <si>
    <t>Mendez</t>
  </si>
  <si>
    <t>Riggs</t>
  </si>
  <si>
    <t>Conway</t>
  </si>
  <si>
    <t>Eaton</t>
  </si>
  <si>
    <t>Yates</t>
  </si>
  <si>
    <t>Hooper</t>
  </si>
  <si>
    <t>Leach</t>
  </si>
  <si>
    <t>Simpson</t>
  </si>
  <si>
    <t>Wheeler</t>
  </si>
  <si>
    <t>Rollins</t>
  </si>
  <si>
    <t>Everett</t>
  </si>
  <si>
    <t>Wells</t>
  </si>
  <si>
    <t>Juarez</t>
  </si>
  <si>
    <t>Newton</t>
  </si>
  <si>
    <t>Carroll</t>
  </si>
  <si>
    <t>Duarte</t>
  </si>
  <si>
    <t>Shea</t>
  </si>
  <si>
    <t>Randolph</t>
  </si>
  <si>
    <t>Andrade</t>
  </si>
  <si>
    <t>Proctor</t>
  </si>
  <si>
    <t>Hobbs</t>
  </si>
  <si>
    <t>Ingram</t>
  </si>
  <si>
    <t>Alvarado</t>
  </si>
  <si>
    <t>Foster</t>
  </si>
  <si>
    <t>Norman</t>
  </si>
  <si>
    <t>Gordon</t>
  </si>
  <si>
    <t>Kelley</t>
  </si>
  <si>
    <t>Wade</t>
  </si>
  <si>
    <t>Good</t>
  </si>
  <si>
    <t>Holt</t>
  </si>
  <si>
    <t>Avery</t>
  </si>
  <si>
    <t>Campos</t>
  </si>
  <si>
    <t>Howard</t>
  </si>
  <si>
    <t>Ray</t>
  </si>
  <si>
    <t>Johnston</t>
  </si>
  <si>
    <t>Hancock</t>
  </si>
  <si>
    <t>Nicholson</t>
  </si>
  <si>
    <t>Watts</t>
  </si>
  <si>
    <t>Fields</t>
  </si>
  <si>
    <t>Bullock</t>
  </si>
  <si>
    <t>Brennan</t>
  </si>
  <si>
    <t>Bowen</t>
  </si>
  <si>
    <t>Montgomery</t>
  </si>
  <si>
    <t>Barr</t>
  </si>
  <si>
    <t>Cole</t>
  </si>
  <si>
    <t>Reese</t>
  </si>
  <si>
    <t>York</t>
  </si>
  <si>
    <t>Green</t>
  </si>
  <si>
    <t>Kramer</t>
  </si>
  <si>
    <t>Fuller</t>
  </si>
  <si>
    <t>Becker</t>
  </si>
  <si>
    <t>Richards</t>
  </si>
  <si>
    <t>Mckay</t>
  </si>
  <si>
    <t>Pugh</t>
  </si>
  <si>
    <t>Chandler</t>
  </si>
  <si>
    <t>Lozano</t>
  </si>
  <si>
    <t>Dean</t>
  </si>
  <si>
    <t>Mcclain</t>
  </si>
  <si>
    <t>Conley</t>
  </si>
  <si>
    <t>Carrillo</t>
  </si>
  <si>
    <t>Parsons</t>
  </si>
  <si>
    <t>Espinoza</t>
  </si>
  <si>
    <t>Morris</t>
  </si>
  <si>
    <t>Larsen</t>
  </si>
  <si>
    <t>Lowery</t>
  </si>
  <si>
    <t>Downs</t>
  </si>
  <si>
    <t>Meyer</t>
  </si>
  <si>
    <t>Lawson</t>
  </si>
  <si>
    <t>Mueller</t>
  </si>
  <si>
    <t>Padilla</t>
  </si>
  <si>
    <t>Cantrell</t>
  </si>
  <si>
    <t>Davidson</t>
  </si>
  <si>
    <t>Valdez</t>
  </si>
  <si>
    <t>Mcguire</t>
  </si>
  <si>
    <t>Marsh</t>
  </si>
  <si>
    <t>Keller</t>
  </si>
  <si>
    <t>Potter</t>
  </si>
  <si>
    <t>Ware</t>
  </si>
  <si>
    <t>Preston</t>
  </si>
  <si>
    <t>Elliott</t>
  </si>
  <si>
    <t>Beck</t>
  </si>
  <si>
    <t>Huang</t>
  </si>
  <si>
    <t>Sutton</t>
  </si>
  <si>
    <t>Goodwin</t>
  </si>
  <si>
    <t>Phelps</t>
  </si>
  <si>
    <t>Perry</t>
  </si>
  <si>
    <t>Braun</t>
  </si>
  <si>
    <t>Mcdaniel</t>
  </si>
  <si>
    <t>Cannon</t>
  </si>
  <si>
    <t>Robbins</t>
  </si>
  <si>
    <t>Rowland</t>
  </si>
  <si>
    <t>Macdonald</t>
  </si>
  <si>
    <t>Mathews</t>
  </si>
  <si>
    <t>Oconnor</t>
  </si>
  <si>
    <t>Pineda</t>
  </si>
  <si>
    <t>Herrera</t>
  </si>
  <si>
    <t>Figueroa</t>
  </si>
  <si>
    <t>Fry</t>
  </si>
  <si>
    <t>Chen</t>
  </si>
  <si>
    <t>Whitehead</t>
  </si>
  <si>
    <t>Higgins</t>
  </si>
  <si>
    <t>Liu</t>
  </si>
  <si>
    <t>Hebert</t>
  </si>
  <si>
    <t>Marquez</t>
  </si>
  <si>
    <t>Glass</t>
  </si>
  <si>
    <t>Lowe</t>
  </si>
  <si>
    <t>Ruiz</t>
  </si>
  <si>
    <t>Mckinney</t>
  </si>
  <si>
    <t>Shepard</t>
  </si>
  <si>
    <t>Gallegos</t>
  </si>
  <si>
    <t>Shaffer</t>
  </si>
  <si>
    <t>Male</t>
  </si>
  <si>
    <t>Female</t>
  </si>
  <si>
    <t>Other</t>
  </si>
  <si>
    <t>Liberia</t>
  </si>
  <si>
    <t>Vanuatu</t>
  </si>
  <si>
    <t>Uganda</t>
  </si>
  <si>
    <t>Estonia</t>
  </si>
  <si>
    <t>Senegal</t>
  </si>
  <si>
    <t>Guinea-Bissau</t>
  </si>
  <si>
    <t>Ghana</t>
  </si>
  <si>
    <t>Antarctica (the territory South of 60 deg S)</t>
  </si>
  <si>
    <t>Jersey</t>
  </si>
  <si>
    <t>Grenada</t>
  </si>
  <si>
    <t>Cameroon</t>
  </si>
  <si>
    <t>Somalia</t>
  </si>
  <si>
    <t>Taiwan</t>
  </si>
  <si>
    <t>Bouvet Island (Bouvetoya)</t>
  </si>
  <si>
    <t>Bulgaria</t>
  </si>
  <si>
    <t>Lebanon</t>
  </si>
  <si>
    <t>Nicaragua</t>
  </si>
  <si>
    <t>Rwanda</t>
  </si>
  <si>
    <t>Sri Lanka</t>
  </si>
  <si>
    <t>Mali</t>
  </si>
  <si>
    <t>Christmas Island</t>
  </si>
  <si>
    <t>Myanmar</t>
  </si>
  <si>
    <t>United Arab Emirates</t>
  </si>
  <si>
    <t>Trinidad and Tobago</t>
  </si>
  <si>
    <t>Montenegro</t>
  </si>
  <si>
    <t>Greece</t>
  </si>
  <si>
    <t>Iraq</t>
  </si>
  <si>
    <t>Brunei Darussalam</t>
  </si>
  <si>
    <t>Reunion</t>
  </si>
  <si>
    <t>Timor-Leste</t>
  </si>
  <si>
    <t>Thailand</t>
  </si>
  <si>
    <t>Antigua and Barbuda</t>
  </si>
  <si>
    <t>Spain</t>
  </si>
  <si>
    <t>El Salvador</t>
  </si>
  <si>
    <t>Guatemala</t>
  </si>
  <si>
    <t>Holy See (Vatican City State)</t>
  </si>
  <si>
    <t>Saint Kitts and Nevis</t>
  </si>
  <si>
    <t>Wallis and Futuna</t>
  </si>
  <si>
    <t>Papua New Guinea</t>
  </si>
  <si>
    <t>American Samoa</t>
  </si>
  <si>
    <t>Korea</t>
  </si>
  <si>
    <t>Serbia</t>
  </si>
  <si>
    <t>Romania</t>
  </si>
  <si>
    <t>Saint Pierre and Miquelon</t>
  </si>
  <si>
    <t>Saint Martin</t>
  </si>
  <si>
    <t>Cuba</t>
  </si>
  <si>
    <t>Germany</t>
  </si>
  <si>
    <t>San Marino</t>
  </si>
  <si>
    <t>Saint Helena</t>
  </si>
  <si>
    <t>Bermuda</t>
  </si>
  <si>
    <t>Palau</t>
  </si>
  <si>
    <t>Croatia</t>
  </si>
  <si>
    <t>Oman</t>
  </si>
  <si>
    <t>Monaco</t>
  </si>
  <si>
    <t>Lesotho</t>
  </si>
  <si>
    <t>Malta</t>
  </si>
  <si>
    <t>Cape Verde</t>
  </si>
  <si>
    <t>Saint Barthelemy</t>
  </si>
  <si>
    <t>Costa Rica</t>
  </si>
  <si>
    <t>Gambia</t>
  </si>
  <si>
    <t>Italy</t>
  </si>
  <si>
    <t>Philippines</t>
  </si>
  <si>
    <t>Svalbard &amp; Jan Mayen Islands</t>
  </si>
  <si>
    <t>France</t>
  </si>
  <si>
    <t>Ukraine</t>
  </si>
  <si>
    <t>Nigeria</t>
  </si>
  <si>
    <t>Afghanistan</t>
  </si>
  <si>
    <t>Cambodia</t>
  </si>
  <si>
    <t>Cote d'Ivoire</t>
  </si>
  <si>
    <t>Libyan Arab Jamahiriya</t>
  </si>
  <si>
    <t>Jamaica</t>
  </si>
  <si>
    <t>Samoa</t>
  </si>
  <si>
    <t>Poland</t>
  </si>
  <si>
    <t>Nauru</t>
  </si>
  <si>
    <t>Turks and Caicos Islands</t>
  </si>
  <si>
    <t>Israel</t>
  </si>
  <si>
    <t>Kyrgyz Republic</t>
  </si>
  <si>
    <t>Mauritius</t>
  </si>
  <si>
    <t>Pakistan</t>
  </si>
  <si>
    <t>Falkland Islands (Malvinas)</t>
  </si>
  <si>
    <t>Mongolia</t>
  </si>
  <si>
    <t>United States Virgin Islands</t>
  </si>
  <si>
    <t>Peru</t>
  </si>
  <si>
    <t>Niger</t>
  </si>
  <si>
    <t>Madagascar</t>
  </si>
  <si>
    <t>Pitcairn Islands</t>
  </si>
  <si>
    <t>India</t>
  </si>
  <si>
    <t>Norfolk Island</t>
  </si>
  <si>
    <t>Saint Vincent and the Grenadines</t>
  </si>
  <si>
    <t>Sweden</t>
  </si>
  <si>
    <t>Austria</t>
  </si>
  <si>
    <t>Guernsey</t>
  </si>
  <si>
    <t>Portugal</t>
  </si>
  <si>
    <t>Puerto Rico</t>
  </si>
  <si>
    <t>Bangladesh</t>
  </si>
  <si>
    <t>Colombia</t>
  </si>
  <si>
    <t>Uruguay</t>
  </si>
  <si>
    <t>French Southern Territories</t>
  </si>
  <si>
    <t>Suriname</t>
  </si>
  <si>
    <t>Martinique</t>
  </si>
  <si>
    <t>Australia</t>
  </si>
  <si>
    <t>Gibraltar</t>
  </si>
  <si>
    <t>Turkmenistan</t>
  </si>
  <si>
    <t>Brazil</t>
  </si>
  <si>
    <t>Canada</t>
  </si>
  <si>
    <t>Panama</t>
  </si>
  <si>
    <t>Kuwait</t>
  </si>
  <si>
    <t>Haiti</t>
  </si>
  <si>
    <t>Turkey</t>
  </si>
  <si>
    <t>Slovakia (Slovak Republic)</t>
  </si>
  <si>
    <t>British Virgin Islands</t>
  </si>
  <si>
    <t>Mauritania</t>
  </si>
  <si>
    <t>Equatorial Guinea</t>
  </si>
  <si>
    <t>Russian Federation</t>
  </si>
  <si>
    <t>Belize</t>
  </si>
  <si>
    <t>Micronesia</t>
  </si>
  <si>
    <t>Greenland</t>
  </si>
  <si>
    <t>Lithuania</t>
  </si>
  <si>
    <t>Mayotte</t>
  </si>
  <si>
    <t>Central African Republic</t>
  </si>
  <si>
    <t>Albania</t>
  </si>
  <si>
    <t>Guinea</t>
  </si>
  <si>
    <t>Kiribati</t>
  </si>
  <si>
    <t>Congo</t>
  </si>
  <si>
    <t>Syrian Arab Republic</t>
  </si>
  <si>
    <t>Tanzania</t>
  </si>
  <si>
    <t>Botswana</t>
  </si>
  <si>
    <t>Cayman Islands</t>
  </si>
  <si>
    <t>Qatar</t>
  </si>
  <si>
    <t>Iran</t>
  </si>
  <si>
    <t>Norway</t>
  </si>
  <si>
    <t>Slovenia</t>
  </si>
  <si>
    <t>Bahrain</t>
  </si>
  <si>
    <t>Anguilla</t>
  </si>
  <si>
    <t>Azerbaijan</t>
  </si>
  <si>
    <t>United Kingdom</t>
  </si>
  <si>
    <t>Malaysia</t>
  </si>
  <si>
    <t>United States of America</t>
  </si>
  <si>
    <t>Djibouti</t>
  </si>
  <si>
    <t>Tunisia</t>
  </si>
  <si>
    <t>Heard Island and McDonald Islands</t>
  </si>
  <si>
    <t>Lao People's Democratic Republic</t>
  </si>
  <si>
    <t>Cocos (Keeling) Islands</t>
  </si>
  <si>
    <t>Bolivia</t>
  </si>
  <si>
    <t>Montserrat</t>
  </si>
  <si>
    <t>Moldova</t>
  </si>
  <si>
    <t>French Polynesia</t>
  </si>
  <si>
    <t>Zambia</t>
  </si>
  <si>
    <t>Belgium</t>
  </si>
  <si>
    <t>Tuvalu</t>
  </si>
  <si>
    <t>Iceland</t>
  </si>
  <si>
    <t>Netherlands</t>
  </si>
  <si>
    <t>Angola</t>
  </si>
  <si>
    <t>Seychelles</t>
  </si>
  <si>
    <t>Tajikistan</t>
  </si>
  <si>
    <t>Egypt</t>
  </si>
  <si>
    <t>Saudi Arabia</t>
  </si>
  <si>
    <t>Yemen</t>
  </si>
  <si>
    <t>French Guiana</t>
  </si>
  <si>
    <t>Algeria</t>
  </si>
  <si>
    <t>Zimbabwe</t>
  </si>
  <si>
    <t>Bosnia and Herzegovina</t>
  </si>
  <si>
    <t>Venezuela</t>
  </si>
  <si>
    <t>Burundi</t>
  </si>
  <si>
    <t>Burkina Faso</t>
  </si>
  <si>
    <t>Gabon</t>
  </si>
  <si>
    <t>Palestinian Territory</t>
  </si>
  <si>
    <t>Malawi</t>
  </si>
  <si>
    <t>Togo</t>
  </si>
  <si>
    <t>Sierra Leone</t>
  </si>
  <si>
    <t>Hong Kong</t>
  </si>
  <si>
    <t>Barbados</t>
  </si>
  <si>
    <t>Ethiopia</t>
  </si>
  <si>
    <t>Ecuador</t>
  </si>
  <si>
    <t>Guadeloupe</t>
  </si>
  <si>
    <t>British Indian Ocean Territory (Chagos Archipelago)</t>
  </si>
  <si>
    <t>Fiji</t>
  </si>
  <si>
    <t>Czech Republic</t>
  </si>
  <si>
    <t>Macao</t>
  </si>
  <si>
    <t>Isle of Man</t>
  </si>
  <si>
    <t>Ireland</t>
  </si>
  <si>
    <t>Dominican Republic</t>
  </si>
  <si>
    <t>Mozambique</t>
  </si>
  <si>
    <t>Uzbekistan</t>
  </si>
  <si>
    <t>Georgia</t>
  </si>
  <si>
    <t>Namibia</t>
  </si>
  <si>
    <t>Niue</t>
  </si>
  <si>
    <t>Macedonia</t>
  </si>
  <si>
    <t>Maldives</t>
  </si>
  <si>
    <t>Nepal</t>
  </si>
  <si>
    <t>New Caledonia</t>
  </si>
  <si>
    <t>Kazakhstan</t>
  </si>
  <si>
    <t>Finland</t>
  </si>
  <si>
    <t>Andorra</t>
  </si>
  <si>
    <t>Dominica</t>
  </si>
  <si>
    <t>Aruba</t>
  </si>
  <si>
    <t>Tonga</t>
  </si>
  <si>
    <t>Cyprus</t>
  </si>
  <si>
    <t>United States Minor Outlying Islands</t>
  </si>
  <si>
    <t>Solomon Islands</t>
  </si>
  <si>
    <t>Vietnam</t>
  </si>
  <si>
    <t>Chile</t>
  </si>
  <si>
    <t>Honduras</t>
  </si>
  <si>
    <t>Latvia</t>
  </si>
  <si>
    <t>Cook Islands</t>
  </si>
  <si>
    <t>Sudan</t>
  </si>
  <si>
    <t>Eritrea</t>
  </si>
  <si>
    <t>Mexico</t>
  </si>
  <si>
    <t>Morocco</t>
  </si>
  <si>
    <t>Denmark</t>
  </si>
  <si>
    <t>Guam</t>
  </si>
  <si>
    <t>Liechtenstein</t>
  </si>
  <si>
    <t>Sao Tome and Principe</t>
  </si>
  <si>
    <t>Japan</t>
  </si>
  <si>
    <t>Switzerland</t>
  </si>
  <si>
    <t>Tokelau</t>
  </si>
  <si>
    <t>South Georgia and the South Sandwich Islands</t>
  </si>
  <si>
    <t>Northern Mariana Islands</t>
  </si>
  <si>
    <t>Bahamas</t>
  </si>
  <si>
    <t>Belarus</t>
  </si>
  <si>
    <t>Saint Lucia</t>
  </si>
  <si>
    <t>Luxembourg</t>
  </si>
  <si>
    <t>Kenya</t>
  </si>
  <si>
    <t>Armenia</t>
  </si>
  <si>
    <t>Guyana</t>
  </si>
  <si>
    <t>Bhutan</t>
  </si>
  <si>
    <t>Argentina</t>
  </si>
  <si>
    <t>Indonesia</t>
  </si>
  <si>
    <t>Comoros</t>
  </si>
  <si>
    <t>South Africa</t>
  </si>
  <si>
    <t>Marshall Islands</t>
  </si>
  <si>
    <t>Benin</t>
  </si>
  <si>
    <t>New Zealand</t>
  </si>
  <si>
    <t>China</t>
  </si>
  <si>
    <t>Faroe Islands</t>
  </si>
  <si>
    <t>Netherlands Antilles</t>
  </si>
  <si>
    <t>Harrisfurt</t>
  </si>
  <si>
    <t>Seanburgh</t>
  </si>
  <si>
    <t>New Christopher</t>
  </si>
  <si>
    <t>North Michael</t>
  </si>
  <si>
    <t>Lake Michaelfurt</t>
  </si>
  <si>
    <t>Port Maria</t>
  </si>
  <si>
    <t>Port Nicole</t>
  </si>
  <si>
    <t>Henryfurt</t>
  </si>
  <si>
    <t>West Leslieview</t>
  </si>
  <si>
    <t>Christopherberg</t>
  </si>
  <si>
    <t>North Edwardberg</t>
  </si>
  <si>
    <t>New Paula</t>
  </si>
  <si>
    <t>Rodriguezton</t>
  </si>
  <si>
    <t>Pattonfurt</t>
  </si>
  <si>
    <t>Port Lauraside</t>
  </si>
  <si>
    <t>Lake Jillmouth</t>
  </si>
  <si>
    <t>East Rebecca</t>
  </si>
  <si>
    <t>North Lisa</t>
  </si>
  <si>
    <t>West Brucefurt</t>
  </si>
  <si>
    <t>Lake Nicholasshire</t>
  </si>
  <si>
    <t>Washingtonstad</t>
  </si>
  <si>
    <t>Mcfarlandside</t>
  </si>
  <si>
    <t>Douglasstad</t>
  </si>
  <si>
    <t>Atkinsonberg</t>
  </si>
  <si>
    <t>East Nicholas</t>
  </si>
  <si>
    <t>Michaelbury</t>
  </si>
  <si>
    <t>South Barbaraburgh</t>
  </si>
  <si>
    <t>Kathleenborough</t>
  </si>
  <si>
    <t>Harrismouth</t>
  </si>
  <si>
    <t>Lake Nancy</t>
  </si>
  <si>
    <t>Port Tammytown</t>
  </si>
  <si>
    <t>New Adamberg</t>
  </si>
  <si>
    <t>Birdmouth</t>
  </si>
  <si>
    <t>North Melissachester</t>
  </si>
  <si>
    <t>Foxchester</t>
  </si>
  <si>
    <t>Deborahmouth</t>
  </si>
  <si>
    <t>Williamsonfort</t>
  </si>
  <si>
    <t>Lake Robert</t>
  </si>
  <si>
    <t>Clarkburgh</t>
  </si>
  <si>
    <t>South Bethchester</t>
  </si>
  <si>
    <t>North Wanda</t>
  </si>
  <si>
    <t>West John</t>
  </si>
  <si>
    <t>East Lindsayfort</t>
  </si>
  <si>
    <t>Thomasfort</t>
  </si>
  <si>
    <t>Danielleshire</t>
  </si>
  <si>
    <t>East Katherine</t>
  </si>
  <si>
    <t>Thomasview</t>
  </si>
  <si>
    <t>East Frankshire</t>
  </si>
  <si>
    <t>Colemanchester</t>
  </si>
  <si>
    <t>Villanuevatown</t>
  </si>
  <si>
    <t>Port Brianfort</t>
  </si>
  <si>
    <t>South Carolview</t>
  </si>
  <si>
    <t>Parkfort</t>
  </si>
  <si>
    <t>New Sarahaven</t>
  </si>
  <si>
    <t>North Ryanstad</t>
  </si>
  <si>
    <t>Lake Dustinport</t>
  </si>
  <si>
    <t>Lake Deborah</t>
  </si>
  <si>
    <t>New Michaelberg</t>
  </si>
  <si>
    <t>Lake Johnland</t>
  </si>
  <si>
    <t>Frankport</t>
  </si>
  <si>
    <t>West Rebecca</t>
  </si>
  <si>
    <t>Foxbury</t>
  </si>
  <si>
    <t>Wendyberg</t>
  </si>
  <si>
    <t>Alyssahaven</t>
  </si>
  <si>
    <t>Angelicashire</t>
  </si>
  <si>
    <t>Jasonmouth</t>
  </si>
  <si>
    <t>Johnview</t>
  </si>
  <si>
    <t>Smithton</t>
  </si>
  <si>
    <t>South Sandraland</t>
  </si>
  <si>
    <t>East John</t>
  </si>
  <si>
    <t>Brandonmouth</t>
  </si>
  <si>
    <t>Nancyville</t>
  </si>
  <si>
    <t>Cartershire</t>
  </si>
  <si>
    <t>Port Danport</t>
  </si>
  <si>
    <t>Moranbury</t>
  </si>
  <si>
    <t>North Tonyhaven</t>
  </si>
  <si>
    <t>Johnnybury</t>
  </si>
  <si>
    <t>North Vickiechester</t>
  </si>
  <si>
    <t>Bryantown</t>
  </si>
  <si>
    <t>East Joel</t>
  </si>
  <si>
    <t>Warnerbury</t>
  </si>
  <si>
    <t>West Tyler</t>
  </si>
  <si>
    <t>Justinfurt</t>
  </si>
  <si>
    <t>Rachelstad</t>
  </si>
  <si>
    <t>Lake Corey</t>
  </si>
  <si>
    <t>North Williamtown</t>
  </si>
  <si>
    <t>Paulbury</t>
  </si>
  <si>
    <t>West Justinborough</t>
  </si>
  <si>
    <t>Port Larrybury</t>
  </si>
  <si>
    <t>Francisborough</t>
  </si>
  <si>
    <t>West Kara</t>
  </si>
  <si>
    <t>Millsfurt</t>
  </si>
  <si>
    <t>New Jasonville</t>
  </si>
  <si>
    <t>Lake Laurenmouth</t>
  </si>
  <si>
    <t>Ericmouth</t>
  </si>
  <si>
    <t>East Matthewfurt</t>
  </si>
  <si>
    <t>New Christinaberg</t>
  </si>
  <si>
    <t>New Melissafurt</t>
  </si>
  <si>
    <t>West Michael</t>
  </si>
  <si>
    <t>Obrienview</t>
  </si>
  <si>
    <t>Joneston</t>
  </si>
  <si>
    <t>New Matthew</t>
  </si>
  <si>
    <t>Kristinfurt</t>
  </si>
  <si>
    <t>East Maryville</t>
  </si>
  <si>
    <t>Rachaelbury</t>
  </si>
  <si>
    <t>Thompsonborough</t>
  </si>
  <si>
    <t>Keithside</t>
  </si>
  <si>
    <t>Alyssamouth</t>
  </si>
  <si>
    <t>South Victoria</t>
  </si>
  <si>
    <t>Michaelton</t>
  </si>
  <si>
    <t>East Andrea</t>
  </si>
  <si>
    <t>Dianaburgh</t>
  </si>
  <si>
    <t>Andersonmouth</t>
  </si>
  <si>
    <t>Johnsonland</t>
  </si>
  <si>
    <t>North Jordan</t>
  </si>
  <si>
    <t>Ewingview</t>
  </si>
  <si>
    <t>Maysshire</t>
  </si>
  <si>
    <t>Averyfurt</t>
  </si>
  <si>
    <t>Thomasshire</t>
  </si>
  <si>
    <t>West Dawnburgh</t>
  </si>
  <si>
    <t>Kevinfurt</t>
  </si>
  <si>
    <t>Brandishire</t>
  </si>
  <si>
    <t>Williamsville</t>
  </si>
  <si>
    <t>Richardstad</t>
  </si>
  <si>
    <t>Alexanderfort</t>
  </si>
  <si>
    <t>Amandachester</t>
  </si>
  <si>
    <t>Darylside</t>
  </si>
  <si>
    <t>West Kathryn</t>
  </si>
  <si>
    <t>North Jamiefurt</t>
  </si>
  <si>
    <t>Lake Benjaminmouth</t>
  </si>
  <si>
    <t>Kristaburgh</t>
  </si>
  <si>
    <t>South David</t>
  </si>
  <si>
    <t>Jamiehaven</t>
  </si>
  <si>
    <t>Davischester</t>
  </si>
  <si>
    <t>East Chadborough</t>
  </si>
  <si>
    <t>North Katherine</t>
  </si>
  <si>
    <t>New Steven</t>
  </si>
  <si>
    <t>Rickyfurt</t>
  </si>
  <si>
    <t>South Paul</t>
  </si>
  <si>
    <t>Turnerfurt</t>
  </si>
  <si>
    <t>Sanchezhaven</t>
  </si>
  <si>
    <t>Tinafurt</t>
  </si>
  <si>
    <t>Carlosport</t>
  </si>
  <si>
    <t>Glennland</t>
  </si>
  <si>
    <t>Donaldchester</t>
  </si>
  <si>
    <t>Patriciaburgh</t>
  </si>
  <si>
    <t>Roberttown</t>
  </si>
  <si>
    <t>Cynthiaville</t>
  </si>
  <si>
    <t>Feliciastad</t>
  </si>
  <si>
    <t>New Marcmouth</t>
  </si>
  <si>
    <t>Edwardsland</t>
  </si>
  <si>
    <t>Johnborough</t>
  </si>
  <si>
    <t>North Heatherburgh</t>
  </si>
  <si>
    <t>Port Raymondbury</t>
  </si>
  <si>
    <t>Jessicaland</t>
  </si>
  <si>
    <t>Lake Davidberg</t>
  </si>
  <si>
    <t>Duranmouth</t>
  </si>
  <si>
    <t>Melvinville</t>
  </si>
  <si>
    <t>Port Katherineland</t>
  </si>
  <si>
    <t>New Scott</t>
  </si>
  <si>
    <t>Davisfurt</t>
  </si>
  <si>
    <t>Daltonhaven</t>
  </si>
  <si>
    <t>West Emilyfurt</t>
  </si>
  <si>
    <t>West Gloriaberg</t>
  </si>
  <si>
    <t>Lake Victoriashire</t>
  </si>
  <si>
    <t>New Phillip</t>
  </si>
  <si>
    <t>Wendyburgh</t>
  </si>
  <si>
    <t>North Robert</t>
  </si>
  <si>
    <t>Williamsshire</t>
  </si>
  <si>
    <t>New Jamesburgh</t>
  </si>
  <si>
    <t>Lake Gavin</t>
  </si>
  <si>
    <t>Sherrybury</t>
  </si>
  <si>
    <t>Stephenmouth</t>
  </si>
  <si>
    <t>Randolphshire</t>
  </si>
  <si>
    <t>Carterland</t>
  </si>
  <si>
    <t>Jamesside</t>
  </si>
  <si>
    <t>Davidshire</t>
  </si>
  <si>
    <t>West Jacqueline</t>
  </si>
  <si>
    <t>Rojasmouth</t>
  </si>
  <si>
    <t>Williamsmouth</t>
  </si>
  <si>
    <t>Alexandramouth</t>
  </si>
  <si>
    <t>North Crystal</t>
  </si>
  <si>
    <t>East Nicole</t>
  </si>
  <si>
    <t>Jodiview</t>
  </si>
  <si>
    <t>Port Georgeland</t>
  </si>
  <si>
    <t>Rileyhaven</t>
  </si>
  <si>
    <t>Port Deanna</t>
  </si>
  <si>
    <t>West Alison</t>
  </si>
  <si>
    <t>North Christopherbury</t>
  </si>
  <si>
    <t>New Robert</t>
  </si>
  <si>
    <t>Erinfort</t>
  </si>
  <si>
    <t>Davidville</t>
  </si>
  <si>
    <t>Lopezmouth</t>
  </si>
  <si>
    <t>Craigborough</t>
  </si>
  <si>
    <t>Port Chris</t>
  </si>
  <si>
    <t>Andreaborough</t>
  </si>
  <si>
    <t>Lindseyshire</t>
  </si>
  <si>
    <t>East Alexishaven</t>
  </si>
  <si>
    <t>North Jason</t>
  </si>
  <si>
    <t>Stephenshire</t>
  </si>
  <si>
    <t>North Jimmy</t>
  </si>
  <si>
    <t>South Rebeccaburgh</t>
  </si>
  <si>
    <t>Norrisburgh</t>
  </si>
  <si>
    <t>Christinaport</t>
  </si>
  <si>
    <t>West Cassandrafort</t>
  </si>
  <si>
    <t>Powellmouth</t>
  </si>
  <si>
    <t>Stevenstad</t>
  </si>
  <si>
    <t>South Jenniferton</t>
  </si>
  <si>
    <t>Chenborough</t>
  </si>
  <si>
    <t>Port Shannonborough</t>
  </si>
  <si>
    <t>East Catherine</t>
  </si>
  <si>
    <t>Edwardview</t>
  </si>
  <si>
    <t>Cherylhaven</t>
  </si>
  <si>
    <t>North Bryce</t>
  </si>
  <si>
    <t>Elizabethborough</t>
  </si>
  <si>
    <t>South Christopherside</t>
  </si>
  <si>
    <t>Simpsonfort</t>
  </si>
  <si>
    <t>New Jonathanchester</t>
  </si>
  <si>
    <t>North Shawnaside</t>
  </si>
  <si>
    <t>Abigailtown</t>
  </si>
  <si>
    <t>Castillobury</t>
  </si>
  <si>
    <t>South Stephaniechester</t>
  </si>
  <si>
    <t>West Brian</t>
  </si>
  <si>
    <t>Rosehaven</t>
  </si>
  <si>
    <t>Port Brittany</t>
  </si>
  <si>
    <t>New Shawn</t>
  </si>
  <si>
    <t>Port Jared</t>
  </si>
  <si>
    <t>Dianaton</t>
  </si>
  <si>
    <t>Jacksonshire</t>
  </si>
  <si>
    <t>South Angelafort</t>
  </si>
  <si>
    <t>Port Sarahmouth</t>
  </si>
  <si>
    <t>North Jonathan</t>
  </si>
  <si>
    <t>Reillyland</t>
  </si>
  <si>
    <t>Derekbury</t>
  </si>
  <si>
    <t>New Alexville</t>
  </si>
  <si>
    <t>Warrenfort</t>
  </si>
  <si>
    <t>North Mitchellfurt</t>
  </si>
  <si>
    <t>Scottburgh</t>
  </si>
  <si>
    <t>Crystalland</t>
  </si>
  <si>
    <t>Port Traci</t>
  </si>
  <si>
    <t>East Toddmouth</t>
  </si>
  <si>
    <t>Sandersfort</t>
  </si>
  <si>
    <t>Stewartstad</t>
  </si>
  <si>
    <t>Khanville</t>
  </si>
  <si>
    <t>West Carmen</t>
  </si>
  <si>
    <t>New Benjaminmouth</t>
  </si>
  <si>
    <t>Loriport</t>
  </si>
  <si>
    <t>New Jeffrey</t>
  </si>
  <si>
    <t>Hernandezborough</t>
  </si>
  <si>
    <t>Jacquelinehaven</t>
  </si>
  <si>
    <t>Johnsonchester</t>
  </si>
  <si>
    <t>Jonesberg</t>
  </si>
  <si>
    <t>Port Seth</t>
  </si>
  <si>
    <t>Lake Yvettemouth</t>
  </si>
  <si>
    <t>Paulshire</t>
  </si>
  <si>
    <t>West Brandon</t>
  </si>
  <si>
    <t>Angelatown</t>
  </si>
  <si>
    <t>Devinstad</t>
  </si>
  <si>
    <t>Port Vicki</t>
  </si>
  <si>
    <t>East Ryanbury</t>
  </si>
  <si>
    <t>East Meganport</t>
  </si>
  <si>
    <t>East Mitchell</t>
  </si>
  <si>
    <t>Vickieborough</t>
  </si>
  <si>
    <t>Rhodeschester</t>
  </si>
  <si>
    <t>Lake Rayfort</t>
  </si>
  <si>
    <t>New Kennethshire</t>
  </si>
  <si>
    <t>New Theresa</t>
  </si>
  <si>
    <t>New Cindy</t>
  </si>
  <si>
    <t>Lake Danielville</t>
  </si>
  <si>
    <t>Chapmanbury</t>
  </si>
  <si>
    <t>Timville</t>
  </si>
  <si>
    <t>Jamesport</t>
  </si>
  <si>
    <t>Watersburgh</t>
  </si>
  <si>
    <t>Pamelamouth</t>
  </si>
  <si>
    <t>South Davidmouth</t>
  </si>
  <si>
    <t>Harrisfort</t>
  </si>
  <si>
    <t>Keithland</t>
  </si>
  <si>
    <t>West Darrylshire</t>
  </si>
  <si>
    <t>Gatesview</t>
  </si>
  <si>
    <t>Matthewstad</t>
  </si>
  <si>
    <t>Mathewville</t>
  </si>
  <si>
    <t>North Ann</t>
  </si>
  <si>
    <t>Walterton</t>
  </si>
  <si>
    <t>Madisonland</t>
  </si>
  <si>
    <t>East Maryshire</t>
  </si>
  <si>
    <t>Donport</t>
  </si>
  <si>
    <t>Seanland</t>
  </si>
  <si>
    <t>West Reneebury</t>
  </si>
  <si>
    <t>Nicoleport</t>
  </si>
  <si>
    <t>Lake Joshua</t>
  </si>
  <si>
    <t>Travisside</t>
  </si>
  <si>
    <t>Hollyport</t>
  </si>
  <si>
    <t>Lisaton</t>
  </si>
  <si>
    <t>East Troy</t>
  </si>
  <si>
    <t>East Carlos</t>
  </si>
  <si>
    <t>South Jennifer</t>
  </si>
  <si>
    <t>New Kelseymouth</t>
  </si>
  <si>
    <t>Christineland</t>
  </si>
  <si>
    <t>Jamesfurt</t>
  </si>
  <si>
    <t>East Katherinefurt</t>
  </si>
  <si>
    <t>Dustinberg</t>
  </si>
  <si>
    <t>New Josephhaven</t>
  </si>
  <si>
    <t>Caldwellborough</t>
  </si>
  <si>
    <t>Velasquezside</t>
  </si>
  <si>
    <t>Crystalshire</t>
  </si>
  <si>
    <t>West Lisa</t>
  </si>
  <si>
    <t>Port Lisaland</t>
  </si>
  <si>
    <t>New Matthewbury</t>
  </si>
  <si>
    <t>East Anna</t>
  </si>
  <si>
    <t>Reginaldview</t>
  </si>
  <si>
    <t>New Katrinaville</t>
  </si>
  <si>
    <t>Davistown</t>
  </si>
  <si>
    <t>East Stephenmouth</t>
  </si>
  <si>
    <t>Lake Timothy</t>
  </si>
  <si>
    <t>South Samuelstad</t>
  </si>
  <si>
    <t>Steeleburgh</t>
  </si>
  <si>
    <t>Brianborough</t>
  </si>
  <si>
    <t>Lake Anthonyview</t>
  </si>
  <si>
    <t>East Emilystad</t>
  </si>
  <si>
    <t>Karenville</t>
  </si>
  <si>
    <t>North Roberttown</t>
  </si>
  <si>
    <t>South Kevin</t>
  </si>
  <si>
    <t>Port Dana</t>
  </si>
  <si>
    <t>Melissatown</t>
  </si>
  <si>
    <t>Mercerchester</t>
  </si>
  <si>
    <t>South Ericfurt</t>
  </si>
  <si>
    <t>North Stacybury</t>
  </si>
  <si>
    <t>Harrisonborough</t>
  </si>
  <si>
    <t>South Brian</t>
  </si>
  <si>
    <t>Buckleyborough</t>
  </si>
  <si>
    <t>Williammouth</t>
  </si>
  <si>
    <t>Morganmouth</t>
  </si>
  <si>
    <t>Sotoshire</t>
  </si>
  <si>
    <t>Karenhaven</t>
  </si>
  <si>
    <t>Kristophermouth</t>
  </si>
  <si>
    <t>Josephfurt</t>
  </si>
  <si>
    <t>Lucasburgh</t>
  </si>
  <si>
    <t>North Brittany</t>
  </si>
  <si>
    <t>Lake Jennifer</t>
  </si>
  <si>
    <t>Justinview</t>
  </si>
  <si>
    <t>West Maryland</t>
  </si>
  <si>
    <t>New Dana</t>
  </si>
  <si>
    <t>Eileenberg</t>
  </si>
  <si>
    <t>East Monicaborough</t>
  </si>
  <si>
    <t>Elizabethtown</t>
  </si>
  <si>
    <t>Debbiebury</t>
  </si>
  <si>
    <t>West Mistyland</t>
  </si>
  <si>
    <t>Fowlerside</t>
  </si>
  <si>
    <t>Fieldsbury</t>
  </si>
  <si>
    <t>North Jennifer</t>
  </si>
  <si>
    <t>Davidtown</t>
  </si>
  <si>
    <t>Derrickview</t>
  </si>
  <si>
    <t>Phillipport</t>
  </si>
  <si>
    <t>New Codyport</t>
  </si>
  <si>
    <t>New Daleborough</t>
  </si>
  <si>
    <t>Lake Gloria</t>
  </si>
  <si>
    <t>East Timothy</t>
  </si>
  <si>
    <t>Lake Kimberlyberg</t>
  </si>
  <si>
    <t>Rogersberg</t>
  </si>
  <si>
    <t>Lauriefort</t>
  </si>
  <si>
    <t>North Johnview</t>
  </si>
  <si>
    <t>North Tinaberg</t>
  </si>
  <si>
    <t>Sanchezchester</t>
  </si>
  <si>
    <t>South Regina</t>
  </si>
  <si>
    <t>Collinsstad</t>
  </si>
  <si>
    <t>West Davidshire</t>
  </si>
  <si>
    <t>Port Andrew</t>
  </si>
  <si>
    <t>North Priscillaside</t>
  </si>
  <si>
    <t>Port Dawnhaven</t>
  </si>
  <si>
    <t>Tonymouth</t>
  </si>
  <si>
    <t>East Danielchester</t>
  </si>
  <si>
    <t>West Maryfort</t>
  </si>
  <si>
    <t>Davidside</t>
  </si>
  <si>
    <t>Powerschester</t>
  </si>
  <si>
    <t>Katiehaven</t>
  </si>
  <si>
    <t>Brandonside</t>
  </si>
  <si>
    <t>New Paul</t>
  </si>
  <si>
    <t>Lake Lisafort</t>
  </si>
  <si>
    <t>East Frankfort</t>
  </si>
  <si>
    <t>South Annafort</t>
  </si>
  <si>
    <t>North Tamarafort</t>
  </si>
  <si>
    <t>Briannaport</t>
  </si>
  <si>
    <t>Zimmermanborough</t>
  </si>
  <si>
    <t>Joshualand</t>
  </si>
  <si>
    <t>Georgechester</t>
  </si>
  <si>
    <t>Cassandraburgh</t>
  </si>
  <si>
    <t>Martinezmouth</t>
  </si>
  <si>
    <t>South Shawn</t>
  </si>
  <si>
    <t>Port Monicaberg</t>
  </si>
  <si>
    <t>Port Christopherview</t>
  </si>
  <si>
    <t>North Jeanborough</t>
  </si>
  <si>
    <t>Danielhaven</t>
  </si>
  <si>
    <t>Webbview</t>
  </si>
  <si>
    <t>West Patricia</t>
  </si>
  <si>
    <t>Morganfort</t>
  </si>
  <si>
    <t>New Daniel</t>
  </si>
  <si>
    <t>Stephensberg</t>
  </si>
  <si>
    <t>Stewartport</t>
  </si>
  <si>
    <t>Timothyborough</t>
  </si>
  <si>
    <t>New Michael</t>
  </si>
  <si>
    <t>Andreamouth</t>
  </si>
  <si>
    <t>Moorebury</t>
  </si>
  <si>
    <t>Port Samantha</t>
  </si>
  <si>
    <t>Port Loretta</t>
  </si>
  <si>
    <t>New Maria</t>
  </si>
  <si>
    <t>Jefferyfort</t>
  </si>
  <si>
    <t>Davidsonview</t>
  </si>
  <si>
    <t>West Savannahfurt</t>
  </si>
  <si>
    <t>Riceland</t>
  </si>
  <si>
    <t>New Jacobmouth</t>
  </si>
  <si>
    <t>Lorichester</t>
  </si>
  <si>
    <t>Kennethchester</t>
  </si>
  <si>
    <t>South Laura</t>
  </si>
  <si>
    <t>West Paulville</t>
  </si>
  <si>
    <t>Alexandertown</t>
  </si>
  <si>
    <t>East Beth</t>
  </si>
  <si>
    <t>Thompsonland</t>
  </si>
  <si>
    <t>East Jasonburgh</t>
  </si>
  <si>
    <t>West Ricardo</t>
  </si>
  <si>
    <t>South Alexisberg</t>
  </si>
  <si>
    <t>Brianaland</t>
  </si>
  <si>
    <t>Lake Amyburgh</t>
  </si>
  <si>
    <t>Donnaborough</t>
  </si>
  <si>
    <t>North Brandonchester</t>
  </si>
  <si>
    <t>East Cherylbury</t>
  </si>
  <si>
    <t>Villarrealbury</t>
  </si>
  <si>
    <t>Oconnorland</t>
  </si>
  <si>
    <t>Scottstad</t>
  </si>
  <si>
    <t>West Anthonyborough</t>
  </si>
  <si>
    <t>West Sheilachester</t>
  </si>
  <si>
    <t>Kennedybury</t>
  </si>
  <si>
    <t>Michaeltown</t>
  </si>
  <si>
    <t>Cooleyville</t>
  </si>
  <si>
    <t>North Randy</t>
  </si>
  <si>
    <t>West Steven</t>
  </si>
  <si>
    <t>New Elizabethside</t>
  </si>
  <si>
    <t>Nicholaschester</t>
  </si>
  <si>
    <t>Lake Rebecca</t>
  </si>
  <si>
    <t>Knightland</t>
  </si>
  <si>
    <t>Jamesland</t>
  </si>
  <si>
    <t>Port Samuelside</t>
  </si>
  <si>
    <t>New Amberview</t>
  </si>
  <si>
    <t>North Martin</t>
  </si>
  <si>
    <t>West Lucashaven</t>
  </si>
  <si>
    <t>Port Ronaldchester</t>
  </si>
  <si>
    <t>New Johnberg</t>
  </si>
  <si>
    <t>Richport</t>
  </si>
  <si>
    <t>Garciastad</t>
  </si>
  <si>
    <t>East Rachel</t>
  </si>
  <si>
    <t>Andrewport</t>
  </si>
  <si>
    <t>West Jeromeview</t>
  </si>
  <si>
    <t>Bartonton</t>
  </si>
  <si>
    <t>North Michelle</t>
  </si>
  <si>
    <t>South Michele</t>
  </si>
  <si>
    <t>Jennamouth</t>
  </si>
  <si>
    <t>Port Laurie</t>
  </si>
  <si>
    <t>Brandonland</t>
  </si>
  <si>
    <t>South Dustin</t>
  </si>
  <si>
    <t>Petersonland</t>
  </si>
  <si>
    <t>Port Pamela</t>
  </si>
  <si>
    <t>East George</t>
  </si>
  <si>
    <t>Holdenmouth</t>
  </si>
  <si>
    <t>West Cody</t>
  </si>
  <si>
    <t>Shawnport</t>
  </si>
  <si>
    <t>Murrayside</t>
  </si>
  <si>
    <t>North Sabrinaville</t>
  </si>
  <si>
    <t>South Laurentown</t>
  </si>
  <si>
    <t>Lake Robinstad</t>
  </si>
  <si>
    <t>Amychester</t>
  </si>
  <si>
    <t>New Mauricetown</t>
  </si>
  <si>
    <t>Hendricksburgh</t>
  </si>
  <si>
    <t>West Jeffreychester</t>
  </si>
  <si>
    <t>Lake Frederickville</t>
  </si>
  <si>
    <t>Jamesmouth</t>
  </si>
  <si>
    <t>Danieltown</t>
  </si>
  <si>
    <t>Lake John</t>
  </si>
  <si>
    <t>Jamesville</t>
  </si>
  <si>
    <t>East April</t>
  </si>
  <si>
    <t>Port Jillstad</t>
  </si>
  <si>
    <t>East Jenniferburgh</t>
  </si>
  <si>
    <t>Taylorborough</t>
  </si>
  <si>
    <t>West Davidborough</t>
  </si>
  <si>
    <t>New Clintonfort</t>
  </si>
  <si>
    <t>Krausechester</t>
  </si>
  <si>
    <t>Terriside</t>
  </si>
  <si>
    <t>New Alexaberg</t>
  </si>
  <si>
    <t>Francisside</t>
  </si>
  <si>
    <t>East Thomasburgh</t>
  </si>
  <si>
    <t>North Benjamin</t>
  </si>
  <si>
    <t>Toddport</t>
  </si>
  <si>
    <t>Ryanton</t>
  </si>
  <si>
    <t>Danielside</t>
  </si>
  <si>
    <t>West Samantha</t>
  </si>
  <si>
    <t>Port Helenmouth</t>
  </si>
  <si>
    <t>North Kaitlyn</t>
  </si>
  <si>
    <t>East Mary</t>
  </si>
  <si>
    <t>South Kevintown</t>
  </si>
  <si>
    <t>West Melissaberg</t>
  </si>
  <si>
    <t>Torresfurt</t>
  </si>
  <si>
    <t>Cesartown</t>
  </si>
  <si>
    <t>Pinedatown</t>
  </si>
  <si>
    <t>Williamsberg</t>
  </si>
  <si>
    <t>Dalehaven</t>
  </si>
  <si>
    <t>Comptonmouth</t>
  </si>
  <si>
    <t>Matthewside</t>
  </si>
  <si>
    <t>Lake Patrick</t>
  </si>
  <si>
    <t>East Phillipstad</t>
  </si>
  <si>
    <t>Rodriguezport</t>
  </si>
  <si>
    <t>New Javier</t>
  </si>
  <si>
    <t>Isabelton</t>
  </si>
  <si>
    <t>North Crystalfort</t>
  </si>
  <si>
    <t>Jordanland</t>
  </si>
  <si>
    <t>Phillipshire</t>
  </si>
  <si>
    <t>Roweburgh</t>
  </si>
  <si>
    <t>New Andrew</t>
  </si>
  <si>
    <t>South Justinport</t>
  </si>
  <si>
    <t>Kristopherborough</t>
  </si>
  <si>
    <t>West Michele</t>
  </si>
  <si>
    <t>Trujillotown</t>
  </si>
  <si>
    <t>Port Candice</t>
  </si>
  <si>
    <t>Vaughnfurt</t>
  </si>
  <si>
    <t>Cynthiahaven</t>
  </si>
  <si>
    <t>Millerview</t>
  </si>
  <si>
    <t>Brendaville</t>
  </si>
  <si>
    <t>Yangburgh</t>
  </si>
  <si>
    <t>West April</t>
  </si>
  <si>
    <t>North Michellemouth</t>
  </si>
  <si>
    <t>West Gloria</t>
  </si>
  <si>
    <t>Port Alexanderchester</t>
  </si>
  <si>
    <t>Port Laura</t>
  </si>
  <si>
    <t>Melissaside</t>
  </si>
  <si>
    <t>South Stephanie</t>
  </si>
  <si>
    <t>West Daniel</t>
  </si>
  <si>
    <t>North Markfort</t>
  </si>
  <si>
    <t>East Kaylaton</t>
  </si>
  <si>
    <t>Elizabethberg</t>
  </si>
  <si>
    <t>South John</t>
  </si>
  <si>
    <t>West Lauramouth</t>
  </si>
  <si>
    <t>Whiteburgh</t>
  </si>
  <si>
    <t>Stricklandborough</t>
  </si>
  <si>
    <t>Lake Michelle</t>
  </si>
  <si>
    <t>Alvarezside</t>
  </si>
  <si>
    <t>New Kennethmouth</t>
  </si>
  <si>
    <t>West Ryanshire</t>
  </si>
  <si>
    <t>East Colleen</t>
  </si>
  <si>
    <t>New Ryan</t>
  </si>
  <si>
    <t>Port Kevinport</t>
  </si>
  <si>
    <t>Lake Jeremytown</t>
  </si>
  <si>
    <t>Port Ashleychester</t>
  </si>
  <si>
    <t>Littleton</t>
  </si>
  <si>
    <t>West Joshua</t>
  </si>
  <si>
    <t>Curtisshire</t>
  </si>
  <si>
    <t>New Brent</t>
  </si>
  <si>
    <t>Lake Shelley</t>
  </si>
  <si>
    <t>South Cindyhaven</t>
  </si>
  <si>
    <t>Deborahfort</t>
  </si>
  <si>
    <t>Pamelastad</t>
  </si>
  <si>
    <t>Lake Albert</t>
  </si>
  <si>
    <t>Rhondachester</t>
  </si>
  <si>
    <t>Edwardsview</t>
  </si>
  <si>
    <t>Kennethport</t>
  </si>
  <si>
    <t>Clarkmouth</t>
  </si>
  <si>
    <t>East Shari</t>
  </si>
  <si>
    <t>South Mary</t>
  </si>
  <si>
    <t>Lake Jennifershire</t>
  </si>
  <si>
    <t>Lake Debra</t>
  </si>
  <si>
    <t>Michaelland</t>
  </si>
  <si>
    <t>North James</t>
  </si>
  <si>
    <t>Port Victoriaside</t>
  </si>
  <si>
    <t>Byrdside</t>
  </si>
  <si>
    <t>Lake Johnmouth</t>
  </si>
  <si>
    <t>West Peter</t>
  </si>
  <si>
    <t>Donnaside</t>
  </si>
  <si>
    <t>Port Renee</t>
  </si>
  <si>
    <t>Sarahbury</t>
  </si>
  <si>
    <t>Smithside</t>
  </si>
  <si>
    <t>Jamieside</t>
  </si>
  <si>
    <t>Gordonmouth</t>
  </si>
  <si>
    <t>West Justin</t>
  </si>
  <si>
    <t>Port Ryanport</t>
  </si>
  <si>
    <t>Petersentown</t>
  </si>
  <si>
    <t>Andrewside</t>
  </si>
  <si>
    <t>Aprilmouth</t>
  </si>
  <si>
    <t>Juliechester</t>
  </si>
  <si>
    <t>Williamsview</t>
  </si>
  <si>
    <t>East Ryan</t>
  </si>
  <si>
    <t>Lake Tracychester</t>
  </si>
  <si>
    <t>West Dawn</t>
  </si>
  <si>
    <t>West Ashley</t>
  </si>
  <si>
    <t>Vincentburgh</t>
  </si>
  <si>
    <t>North Anthony</t>
  </si>
  <si>
    <t>Booneville</t>
  </si>
  <si>
    <t>Maryshire</t>
  </si>
  <si>
    <t>Port Phillip</t>
  </si>
  <si>
    <t>West Austin</t>
  </si>
  <si>
    <t>Jeffersonborough</t>
  </si>
  <si>
    <t>Mackenziehaven</t>
  </si>
  <si>
    <t>South Patriciaside</t>
  </si>
  <si>
    <t>Weststad</t>
  </si>
  <si>
    <t>South Reginaborough</t>
  </si>
  <si>
    <t>East Amanda</t>
  </si>
  <si>
    <t>Alexandrabury</t>
  </si>
  <si>
    <t>West Sabrinaton</t>
  </si>
  <si>
    <t>Villarrealview</t>
  </si>
  <si>
    <t>Allenville</t>
  </si>
  <si>
    <t>North Alantown</t>
  </si>
  <si>
    <t>Port Pamelastad</t>
  </si>
  <si>
    <t>Lake Stacy</t>
  </si>
  <si>
    <t>Sanchezburgh</t>
  </si>
  <si>
    <t>Millerland</t>
  </si>
  <si>
    <t>South Michelleport</t>
  </si>
  <si>
    <t>Pamelaberg</t>
  </si>
  <si>
    <t>Schmidtchester</t>
  </si>
  <si>
    <t>New Arthurhaven</t>
  </si>
  <si>
    <t>Lake Sheilaborough</t>
  </si>
  <si>
    <t>New Terri</t>
  </si>
  <si>
    <t>Clineberg</t>
  </si>
  <si>
    <t>Jacquelinestad</t>
  </si>
  <si>
    <t>Port Jennifer</t>
  </si>
  <si>
    <t>South Catherineville</t>
  </si>
  <si>
    <t>South Kylestad</t>
  </si>
  <si>
    <t>Jenniferview</t>
  </si>
  <si>
    <t>Karenbury</t>
  </si>
  <si>
    <t>West Jose</t>
  </si>
  <si>
    <t>Justinmouth</t>
  </si>
  <si>
    <t>New Jasmine</t>
  </si>
  <si>
    <t>Davismouth</t>
  </si>
  <si>
    <t>Kristinbury</t>
  </si>
  <si>
    <t>Andreshire</t>
  </si>
  <si>
    <t>Schmidtborough</t>
  </si>
  <si>
    <t>South Cynthiashire</t>
  </si>
  <si>
    <t>Jeffreytown</t>
  </si>
  <si>
    <t>Andreafurt</t>
  </si>
  <si>
    <t>South Andrew</t>
  </si>
  <si>
    <t>Lake Sean</t>
  </si>
  <si>
    <t>West Darlene</t>
  </si>
  <si>
    <t>Timothyside</t>
  </si>
  <si>
    <t>Port Rhondaberg</t>
  </si>
  <si>
    <t>Parkerburgh</t>
  </si>
  <si>
    <t>Kimmouth</t>
  </si>
  <si>
    <t>Nathanfort</t>
  </si>
  <si>
    <t>Carlosfurt</t>
  </si>
  <si>
    <t>Markfurt</t>
  </si>
  <si>
    <t>West Andrew</t>
  </si>
  <si>
    <t>Tylershire</t>
  </si>
  <si>
    <t>Camposberg</t>
  </si>
  <si>
    <t>Port Michael</t>
  </si>
  <si>
    <t>West Jamesbury</t>
  </si>
  <si>
    <t>Lake Ryan</t>
  </si>
  <si>
    <t>Cassandraport</t>
  </si>
  <si>
    <t>Hodgeport</t>
  </si>
  <si>
    <t>Robinbury</t>
  </si>
  <si>
    <t>Lake Thomasstad</t>
  </si>
  <si>
    <t>Jimenezville</t>
  </si>
  <si>
    <t>South Katelyn</t>
  </si>
  <si>
    <t>Mooreport</t>
  </si>
  <si>
    <t>South Cathyport</t>
  </si>
  <si>
    <t>Hoganview</t>
  </si>
  <si>
    <t>Fergusonville</t>
  </si>
  <si>
    <t>Leeburgh</t>
  </si>
  <si>
    <t>East Angelaborough</t>
  </si>
  <si>
    <t>New Marybury</t>
  </si>
  <si>
    <t>Hollandland</t>
  </si>
  <si>
    <t>Payneberg</t>
  </si>
  <si>
    <t>South Jorgeton</t>
  </si>
  <si>
    <t>Aaronborough</t>
  </si>
  <si>
    <t>Powellshire</t>
  </si>
  <si>
    <t>Brandontown</t>
  </si>
  <si>
    <t>South Jocelyn</t>
  </si>
  <si>
    <t>Riceport</t>
  </si>
  <si>
    <t>South Amandamouth</t>
  </si>
  <si>
    <t>South Maryhaven</t>
  </si>
  <si>
    <t>Romeromouth</t>
  </si>
  <si>
    <t>Wilsonbury</t>
  </si>
  <si>
    <t>Lake Karen</t>
  </si>
  <si>
    <t>West Crystalview</t>
  </si>
  <si>
    <t>Cherylport</t>
  </si>
  <si>
    <t>Smithland</t>
  </si>
  <si>
    <t>Lake Tina</t>
  </si>
  <si>
    <t>Lake Kathryn</t>
  </si>
  <si>
    <t>Jacobland</t>
  </si>
  <si>
    <t>East Jon</t>
  </si>
  <si>
    <t>Murrayshire</t>
  </si>
  <si>
    <t>Jonesshire</t>
  </si>
  <si>
    <t>West Jennifer</t>
  </si>
  <si>
    <t>Foleyhaven</t>
  </si>
  <si>
    <t>Johnland</t>
  </si>
  <si>
    <t>Freemanhaven</t>
  </si>
  <si>
    <t>Hobury</t>
  </si>
  <si>
    <t>Ramoschester</t>
  </si>
  <si>
    <t>West Jenniferport</t>
  </si>
  <si>
    <t>Harrisstad</t>
  </si>
  <si>
    <t>Williamsfort</t>
  </si>
  <si>
    <t>New Jerome</t>
  </si>
  <si>
    <t>Port Douglas</t>
  </si>
  <si>
    <t>Phyllisville</t>
  </si>
  <si>
    <t>Kristophershire</t>
  </si>
  <si>
    <t>Aaronfurt</t>
  </si>
  <si>
    <t>East Olivia</t>
  </si>
  <si>
    <t>Lake Vanessaton</t>
  </si>
  <si>
    <t>Kurtland</t>
  </si>
  <si>
    <t>South Jamesmouth</t>
  </si>
  <si>
    <t>Clarkland</t>
  </si>
  <si>
    <t>North Scottstad</t>
  </si>
  <si>
    <t>Port Annberg</t>
  </si>
  <si>
    <t>South Teresa</t>
  </si>
  <si>
    <t>Thomastown</t>
  </si>
  <si>
    <t>South Debrashire</t>
  </si>
  <si>
    <t>South Tamaraville</t>
  </si>
  <si>
    <t>Mayport</t>
  </si>
  <si>
    <t>Lisafort</t>
  </si>
  <si>
    <t>Christophertown</t>
  </si>
  <si>
    <t>New Hunterbury</t>
  </si>
  <si>
    <t>Arellanomouth</t>
  </si>
  <si>
    <t>Laurabury</t>
  </si>
  <si>
    <t>Randyshire</t>
  </si>
  <si>
    <t>New Michaelafurt</t>
  </si>
  <si>
    <t>Robertsonville</t>
  </si>
  <si>
    <t>Michellefurt</t>
  </si>
  <si>
    <t>Simpsonhaven</t>
  </si>
  <si>
    <t>Alecchester</t>
  </si>
  <si>
    <t>East Tina</t>
  </si>
  <si>
    <t>Amandaport</t>
  </si>
  <si>
    <t>Fordhaven</t>
  </si>
  <si>
    <t>North Michellehaven</t>
  </si>
  <si>
    <t>Haleyside</t>
  </si>
  <si>
    <t>Kimberlybury</t>
  </si>
  <si>
    <t>Mcguireberg</t>
  </si>
  <si>
    <t>West Jonathan</t>
  </si>
  <si>
    <t>West Ellen</t>
  </si>
  <si>
    <t>West Michelle</t>
  </si>
  <si>
    <t>Taraborough</t>
  </si>
  <si>
    <t>Karenborough</t>
  </si>
  <si>
    <t>Danielshire</t>
  </si>
  <si>
    <t>Collinsville</t>
  </si>
  <si>
    <t>Floreston</t>
  </si>
  <si>
    <t>Lake Cynthiaton</t>
  </si>
  <si>
    <t>New Carla</t>
  </si>
  <si>
    <t>Eugeneborough</t>
  </si>
  <si>
    <t>Suarezchester</t>
  </si>
  <si>
    <t>North Thomasmouth</t>
  </si>
  <si>
    <t>Marytown</t>
  </si>
  <si>
    <t>South Heathershire</t>
  </si>
  <si>
    <t>North Benjaminfurt</t>
  </si>
  <si>
    <t>Ayalaton</t>
  </si>
  <si>
    <t>Port Jasonberg</t>
  </si>
  <si>
    <t>Schwartzstad</t>
  </si>
  <si>
    <t>North Eric</t>
  </si>
  <si>
    <t>Bryanfort</t>
  </si>
  <si>
    <t>Robinsonland</t>
  </si>
  <si>
    <t>Leebury</t>
  </si>
  <si>
    <t>Michaelstad</t>
  </si>
  <si>
    <t>Riverafort</t>
  </si>
  <si>
    <t>Lake Alexandra</t>
  </si>
  <si>
    <t>Sandraborough</t>
  </si>
  <si>
    <t>Kristinehaven</t>
  </si>
  <si>
    <t>North Richard</t>
  </si>
  <si>
    <t>Michaelburgh</t>
  </si>
  <si>
    <t>South Shelley</t>
  </si>
  <si>
    <t>Joshuaberg</t>
  </si>
  <si>
    <t>Port Frankville</t>
  </si>
  <si>
    <t>Christopherborough</t>
  </si>
  <si>
    <t>South Carla</t>
  </si>
  <si>
    <t>Lake Ashley</t>
  </si>
  <si>
    <t>East Leah</t>
  </si>
  <si>
    <t>Lake Jason</t>
  </si>
  <si>
    <t>New Diana</t>
  </si>
  <si>
    <t>Breannamouth</t>
  </si>
  <si>
    <t>West Margarethaven</t>
  </si>
  <si>
    <t>West Emily</t>
  </si>
  <si>
    <t>South Elizabeth</t>
  </si>
  <si>
    <t>New Jessicabury</t>
  </si>
  <si>
    <t>Fullerport</t>
  </si>
  <si>
    <t>Lake Stephen</t>
  </si>
  <si>
    <t>West Amber</t>
  </si>
  <si>
    <t>Jasonbury</t>
  </si>
  <si>
    <t>Port Alexisshire</t>
  </si>
  <si>
    <t>Rasmussenport</t>
  </si>
  <si>
    <t>Pamelatown</t>
  </si>
  <si>
    <t>West Richardville</t>
  </si>
  <si>
    <t>Rhondafort</t>
  </si>
  <si>
    <t>West Christopher</t>
  </si>
  <si>
    <t>East Cynthiaton</t>
  </si>
  <si>
    <t>Ronaldshire</t>
  </si>
  <si>
    <t>East Robert</t>
  </si>
  <si>
    <t>Port Billyside</t>
  </si>
  <si>
    <t>Justinborough</t>
  </si>
  <si>
    <t>New Rhonda</t>
  </si>
  <si>
    <t>North Staceychester</t>
  </si>
  <si>
    <t>Wilsonberg</t>
  </si>
  <si>
    <t>Danielbury</t>
  </si>
  <si>
    <t>Vasquezview</t>
  </si>
  <si>
    <t>New Michelle</t>
  </si>
  <si>
    <t>Port Vanessa</t>
  </si>
  <si>
    <t>Medinahaven</t>
  </si>
  <si>
    <t>Wagnerhaven</t>
  </si>
  <si>
    <t>Byrdberg</t>
  </si>
  <si>
    <t>West Timside</t>
  </si>
  <si>
    <t>Michellemouth</t>
  </si>
  <si>
    <t>Wrightbury</t>
  </si>
  <si>
    <t>Owenschester</t>
  </si>
  <si>
    <t>New Rebecca</t>
  </si>
  <si>
    <t>East Shelleyville</t>
  </si>
  <si>
    <t>South Patrick</t>
  </si>
  <si>
    <t>Davidfurt</t>
  </si>
  <si>
    <t>Lake Jeremy</t>
  </si>
  <si>
    <t>Lake Aliciaburgh</t>
  </si>
  <si>
    <t>Port Jacquelineside</t>
  </si>
  <si>
    <t>West Jeremyborough</t>
  </si>
  <si>
    <t>North Jillside</t>
  </si>
  <si>
    <t>Jasmineville</t>
  </si>
  <si>
    <t>Jensenstad</t>
  </si>
  <si>
    <t>East Luke</t>
  </si>
  <si>
    <t>South Kimberly</t>
  </si>
  <si>
    <t>Rebeccaborough</t>
  </si>
  <si>
    <t>Johnstad</t>
  </si>
  <si>
    <t>South Jacob</t>
  </si>
  <si>
    <t>Port Mason</t>
  </si>
  <si>
    <t>Harpershire</t>
  </si>
  <si>
    <t>Timothyport</t>
  </si>
  <si>
    <t>Colinfurt</t>
  </si>
  <si>
    <t>West Mariechester</t>
  </si>
  <si>
    <t>Lewisfort</t>
  </si>
  <si>
    <t>Powellfort</t>
  </si>
  <si>
    <t>Heatherport</t>
  </si>
  <si>
    <t>Lake Karenburgh</t>
  </si>
  <si>
    <t>Lindseyhaven</t>
  </si>
  <si>
    <t>Harringtonhaven</t>
  </si>
  <si>
    <t>Rachelport</t>
  </si>
  <si>
    <t>North Dylan</t>
  </si>
  <si>
    <t>South Lauren</t>
  </si>
  <si>
    <t>Ginaville</t>
  </si>
  <si>
    <t>Robinburgh</t>
  </si>
  <si>
    <t>Cameronport</t>
  </si>
  <si>
    <t>Eatonmouth</t>
  </si>
  <si>
    <t>Mckenziemouth</t>
  </si>
  <si>
    <t>New Kevin</t>
  </si>
  <si>
    <t>East Kristinaside</t>
  </si>
  <si>
    <t>South Aaronton</t>
  </si>
  <si>
    <t>North William</t>
  </si>
  <si>
    <t>Adamsview</t>
  </si>
  <si>
    <t>New Richard</t>
  </si>
  <si>
    <t>Lake Brian</t>
  </si>
  <si>
    <t>West Melissamouth</t>
  </si>
  <si>
    <t>Nguyenside</t>
  </si>
  <si>
    <t>Laurenberg</t>
  </si>
  <si>
    <t>Port Mark</t>
  </si>
  <si>
    <t>East Parker</t>
  </si>
  <si>
    <t>Michaelshire</t>
  </si>
  <si>
    <t>Williamschester</t>
  </si>
  <si>
    <t>Port Justinhaven</t>
  </si>
  <si>
    <t>North Davidborough</t>
  </si>
  <si>
    <t>Jadefort</t>
  </si>
  <si>
    <t>North Catherineside</t>
  </si>
  <si>
    <t>South Heather</t>
  </si>
  <si>
    <t>East Stefanieville</t>
  </si>
  <si>
    <t>Stoneton</t>
  </si>
  <si>
    <t>North Joseberg</t>
  </si>
  <si>
    <t>East Melissa</t>
  </si>
  <si>
    <t>South Brandonbury</t>
  </si>
  <si>
    <t>Susanmouth</t>
  </si>
  <si>
    <t>East Lisashire</t>
  </si>
  <si>
    <t>East Philip</t>
  </si>
  <si>
    <t>North Melissa</t>
  </si>
  <si>
    <t>Haleland</t>
  </si>
  <si>
    <t>West Ericstad</t>
  </si>
  <si>
    <t>Brayville</t>
  </si>
  <si>
    <t>West Anthonyfurt</t>
  </si>
  <si>
    <t>New Sheilamouth</t>
  </si>
  <si>
    <t>Christinemouth</t>
  </si>
  <si>
    <t>North Annaberg</t>
  </si>
  <si>
    <t>Suttonfort</t>
  </si>
  <si>
    <t>Port Jeffreyville</t>
  </si>
  <si>
    <t>Careyhaven</t>
  </si>
  <si>
    <t>Port Daniel</t>
  </si>
  <si>
    <t>East Josechester</t>
  </si>
  <si>
    <t>Port Jason</t>
  </si>
  <si>
    <t>Lake Elizabeth</t>
  </si>
  <si>
    <t>New Ashleystad</t>
  </si>
  <si>
    <t>Millerburgh</t>
  </si>
  <si>
    <t>Roseland</t>
  </si>
  <si>
    <t>Lake Angela</t>
  </si>
  <si>
    <t>West Edward</t>
  </si>
  <si>
    <t>South Brianmouth</t>
  </si>
  <si>
    <t>Barbaraburgh</t>
  </si>
  <si>
    <t>Dixonshire</t>
  </si>
  <si>
    <t>Port Evan</t>
  </si>
  <si>
    <t>New Randyland</t>
  </si>
  <si>
    <t>Owensside</t>
  </si>
  <si>
    <t>South Karentown</t>
  </si>
  <si>
    <t>West Brooke</t>
  </si>
  <si>
    <t>North Sarah</t>
  </si>
  <si>
    <t>West Summer</t>
  </si>
  <si>
    <t>Brendaview</t>
  </si>
  <si>
    <t>Lisaview</t>
  </si>
  <si>
    <t>Dylanberg</t>
  </si>
  <si>
    <t>Roblesborough</t>
  </si>
  <si>
    <t>West Raymondton</t>
  </si>
  <si>
    <t>Burkefurt</t>
  </si>
  <si>
    <t>Nelsonton</t>
  </si>
  <si>
    <t>Lake Jenny</t>
  </si>
  <si>
    <t>North Paulton</t>
  </si>
  <si>
    <t>Robertport</t>
  </si>
  <si>
    <t>South Tiffanymouth</t>
  </si>
  <si>
    <t>Frenchmouth</t>
  </si>
  <si>
    <t>Port Robertbury</t>
  </si>
  <si>
    <t>North Ryan</t>
  </si>
  <si>
    <t>North Veronicatown</t>
  </si>
  <si>
    <t>Cortezton</t>
  </si>
  <si>
    <t>North Erica</t>
  </si>
  <si>
    <t>East Haley</t>
  </si>
  <si>
    <t>North Bruceshire</t>
  </si>
  <si>
    <t>Port Victoriaburgh</t>
  </si>
  <si>
    <t>Hollystad</t>
  </si>
  <si>
    <t>Angelastad</t>
  </si>
  <si>
    <t>Danielstad</t>
  </si>
  <si>
    <t>Perkinsmouth</t>
  </si>
  <si>
    <t>New David</t>
  </si>
  <si>
    <t>Anthonyton</t>
  </si>
  <si>
    <t>Deanshire</t>
  </si>
  <si>
    <t>Bondshire</t>
  </si>
  <si>
    <t>West Amberport</t>
  </si>
  <si>
    <t>Blankenshipshire</t>
  </si>
  <si>
    <t>North Nancychester</t>
  </si>
  <si>
    <t>West Anthonyberg</t>
  </si>
  <si>
    <t>Wendymouth</t>
  </si>
  <si>
    <t>East Jason</t>
  </si>
  <si>
    <t>Joshuaton</t>
  </si>
  <si>
    <t>South Katie</t>
  </si>
  <si>
    <t>Lake Karenbury</t>
  </si>
  <si>
    <t>Valeriefort</t>
  </si>
  <si>
    <t>West Brookemouth</t>
  </si>
  <si>
    <t>Sydneyborough</t>
  </si>
  <si>
    <t>New Kristina</t>
  </si>
  <si>
    <t>Floreschester</t>
  </si>
  <si>
    <t>Roberthaven</t>
  </si>
  <si>
    <t>Camposmouth</t>
  </si>
  <si>
    <t>New Melodyburgh</t>
  </si>
  <si>
    <t>Amymouth</t>
  </si>
  <si>
    <t>Wilsonhaven</t>
  </si>
  <si>
    <t>Williamsonhaven</t>
  </si>
  <si>
    <t>Port Juliatown</t>
  </si>
  <si>
    <t>Alexanderport</t>
  </si>
  <si>
    <t>Rosalesberg</t>
  </si>
  <si>
    <t>Lopezchester</t>
  </si>
  <si>
    <t>Carlosbury</t>
  </si>
  <si>
    <t>Shelbyville</t>
  </si>
  <si>
    <t>East Rodneyside</t>
  </si>
  <si>
    <t>Diamondport</t>
  </si>
  <si>
    <t>Lake Crystalburgh</t>
  </si>
  <si>
    <t>Joseborough</t>
  </si>
  <si>
    <t>East Justin</t>
  </si>
  <si>
    <t>New Justin</t>
  </si>
  <si>
    <t>South Jillmouth</t>
  </si>
  <si>
    <t>North Sheri</t>
  </si>
  <si>
    <t>Port Jose</t>
  </si>
  <si>
    <t>Rosalesshire</t>
  </si>
  <si>
    <t>Mckinneyfort</t>
  </si>
  <si>
    <t>North Katie</t>
  </si>
  <si>
    <t>New Jenniferfort</t>
  </si>
  <si>
    <t>samuelzavala@wiley.org</t>
  </si>
  <si>
    <t>johnsonbrandon@rodgers.com</t>
  </si>
  <si>
    <t>walterschelsea@hotmail.com</t>
  </si>
  <si>
    <t>allen63@calhoun.com</t>
  </si>
  <si>
    <t>teresa88@gmail.com</t>
  </si>
  <si>
    <t>barneskevin@weaver-armstrong.biz</t>
  </si>
  <si>
    <t>cherylcarrillo@gmail.com</t>
  </si>
  <si>
    <t>brandy44@yahoo.com</t>
  </si>
  <si>
    <t>juan58@gmail.com</t>
  </si>
  <si>
    <t>jose52@gmail.com</t>
  </si>
  <si>
    <t>fordhailey@acevedo.com</t>
  </si>
  <si>
    <t>chad87@gmail.com</t>
  </si>
  <si>
    <t>simpsonanna@hotmail.com</t>
  </si>
  <si>
    <t>cynthiagood@gmail.com</t>
  </si>
  <si>
    <t>katherine84@chandler.com</t>
  </si>
  <si>
    <t>robinsonlisa@gmail.com</t>
  </si>
  <si>
    <t>iellis@watts.com</t>
  </si>
  <si>
    <t>snyderwesley@washington-warren.com</t>
  </si>
  <si>
    <t>yholt@hotmail.com</t>
  </si>
  <si>
    <t>johnssara@flowers.org</t>
  </si>
  <si>
    <t>kimberlyholloway@ferguson-taylor.com</t>
  </si>
  <si>
    <t>qfrye@hotmail.com</t>
  </si>
  <si>
    <t>timothyjames@gmail.com</t>
  </si>
  <si>
    <t>adkinsstephanie@gmail.com</t>
  </si>
  <si>
    <t>lyonspatricia@hotmail.com</t>
  </si>
  <si>
    <t>christina63@henderson-diaz.info</t>
  </si>
  <si>
    <t>victor03@bowers.info</t>
  </si>
  <si>
    <t>david45@gill-harper.info</t>
  </si>
  <si>
    <t>mariawilliams@johnson.net</t>
  </si>
  <si>
    <t>holtjames@yahoo.com</t>
  </si>
  <si>
    <t>carla93@gmail.com</t>
  </si>
  <si>
    <t>jonescurtis@cox.org</t>
  </si>
  <si>
    <t>glindsey@avila-taylor.com</t>
  </si>
  <si>
    <t>greenjames@strickland-barker.info</t>
  </si>
  <si>
    <t>caseymelissa@jimenez.net</t>
  </si>
  <si>
    <t>angela37@blanchard.com</t>
  </si>
  <si>
    <t>michellemiller@gregory.com</t>
  </si>
  <si>
    <t>myerselizabeth@gmail.com</t>
  </si>
  <si>
    <t>ecooper@gmail.com</t>
  </si>
  <si>
    <t>nshaffer@hotmail.com</t>
  </si>
  <si>
    <t>blopez@hotmail.com</t>
  </si>
  <si>
    <t>walshjoel@parker-floyd.com</t>
  </si>
  <si>
    <t>wweber@hall.info</t>
  </si>
  <si>
    <t>rossnicholas@gmail.com</t>
  </si>
  <si>
    <t>williemartin@bates.com</t>
  </si>
  <si>
    <t>damondudley@stewart.net</t>
  </si>
  <si>
    <t>susan48@stevens.com</t>
  </si>
  <si>
    <t>christopherrobertson@rosario.com</t>
  </si>
  <si>
    <t>rgonzalez@benjamin-villa.com</t>
  </si>
  <si>
    <t>juareztommy@yahoo.com</t>
  </si>
  <si>
    <t>cdiaz@hamilton-robinson.com</t>
  </si>
  <si>
    <t>aweber@gmail.com</t>
  </si>
  <si>
    <t>mccoyryan@jones.com</t>
  </si>
  <si>
    <t>reynoldsangela@mitchell.org</t>
  </si>
  <si>
    <t>carrieevans@middleton-montgomery.com</t>
  </si>
  <si>
    <t>aprilmorgan@payne-ray.com</t>
  </si>
  <si>
    <t>koconnor@hatfield-knapp.com</t>
  </si>
  <si>
    <t>hclarke@villa.com</t>
  </si>
  <si>
    <t>jonathanchang@gmail.com</t>
  </si>
  <si>
    <t>mmarshall@gmail.com</t>
  </si>
  <si>
    <t>thomasbartlett@villegas-golden.com</t>
  </si>
  <si>
    <t>ddecker@jackson.com</t>
  </si>
  <si>
    <t>ksawyer@gmail.com</t>
  </si>
  <si>
    <t>hullchase@cameron.net</t>
  </si>
  <si>
    <t>mcgeebrian@johnson.com</t>
  </si>
  <si>
    <t>lacey84@yahoo.com</t>
  </si>
  <si>
    <t>gonzalezcory@bryant-henry.org</t>
  </si>
  <si>
    <t>jeffrodgers@yahoo.com</t>
  </si>
  <si>
    <t>caindaniel@yahoo.com</t>
  </si>
  <si>
    <t>beckyjohnson@butler.com</t>
  </si>
  <si>
    <t>amypreston@perez.com</t>
  </si>
  <si>
    <t>martindixon@mcmillan.com</t>
  </si>
  <si>
    <t>david42@wilson.info</t>
  </si>
  <si>
    <t>billychristian@beltran.com</t>
  </si>
  <si>
    <t>cshea@lewis-zhang.org</t>
  </si>
  <si>
    <t>ldaniels@gmail.com</t>
  </si>
  <si>
    <t>wilsonhannah@stafford.com</t>
  </si>
  <si>
    <t>annette89@yahoo.com</t>
  </si>
  <si>
    <t>erin68@hotmail.com</t>
  </si>
  <si>
    <t>hlee@randolph-harris.biz</t>
  </si>
  <si>
    <t>williamparsons@gaines-perez.com</t>
  </si>
  <si>
    <t>vgonzalez@decker.biz</t>
  </si>
  <si>
    <t>robin79@yahoo.com</t>
  </si>
  <si>
    <t>smorris@edwards.net</t>
  </si>
  <si>
    <t>louis98@yahoo.com</t>
  </si>
  <si>
    <t>stewartsara@harmon.info</t>
  </si>
  <si>
    <t>ebennett@davis.com</t>
  </si>
  <si>
    <t>robert80@lopez.com</t>
  </si>
  <si>
    <t>evansmartin@yahoo.com</t>
  </si>
  <si>
    <t>nathanielmeyers@riley.net</t>
  </si>
  <si>
    <t>buckleydouglas@yahoo.com</t>
  </si>
  <si>
    <t>jackgutierrez@baker-campbell.com</t>
  </si>
  <si>
    <t>moraleskari@yahoo.com</t>
  </si>
  <si>
    <t>stoutallison@jacobson.com</t>
  </si>
  <si>
    <t>zsaunders@king.org</t>
  </si>
  <si>
    <t>lewisnicole@taylor.info</t>
  </si>
  <si>
    <t>rjohnson@chavez-saunders.biz</t>
  </si>
  <si>
    <t>ortizmiranda@greene.com</t>
  </si>
  <si>
    <t>vhawkins@hotmail.com</t>
  </si>
  <si>
    <t>tclements@miller.biz</t>
  </si>
  <si>
    <t>scottvincent@pugh.org</t>
  </si>
  <si>
    <t>irwinsteven@yahoo.com</t>
  </si>
  <si>
    <t>stokesbrandon@gmail.com</t>
  </si>
  <si>
    <t>davidsmith@yahoo.com</t>
  </si>
  <si>
    <t>danielcarter@elliott.com</t>
  </si>
  <si>
    <t>davidlee@phillips-wilcox.info</t>
  </si>
  <si>
    <t>zdennis@yahoo.com</t>
  </si>
  <si>
    <t>guzmanelizabeth@hotmail.com</t>
  </si>
  <si>
    <t>christensenjoanne@wall-curtis.info</t>
  </si>
  <si>
    <t>christine33@yahoo.com</t>
  </si>
  <si>
    <t>vlopez@gmail.com</t>
  </si>
  <si>
    <t>harpermelissa@patel.com</t>
  </si>
  <si>
    <t>woodsmichael@walls-lamb.com</t>
  </si>
  <si>
    <t>larrythomas@hotmail.com</t>
  </si>
  <si>
    <t>meadowsdebra@gmail.com</t>
  </si>
  <si>
    <t>antonio41@hotmail.com</t>
  </si>
  <si>
    <t>kennethtanner@gmail.com</t>
  </si>
  <si>
    <t>kristen13@gmail.com</t>
  </si>
  <si>
    <t>wjohnson@hotmail.com</t>
  </si>
  <si>
    <t>garyburton@mueller.com</t>
  </si>
  <si>
    <t>scotttammy@hotmail.com</t>
  </si>
  <si>
    <t>marvinsnyder@baldwin.com</t>
  </si>
  <si>
    <t>reneejohnson@gmail.com</t>
  </si>
  <si>
    <t>znavarro@hotmail.com</t>
  </si>
  <si>
    <t>brianhernandez@little-stevens.com</t>
  </si>
  <si>
    <t>anthonytaylor@walker.com</t>
  </si>
  <si>
    <t>fboyle@robinson-soto.com</t>
  </si>
  <si>
    <t>calvinwright@collins.com</t>
  </si>
  <si>
    <t>madison21@bishop.biz</t>
  </si>
  <si>
    <t>teresa36@hotmail.com</t>
  </si>
  <si>
    <t>blackashley@edwards.info</t>
  </si>
  <si>
    <t>richardhampton@lewis-simon.com</t>
  </si>
  <si>
    <t>mfuentes@hotmail.com</t>
  </si>
  <si>
    <t>iwilson@rodriguez.com</t>
  </si>
  <si>
    <t>williamsjessica@yahoo.com</t>
  </si>
  <si>
    <t>rebecca13@gmail.com</t>
  </si>
  <si>
    <t>jmaldonado@gmail.com</t>
  </si>
  <si>
    <t>stephanie92@diaz.com</t>
  </si>
  <si>
    <t>michelle08@hotmail.com</t>
  </si>
  <si>
    <t>salinascharles@roth.com</t>
  </si>
  <si>
    <t>nicholashansen@farmer-baird.com</t>
  </si>
  <si>
    <t>waltersalexander@hotmail.com</t>
  </si>
  <si>
    <t>michelleandrade@gonzalez.com</t>
  </si>
  <si>
    <t>riddlejoy@hotmail.com</t>
  </si>
  <si>
    <t>sarahgray@shaffer.biz</t>
  </si>
  <si>
    <t>simskendra@gmail.com</t>
  </si>
  <si>
    <t>curtiscooke@hotmail.com</t>
  </si>
  <si>
    <t>ocarroll@finley.com</t>
  </si>
  <si>
    <t>zsimon@chen.com</t>
  </si>
  <si>
    <t>carneymichael@hotmail.com</t>
  </si>
  <si>
    <t>currycolleen@yahoo.com</t>
  </si>
  <si>
    <t>johnsondebbie@dixon.com</t>
  </si>
  <si>
    <t>uadams@harris.com</t>
  </si>
  <si>
    <t>jlee@mitchell-williams.com</t>
  </si>
  <si>
    <t>darcher@gmail.com</t>
  </si>
  <si>
    <t>jennifer45@gmail.com</t>
  </si>
  <si>
    <t>brewermelanie@fisher-taylor.com</t>
  </si>
  <si>
    <t>michaelwoods@yahoo.com</t>
  </si>
  <si>
    <t>phillip58@yang.com</t>
  </si>
  <si>
    <t>slara@hotmail.com</t>
  </si>
  <si>
    <t>jeffrey80@grimes.biz</t>
  </si>
  <si>
    <t>abigailrodriguez@gmail.com</t>
  </si>
  <si>
    <t>larry16@hotmail.com</t>
  </si>
  <si>
    <t>kbrooks@camacho.com</t>
  </si>
  <si>
    <t>blevinsashley@yahoo.com</t>
  </si>
  <si>
    <t>taylorthomas@lowe-hernandez.info</t>
  </si>
  <si>
    <t>jlindsey@bishop.com</t>
  </si>
  <si>
    <t>nancybrock@hotmail.com</t>
  </si>
  <si>
    <t>czamora@bonilla-green.org</t>
  </si>
  <si>
    <t>ucarey@hotmail.com</t>
  </si>
  <si>
    <t>oblackburn@parsons.com</t>
  </si>
  <si>
    <t>ojones@hotmail.com</t>
  </si>
  <si>
    <t>qbowen@gmail.com</t>
  </si>
  <si>
    <t>vramirez@gmail.com</t>
  </si>
  <si>
    <t>ycortez@gmail.com</t>
  </si>
  <si>
    <t>nichole96@burnett.org</t>
  </si>
  <si>
    <t>maxwellchristina@yahoo.com</t>
  </si>
  <si>
    <t>bruce11@yahoo.com</t>
  </si>
  <si>
    <t>bwhite@yahoo.com</t>
  </si>
  <si>
    <t>tryan@gill-johnson.biz</t>
  </si>
  <si>
    <t>timothylutz@hotmail.com</t>
  </si>
  <si>
    <t>williamyang@yahoo.com</t>
  </si>
  <si>
    <t>parkermelissa@tate.info</t>
  </si>
  <si>
    <t>sduncan@yahoo.com</t>
  </si>
  <si>
    <t>gregory60@gordon.net</t>
  </si>
  <si>
    <t>torrestrevor@hotmail.com</t>
  </si>
  <si>
    <t>natashapennington@fischer.net</t>
  </si>
  <si>
    <t>ophillips@dodson.com</t>
  </si>
  <si>
    <t>schaeferwendy@gmail.com</t>
  </si>
  <si>
    <t>milleradrienne@cole.com</t>
  </si>
  <si>
    <t>vhall@hayes.org</t>
  </si>
  <si>
    <t>wsmith@shields.info</t>
  </si>
  <si>
    <t>mackenzie42@gmail.com</t>
  </si>
  <si>
    <t>turnerjason@hoffman.com</t>
  </si>
  <si>
    <t>kimberlyoconnell@guerra.net</t>
  </si>
  <si>
    <t>jgreen@hotmail.com</t>
  </si>
  <si>
    <t>jenkinsmichael@moreno-bush.com</t>
  </si>
  <si>
    <t>victoriaharrell@yahoo.com</t>
  </si>
  <si>
    <t>rwallace@gmail.com</t>
  </si>
  <si>
    <t>williamsbrett@hotmail.com</t>
  </si>
  <si>
    <t>vjacobs@craig.net</t>
  </si>
  <si>
    <t>shanewilliams@hotmail.com</t>
  </si>
  <si>
    <t>mbarnett@johnson.com</t>
  </si>
  <si>
    <t>stephaniesmith@hotmail.com</t>
  </si>
  <si>
    <t>bhall@bell.com</t>
  </si>
  <si>
    <t>daniel18@castro.com</t>
  </si>
  <si>
    <t>richard43@yoder-huang.com</t>
  </si>
  <si>
    <t>samanthabryant@yahoo.com</t>
  </si>
  <si>
    <t>romanjames@herrera.biz</t>
  </si>
  <si>
    <t>uduran@gmail.com</t>
  </si>
  <si>
    <t>ntaylor@moore.org</t>
  </si>
  <si>
    <t>monica11@ross-ferrell.com</t>
  </si>
  <si>
    <t>ericaharris@floyd.com</t>
  </si>
  <si>
    <t>jeffrey86@hotmail.com</t>
  </si>
  <si>
    <t>sean17@downs.info</t>
  </si>
  <si>
    <t>charlesgriffin@yahoo.com</t>
  </si>
  <si>
    <t>john37@hill.org</t>
  </si>
  <si>
    <t>vazquezjon@gmail.com</t>
  </si>
  <si>
    <t>ostewart@yahoo.com</t>
  </si>
  <si>
    <t>lori41@gmail.com</t>
  </si>
  <si>
    <t>ballardlinda@sanchez.info</t>
  </si>
  <si>
    <t>thomastorres@gmail.com</t>
  </si>
  <si>
    <t>hamiltonmelissa@hays.info</t>
  </si>
  <si>
    <t>allenpaula@hooper.net</t>
  </si>
  <si>
    <t>courtneydawson@dorsey.com</t>
  </si>
  <si>
    <t>nelsoncandice@woods.biz</t>
  </si>
  <si>
    <t>ericbaker@yahoo.com</t>
  </si>
  <si>
    <t>tblackwell@fowler-powell.net</t>
  </si>
  <si>
    <t>carolyn09@gmail.com</t>
  </si>
  <si>
    <t>vanessa23@smith.biz</t>
  </si>
  <si>
    <t>nancy44@ramos.com</t>
  </si>
  <si>
    <t>linda32@thomas-mendez.org</t>
  </si>
  <si>
    <t>rodney58@little.org</t>
  </si>
  <si>
    <t>meadowssamantha@hotmail.com</t>
  </si>
  <si>
    <t>chambersdaniel@gmail.com</t>
  </si>
  <si>
    <t>escobaraustin@gmail.com</t>
  </si>
  <si>
    <t>brian41@hotmail.com</t>
  </si>
  <si>
    <t>jenniferperez@miranda.info</t>
  </si>
  <si>
    <t>gomezamanda@weber.com</t>
  </si>
  <si>
    <t>carol84@yahoo.com</t>
  </si>
  <si>
    <t>lindseygarcia@torres-hughes.com</t>
  </si>
  <si>
    <t>smithrebecca@gmail.com</t>
  </si>
  <si>
    <t>nmoore@french.com</t>
  </si>
  <si>
    <t>oyoung@hotmail.com</t>
  </si>
  <si>
    <t>molinajamie@morris.com</t>
  </si>
  <si>
    <t>chasebarnes@wilson.com</t>
  </si>
  <si>
    <t>nortonsamantha@walker.com</t>
  </si>
  <si>
    <t>zscott@williams.com</t>
  </si>
  <si>
    <t>grace31@gmail.com</t>
  </si>
  <si>
    <t>markgoodwin@kline-riggs.com</t>
  </si>
  <si>
    <t>levymonica@hotmail.com</t>
  </si>
  <si>
    <t>brianjohnson@adams.info</t>
  </si>
  <si>
    <t>dale83@simpson.com</t>
  </si>
  <si>
    <t>qbell@hotmail.com</t>
  </si>
  <si>
    <t>mackenziewright@young.com</t>
  </si>
  <si>
    <t>john49@hamilton.com</t>
  </si>
  <si>
    <t>rodriguezcarol@gilmore-frey.org</t>
  </si>
  <si>
    <t>martinezshannon@gmail.com</t>
  </si>
  <si>
    <t>david79@garrison.com</t>
  </si>
  <si>
    <t>brandon16@hart.com</t>
  </si>
  <si>
    <t>jhurley@spencer.net</t>
  </si>
  <si>
    <t>waltersusan@cisneros.com</t>
  </si>
  <si>
    <t>barmstrong@yahoo.com</t>
  </si>
  <si>
    <t>jonathan00@galvan.biz</t>
  </si>
  <si>
    <t>carlsonpaul@carroll.biz</t>
  </si>
  <si>
    <t>fosterjanice@gmail.com</t>
  </si>
  <si>
    <t>paguilar@perry-moss.com</t>
  </si>
  <si>
    <t>mccoydiana@becker.com</t>
  </si>
  <si>
    <t>danasimmons@johnson.net</t>
  </si>
  <si>
    <t>james45@yahoo.com</t>
  </si>
  <si>
    <t>smithlaura@jackson.org</t>
  </si>
  <si>
    <t>tylerwhite@gmail.com</t>
  </si>
  <si>
    <t>nancy85@navarro.org</t>
  </si>
  <si>
    <t>clairemorgan@yahoo.com</t>
  </si>
  <si>
    <t>ksmith@gmail.com</t>
  </si>
  <si>
    <t>jason93@yahoo.com</t>
  </si>
  <si>
    <t>yrussell@watson.info</t>
  </si>
  <si>
    <t>levineaaron@gmail.com</t>
  </si>
  <si>
    <t>steven67@smith-hamilton.com</t>
  </si>
  <si>
    <t>kennethbutler@gmail.com</t>
  </si>
  <si>
    <t>matthewlogan@johnson.net</t>
  </si>
  <si>
    <t>idecker@pierce.org</t>
  </si>
  <si>
    <t>ugarrison@gmail.com</t>
  </si>
  <si>
    <t>othomas@yahoo.com</t>
  </si>
  <si>
    <t>qavila@hotmail.com</t>
  </si>
  <si>
    <t>nclay@gallagher-williams.com</t>
  </si>
  <si>
    <t>blynn@hotmail.com</t>
  </si>
  <si>
    <t>aaron19@gmail.com</t>
  </si>
  <si>
    <t>hurstjames@roy.net</t>
  </si>
  <si>
    <t>jaredarmstrong@gmail.com</t>
  </si>
  <si>
    <t>cquinn@nguyen.info</t>
  </si>
  <si>
    <t>guerreroalexander@hotmail.com</t>
  </si>
  <si>
    <t>delacruzkimberly@yahoo.com</t>
  </si>
  <si>
    <t>jessica99@gmail.com</t>
  </si>
  <si>
    <t>bonnie10@yahoo.com</t>
  </si>
  <si>
    <t>bianca92@gmail.com</t>
  </si>
  <si>
    <t>sgonzalez@jensen.net</t>
  </si>
  <si>
    <t>brandonhull@hotmail.com</t>
  </si>
  <si>
    <t>ogarcia@blackwell-frazier.net</t>
  </si>
  <si>
    <t>mirandamatthews@jenkins.net</t>
  </si>
  <si>
    <t>yolanda42@hotmail.com</t>
  </si>
  <si>
    <t>todd84@doyle.info</t>
  </si>
  <si>
    <t>hornlisa@norton.com</t>
  </si>
  <si>
    <t>ipalmer@hotmail.com</t>
  </si>
  <si>
    <t>mirandawright@hotmail.com</t>
  </si>
  <si>
    <t>melissacook@morris-gray.com</t>
  </si>
  <si>
    <t>veronicagarcia@gmail.com</t>
  </si>
  <si>
    <t>estradanatalie@gmail.com</t>
  </si>
  <si>
    <t>fieldscody@gmail.com</t>
  </si>
  <si>
    <t>ddaniels@jones-scott.info</t>
  </si>
  <si>
    <t>kimdaniel@smith.com</t>
  </si>
  <si>
    <t>ginajenkins@wright-flores.com</t>
  </si>
  <si>
    <t>aliciathompson@jones.info</t>
  </si>
  <si>
    <t>csnyder@barnes.com</t>
  </si>
  <si>
    <t>vancejohn@gmail.com</t>
  </si>
  <si>
    <t>probertson@lewis.com</t>
  </si>
  <si>
    <t>danielgamble@yahoo.com</t>
  </si>
  <si>
    <t>hcastillo@weber-espinoza.com</t>
  </si>
  <si>
    <t>vortiz@holden.com</t>
  </si>
  <si>
    <t>rogersstephanie@yahoo.com</t>
  </si>
  <si>
    <t>deborah81@howe.com</t>
  </si>
  <si>
    <t>davidcarter@smith-marshall.com</t>
  </si>
  <si>
    <t>fhuff@bell.com</t>
  </si>
  <si>
    <t>joshua36@gmail.com</t>
  </si>
  <si>
    <t>baldwinkyle@yahoo.com</t>
  </si>
  <si>
    <t>karen70@gmail.com</t>
  </si>
  <si>
    <t>robert52@gmail.com</t>
  </si>
  <si>
    <t>smithkaitlyn@flores.net</t>
  </si>
  <si>
    <t>butlerandre@brady.com</t>
  </si>
  <si>
    <t>joneskaren@singh.org</t>
  </si>
  <si>
    <t>barbara16@yahoo.com</t>
  </si>
  <si>
    <t>lsmith@ramos-brewer.com</t>
  </si>
  <si>
    <t>jeffrey43@hotmail.com</t>
  </si>
  <si>
    <t>awilliams@gmail.com</t>
  </si>
  <si>
    <t>justin85@yahoo.com</t>
  </si>
  <si>
    <t>upatel@smith-kelley.com</t>
  </si>
  <si>
    <t>stephanieschmidt@gmail.com</t>
  </si>
  <si>
    <t>floresmeredith@mccoy-stokes.biz</t>
  </si>
  <si>
    <t>williamssteven@hotmail.com</t>
  </si>
  <si>
    <t>amorgan@yahoo.com</t>
  </si>
  <si>
    <t>josephbradley@thomas.com</t>
  </si>
  <si>
    <t>charles88@gmail.com</t>
  </si>
  <si>
    <t>collinsjohn@yahoo.com</t>
  </si>
  <si>
    <t>lisa89@white.org</t>
  </si>
  <si>
    <t>melissa97@gmail.com</t>
  </si>
  <si>
    <t>rhonda85@lopez.com</t>
  </si>
  <si>
    <t>hnolan@yahoo.com</t>
  </si>
  <si>
    <t>sarahfranco@hotmail.com</t>
  </si>
  <si>
    <t>brittany91@yahoo.com</t>
  </si>
  <si>
    <t>tmitchell@wilkinson.com</t>
  </si>
  <si>
    <t>masonjeremy@yahoo.com</t>
  </si>
  <si>
    <t>upitts@gmail.com</t>
  </si>
  <si>
    <t>lkrueger@key.com</t>
  </si>
  <si>
    <t>valerieporter@hotmail.com</t>
  </si>
  <si>
    <t>todd03@hotmail.com</t>
  </si>
  <si>
    <t>richardmoore@yahoo.com</t>
  </si>
  <si>
    <t>michaelhansen@thompson.com</t>
  </si>
  <si>
    <t>markhamilton@hotmail.com</t>
  </si>
  <si>
    <t>jonesreginald@gmail.com</t>
  </si>
  <si>
    <t>jbrock@hotmail.com</t>
  </si>
  <si>
    <t>fholland@gmail.com</t>
  </si>
  <si>
    <t>georgewiley@yahoo.com</t>
  </si>
  <si>
    <t>urobinson@reed.com</t>
  </si>
  <si>
    <t>amanda36@torres.info</t>
  </si>
  <si>
    <t>brian87@hotmail.com</t>
  </si>
  <si>
    <t>sabrina67@yahoo.com</t>
  </si>
  <si>
    <t>stuartmichelle@wang.info</t>
  </si>
  <si>
    <t>michelle01@hotmail.com</t>
  </si>
  <si>
    <t>lisa26@wilson-ballard.com</t>
  </si>
  <si>
    <t>mcclurekatherine@gmail.com</t>
  </si>
  <si>
    <t>gjohnson@mckay.net</t>
  </si>
  <si>
    <t>andreagoodman@davis-williams.info</t>
  </si>
  <si>
    <t>josephwilson@cox.com</t>
  </si>
  <si>
    <t>christopherkelly@franklin.info</t>
  </si>
  <si>
    <t>sean15@gmail.com</t>
  </si>
  <si>
    <t>robertlloyd@barker.info</t>
  </si>
  <si>
    <t>zcruz@hotmail.com</t>
  </si>
  <si>
    <t>floresjames@hotmail.com</t>
  </si>
  <si>
    <t>pjohnson@yahoo.com</t>
  </si>
  <si>
    <t>ywilliams@gmail.com</t>
  </si>
  <si>
    <t>myerschristopher@gmail.com</t>
  </si>
  <si>
    <t>danielschneider@hotmail.com</t>
  </si>
  <si>
    <t>roberto67@yahoo.com</t>
  </si>
  <si>
    <t>rgonzalez@hotmail.com</t>
  </si>
  <si>
    <t>emily61@miller.net</t>
  </si>
  <si>
    <t>ipope@hotmail.com</t>
  </si>
  <si>
    <t>poncerandy@hotmail.com</t>
  </si>
  <si>
    <t>tylerhowe@yahoo.com</t>
  </si>
  <si>
    <t>prodgers@drake.com</t>
  </si>
  <si>
    <t>xperry@gmail.com</t>
  </si>
  <si>
    <t>hbenton@bates.com</t>
  </si>
  <si>
    <t>mwilliams@yahoo.com</t>
  </si>
  <si>
    <t>millernatalie@sanchez.com</t>
  </si>
  <si>
    <t>richardsmith@yahoo.com</t>
  </si>
  <si>
    <t>ramseybryan@young.com</t>
  </si>
  <si>
    <t>swilliamson@gmail.com</t>
  </si>
  <si>
    <t>dylansolis@gmail.com</t>
  </si>
  <si>
    <t>jessica74@rodriguez.com</t>
  </si>
  <si>
    <t>todd95@yahoo.com</t>
  </si>
  <si>
    <t>smithkevin@gmail.com</t>
  </si>
  <si>
    <t>qnewton@hotmail.com</t>
  </si>
  <si>
    <t>jamessullivan@davis.com</t>
  </si>
  <si>
    <t>timothyreeves@hammond.com</t>
  </si>
  <si>
    <t>jaredochoa@gmail.com</t>
  </si>
  <si>
    <t>kathleenmccormick@gmail.com</t>
  </si>
  <si>
    <t>jonathan90@gmail.com</t>
  </si>
  <si>
    <t>jesseromero@gmail.com</t>
  </si>
  <si>
    <t>kellererin@russell.com</t>
  </si>
  <si>
    <t>millercory@walls.com</t>
  </si>
  <si>
    <t>wlarson@yahoo.com</t>
  </si>
  <si>
    <t>owenswilliam@robbins.info</t>
  </si>
  <si>
    <t>luis25@hotmail.com</t>
  </si>
  <si>
    <t>kathybrown@yahoo.com</t>
  </si>
  <si>
    <t>douglas11@gmail.com</t>
  </si>
  <si>
    <t>hendricksmichelle@hotmail.com</t>
  </si>
  <si>
    <t>lewisjames@yahoo.com</t>
  </si>
  <si>
    <t>alexanderhernandez@gmail.com</t>
  </si>
  <si>
    <t>mitchell17@gmail.com</t>
  </si>
  <si>
    <t>lholmes@alexander.com</t>
  </si>
  <si>
    <t>ophillips@yahoo.com</t>
  </si>
  <si>
    <t>sanfordemily@hotmail.com</t>
  </si>
  <si>
    <t>qdavis@yahoo.com</t>
  </si>
  <si>
    <t>yangeric@gmail.com</t>
  </si>
  <si>
    <t>haileypeterson@williams.info</t>
  </si>
  <si>
    <t>robinsonryan@gmail.com</t>
  </si>
  <si>
    <t>iholloway@yahoo.com</t>
  </si>
  <si>
    <t>paulduffy@yahoo.com</t>
  </si>
  <si>
    <t>vanessafaulkner@rojas.org</t>
  </si>
  <si>
    <t>rfuentes@hotmail.com</t>
  </si>
  <si>
    <t>lindawalker@hotmail.com</t>
  </si>
  <si>
    <t>jerry06@yahoo.com</t>
  </si>
  <si>
    <t>williamscody@foley-frey.net</t>
  </si>
  <si>
    <t>paulanderson@hotmail.com</t>
  </si>
  <si>
    <t>glennflores@ruiz.com</t>
  </si>
  <si>
    <t>lshort@knox.com</t>
  </si>
  <si>
    <t>david86@yahoo.com</t>
  </si>
  <si>
    <t>wagnerbradley@gmail.com</t>
  </si>
  <si>
    <t>connorrogers@sharp-santana.net</t>
  </si>
  <si>
    <t>perryjoseph@crosby.com</t>
  </si>
  <si>
    <t>robert50@gmail.com</t>
  </si>
  <si>
    <t>rebeccanguyen@davis-rasmussen.com</t>
  </si>
  <si>
    <t>diane75@johnson-reed.com</t>
  </si>
  <si>
    <t>stephenallen@yahoo.com</t>
  </si>
  <si>
    <t>jenniferhansen@knight.info</t>
  </si>
  <si>
    <t>ginarosales@mack-watts.com</t>
  </si>
  <si>
    <t>hesterjames@compton.com</t>
  </si>
  <si>
    <t>brandon85@gmail.com</t>
  </si>
  <si>
    <t>mark71@hotmail.com</t>
  </si>
  <si>
    <t>zreynolds@petty-morris.info</t>
  </si>
  <si>
    <t>mahoneyfrank@ramirez.com</t>
  </si>
  <si>
    <t>gzamora@marshall.biz</t>
  </si>
  <si>
    <t>qwatkins@yahoo.com</t>
  </si>
  <si>
    <t>pottershannon@yahoo.com</t>
  </si>
  <si>
    <t>vferguson@gmail.com</t>
  </si>
  <si>
    <t>obriengregory@hotmail.com</t>
  </si>
  <si>
    <t>idorsey@yahoo.com</t>
  </si>
  <si>
    <t>david87@ryan.info</t>
  </si>
  <si>
    <t>patrick09@pacheco.org</t>
  </si>
  <si>
    <t>arthurfritz@gmail.com</t>
  </si>
  <si>
    <t>caroldavis@decker.info</t>
  </si>
  <si>
    <t>annawhitaker@gmail.com</t>
  </si>
  <si>
    <t>christinafrench@kennedy.com</t>
  </si>
  <si>
    <t>nryan@hotmail.com</t>
  </si>
  <si>
    <t>nicole05@yahoo.com</t>
  </si>
  <si>
    <t>jamiechurch@bell-munoz.org</t>
  </si>
  <si>
    <t>codylopez@gmail.com</t>
  </si>
  <si>
    <t>cameron32@lewis.com</t>
  </si>
  <si>
    <t>derrick30@wise.info</t>
  </si>
  <si>
    <t>brittanystewart@gmail.com</t>
  </si>
  <si>
    <t>moralesshane@craig-reynolds.com</t>
  </si>
  <si>
    <t>gordonchristopher@james-norris.com</t>
  </si>
  <si>
    <t>robertevans@reynolds.org</t>
  </si>
  <si>
    <t>ftaylor@miller.com</t>
  </si>
  <si>
    <t>ambermorales@brown-buck.com</t>
  </si>
  <si>
    <t>trussell@gmail.com</t>
  </si>
  <si>
    <t>yvincent@gmail.com</t>
  </si>
  <si>
    <t>wwilliams@weeks.com</t>
  </si>
  <si>
    <t>brittanyperez@hotmail.com</t>
  </si>
  <si>
    <t>ncarter@price-fuller.biz</t>
  </si>
  <si>
    <t>norrisashley@yahoo.com</t>
  </si>
  <si>
    <t>james68@baker-russo.com</t>
  </si>
  <si>
    <t>jeffreykelly@gmail.com</t>
  </si>
  <si>
    <t>gstephens@shannon.info</t>
  </si>
  <si>
    <t>shawn87@cooper.net</t>
  </si>
  <si>
    <t>vincentwagner@walters.org</t>
  </si>
  <si>
    <t>anthonymiller@key-love.net</t>
  </si>
  <si>
    <t>christina91@adams-richards.net</t>
  </si>
  <si>
    <t>richard64@smith-russell.info</t>
  </si>
  <si>
    <t>vsmith@gmail.com</t>
  </si>
  <si>
    <t>sabrinagardner@moore.net</t>
  </si>
  <si>
    <t>uschultz@moore.com</t>
  </si>
  <si>
    <t>angela91@hotmail.com</t>
  </si>
  <si>
    <t>felicia90@hotmail.com</t>
  </si>
  <si>
    <t>veronica40@hotmail.com</t>
  </si>
  <si>
    <t>joshua66@yahoo.com</t>
  </si>
  <si>
    <t>laura27@schroeder.com</t>
  </si>
  <si>
    <t>tiffanyelliott@garcia.info</t>
  </si>
  <si>
    <t>sherry32@miller.com</t>
  </si>
  <si>
    <t>timothymoyer@brown.com</t>
  </si>
  <si>
    <t>rmarshall@gmail.com</t>
  </si>
  <si>
    <t>phillipgardner@hotmail.com</t>
  </si>
  <si>
    <t>wrangel@benson.net</t>
  </si>
  <si>
    <t>jasonkim@gmail.com</t>
  </si>
  <si>
    <t>gardnerhunter@eaton.org</t>
  </si>
  <si>
    <t>ulloyd@walters-alexander.info</t>
  </si>
  <si>
    <t>brianromero@gmail.com</t>
  </si>
  <si>
    <t>warrenbradley@norris.org</t>
  </si>
  <si>
    <t>dsanchez@hotmail.com</t>
  </si>
  <si>
    <t>loretta32@hernandez.com</t>
  </si>
  <si>
    <t>garysalas@good.biz</t>
  </si>
  <si>
    <t>gmartinez@hotmail.com</t>
  </si>
  <si>
    <t>lindahuffman@smith.com</t>
  </si>
  <si>
    <t>uwalton@yahoo.com</t>
  </si>
  <si>
    <t>lorilee@hotmail.com</t>
  </si>
  <si>
    <t>sarahallen@gmail.com</t>
  </si>
  <si>
    <t>angela57@copeland.com</t>
  </si>
  <si>
    <t>katherine45@hale-watson.com</t>
  </si>
  <si>
    <t>mark78@hotmail.com</t>
  </si>
  <si>
    <t>strongbruce@fisher.org</t>
  </si>
  <si>
    <t>sgray@thomas-shelton.com</t>
  </si>
  <si>
    <t>billy81@garcia.com</t>
  </si>
  <si>
    <t>markcollins@hotmail.com</t>
  </si>
  <si>
    <t>lharris@dawson-palmer.com</t>
  </si>
  <si>
    <t>zwilcox@calhoun.com</t>
  </si>
  <si>
    <t>sharon28@anderson-atkins.org</t>
  </si>
  <si>
    <t>cherylhayes@hotmail.com</t>
  </si>
  <si>
    <t>nathan19@yahoo.com</t>
  </si>
  <si>
    <t>wendystout@dickson.com</t>
  </si>
  <si>
    <t>thomaspace@davis.com</t>
  </si>
  <si>
    <t>crawfordchristopher@gmail.com</t>
  </si>
  <si>
    <t>mmcintyre@brown.org</t>
  </si>
  <si>
    <t>zacharyjones@valencia.com</t>
  </si>
  <si>
    <t>johnlong@gmail.com</t>
  </si>
  <si>
    <t>vasquezjames@hotmail.com</t>
  </si>
  <si>
    <t>melendezgary@gonzales-patterson.com</t>
  </si>
  <si>
    <t>loretta87@hotmail.com</t>
  </si>
  <si>
    <t>johnsonbrianna@hotmail.com</t>
  </si>
  <si>
    <t>burgessdavid@yahoo.com</t>
  </si>
  <si>
    <t>lnguyen@hines-perry.com</t>
  </si>
  <si>
    <t>wendygarcia@hotmail.com</t>
  </si>
  <si>
    <t>kaufmanjoanna@martin.net</t>
  </si>
  <si>
    <t>epayne@hogan.net</t>
  </si>
  <si>
    <t>sherrygriffin@gmail.com</t>
  </si>
  <si>
    <t>dustinfloyd@gmail.com</t>
  </si>
  <si>
    <t>herrerasara@prince.com</t>
  </si>
  <si>
    <t>juliesantos@gmail.com</t>
  </si>
  <si>
    <t>moyertara@russell.net</t>
  </si>
  <si>
    <t>danafinley@thompson-williams.org</t>
  </si>
  <si>
    <t>ostephens@mccoy.com</t>
  </si>
  <si>
    <t>clayton90@gmail.com</t>
  </si>
  <si>
    <t>randerson@yahoo.com</t>
  </si>
  <si>
    <t>hfletcher@riddle.com</t>
  </si>
  <si>
    <t>phillipperez@mayo.net</t>
  </si>
  <si>
    <t>danielcole@hotmail.com</t>
  </si>
  <si>
    <t>ericwang@rogers.info</t>
  </si>
  <si>
    <t>nharris@hotmail.com</t>
  </si>
  <si>
    <t>jeffreywall@thompson-elliott.com</t>
  </si>
  <si>
    <t>veronicaburns@wright.com</t>
  </si>
  <si>
    <t>robinsonchristopher@lee.net</t>
  </si>
  <si>
    <t>ddavis@hotmail.com</t>
  </si>
  <si>
    <t>kevinstephens@taylor.net</t>
  </si>
  <si>
    <t>twoods@gmail.com</t>
  </si>
  <si>
    <t>lauraalvarez@gaines.com</t>
  </si>
  <si>
    <t>melissahamilton@yahoo.com</t>
  </si>
  <si>
    <t>lharrison@koch.net</t>
  </si>
  <si>
    <t>alishalogan@hunter-jackson.com</t>
  </si>
  <si>
    <t>romerokimberly@gmail.com</t>
  </si>
  <si>
    <t>andersonbrandon@sutton.com</t>
  </si>
  <si>
    <t>tlucas@hicks-torres.com</t>
  </si>
  <si>
    <t>devinwilliams@delgado-black.com</t>
  </si>
  <si>
    <t>lincameron@yahoo.com</t>
  </si>
  <si>
    <t>laurataylor@roberts-martin.com</t>
  </si>
  <si>
    <t>gina72@gmail.com</t>
  </si>
  <si>
    <t>jason36@hotmail.com</t>
  </si>
  <si>
    <t>crich@nguyen.com</t>
  </si>
  <si>
    <t>gjohnson@rodgers.info</t>
  </si>
  <si>
    <t>betty75@hotmail.com</t>
  </si>
  <si>
    <t>jason90@hotmail.com</t>
  </si>
  <si>
    <t>nweber@yahoo.com</t>
  </si>
  <si>
    <t>martinlori@dunn.biz</t>
  </si>
  <si>
    <t>amanda86@yahoo.com</t>
  </si>
  <si>
    <t>finleystephen@hotmail.com</t>
  </si>
  <si>
    <t>ismith@gmail.com</t>
  </si>
  <si>
    <t>mikaylazamora@best.net</t>
  </si>
  <si>
    <t>shirley32@yahoo.com</t>
  </si>
  <si>
    <t>alexanderhendrix@brooks-larson.com</t>
  </si>
  <si>
    <t>jenniferscott@nixon.info</t>
  </si>
  <si>
    <t>hpaul@yahoo.com</t>
  </si>
  <si>
    <t>andrew55@harrington.com</t>
  </si>
  <si>
    <t>hamiltonchristina@chang-wood.com</t>
  </si>
  <si>
    <t>grosstaylor@hotmail.com</t>
  </si>
  <si>
    <t>gainesjennifer@graham-ruiz.biz</t>
  </si>
  <si>
    <t>jeffreyjackson@hotmail.com</t>
  </si>
  <si>
    <t>adambrown@hughes.com</t>
  </si>
  <si>
    <t>jenkinseric@norman.net</t>
  </si>
  <si>
    <t>beniteznatalie@hotmail.com</t>
  </si>
  <si>
    <t>matthewsmith@dawson-clarke.com</t>
  </si>
  <si>
    <t>joejones@hotmail.com</t>
  </si>
  <si>
    <t>brandonschwartz@smith.com</t>
  </si>
  <si>
    <t>laurie46@cunningham.com</t>
  </si>
  <si>
    <t>annette81@yahoo.com</t>
  </si>
  <si>
    <t>eodom@martin-rangel.com</t>
  </si>
  <si>
    <t>frobinson@kaiser-wilson.com</t>
  </si>
  <si>
    <t>smithcheryl@rodriguez.info</t>
  </si>
  <si>
    <t>aortiz@castillo-peters.com</t>
  </si>
  <si>
    <t>xrobinson@hotmail.com</t>
  </si>
  <si>
    <t>whitneyrobertson@gmail.com</t>
  </si>
  <si>
    <t>christopher67@yahoo.com</t>
  </si>
  <si>
    <t>corey98@willis-johnson.com</t>
  </si>
  <si>
    <t>bianca78@bolton.org</t>
  </si>
  <si>
    <t>brett40@miller.info</t>
  </si>
  <si>
    <t>debbiebell@hotmail.com</t>
  </si>
  <si>
    <t>shannon39@davies.com</t>
  </si>
  <si>
    <t>jdaniels@patterson-schwartz.info</t>
  </si>
  <si>
    <t>marywright@yahoo.com</t>
  </si>
  <si>
    <t>mason03@hotmail.com</t>
  </si>
  <si>
    <t>thomas59@brown.info</t>
  </si>
  <si>
    <t>mthompson@salazar-jackson.com</t>
  </si>
  <si>
    <t>egarcia@gmail.com</t>
  </si>
  <si>
    <t>qdavis@hunt.com</t>
  </si>
  <si>
    <t>cookjohn@watkins.info</t>
  </si>
  <si>
    <t>fergusonjohnny@gmail.com</t>
  </si>
  <si>
    <t>cwalker@nelson.com</t>
  </si>
  <si>
    <t>smithashley@wong.org</t>
  </si>
  <si>
    <t>shawn22@hotmail.com</t>
  </si>
  <si>
    <t>kennethrichardson@bonilla.com</t>
  </si>
  <si>
    <t>gblack@jackson.com</t>
  </si>
  <si>
    <t>zhangtracey@yahoo.com</t>
  </si>
  <si>
    <t>vincentfowler@martin-crane.com</t>
  </si>
  <si>
    <t>jenniferhansen@jensen.biz</t>
  </si>
  <si>
    <t>jblake@short.info</t>
  </si>
  <si>
    <t>hjordan@hotmail.com</t>
  </si>
  <si>
    <t>kathyfletcher@yahoo.com</t>
  </si>
  <si>
    <t>colemanbrandon@yahoo.com</t>
  </si>
  <si>
    <t>hinesronald@yahoo.com</t>
  </si>
  <si>
    <t>fbray@gmail.com</t>
  </si>
  <si>
    <t>stevejones@yahoo.com</t>
  </si>
  <si>
    <t>ublackwell@yahoo.com</t>
  </si>
  <si>
    <t>murraykelsey@olson.org</t>
  </si>
  <si>
    <t>joycebradley@hotmail.com</t>
  </si>
  <si>
    <t>clarkjean@yahoo.com</t>
  </si>
  <si>
    <t>samantha40@gmail.com</t>
  </si>
  <si>
    <t>qjones@larsen.com</t>
  </si>
  <si>
    <t>carteramanda@hotmail.com</t>
  </si>
  <si>
    <t>kingtricia@hotmail.com</t>
  </si>
  <si>
    <t>bowenmegan@yahoo.com</t>
  </si>
  <si>
    <t>juliablackwell@parker-wood.com</t>
  </si>
  <si>
    <t>alijeff@soto-willis.net</t>
  </si>
  <si>
    <t>parkermegan@thompson.org</t>
  </si>
  <si>
    <t>brooke20@dennis.com</t>
  </si>
  <si>
    <t>tonyajordan@nguyen.com</t>
  </si>
  <si>
    <t>tammycarter@hotmail.com</t>
  </si>
  <si>
    <t>starkerik@wong.net</t>
  </si>
  <si>
    <t>reginaparker@carter.com</t>
  </si>
  <si>
    <t>wmarshall@colon.com</t>
  </si>
  <si>
    <t>brittanywagner@hotmail.com</t>
  </si>
  <si>
    <t>jennifer53@yahoo.com</t>
  </si>
  <si>
    <t>rothjustin@hotmail.com</t>
  </si>
  <si>
    <t>daniel37@gmail.com</t>
  </si>
  <si>
    <t>ffisher@yahoo.com</t>
  </si>
  <si>
    <t>jonathanreynolds@moore-blake.org</t>
  </si>
  <si>
    <t>patrickmcbride@hotmail.com</t>
  </si>
  <si>
    <t>cruzkathleen@lopez.com</t>
  </si>
  <si>
    <t>john01@yahoo.com</t>
  </si>
  <si>
    <t>hutchinsonbrian@ray.org</t>
  </si>
  <si>
    <t>zsmith@hotmail.com</t>
  </si>
  <si>
    <t>lawsonjoshua@richardson.biz</t>
  </si>
  <si>
    <t>robert96@mitchell.com</t>
  </si>
  <si>
    <t>campbellapril@johnston.net</t>
  </si>
  <si>
    <t>marcus66@booth-holland.com</t>
  </si>
  <si>
    <t>wayne45@prince.org</t>
  </si>
  <si>
    <t>joneskristina@moore-mccormick.org</t>
  </si>
  <si>
    <t>heatherpaul@gmail.com</t>
  </si>
  <si>
    <t>jamiejones@smith-evans.com</t>
  </si>
  <si>
    <t>traceypark@gmail.com</t>
  </si>
  <si>
    <t>charlesmaria@flores.com</t>
  </si>
  <si>
    <t>ashley00@gutierrez-schneider.com</t>
  </si>
  <si>
    <t>ivasquez@yahoo.com</t>
  </si>
  <si>
    <t>amy01@gmail.com</t>
  </si>
  <si>
    <t>awilliams@hotmail.com</t>
  </si>
  <si>
    <t>ronaldcannon@yahoo.com</t>
  </si>
  <si>
    <t>frankricardo@hopkins-melton.com</t>
  </si>
  <si>
    <t>scottlaurie@white.com</t>
  </si>
  <si>
    <t>ryanwilson@hernandez-stevens.com</t>
  </si>
  <si>
    <t>chelseamay@garcia-walton.com</t>
  </si>
  <si>
    <t>dianarhodes@smith.com</t>
  </si>
  <si>
    <t>courtney06@pope.com</t>
  </si>
  <si>
    <t>markweaver@gmail.com</t>
  </si>
  <si>
    <t>andrew65@yahoo.com</t>
  </si>
  <si>
    <t>mcdonaldbrian@gmail.com</t>
  </si>
  <si>
    <t>todd64@johnson.com</t>
  </si>
  <si>
    <t>joshuamarks@murray.com</t>
  </si>
  <si>
    <t>tgomez@gmail.com</t>
  </si>
  <si>
    <t>michael04@gmail.com</t>
  </si>
  <si>
    <t>pmiller@jones.com</t>
  </si>
  <si>
    <t>washingtontheresa@yahoo.com</t>
  </si>
  <si>
    <t>john65@ellis.info</t>
  </si>
  <si>
    <t>newmancrystal@gmail.com</t>
  </si>
  <si>
    <t>newtonmaria@solomon.net</t>
  </si>
  <si>
    <t>nixonkristen@blevins.com</t>
  </si>
  <si>
    <t>rodriguezlawrence@gmail.com</t>
  </si>
  <si>
    <t>jennifermcdonald@hotmail.com</t>
  </si>
  <si>
    <t>austinbailey@fletcher-murphy.com</t>
  </si>
  <si>
    <t>michelle92@richards.info</t>
  </si>
  <si>
    <t>melissa27@weaver-kirk.com</t>
  </si>
  <si>
    <t>ballkelly@gmail.com</t>
  </si>
  <si>
    <t>bboyd@burnett.info</t>
  </si>
  <si>
    <t>jessicapalmer@patel.biz</t>
  </si>
  <si>
    <t>murphymichael@chambers-dougherty.org</t>
  </si>
  <si>
    <t>vmeyer@rowe-ferrell.com</t>
  </si>
  <si>
    <t>qoliver@gmail.com</t>
  </si>
  <si>
    <t>edwardduncan@schmidt.net</t>
  </si>
  <si>
    <t>valeriejones@smith.com</t>
  </si>
  <si>
    <t>gwendolynmiller@gmail.com</t>
  </si>
  <si>
    <t>hughesjames@vaughn-burnett.info</t>
  </si>
  <si>
    <t>pstrong@yahoo.com</t>
  </si>
  <si>
    <t>vaughnbrent@holmes-bruce.com</t>
  </si>
  <si>
    <t>jodihoover@yahoo.com</t>
  </si>
  <si>
    <t>beanrobert@gmail.com</t>
  </si>
  <si>
    <t>larsondale@khan.com</t>
  </si>
  <si>
    <t>robertsrichard@hotmail.com</t>
  </si>
  <si>
    <t>mooredawn@gmail.com</t>
  </si>
  <si>
    <t>sara54@rios-turner.com</t>
  </si>
  <si>
    <t>phillip26@yahoo.com</t>
  </si>
  <si>
    <t>jacob05@hotmail.com</t>
  </si>
  <si>
    <t>amber89@long-keith.net</t>
  </si>
  <si>
    <t>dawnrichardson@gmail.com</t>
  </si>
  <si>
    <t>qrobbins@gmail.com</t>
  </si>
  <si>
    <t>wandawilson@williams.biz</t>
  </si>
  <si>
    <t>farias@ferguson.biz</t>
  </si>
  <si>
    <t>aguirrekaren@gmail.com</t>
  </si>
  <si>
    <t>johngomez@yahoo.com</t>
  </si>
  <si>
    <t>mendezjames@baker.org</t>
  </si>
  <si>
    <t>gerald96@hall.com</t>
  </si>
  <si>
    <t>landerson@hotmail.com</t>
  </si>
  <si>
    <t>nealsara@gmail.com</t>
  </si>
  <si>
    <t>amanda37@perez-schneider.com</t>
  </si>
  <si>
    <t>dianemoore@mcdonald.info</t>
  </si>
  <si>
    <t>kathleen18@gmail.com</t>
  </si>
  <si>
    <t>jennywallace@yahoo.com</t>
  </si>
  <si>
    <t>emily12@gmail.com</t>
  </si>
  <si>
    <t>abigail43@gray.com</t>
  </si>
  <si>
    <t>charles04@hotmail.com</t>
  </si>
  <si>
    <t>jasonmoore@hotmail.com</t>
  </si>
  <si>
    <t>ashleyhansen@hotmail.com</t>
  </si>
  <si>
    <t>newtonleslie@smith.com</t>
  </si>
  <si>
    <t>michael70@ray.com</t>
  </si>
  <si>
    <t>paul28@spence-smith.info</t>
  </si>
  <si>
    <t>laurafischer@sanchez-webster.com</t>
  </si>
  <si>
    <t>joconnell@singh.net</t>
  </si>
  <si>
    <t>ufletcher@garcia.com</t>
  </si>
  <si>
    <t>brianna27@hotmail.com</t>
  </si>
  <si>
    <t>arthursullivan@hotmail.com</t>
  </si>
  <si>
    <t>nwashington@gmail.com</t>
  </si>
  <si>
    <t>rhonda67@yahoo.com</t>
  </si>
  <si>
    <t>stephaniewilson@yahoo.com</t>
  </si>
  <si>
    <t>jmccullough@clark-simmons.com</t>
  </si>
  <si>
    <t>brodriguez@gmail.com</t>
  </si>
  <si>
    <t>jennifergardner@powell-anderson.org</t>
  </si>
  <si>
    <t>baileywillis@smith.com</t>
  </si>
  <si>
    <t>matthew93@jackson.com</t>
  </si>
  <si>
    <t>smitherin@hamilton.com</t>
  </si>
  <si>
    <t>epotter@green-garcia.com</t>
  </si>
  <si>
    <t>phillipsjason@hotmail.com</t>
  </si>
  <si>
    <t>douglasperry@tanner.com</t>
  </si>
  <si>
    <t>silvamatthew@hotmail.com</t>
  </si>
  <si>
    <t>xpark@patrick-robinson.com</t>
  </si>
  <si>
    <t>matthewjones@yahoo.com</t>
  </si>
  <si>
    <t>smithmelanie@coleman-bryant.com</t>
  </si>
  <si>
    <t>esparzacatherine@andrews.com</t>
  </si>
  <si>
    <t>gmorrison@perkins.com</t>
  </si>
  <si>
    <t>natasha84@yahoo.com</t>
  </si>
  <si>
    <t>rachel90@dixon.com</t>
  </si>
  <si>
    <t>pmoore@banks-neal.com</t>
  </si>
  <si>
    <t>nathanmathis@cruz-rice.info</t>
  </si>
  <si>
    <t>sheila11@yahoo.com</t>
  </si>
  <si>
    <t>rharper@hotmail.com</t>
  </si>
  <si>
    <t>janet38@yahoo.com</t>
  </si>
  <si>
    <t>timothywilson@lee.com</t>
  </si>
  <si>
    <t>gibsonpeter@owens.info</t>
  </si>
  <si>
    <t>cooperdonald@cunningham.info</t>
  </si>
  <si>
    <t>uortiz@yahoo.com</t>
  </si>
  <si>
    <t>cblair@sharp.net</t>
  </si>
  <si>
    <t>johnsonsharon@brock.com</t>
  </si>
  <si>
    <t>cruzcynthia@gmail.com</t>
  </si>
  <si>
    <t>daniellereid@gmail.com</t>
  </si>
  <si>
    <t>wdawson@alexander-mills.com</t>
  </si>
  <si>
    <t>williamallen@yahoo.com</t>
  </si>
  <si>
    <t>adamslee@gmail.com</t>
  </si>
  <si>
    <t>porterronald@hotmail.com</t>
  </si>
  <si>
    <t>christopher86@yahoo.com</t>
  </si>
  <si>
    <t>danielle41@hotmail.com</t>
  </si>
  <si>
    <t>cgonzalez@hotmail.com</t>
  </si>
  <si>
    <t>robert40@yahoo.com</t>
  </si>
  <si>
    <t>ashley51@nichols-gibson.info</t>
  </si>
  <si>
    <t>careykristina@yahoo.com</t>
  </si>
  <si>
    <t>cunninghammaurice@hotmail.com</t>
  </si>
  <si>
    <t>anthonyhart@ortiz-sanchez.com</t>
  </si>
  <si>
    <t>stewartjulia@gmail.com</t>
  </si>
  <si>
    <t>roger82@mills-jones.com</t>
  </si>
  <si>
    <t>ptaylor@gmail.com</t>
  </si>
  <si>
    <t>castropatty@hotmail.com</t>
  </si>
  <si>
    <t>danielle97@yahoo.com</t>
  </si>
  <si>
    <t>hugheskayla@lopez-harper.org</t>
  </si>
  <si>
    <t>grahammichelle@yahoo.com</t>
  </si>
  <si>
    <t>williamspatricia@gmail.com</t>
  </si>
  <si>
    <t>amy23@yahoo.com</t>
  </si>
  <si>
    <t>dmontoya@yahoo.com</t>
  </si>
  <si>
    <t>shannon36@stanley-robinson.com</t>
  </si>
  <si>
    <t>michaelhanson@yahoo.com</t>
  </si>
  <si>
    <t>canderson@gmail.com</t>
  </si>
  <si>
    <t>sheilabrennan@hotmail.com</t>
  </si>
  <si>
    <t>rickpatrick@hotmail.com</t>
  </si>
  <si>
    <t>richmonddillon@gmail.com</t>
  </si>
  <si>
    <t>davisrichard@gmail.com</t>
  </si>
  <si>
    <t>lyang@yahoo.com</t>
  </si>
  <si>
    <t>benjamin97@price-reyes.org</t>
  </si>
  <si>
    <t>littlemelissa@hotmail.com</t>
  </si>
  <si>
    <t>adam07@reed.com</t>
  </si>
  <si>
    <t>waltermatthew@hotmail.com</t>
  </si>
  <si>
    <t>manningaustin@gmail.com</t>
  </si>
  <si>
    <t>youngbrian@yahoo.com</t>
  </si>
  <si>
    <t>matthewchavez@yahoo.com</t>
  </si>
  <si>
    <t>uwebb@hotmail.com</t>
  </si>
  <si>
    <t>ujones@hotmail.com</t>
  </si>
  <si>
    <t>williamsluke@yahoo.com</t>
  </si>
  <si>
    <t>adam00@yahoo.com</t>
  </si>
  <si>
    <t>jenkinsjames@moreno.com</t>
  </si>
  <si>
    <t>rgarcia@hotmail.com</t>
  </si>
  <si>
    <t>lozanostephen@yahoo.com</t>
  </si>
  <si>
    <t>carsonashley@gmail.com</t>
  </si>
  <si>
    <t>wilsonheather@ball.com</t>
  </si>
  <si>
    <t>djohnson@little.com</t>
  </si>
  <si>
    <t>harrisonkimberly@gmail.com</t>
  </si>
  <si>
    <t>alvindavis@gmail.com</t>
  </si>
  <si>
    <t>marygarcia@yahoo.com</t>
  </si>
  <si>
    <t>hurstmichelle@benjamin.com</t>
  </si>
  <si>
    <t>tyler51@gmail.com</t>
  </si>
  <si>
    <t>harringtontodd@yahoo.com</t>
  </si>
  <si>
    <t>xhernandez@gmail.com</t>
  </si>
  <si>
    <t>perezchristy@silva-carey.com</t>
  </si>
  <si>
    <t>qvaldez@hotmail.com</t>
  </si>
  <si>
    <t>loribailey@phillips.com</t>
  </si>
  <si>
    <t>william62@ramos.info</t>
  </si>
  <si>
    <t>williamthomas@schroeder.com</t>
  </si>
  <si>
    <t>marcushanson@yahoo.com</t>
  </si>
  <si>
    <t>edgarmcknight@yahoo.com</t>
  </si>
  <si>
    <t>aaron56@yahoo.com</t>
  </si>
  <si>
    <t>monroewendy@yahoo.com</t>
  </si>
  <si>
    <t>tiffany52@wright-fernandez.com</t>
  </si>
  <si>
    <t>angela01@cruz.com</t>
  </si>
  <si>
    <t>kcuevas@gmail.com</t>
  </si>
  <si>
    <t>qblake@kelley-jefferson.com</t>
  </si>
  <si>
    <t>ahull@hotmail.com</t>
  </si>
  <si>
    <t>wesley67@hernandez.com</t>
  </si>
  <si>
    <t>joshua12@hotmail.com</t>
  </si>
  <si>
    <t>lisa71@west.org</t>
  </si>
  <si>
    <t>eharrison@cummings.org</t>
  </si>
  <si>
    <t>susan09@yahoo.com</t>
  </si>
  <si>
    <t>summerstephens@jimenez-graham.com</t>
  </si>
  <si>
    <t>glennkimberly@butler.com</t>
  </si>
  <si>
    <t>fbrown@yahoo.com</t>
  </si>
  <si>
    <t>michael93@flores.com</t>
  </si>
  <si>
    <t>joshuajames@schultz.com</t>
  </si>
  <si>
    <t>hescobar@hotmail.com</t>
  </si>
  <si>
    <t>jonathanmartin@riley.net</t>
  </si>
  <si>
    <t>laura48@gmail.com</t>
  </si>
  <si>
    <t>fishersteven@stevens.com</t>
  </si>
  <si>
    <t>phillip50@allen.info</t>
  </si>
  <si>
    <t>elizabeth62@hotmail.com</t>
  </si>
  <si>
    <t>timothy19@yahoo.com</t>
  </si>
  <si>
    <t>cynthiastevenson@hotmail.com</t>
  </si>
  <si>
    <t>henry36@gmail.com</t>
  </si>
  <si>
    <t>wgonzalez@hotmail.com</t>
  </si>
  <si>
    <t>isaiahmanning@bell.com</t>
  </si>
  <si>
    <t>tiffanyrobinson@pierce.info</t>
  </si>
  <si>
    <t>thompsonmonica@yahoo.com</t>
  </si>
  <si>
    <t>tiffanymartinez@phillips-burke.com</t>
  </si>
  <si>
    <t>ncole@hotmail.com</t>
  </si>
  <si>
    <t>floydcheryl@gmail.com</t>
  </si>
  <si>
    <t>lynnwagner@dickerson-guerrero.org</t>
  </si>
  <si>
    <t>khowe@figueroa.org</t>
  </si>
  <si>
    <t>anthony49@hotmail.com</t>
  </si>
  <si>
    <t>jasmineray@gmail.com</t>
  </si>
  <si>
    <t>cookzachary@hotmail.com</t>
  </si>
  <si>
    <t>vadams@gmail.com</t>
  </si>
  <si>
    <t>cainryan@figueroa.net</t>
  </si>
  <si>
    <t>daniellewilson@hall-martin.net</t>
  </si>
  <si>
    <t>natasha92@gmail.com</t>
  </si>
  <si>
    <t>pmata@haley-contreras.com</t>
  </si>
  <si>
    <t>christopher10@johnson.com</t>
  </si>
  <si>
    <t>vanderson@gmail.com</t>
  </si>
  <si>
    <t>wilsonbrandy@orozco.com</t>
  </si>
  <si>
    <t>kirktiffany@gmail.com</t>
  </si>
  <si>
    <t>zjackson@yahoo.com</t>
  </si>
  <si>
    <t>shannon79@gmail.com</t>
  </si>
  <si>
    <t>christopher54@hotmail.com</t>
  </si>
  <si>
    <t>kevinknapp@marsh.com</t>
  </si>
  <si>
    <t>figueroarichard@yahoo.com</t>
  </si>
  <si>
    <t>brandon34@yahoo.com</t>
  </si>
  <si>
    <t>garciastephen@robinson.org</t>
  </si>
  <si>
    <t>alfred23@gmail.com</t>
  </si>
  <si>
    <t>hpatterson@sanders.org</t>
  </si>
  <si>
    <t>gramirez@reid.com</t>
  </si>
  <si>
    <t>arogers@yahoo.com</t>
  </si>
  <si>
    <t>johnprice@yahoo.com</t>
  </si>
  <si>
    <t>robert61@porter-costa.com</t>
  </si>
  <si>
    <t>hwilson@yahoo.com</t>
  </si>
  <si>
    <t>john97@hotmail.com</t>
  </si>
  <si>
    <t>matthewtaylor@brown-williams.info</t>
  </si>
  <si>
    <t>brittany57@clarke-johnson.org</t>
  </si>
  <si>
    <t>christianlopez@washington.biz</t>
  </si>
  <si>
    <t>qphillips@hotmail.com</t>
  </si>
  <si>
    <t>zgonzalez@yahoo.com</t>
  </si>
  <si>
    <t>mary43@yahoo.com</t>
  </si>
  <si>
    <t>cjohnson@lee.com</t>
  </si>
  <si>
    <t>ana92@gmail.com</t>
  </si>
  <si>
    <t>jennifer53@hotmail.com</t>
  </si>
  <si>
    <t>jcastaneda@kirk-wise.org</t>
  </si>
  <si>
    <t>bowens@frazier.com</t>
  </si>
  <si>
    <t>dawn39@chandler.info</t>
  </si>
  <si>
    <t>angela09@yahoo.com</t>
  </si>
  <si>
    <t>mitchellaudrey@smith.org</t>
  </si>
  <si>
    <t>barrysmith@gmail.com</t>
  </si>
  <si>
    <t>weaverjustin@smith.com</t>
  </si>
  <si>
    <t>fmills@gmail.com</t>
  </si>
  <si>
    <t>benjamin25@yahoo.com</t>
  </si>
  <si>
    <t>hobbsbetty@hotmail.com</t>
  </si>
  <si>
    <t>turnergina@yahoo.com</t>
  </si>
  <si>
    <t>davisanthony@barton.com</t>
  </si>
  <si>
    <t>jasmine78@gmail.com</t>
  </si>
  <si>
    <t>elliottamber@rivas.info</t>
  </si>
  <si>
    <t>frodriguez@johnston.com</t>
  </si>
  <si>
    <t>romerosamuel@singh.biz</t>
  </si>
  <si>
    <t>brownjessica@gentry.com</t>
  </si>
  <si>
    <t>craighill@hall.biz</t>
  </si>
  <si>
    <t>rgrimes@gmail.com</t>
  </si>
  <si>
    <t>mariareese@thomas.com</t>
  </si>
  <si>
    <t>coxvictor@hotmail.com</t>
  </si>
  <si>
    <t>jeanne38@yahoo.com</t>
  </si>
  <si>
    <t>david12@mcdowell.info</t>
  </si>
  <si>
    <t>brandon56@hotmail.com</t>
  </si>
  <si>
    <t>whall@hotmail.com</t>
  </si>
  <si>
    <t>ulewis@yahoo.com</t>
  </si>
  <si>
    <t>christymorris@hotmail.com</t>
  </si>
  <si>
    <t>tapiatheresa@aguilar-juarez.biz</t>
  </si>
  <si>
    <t>transamantha@rodriguez.com</t>
  </si>
  <si>
    <t>leekeith@hotmail.com</t>
  </si>
  <si>
    <t>travisweber@hotmail.com</t>
  </si>
  <si>
    <t>allenbailey@blanchard-mann.biz</t>
  </si>
  <si>
    <t>briancobb@romero-gonzalez.com</t>
  </si>
  <si>
    <t>michaelmartin@yahoo.com</t>
  </si>
  <si>
    <t>hwhite@cordova.info</t>
  </si>
  <si>
    <t>ichase@stout.com</t>
  </si>
  <si>
    <t>kingdavid@yahoo.com</t>
  </si>
  <si>
    <t>weeksmandy@barnes.com</t>
  </si>
  <si>
    <t>elizabeth94@deleon-coffey.org</t>
  </si>
  <si>
    <t>paigeholland@yahoo.com</t>
  </si>
  <si>
    <t>ebright@ramos.com</t>
  </si>
  <si>
    <t>fvargas@campbell.biz</t>
  </si>
  <si>
    <t>morrisaaron@valdez-hunt.com</t>
  </si>
  <si>
    <t>jmay@hotmail.com</t>
  </si>
  <si>
    <t>garciajustin@hotmail.com</t>
  </si>
  <si>
    <t>wbass@yahoo.com</t>
  </si>
  <si>
    <t>sarasmith@yahoo.com</t>
  </si>
  <si>
    <t>showard@mills.com</t>
  </si>
  <si>
    <t>stevensglen@gmail.com</t>
  </si>
  <si>
    <t>chadnoble@ryan-singleton.net</t>
  </si>
  <si>
    <t>kelly29@yahoo.com</t>
  </si>
  <si>
    <t>randylyons@rodriguez.com</t>
  </si>
  <si>
    <t>cunninghamsteven@pearson-ryan.biz</t>
  </si>
  <si>
    <t>stonebrittany@yahoo.com</t>
  </si>
  <si>
    <t>hillshannon@gmail.com</t>
  </si>
  <si>
    <t>sharon37@yahoo.com</t>
  </si>
  <si>
    <t>whitematthew@daniels-oneal.com</t>
  </si>
  <si>
    <t>ewilson@yahoo.com</t>
  </si>
  <si>
    <t>rogersrichard@gmail.com</t>
  </si>
  <si>
    <t>carolyn80@gray.net</t>
  </si>
  <si>
    <t>nicole26@hotmail.com</t>
  </si>
  <si>
    <t>davisdebbie@sparks-gonzalez.info</t>
  </si>
  <si>
    <t>bcarson@hamilton-cantu.com</t>
  </si>
  <si>
    <t>cynthiaburton@curtis.com</t>
  </si>
  <si>
    <t>charlenefox@gmail.com</t>
  </si>
  <si>
    <t>kim07@yahoo.com</t>
  </si>
  <si>
    <t>jaimesharp@yahoo.com</t>
  </si>
  <si>
    <t>johnmarsh@moran.biz</t>
  </si>
  <si>
    <t>kayla12@hotmail.com</t>
  </si>
  <si>
    <t>derrickbryan@williams.org</t>
  </si>
  <si>
    <t>brett94@yahoo.com</t>
  </si>
  <si>
    <t>nicole59@gmail.com</t>
  </si>
  <si>
    <t>juliewebb@miller.org</t>
  </si>
  <si>
    <t>lpayne@hotmail.com</t>
  </si>
  <si>
    <t>+1-080-566-7627</t>
  </si>
  <si>
    <t>249.673.1574x3454</t>
  </si>
  <si>
    <t>+1-803-670-4142x729</t>
  </si>
  <si>
    <t>(913)885-1477</t>
  </si>
  <si>
    <t>329.278.4353x5726</t>
  </si>
  <si>
    <t>415.767.8029</t>
  </si>
  <si>
    <t>001-769-486-0609x917</t>
  </si>
  <si>
    <t>+1-340-604-0301</t>
  </si>
  <si>
    <t>534.379.4593</t>
  </si>
  <si>
    <t>+1-628-652-1347</t>
  </si>
  <si>
    <t>355-749-6152x6151</t>
  </si>
  <si>
    <t>460.504.7307</t>
  </si>
  <si>
    <t>(268)162-3531x6358</t>
  </si>
  <si>
    <t>594.167.8512x7103</t>
  </si>
  <si>
    <t>(809)900-7362x217</t>
  </si>
  <si>
    <t>514-926-2983x320</t>
  </si>
  <si>
    <t>(043)457-7701</t>
  </si>
  <si>
    <t>(935)306-9403x4339</t>
  </si>
  <si>
    <t>165.602.0219x778</t>
  </si>
  <si>
    <t>261.538.8624</t>
  </si>
  <si>
    <t>001-427-413-6982x580</t>
  </si>
  <si>
    <t>001-921-137-3522</t>
  </si>
  <si>
    <t>472-211-9465</t>
  </si>
  <si>
    <t>7776381781</t>
  </si>
  <si>
    <t>+1-526-974-4429</t>
  </si>
  <si>
    <t>+1-394-479-2611</t>
  </si>
  <si>
    <t>570.608.0380x00908</t>
  </si>
  <si>
    <t>097.536.5582x51816</t>
  </si>
  <si>
    <t>+1-385-457-5485</t>
  </si>
  <si>
    <t>+1-497-192-4665x3680</t>
  </si>
  <si>
    <t>001-035-629-4952x5789</t>
  </si>
  <si>
    <t>(849)575-5639</t>
  </si>
  <si>
    <t>282-127-3333x0073</t>
  </si>
  <si>
    <t>(115)804-5810</t>
  </si>
  <si>
    <t>683.496.9345</t>
  </si>
  <si>
    <t>213.171.7884x61646</t>
  </si>
  <si>
    <t>348-914-4585x1328</t>
  </si>
  <si>
    <t>174-525-1701x1286</t>
  </si>
  <si>
    <t>001-302-095-7305x693</t>
  </si>
  <si>
    <t>576.706.2400</t>
  </si>
  <si>
    <t>757-817-4009x79705</t>
  </si>
  <si>
    <t>377.938.4466x122</t>
  </si>
  <si>
    <t>1058172564</t>
  </si>
  <si>
    <t>001-552-230-6541x0157</t>
  </si>
  <si>
    <t>487-971-4115x152</t>
  </si>
  <si>
    <t>+1-548-051-4321x5718</t>
  </si>
  <si>
    <t>470.093.7023</t>
  </si>
  <si>
    <t>001-989-865-5912x671</t>
  </si>
  <si>
    <t>(330)104-1471x1276</t>
  </si>
  <si>
    <t>3480862018</t>
  </si>
  <si>
    <t>366-721-4709x963</t>
  </si>
  <si>
    <t>001-993-240-3196x15312</t>
  </si>
  <si>
    <t>9647710238</t>
  </si>
  <si>
    <t>(759)084-1219x9476</t>
  </si>
  <si>
    <t>089-473-8941</t>
  </si>
  <si>
    <t>244.551.3776</t>
  </si>
  <si>
    <t>(980)574-9983x127</t>
  </si>
  <si>
    <t>(201)213-5339x80325</t>
  </si>
  <si>
    <t>001-787-862-2204</t>
  </si>
  <si>
    <t>7293396419</t>
  </si>
  <si>
    <t>394.521.8850x79571</t>
  </si>
  <si>
    <t>446-346-6359</t>
  </si>
  <si>
    <t>(827)765-6214x546</t>
  </si>
  <si>
    <t>+1-720-639-6764</t>
  </si>
  <si>
    <t>963-673-4439</t>
  </si>
  <si>
    <t>411.232.7215x26033</t>
  </si>
  <si>
    <t>(114)431-6829x96595</t>
  </si>
  <si>
    <t>909-432-4313x1449</t>
  </si>
  <si>
    <t>038-586-4865x463</t>
  </si>
  <si>
    <t>952.224.2800x1059</t>
  </si>
  <si>
    <t>269-624-7483</t>
  </si>
  <si>
    <t>001-002-934-3284x0949</t>
  </si>
  <si>
    <t>013-038-7659x426</t>
  </si>
  <si>
    <t>979.347.2170x505</t>
  </si>
  <si>
    <t>766-413-4043x183</t>
  </si>
  <si>
    <t>+1-787-560-2614x217</t>
  </si>
  <si>
    <t>(617)420-5011x48101</t>
  </si>
  <si>
    <t>+1-035-694-3829x9847</t>
  </si>
  <si>
    <t>001-206-747-4608x8705</t>
  </si>
  <si>
    <t>561-796-1724x35033</t>
  </si>
  <si>
    <t>+1-391-905-6398x770</t>
  </si>
  <si>
    <t>+1-872-812-8165x36113</t>
  </si>
  <si>
    <t>853-863-4923x211</t>
  </si>
  <si>
    <t>(024)560-4032x138</t>
  </si>
  <si>
    <t>001-363-384-4914</t>
  </si>
  <si>
    <t>+1-228-418-5335</t>
  </si>
  <si>
    <t>001-866-834-3254x19850</t>
  </si>
  <si>
    <t>(392)955-9843x404</t>
  </si>
  <si>
    <t>(555)253-5537x40276</t>
  </si>
  <si>
    <t>047.165.9183</t>
  </si>
  <si>
    <t>(383)330-0443x571</t>
  </si>
  <si>
    <t>126-184-5391x99110</t>
  </si>
  <si>
    <t>(622)203-3589</t>
  </si>
  <si>
    <t>3684795289</t>
  </si>
  <si>
    <t>001-561-275-7623x0420</t>
  </si>
  <si>
    <t>157.593.1681x54090</t>
  </si>
  <si>
    <t>267-451-3646x6018</t>
  </si>
  <si>
    <t>001-320-335-5125x6966</t>
  </si>
  <si>
    <t>879.832.8863x5425</t>
  </si>
  <si>
    <t>(433)162-6781</t>
  </si>
  <si>
    <t>054.872.8405</t>
  </si>
  <si>
    <t>001-689-719-6194x089</t>
  </si>
  <si>
    <t>389-820-8890x586</t>
  </si>
  <si>
    <t>(708)148-2511x7014</t>
  </si>
  <si>
    <t>(917)040-8822x82236</t>
  </si>
  <si>
    <t>+1-687-488-7699x40394</t>
  </si>
  <si>
    <t>(304)112-7496x1609</t>
  </si>
  <si>
    <t>350.852.6899</t>
  </si>
  <si>
    <t>583.883.1045x2918</t>
  </si>
  <si>
    <t>001-243-887-1833</t>
  </si>
  <si>
    <t>001-227-531-6244x118</t>
  </si>
  <si>
    <t>867.213.6176x89105</t>
  </si>
  <si>
    <t>001-697-991-6422x885</t>
  </si>
  <si>
    <t>891.575.3293x233</t>
  </si>
  <si>
    <t>001-830-753-3709x86781</t>
  </si>
  <si>
    <t>1980202000</t>
  </si>
  <si>
    <t>(753)071-6981x5066</t>
  </si>
  <si>
    <t>447.280.7699</t>
  </si>
  <si>
    <t>+1-589-198-3738</t>
  </si>
  <si>
    <t>001-957-923-4439</t>
  </si>
  <si>
    <t>+1-953-182-7189x45144</t>
  </si>
  <si>
    <t>846-932-5316x948</t>
  </si>
  <si>
    <t>857-318-9734x220</t>
  </si>
  <si>
    <t>001-981-817-5918x4956</t>
  </si>
  <si>
    <t>+1-008-200-1589x1620</t>
  </si>
  <si>
    <t>319-091-9105x07068</t>
  </si>
  <si>
    <t>693.627.5670</t>
  </si>
  <si>
    <t>(578)994-3631</t>
  </si>
  <si>
    <t>001-863-629-6575x673</t>
  </si>
  <si>
    <t>(228)692-5151</t>
  </si>
  <si>
    <t>(754)319-3721x856</t>
  </si>
  <si>
    <t>923-517-8375x08589</t>
  </si>
  <si>
    <t>(628)203-0239x0523</t>
  </si>
  <si>
    <t>001-661-881-9189x04930</t>
  </si>
  <si>
    <t>(315)186-2423</t>
  </si>
  <si>
    <t>001-123-774-2148x942</t>
  </si>
  <si>
    <t>001-254-076-2025x6000</t>
  </si>
  <si>
    <t>203-425-4253x9528</t>
  </si>
  <si>
    <t>+1-665-978-9463</t>
  </si>
  <si>
    <t>(258)165-7423x1407</t>
  </si>
  <si>
    <t>001-027-998-3467x5118</t>
  </si>
  <si>
    <t>911.629.6795x4894</t>
  </si>
  <si>
    <t>001-784-471-5697</t>
  </si>
  <si>
    <t>607.664.2817</t>
  </si>
  <si>
    <t>+1-512-240-8181x8202</t>
  </si>
  <si>
    <t>024.558.3534</t>
  </si>
  <si>
    <t>358-018-0237</t>
  </si>
  <si>
    <t>4519500417</t>
  </si>
  <si>
    <t>(635)092-0161</t>
  </si>
  <si>
    <t>613-868-4861x650</t>
  </si>
  <si>
    <t>(450)097-0664</t>
  </si>
  <si>
    <t>620.132.6777x44400</t>
  </si>
  <si>
    <t>+1-342-514-6076</t>
  </si>
  <si>
    <t>+1-210-110-8634x219</t>
  </si>
  <si>
    <t>761.294.6773</t>
  </si>
  <si>
    <t>+1-513-292-5799</t>
  </si>
  <si>
    <t>677.699.3317x1246</t>
  </si>
  <si>
    <t>0323573927</t>
  </si>
  <si>
    <t>+1-877-261-3164x94872</t>
  </si>
  <si>
    <t>(795)219-2238</t>
  </si>
  <si>
    <t>+1-771-681-9303x765</t>
  </si>
  <si>
    <t>585-544-9276x70041</t>
  </si>
  <si>
    <t>6144947675</t>
  </si>
  <si>
    <t>+1-238-425-6958</t>
  </si>
  <si>
    <t>+1-885-008-0039</t>
  </si>
  <si>
    <t>643.922.9285x6628</t>
  </si>
  <si>
    <t>001-944-425-8805</t>
  </si>
  <si>
    <t>954-471-0415</t>
  </si>
  <si>
    <t>(489)547-1182x779</t>
  </si>
  <si>
    <t>7685906477</t>
  </si>
  <si>
    <t>554.781.0939</t>
  </si>
  <si>
    <t>(810)035-3458x680</t>
  </si>
  <si>
    <t>6310586141</t>
  </si>
  <si>
    <t>326-723-0767x6012</t>
  </si>
  <si>
    <t>9873679959</t>
  </si>
  <si>
    <t>082.953.5430x13650</t>
  </si>
  <si>
    <t>+1-970-049-3514x7035</t>
  </si>
  <si>
    <t>722-829-1700x7129</t>
  </si>
  <si>
    <t>930-605-5084x2922</t>
  </si>
  <si>
    <t>883-798-7250x623</t>
  </si>
  <si>
    <t>794.217.0077x12288</t>
  </si>
  <si>
    <t>979.654.5626x293</t>
  </si>
  <si>
    <t>641.252.0758</t>
  </si>
  <si>
    <t>5785494654</t>
  </si>
  <si>
    <t>5572493434</t>
  </si>
  <si>
    <t>079-802-1029x2574</t>
  </si>
  <si>
    <t>(180)154-5239</t>
  </si>
  <si>
    <t>+1-468-517-1514x784</t>
  </si>
  <si>
    <t>+1-946-583-0038x4619</t>
  </si>
  <si>
    <t>+1-118-099-5663</t>
  </si>
  <si>
    <t>(526)772-2564</t>
  </si>
  <si>
    <t>(032)035-2567</t>
  </si>
  <si>
    <t>5269641498</t>
  </si>
  <si>
    <t>886.912.0094</t>
  </si>
  <si>
    <t>001-431-716-8960x667</t>
  </si>
  <si>
    <t>6105521171</t>
  </si>
  <si>
    <t>6099000290</t>
  </si>
  <si>
    <t>583-168-9408x5279</t>
  </si>
  <si>
    <t>895.490.0421x65961</t>
  </si>
  <si>
    <t>056-933-3508x228</t>
  </si>
  <si>
    <t>001-429-139-9869x443</t>
  </si>
  <si>
    <t>(478)611-1779</t>
  </si>
  <si>
    <t>582.404.6691x7849</t>
  </si>
  <si>
    <t>871-362-3663x4121</t>
  </si>
  <si>
    <t>001-562-011-6010</t>
  </si>
  <si>
    <t>+1-365-885-6736</t>
  </si>
  <si>
    <t>001-597-042-2145x19620</t>
  </si>
  <si>
    <t>332.328.5850x99160</t>
  </si>
  <si>
    <t>124.965.0292x00238</t>
  </si>
  <si>
    <t>+1-482-101-0917</t>
  </si>
  <si>
    <t>001-988-293-4546x9854</t>
  </si>
  <si>
    <t>499-476-3751x7181</t>
  </si>
  <si>
    <t>926.313.0978x93239</t>
  </si>
  <si>
    <t>698-040-9746x843</t>
  </si>
  <si>
    <t>001-665-630-6305</t>
  </si>
  <si>
    <t>001-062-232-6236x87370</t>
  </si>
  <si>
    <t>(146)300-9663</t>
  </si>
  <si>
    <t>+1-466-262-3088</t>
  </si>
  <si>
    <t>+1-623-806-6433</t>
  </si>
  <si>
    <t>001-530-560-9771</t>
  </si>
  <si>
    <t>+1-337-780-8232</t>
  </si>
  <si>
    <t>997.256.8749x2190</t>
  </si>
  <si>
    <t>086.740.3146</t>
  </si>
  <si>
    <t>725-072-0462</t>
  </si>
  <si>
    <t>038-038-8482</t>
  </si>
  <si>
    <t>551-525-7556</t>
  </si>
  <si>
    <t>001-298-943-4215</t>
  </si>
  <si>
    <t>+1-784-817-4618x490</t>
  </si>
  <si>
    <t>001-812-036-6492</t>
  </si>
  <si>
    <t>001-069-772-3236</t>
  </si>
  <si>
    <t>+1-670-355-8757x055</t>
  </si>
  <si>
    <t>(050)701-7148</t>
  </si>
  <si>
    <t>001-258-549-6526x5663</t>
  </si>
  <si>
    <t>(407)240-1576x83057</t>
  </si>
  <si>
    <t>0318379791</t>
  </si>
  <si>
    <t>(190)607-9729x52422</t>
  </si>
  <si>
    <t>1164220602</t>
  </si>
  <si>
    <t>594-042-0804x81498</t>
  </si>
  <si>
    <t>+1-432-306-1973x24155</t>
  </si>
  <si>
    <t>1017931003</t>
  </si>
  <si>
    <t>(835)174-5838x39493</t>
  </si>
  <si>
    <t>(058)327-0453x64800</t>
  </si>
  <si>
    <t>001-871-873-4761</t>
  </si>
  <si>
    <t>302.654.4584</t>
  </si>
  <si>
    <t>+1-774-036-4306x80416</t>
  </si>
  <si>
    <t>001-716-929-9168x191</t>
  </si>
  <si>
    <t>807.926.7037</t>
  </si>
  <si>
    <t>033.411.0841</t>
  </si>
  <si>
    <t>001-378-584-6400x9698</t>
  </si>
  <si>
    <t>001-773-669-2139x620</t>
  </si>
  <si>
    <t>(256)702-1182x7402</t>
  </si>
  <si>
    <t>+1-532-385-6952x653</t>
  </si>
  <si>
    <t>001-331-662-6233x21935</t>
  </si>
  <si>
    <t>001-422-770-1232x2116</t>
  </si>
  <si>
    <t>448-493-8504x083</t>
  </si>
  <si>
    <t>304.753.3238x437</t>
  </si>
  <si>
    <t>+1-584-773-6770x747</t>
  </si>
  <si>
    <t>374.137.5118</t>
  </si>
  <si>
    <t>(495)844-7318x4248</t>
  </si>
  <si>
    <t>167-367-4889x8215</t>
  </si>
  <si>
    <t>001-830-491-9638x36015</t>
  </si>
  <si>
    <t>001-356-604-5989x039</t>
  </si>
  <si>
    <t>001-809-270-5525</t>
  </si>
  <si>
    <t>001-524-963-2274x443</t>
  </si>
  <si>
    <t>328-898-6448</t>
  </si>
  <si>
    <t>798.809.1990</t>
  </si>
  <si>
    <t>198-930-5660x7580</t>
  </si>
  <si>
    <t>(954)707-4309</t>
  </si>
  <si>
    <t>8244325152</t>
  </si>
  <si>
    <t>001-681-349-8048</t>
  </si>
  <si>
    <t>+1-654-793-2082x7871</t>
  </si>
  <si>
    <t>257.670.7360</t>
  </si>
  <si>
    <t>3746869496</t>
  </si>
  <si>
    <t>642-380-8704</t>
  </si>
  <si>
    <t>+1-015-986-2506</t>
  </si>
  <si>
    <t>141.023.3515x460</t>
  </si>
  <si>
    <t>115.275.3928x38397</t>
  </si>
  <si>
    <t>001-974-820-3526x55772</t>
  </si>
  <si>
    <t>001-378-794-1942</t>
  </si>
  <si>
    <t>086-991-9279x440</t>
  </si>
  <si>
    <t>(069)737-4918x1126</t>
  </si>
  <si>
    <t>393-115-0826x876</t>
  </si>
  <si>
    <t>(245)423-9966</t>
  </si>
  <si>
    <t>001-958-103-3477</t>
  </si>
  <si>
    <t>200.238.0654x896</t>
  </si>
  <si>
    <t>+1-417-536-7327x7430</t>
  </si>
  <si>
    <t>(888)282-2528</t>
  </si>
  <si>
    <t>467-708-5539x05768</t>
  </si>
  <si>
    <t>219.127.9553</t>
  </si>
  <si>
    <t>(777)924-0557x969</t>
  </si>
  <si>
    <t>(422)943-4422x673</t>
  </si>
  <si>
    <t>(832)981-8141x332</t>
  </si>
  <si>
    <t>230.002.1198</t>
  </si>
  <si>
    <t>983.173.6746x2236</t>
  </si>
  <si>
    <t>(942)586-5977x56133</t>
  </si>
  <si>
    <t>038.203.1505</t>
  </si>
  <si>
    <t>096-531-1354x515</t>
  </si>
  <si>
    <t>417-645-9482</t>
  </si>
  <si>
    <t>+1-130-679-0127x682</t>
  </si>
  <si>
    <t>+1-509-212-1866x26604</t>
  </si>
  <si>
    <t>446.787.9559x979</t>
  </si>
  <si>
    <t>623-058-3983x983</t>
  </si>
  <si>
    <t>060.288.0982x93792</t>
  </si>
  <si>
    <t>610.242.9630</t>
  </si>
  <si>
    <t>+1-281-216-2541x56156</t>
  </si>
  <si>
    <t>(965)465-8200x997</t>
  </si>
  <si>
    <t>(987)588-6190x044</t>
  </si>
  <si>
    <t>502.562.5435x9814</t>
  </si>
  <si>
    <t>(967)102-3158x0110</t>
  </si>
  <si>
    <t>001-925-978-6393</t>
  </si>
  <si>
    <t>392.498.4712x17832</t>
  </si>
  <si>
    <t>596-550-4210</t>
  </si>
  <si>
    <t>001-633-920-9309x03910</t>
  </si>
  <si>
    <t>(944)198-4719x1996</t>
  </si>
  <si>
    <t>272-742-1380</t>
  </si>
  <si>
    <t>+1-124-561-1850x74076</t>
  </si>
  <si>
    <t>001-283-770-7235x07002</t>
  </si>
  <si>
    <t>+1-682-697-3344x093</t>
  </si>
  <si>
    <t>(035)440-8538x681</t>
  </si>
  <si>
    <t>329-307-5938x24819</t>
  </si>
  <si>
    <t>250.087.9096x690</t>
  </si>
  <si>
    <t>5747155827</t>
  </si>
  <si>
    <t>001-765-118-5525x51664</t>
  </si>
  <si>
    <t>566.809.2986</t>
  </si>
  <si>
    <t>(760)356-1730x5044</t>
  </si>
  <si>
    <t>818.233.6054</t>
  </si>
  <si>
    <t>5181747908</t>
  </si>
  <si>
    <t>930-719-3491</t>
  </si>
  <si>
    <t>041.026.0405x812</t>
  </si>
  <si>
    <t>696-694-1407x6029</t>
  </si>
  <si>
    <t>594.488.5430x56527</t>
  </si>
  <si>
    <t>8873286811</t>
  </si>
  <si>
    <t>+1-173-717-7134x747</t>
  </si>
  <si>
    <t>001-381-250-1306x569</t>
  </si>
  <si>
    <t>702-356-3509x38444</t>
  </si>
  <si>
    <t>(285)180-9235</t>
  </si>
  <si>
    <t>843-383-5300x30249</t>
  </si>
  <si>
    <t>(536)107-5132x32863</t>
  </si>
  <si>
    <t>(301)981-5295x16680</t>
  </si>
  <si>
    <t>300.652.1132</t>
  </si>
  <si>
    <t>(370)475-0344</t>
  </si>
  <si>
    <t>203-915-9413</t>
  </si>
  <si>
    <t>001-193-423-0387x62242</t>
  </si>
  <si>
    <t>001-334-277-0712x62387</t>
  </si>
  <si>
    <t>820.631.7370x3362</t>
  </si>
  <si>
    <t>+1-294-243-6159x829</t>
  </si>
  <si>
    <t>+1-209-380-4500x07617</t>
  </si>
  <si>
    <t>518.038.7304</t>
  </si>
  <si>
    <t>+1-803-653-3707</t>
  </si>
  <si>
    <t>8634125131</t>
  </si>
  <si>
    <t>+1-106-715-2357</t>
  </si>
  <si>
    <t>001-899-374-9696x87660</t>
  </si>
  <si>
    <t>201.592.1264x712</t>
  </si>
  <si>
    <t>489.417.4946</t>
  </si>
  <si>
    <t>+1-204-452-2951x3693</t>
  </si>
  <si>
    <t>001-346-472-3692x2701</t>
  </si>
  <si>
    <t>(124)336-6824</t>
  </si>
  <si>
    <t>001-015-436-7217x55876</t>
  </si>
  <si>
    <t>(330)693-9979x19813</t>
  </si>
  <si>
    <t>988.743.4375x181</t>
  </si>
  <si>
    <t>370-711-2349</t>
  </si>
  <si>
    <t>385-949-5164x828</t>
  </si>
  <si>
    <t>255.800.1815x70185</t>
  </si>
  <si>
    <t>456.820.2391x3888</t>
  </si>
  <si>
    <t>+1-168-600-1202x66713</t>
  </si>
  <si>
    <t>(109)037-8527x4023</t>
  </si>
  <si>
    <t>110-216-1808</t>
  </si>
  <si>
    <t>490.508.7952x4500</t>
  </si>
  <si>
    <t>312-791-9164x02810</t>
  </si>
  <si>
    <t>858-946-9401x37407</t>
  </si>
  <si>
    <t>001-003-074-0770x60247</t>
  </si>
  <si>
    <t>(991)080-5257</t>
  </si>
  <si>
    <t>2895814814</t>
  </si>
  <si>
    <t>800.665.6860</t>
  </si>
  <si>
    <t>667-695-1418</t>
  </si>
  <si>
    <t>998-303-2891x1429</t>
  </si>
  <si>
    <t>+1-559-773-3330x983</t>
  </si>
  <si>
    <t>(084)573-5956x82629</t>
  </si>
  <si>
    <t>036-726-8527x789</t>
  </si>
  <si>
    <t>+1-153-689-6750x018</t>
  </si>
  <si>
    <t>653.781.7570x633</t>
  </si>
  <si>
    <t>197-453-2481x91165</t>
  </si>
  <si>
    <t>001-083-651-4231</t>
  </si>
  <si>
    <t>(408)053-7197x441</t>
  </si>
  <si>
    <t>553-009-3247</t>
  </si>
  <si>
    <t>3086100621</t>
  </si>
  <si>
    <t>349.572.6459</t>
  </si>
  <si>
    <t>038-039-9660x968</t>
  </si>
  <si>
    <t>423-688-3249x13942</t>
  </si>
  <si>
    <t>(641)852-7535</t>
  </si>
  <si>
    <t>150-113-7734x9157</t>
  </si>
  <si>
    <t>4792645389</t>
  </si>
  <si>
    <t>+1-667-891-1211x12974</t>
  </si>
  <si>
    <t>925-062-8835x963</t>
  </si>
  <si>
    <t>7399836758</t>
  </si>
  <si>
    <t>315-835-6505x209</t>
  </si>
  <si>
    <t>+1-663-628-1299x2490</t>
  </si>
  <si>
    <t>080-149-2298</t>
  </si>
  <si>
    <t>846.591.5992x240</t>
  </si>
  <si>
    <t>1644622372</t>
  </si>
  <si>
    <t>(052)904-5681x584</t>
  </si>
  <si>
    <t>(679)683-0052x588</t>
  </si>
  <si>
    <t>129-237-9425x253</t>
  </si>
  <si>
    <t>+1-400-532-1791</t>
  </si>
  <si>
    <t>001-788-169-5976x035</t>
  </si>
  <si>
    <t>765-797-2121</t>
  </si>
  <si>
    <t>001-906-435-9816x82636</t>
  </si>
  <si>
    <t>(518)380-1236x98791</t>
  </si>
  <si>
    <t>001-966-298-2125</t>
  </si>
  <si>
    <t>+1-554-405-7606x8811</t>
  </si>
  <si>
    <t>001-733-368-5694</t>
  </si>
  <si>
    <t>273-242-2271</t>
  </si>
  <si>
    <t>912-109-4670</t>
  </si>
  <si>
    <t>855.049.7257x55505</t>
  </si>
  <si>
    <t>892.743.1804</t>
  </si>
  <si>
    <t>+1-842-227-9671x72484</t>
  </si>
  <si>
    <t>(459)863-9144</t>
  </si>
  <si>
    <t>638-421-1454x854</t>
  </si>
  <si>
    <t>761.742.6964x96818</t>
  </si>
  <si>
    <t>054.189.7754</t>
  </si>
  <si>
    <t>608-799-1580</t>
  </si>
  <si>
    <t>905-572-4060x9446</t>
  </si>
  <si>
    <t>(129)554-1708</t>
  </si>
  <si>
    <t>001-965-765-4937</t>
  </si>
  <si>
    <t>569.114.8865x807</t>
  </si>
  <si>
    <t>(800)538-3539x4939</t>
  </si>
  <si>
    <t>856-459-6767x45872</t>
  </si>
  <si>
    <t>030-026-0661x6446</t>
  </si>
  <si>
    <t>551.105.8711x867</t>
  </si>
  <si>
    <t>994-381-2973x186</t>
  </si>
  <si>
    <t>001-841-905-3893x69817</t>
  </si>
  <si>
    <t>(907)716-4144x032</t>
  </si>
  <si>
    <t>713-569-2741x254</t>
  </si>
  <si>
    <t>(032)183-3234</t>
  </si>
  <si>
    <t>(300)861-1282x685</t>
  </si>
  <si>
    <t>101.905.5553x4935</t>
  </si>
  <si>
    <t>001-199-675-1306x6067</t>
  </si>
  <si>
    <t>001-183-038-6496x96967</t>
  </si>
  <si>
    <t>+1-930-151-7028x388</t>
  </si>
  <si>
    <t>(031)947-3253</t>
  </si>
  <si>
    <t>536.183.3191</t>
  </si>
  <si>
    <t>886.561.9036x4285</t>
  </si>
  <si>
    <t>8300738418</t>
  </si>
  <si>
    <t>320.890.8401</t>
  </si>
  <si>
    <t>737-079-4492</t>
  </si>
  <si>
    <t>5882902897</t>
  </si>
  <si>
    <t>+1-418-369-0217x1977</t>
  </si>
  <si>
    <t>001-351-144-9517x3346</t>
  </si>
  <si>
    <t>+1-758-700-3052x471</t>
  </si>
  <si>
    <t>4115526554</t>
  </si>
  <si>
    <t>411.569.7837</t>
  </si>
  <si>
    <t>608.752.7064</t>
  </si>
  <si>
    <t>037-917-2462x55510</t>
  </si>
  <si>
    <t>115.167.4826x4780</t>
  </si>
  <si>
    <t>3772572065</t>
  </si>
  <si>
    <t>(166)801-2540x9149</t>
  </si>
  <si>
    <t>001-276-906-4606</t>
  </si>
  <si>
    <t>+1-105-440-3449</t>
  </si>
  <si>
    <t>7917191026</t>
  </si>
  <si>
    <t>076-931-6230x2868</t>
  </si>
  <si>
    <t>+1-030-074-1349x42915</t>
  </si>
  <si>
    <t>078.036.0723</t>
  </si>
  <si>
    <t>756-054-5986x39503</t>
  </si>
  <si>
    <t>(455)185-0261</t>
  </si>
  <si>
    <t>634.752.9991x221</t>
  </si>
  <si>
    <t>(001)617-2885x852</t>
  </si>
  <si>
    <t>+1-257-389-0526</t>
  </si>
  <si>
    <t>001-351-876-9390x841</t>
  </si>
  <si>
    <t>490.866.4630x278</t>
  </si>
  <si>
    <t>(511)883-4199x680</t>
  </si>
  <si>
    <t>217-096-5291</t>
  </si>
  <si>
    <t>3113973926</t>
  </si>
  <si>
    <t>958.943.0264x16893</t>
  </si>
  <si>
    <t>992.915.5242x1666</t>
  </si>
  <si>
    <t>(417)173-0941x94369</t>
  </si>
  <si>
    <t>575.256.6744x8280</t>
  </si>
  <si>
    <t>0571207142</t>
  </si>
  <si>
    <t>+1-022-494-5469x711</t>
  </si>
  <si>
    <t>854.635.1360</t>
  </si>
  <si>
    <t>220-136-1176</t>
  </si>
  <si>
    <t>2957980708</t>
  </si>
  <si>
    <t>9672988380</t>
  </si>
  <si>
    <t>110.739.9012x289</t>
  </si>
  <si>
    <t>+1-518-942-9225</t>
  </si>
  <si>
    <t>537-893-7393</t>
  </si>
  <si>
    <t>+1-209-628-1629</t>
  </si>
  <si>
    <t>+1-609-169-4764x624</t>
  </si>
  <si>
    <t>074.413.3527x5790</t>
  </si>
  <si>
    <t>001-833-335-2433</t>
  </si>
  <si>
    <t>(171)415-9085x9588</t>
  </si>
  <si>
    <t>780.879.6007</t>
  </si>
  <si>
    <t>251-092-7795x9647</t>
  </si>
  <si>
    <t>668.165.9733</t>
  </si>
  <si>
    <t>001-046-643-8744</t>
  </si>
  <si>
    <t>001-493-113-7350</t>
  </si>
  <si>
    <t>310.605.2147</t>
  </si>
  <si>
    <t>001-563-166-1277x17178</t>
  </si>
  <si>
    <t>+1-412-948-0862x4801</t>
  </si>
  <si>
    <t>461-110-6542x4024</t>
  </si>
  <si>
    <t>(854)825-7365x735</t>
  </si>
  <si>
    <t>(978)554-8448x60982</t>
  </si>
  <si>
    <t>487.194.6406</t>
  </si>
  <si>
    <t>9779294087</t>
  </si>
  <si>
    <t>0912721661</t>
  </si>
  <si>
    <t>347-216-7900</t>
  </si>
  <si>
    <t>913.975.7415x9508</t>
  </si>
  <si>
    <t>(856)560-7782</t>
  </si>
  <si>
    <t>001-966-720-4432</t>
  </si>
  <si>
    <t>001-878-110-5972x89871</t>
  </si>
  <si>
    <t>360-191-2544</t>
  </si>
  <si>
    <t>+1-430-937-0040x224</t>
  </si>
  <si>
    <t>984.952.7328</t>
  </si>
  <si>
    <t>160.777.4834</t>
  </si>
  <si>
    <t>200-676-6748x9116</t>
  </si>
  <si>
    <t>079-422-9598x37383</t>
  </si>
  <si>
    <t>(179)377-1862</t>
  </si>
  <si>
    <t>691.489.8921x02245</t>
  </si>
  <si>
    <t>+1-600-771-2945x134</t>
  </si>
  <si>
    <t>903-467-1455x5023</t>
  </si>
  <si>
    <t>160.067.4198x89422</t>
  </si>
  <si>
    <t>001-723-555-2830x1746</t>
  </si>
  <si>
    <t>(628)672-0334x7057</t>
  </si>
  <si>
    <t>+1-982-032-8406x42053</t>
  </si>
  <si>
    <t>503-751-6178x79102</t>
  </si>
  <si>
    <t>001-182-528-5175x66166</t>
  </si>
  <si>
    <t>176-085-2048x54621</t>
  </si>
  <si>
    <t>690.187.3913x08508</t>
  </si>
  <si>
    <t>+1-420-183-1480</t>
  </si>
  <si>
    <t>521.778.1558x32882</t>
  </si>
  <si>
    <t>+1-433-529-4181</t>
  </si>
  <si>
    <t>(432)930-9000x586</t>
  </si>
  <si>
    <t>+1-389-829-5788</t>
  </si>
  <si>
    <t>001-687-571-3025x959</t>
  </si>
  <si>
    <t>906-133-8934</t>
  </si>
  <si>
    <t>139-684-5075</t>
  </si>
  <si>
    <t>001-547-635-3653x6886</t>
  </si>
  <si>
    <t>001-566-528-2638</t>
  </si>
  <si>
    <t>+1-541-228-2488x449</t>
  </si>
  <si>
    <t>3542796711</t>
  </si>
  <si>
    <t>+1-759-324-1505x78157</t>
  </si>
  <si>
    <t>913.988.8157x58359</t>
  </si>
  <si>
    <t>9715992894</t>
  </si>
  <si>
    <t>972.606.7023x3898</t>
  </si>
  <si>
    <t>920-026-9721x448</t>
  </si>
  <si>
    <t>569-196-3284x116</t>
  </si>
  <si>
    <t>456-208-6965x126</t>
  </si>
  <si>
    <t>343.469.9922x63344</t>
  </si>
  <si>
    <t>034.937.6701x3162</t>
  </si>
  <si>
    <t>(636)965-9116</t>
  </si>
  <si>
    <t>(481)460-4844</t>
  </si>
  <si>
    <t>6699181496</t>
  </si>
  <si>
    <t>364.543.4410x882</t>
  </si>
  <si>
    <t>710-875-2579</t>
  </si>
  <si>
    <t>(024)034-5725x83006</t>
  </si>
  <si>
    <t>+1-176-901-3449x20426</t>
  </si>
  <si>
    <t>600-586-5154x86454</t>
  </si>
  <si>
    <t>+1-392-818-0376x20403</t>
  </si>
  <si>
    <t>(770)948-0749</t>
  </si>
  <si>
    <t>292.591.7062</t>
  </si>
  <si>
    <t>(240)110-9395x10715</t>
  </si>
  <si>
    <t>9807846239</t>
  </si>
  <si>
    <t>+1-081-450-2666x397</t>
  </si>
  <si>
    <t>+1-731-261-0096</t>
  </si>
  <si>
    <t>268.088.0061x6222</t>
  </si>
  <si>
    <t>794.307.4896x418</t>
  </si>
  <si>
    <t>+1-977-876-8247x2268</t>
  </si>
  <si>
    <t>(577)645-5176x0122</t>
  </si>
  <si>
    <t>001-859-560-7577x90370</t>
  </si>
  <si>
    <t>7678191310</t>
  </si>
  <si>
    <t>850.213.1732x2681</t>
  </si>
  <si>
    <t>001-518-943-7493</t>
  </si>
  <si>
    <t>001-974-489-9894x9440</t>
  </si>
  <si>
    <t>854.336.9949</t>
  </si>
  <si>
    <t>001-097-249-0615x915</t>
  </si>
  <si>
    <t>495.056.9244x63506</t>
  </si>
  <si>
    <t>(154)629-3170x3651</t>
  </si>
  <si>
    <t>(418)845-6093</t>
  </si>
  <si>
    <t>(912)063-5092</t>
  </si>
  <si>
    <t>+1-690-636-5530x0235</t>
  </si>
  <si>
    <t>(465)360-5056x75401</t>
  </si>
  <si>
    <t>9280990764</t>
  </si>
  <si>
    <t>(606)446-0540x3830</t>
  </si>
  <si>
    <t>845.190.2551x09081</t>
  </si>
  <si>
    <t>(700)647-4394</t>
  </si>
  <si>
    <t>410.925.1540x0635</t>
  </si>
  <si>
    <t>(291)699-3576</t>
  </si>
  <si>
    <t>001-806-083-4323x22076</t>
  </si>
  <si>
    <t>182-800-8220</t>
  </si>
  <si>
    <t>001-191-724-3287x4174</t>
  </si>
  <si>
    <t>742-387-4678</t>
  </si>
  <si>
    <t>906-469-7373x25024</t>
  </si>
  <si>
    <t>(819)289-1607</t>
  </si>
  <si>
    <t>+1-920-954-6211x459</t>
  </si>
  <si>
    <t>001-193-904-5485x39047</t>
  </si>
  <si>
    <t>(497)257-3914x74111</t>
  </si>
  <si>
    <t>153.531.3359x0376</t>
  </si>
  <si>
    <t>001-739-657-7925x0453</t>
  </si>
  <si>
    <t>716-465-4525</t>
  </si>
  <si>
    <t>759.992.9806x6925</t>
  </si>
  <si>
    <t>001-455-997-4588x467</t>
  </si>
  <si>
    <t>695-057-6132x6705</t>
  </si>
  <si>
    <t>033.306.4322</t>
  </si>
  <si>
    <t>001-864-648-4007</t>
  </si>
  <si>
    <t>001-530-798-7390x80435</t>
  </si>
  <si>
    <t>073-292-8967</t>
  </si>
  <si>
    <t>090-678-4883x867</t>
  </si>
  <si>
    <t>866-376-6971x5237</t>
  </si>
  <si>
    <t>432.356.4083x130</t>
  </si>
  <si>
    <t>+1-088-391-4529x1179</t>
  </si>
  <si>
    <t>+1-048-196-0755</t>
  </si>
  <si>
    <t>+1-307-315-4507x31851</t>
  </si>
  <si>
    <t>6774223654</t>
  </si>
  <si>
    <t>481.831.4654</t>
  </si>
  <si>
    <t>967.792.6553x458</t>
  </si>
  <si>
    <t>842.715.5698x756</t>
  </si>
  <si>
    <t>(953)415-6793x122</t>
  </si>
  <si>
    <t>(558)597-4894x03863</t>
  </si>
  <si>
    <t>001-473-066-7514x637</t>
  </si>
  <si>
    <t>+1-613-761-3235</t>
  </si>
  <si>
    <t>136.280.6277x803</t>
  </si>
  <si>
    <t>+1-325-451-5014x7450</t>
  </si>
  <si>
    <t>678.515.5398</t>
  </si>
  <si>
    <t>030.168.7121</t>
  </si>
  <si>
    <t>+1-971-424-9881x4002</t>
  </si>
  <si>
    <t>715.172.2165</t>
  </si>
  <si>
    <t>+1-243-814-8394</t>
  </si>
  <si>
    <t>001-275-796-1564x471</t>
  </si>
  <si>
    <t>001-580-444-3108x28542</t>
  </si>
  <si>
    <t>448-173-4274x002</t>
  </si>
  <si>
    <t>+1-781-785-4269x87959</t>
  </si>
  <si>
    <t>(260)841-9688</t>
  </si>
  <si>
    <t>796-128-6918x8347</t>
  </si>
  <si>
    <t>175.821.7820x727</t>
  </si>
  <si>
    <t>(775)598-2151x749</t>
  </si>
  <si>
    <t>(044)906-5851x6923</t>
  </si>
  <si>
    <t>024-838-6170</t>
  </si>
  <si>
    <t>141.280.9487</t>
  </si>
  <si>
    <t>190.602.0435x993</t>
  </si>
  <si>
    <t>761.799.5320x740</t>
  </si>
  <si>
    <t>266-892-2553</t>
  </si>
  <si>
    <t>475-244-0018</t>
  </si>
  <si>
    <t>+1-109-742-0970x63362</t>
  </si>
  <si>
    <t>726-396-9283x748</t>
  </si>
  <si>
    <t>(400)585-6638x9263</t>
  </si>
  <si>
    <t>366.168.3782</t>
  </si>
  <si>
    <t>(155)514-7135</t>
  </si>
  <si>
    <t>+1-126-126-0148x816</t>
  </si>
  <si>
    <t>532-125-5163x05452</t>
  </si>
  <si>
    <t>+1-817-704-0588x79480</t>
  </si>
  <si>
    <t>(970)207-2386x59759</t>
  </si>
  <si>
    <t>001-443-669-5864</t>
  </si>
  <si>
    <t>+1-887-829-6264x0832</t>
  </si>
  <si>
    <t>766.181.4557x28589</t>
  </si>
  <si>
    <t>7152215271</t>
  </si>
  <si>
    <t>001-985-518-1959x9993</t>
  </si>
  <si>
    <t>982.304.7991x39849</t>
  </si>
  <si>
    <t>001-925-133-7698</t>
  </si>
  <si>
    <t>984.600.4528x2065</t>
  </si>
  <si>
    <t>001-034-388-4797x02198</t>
  </si>
  <si>
    <t>523-163-6558</t>
  </si>
  <si>
    <t>957.385.4587x179</t>
  </si>
  <si>
    <t>5265341026</t>
  </si>
  <si>
    <t>100-214-9102x30541</t>
  </si>
  <si>
    <t>+1-690-672-7516x28888</t>
  </si>
  <si>
    <t>168.765.9534</t>
  </si>
  <si>
    <t>+1-153-677-9318x8306</t>
  </si>
  <si>
    <t>729.859.1722x0236</t>
  </si>
  <si>
    <t>+1-006-405-9910x9035</t>
  </si>
  <si>
    <t>+1-998-561-2061x745</t>
  </si>
  <si>
    <t>(969)141-9799x119</t>
  </si>
  <si>
    <t>834.990.1864x4612</t>
  </si>
  <si>
    <t>4691993968</t>
  </si>
  <si>
    <t>524-837-1294</t>
  </si>
  <si>
    <t>+1-216-460-0737</t>
  </si>
  <si>
    <t>462-133-2896x15434</t>
  </si>
  <si>
    <t>+1-701-154-5779x5482</t>
  </si>
  <si>
    <t>681-136-0815x491</t>
  </si>
  <si>
    <t>279.808.8941</t>
  </si>
  <si>
    <t>001-534-069-5938x4311</t>
  </si>
  <si>
    <t>371-168-1579x2027</t>
  </si>
  <si>
    <t>001-620-214-2479x2001</t>
  </si>
  <si>
    <t>(056)688-5066x025</t>
  </si>
  <si>
    <t>001-621-746-0089x1906</t>
  </si>
  <si>
    <t>+1-407-356-3739x1017</t>
  </si>
  <si>
    <t>692.808.3971</t>
  </si>
  <si>
    <t>+1-800-983-2842x1418</t>
  </si>
  <si>
    <t>343.480.1745x40178</t>
  </si>
  <si>
    <t>301-829-2405x5699</t>
  </si>
  <si>
    <t>113-712-4624</t>
  </si>
  <si>
    <t>008.271.0509x91887</t>
  </si>
  <si>
    <t>(325)132-4599x0494</t>
  </si>
  <si>
    <t>489.505.8107x248</t>
  </si>
  <si>
    <t>+1-106-786-5395x366</t>
  </si>
  <si>
    <t>(112)023-9268x30838</t>
  </si>
  <si>
    <t>(149)446-7739x587</t>
  </si>
  <si>
    <t>729-204-0691</t>
  </si>
  <si>
    <t>6905641189</t>
  </si>
  <si>
    <t>774.405.1134</t>
  </si>
  <si>
    <t>(208)713-3724x4611</t>
  </si>
  <si>
    <t>(895)309-2516x8122</t>
  </si>
  <si>
    <t>0622430633</t>
  </si>
  <si>
    <t>455-609-1818x52972</t>
  </si>
  <si>
    <t>496-065-1056x465</t>
  </si>
  <si>
    <t>411-145-9682x52164</t>
  </si>
  <si>
    <t>001-225-577-4231x937</t>
  </si>
  <si>
    <t>8988823048</t>
  </si>
  <si>
    <t>407-590-5840x09216</t>
  </si>
  <si>
    <t>970.487.9932x3979</t>
  </si>
  <si>
    <t>(581)236-2580x360</t>
  </si>
  <si>
    <t>+1-681-247-0663</t>
  </si>
  <si>
    <t>869-889-2455x18298</t>
  </si>
  <si>
    <t>001-612-719-9986x346</t>
  </si>
  <si>
    <t>+1-312-708-4582x682</t>
  </si>
  <si>
    <t>(669)764-0183</t>
  </si>
  <si>
    <t>626-423-5010x245</t>
  </si>
  <si>
    <t>(597)066-7075x061</t>
  </si>
  <si>
    <t>+1-553-328-2492x374</t>
  </si>
  <si>
    <t>987.855.5552x5912</t>
  </si>
  <si>
    <t>029.218.5556x343</t>
  </si>
  <si>
    <t>001-343-053-1791x9406</t>
  </si>
  <si>
    <t>833-240-2446x736</t>
  </si>
  <si>
    <t>1381259824</t>
  </si>
  <si>
    <t>5434778304</t>
  </si>
  <si>
    <t>543.273.2159x793</t>
  </si>
  <si>
    <t>705-064-7817x8604</t>
  </si>
  <si>
    <t>(879)679-0341x29890</t>
  </si>
  <si>
    <t>+1-202-125-1337x870</t>
  </si>
  <si>
    <t>940.231.8076x3841</t>
  </si>
  <si>
    <t>(186)345-6666</t>
  </si>
  <si>
    <t>296.857.4236</t>
  </si>
  <si>
    <t>(869)176-3275</t>
  </si>
  <si>
    <t>874-167-5738x766</t>
  </si>
  <si>
    <t>(799)921-2046</t>
  </si>
  <si>
    <t>001-273-596-6654x439</t>
  </si>
  <si>
    <t>+1-324-958-0396</t>
  </si>
  <si>
    <t>1929235164</t>
  </si>
  <si>
    <t>353-615-5709</t>
  </si>
  <si>
    <t>346-814-0099x0001</t>
  </si>
  <si>
    <t>0657587368</t>
  </si>
  <si>
    <t>(033)359-6715x17805</t>
  </si>
  <si>
    <t>+1-285-470-5935x270</t>
  </si>
  <si>
    <t>(204)048-1108x223</t>
  </si>
  <si>
    <t>413-641-7101</t>
  </si>
  <si>
    <t>625.300.5185</t>
  </si>
  <si>
    <t>(450)328-9844</t>
  </si>
  <si>
    <t>023.095.1690</t>
  </si>
  <si>
    <t>016-871-9031x63083</t>
  </si>
  <si>
    <t>694.438.0630x739</t>
  </si>
  <si>
    <t>(520)827-6599x333</t>
  </si>
  <si>
    <t>+1-683-887-7399x10909</t>
  </si>
  <si>
    <t>142.768.4970</t>
  </si>
  <si>
    <t>241-958-1536</t>
  </si>
  <si>
    <t>001-713-845-6705x4451</t>
  </si>
  <si>
    <t>(745)892-7532</t>
  </si>
  <si>
    <t>387.915.8730x4802</t>
  </si>
  <si>
    <t>+1-933-784-1928x960</t>
  </si>
  <si>
    <t>+1-199-361-8827x594</t>
  </si>
  <si>
    <t>001-941-823-4501x529</t>
  </si>
  <si>
    <t>+1-529-425-7565x1461</t>
  </si>
  <si>
    <t>001-995-018-8136x19626</t>
  </si>
  <si>
    <t>+1-844-186-7503</t>
  </si>
  <si>
    <t>995.170.5436x7928</t>
  </si>
  <si>
    <t>+1-970-486-8273</t>
  </si>
  <si>
    <t>(024)336-4324</t>
  </si>
  <si>
    <t>718-638-5510</t>
  </si>
  <si>
    <t>+1-595-076-6816x4692</t>
  </si>
  <si>
    <t>001-875-843-9145x5915</t>
  </si>
  <si>
    <t>001-421-051-3330</t>
  </si>
  <si>
    <t>(428)553-0833</t>
  </si>
  <si>
    <t>001-975-527-6847x11550</t>
  </si>
  <si>
    <t>+1-698-454-5290x260</t>
  </si>
  <si>
    <t>001-091-613-7327x62012</t>
  </si>
  <si>
    <t>(979)816-6105x8274</t>
  </si>
  <si>
    <t>(082)079-8630x43250</t>
  </si>
  <si>
    <t>+1-782-835-2397x2656</t>
  </si>
  <si>
    <t>001-271-356-9478x0070</t>
  </si>
  <si>
    <t>565-411-4833x297</t>
  </si>
  <si>
    <t>(356)191-4740</t>
  </si>
  <si>
    <t>001-092-386-6683x716</t>
  </si>
  <si>
    <t>001-367-716-5629x21113</t>
  </si>
  <si>
    <t>001-691-242-3741x5484</t>
  </si>
  <si>
    <t>001-288-139-1342x5125</t>
  </si>
  <si>
    <t>+1-182-203-5607x45415</t>
  </si>
  <si>
    <t>001-891-709-4344x7397</t>
  </si>
  <si>
    <t>001-057-921-8185</t>
  </si>
  <si>
    <t>(530)325-1617</t>
  </si>
  <si>
    <t>+1-510-246-1734</t>
  </si>
  <si>
    <t>+1-751-577-8888x764</t>
  </si>
  <si>
    <t>001-906-189-9527</t>
  </si>
  <si>
    <t>075.830.6997x77202</t>
  </si>
  <si>
    <t>001-931-309-4508x5109</t>
  </si>
  <si>
    <t>(601)249-6420</t>
  </si>
  <si>
    <t>(234)804-6474x6512</t>
  </si>
  <si>
    <t>762.411.4714</t>
  </si>
  <si>
    <t>345-368-4465</t>
  </si>
  <si>
    <t>106.961.3337</t>
  </si>
  <si>
    <t>+1-570-478-0529x2984</t>
  </si>
  <si>
    <t>(767)843-6118</t>
  </si>
  <si>
    <t>511.622.4205</t>
  </si>
  <si>
    <t>(752)768-2796x2143</t>
  </si>
  <si>
    <t>555.552.9295x70193</t>
  </si>
  <si>
    <t>001-895-825-9298x457</t>
  </si>
  <si>
    <t>001-553-188-3892</t>
  </si>
  <si>
    <t>568.875.4385x8088</t>
  </si>
  <si>
    <t>(796)687-4574</t>
  </si>
  <si>
    <t>754-257-5119x34144</t>
  </si>
  <si>
    <t>6531047374</t>
  </si>
  <si>
    <t>+1-139-629-4406x805</t>
  </si>
  <si>
    <t>896-645-0032</t>
  </si>
  <si>
    <t>001-248-578-1526x04965</t>
  </si>
  <si>
    <t>0916800373</t>
  </si>
  <si>
    <t>2408332411</t>
  </si>
  <si>
    <t>001-792-943-1346</t>
  </si>
  <si>
    <t>872.786.2336</t>
  </si>
  <si>
    <t>848.896.5537</t>
  </si>
  <si>
    <t>001-960-167-4036x82614</t>
  </si>
  <si>
    <t>001-899-763-6220x53268</t>
  </si>
  <si>
    <t>001-847-690-2973x895</t>
  </si>
  <si>
    <t>001-231-957-1919x0644</t>
  </si>
  <si>
    <t>347.803.2328</t>
  </si>
  <si>
    <t>981-847-7646x7302</t>
  </si>
  <si>
    <t>001-379-185-0461</t>
  </si>
  <si>
    <t>+1-371-995-3431x023</t>
  </si>
  <si>
    <t>117.651.9658x8728</t>
  </si>
  <si>
    <t>+1-181-114-4252x8872</t>
  </si>
  <si>
    <t>970-978-8593x25460</t>
  </si>
  <si>
    <t>9632518301</t>
  </si>
  <si>
    <t>(469)956-1115</t>
  </si>
  <si>
    <t>(820)742-5030x14849</t>
  </si>
  <si>
    <t>+1-681-350-7650x1398</t>
  </si>
  <si>
    <t>+1-859-229-3431x3330</t>
  </si>
  <si>
    <t>444.495.7268</t>
  </si>
  <si>
    <t>+1-863-523-3975x69884</t>
  </si>
  <si>
    <t>008-307-2975x7012</t>
  </si>
  <si>
    <t>596-646-9859x29974</t>
  </si>
  <si>
    <t>518-146-9315</t>
  </si>
  <si>
    <t>(294)165-6268</t>
  </si>
  <si>
    <t>110.558.6345x0921</t>
  </si>
  <si>
    <t>554-393-2897x303</t>
  </si>
  <si>
    <t>6682975784</t>
  </si>
  <si>
    <t>+1-846-416-8208x2633</t>
  </si>
  <si>
    <t>001-648-296-1211x62835</t>
  </si>
  <si>
    <t>(537)514-9704</t>
  </si>
  <si>
    <t>(615)335-1623</t>
  </si>
  <si>
    <t>(781)307-1057</t>
  </si>
  <si>
    <t>001-474-001-2270x10643</t>
  </si>
  <si>
    <t>442-743-9042x756</t>
  </si>
  <si>
    <t>449.432.8852</t>
  </si>
  <si>
    <t>(212)949-9373</t>
  </si>
  <si>
    <t>(070)347-4034x043</t>
  </si>
  <si>
    <t>458.708.5915</t>
  </si>
  <si>
    <t>034-141-0368</t>
  </si>
  <si>
    <t>616.604.3528</t>
  </si>
  <si>
    <t>901.011.1775</t>
  </si>
  <si>
    <t>1110591645</t>
  </si>
  <si>
    <t>(462)351-3387x0825</t>
  </si>
  <si>
    <t>892.750.8993x47715</t>
  </si>
  <si>
    <t>(716)191-8222x7527</t>
  </si>
  <si>
    <t>002-799-5073x86952</t>
  </si>
  <si>
    <t>(872)893-2010x5077</t>
  </si>
  <si>
    <t>448-211-1220</t>
  </si>
  <si>
    <t>+1-870-208-7486x853</t>
  </si>
  <si>
    <t>024-945-0177x0538</t>
  </si>
  <si>
    <t>+1-121-105-2710x055</t>
  </si>
  <si>
    <t>4647069698</t>
  </si>
  <si>
    <t>9260709723</t>
  </si>
  <si>
    <t>001-623-676-0474x157</t>
  </si>
  <si>
    <t>219.714.1792x875</t>
  </si>
  <si>
    <t>(850)658-7963x868</t>
  </si>
  <si>
    <t>028-595-6326</t>
  </si>
  <si>
    <t>(263)449-7917x821</t>
  </si>
  <si>
    <t>8136775603</t>
  </si>
  <si>
    <t>001-352-716-5871x1493</t>
  </si>
  <si>
    <t>+1-998-357-5250x35495</t>
  </si>
  <si>
    <t>0894138518</t>
  </si>
  <si>
    <t>001-135-026-1279x29569</t>
  </si>
  <si>
    <t>001-674-683-1467x144</t>
  </si>
  <si>
    <t>+1-328-052-0853x4240</t>
  </si>
  <si>
    <t>(187)433-5290</t>
  </si>
  <si>
    <t>001-620-939-9102</t>
  </si>
  <si>
    <t>043-243-7573</t>
  </si>
  <si>
    <t>(995)162-3695x483</t>
  </si>
  <si>
    <t>+1-916-394-0113</t>
  </si>
  <si>
    <t>(362)829-9298x6110</t>
  </si>
  <si>
    <t>063-061-4240x1923</t>
  </si>
  <si>
    <t>425.529.1556x62570</t>
  </si>
  <si>
    <t>628-248-6750x5819</t>
  </si>
  <si>
    <t>990.919.8579x7653</t>
  </si>
  <si>
    <t>001-194-279-7580</t>
  </si>
  <si>
    <t>+1-449-761-8283x284</t>
  </si>
  <si>
    <t>383.620.0959x933</t>
  </si>
  <si>
    <t>+1-143-453-1588</t>
  </si>
  <si>
    <t>037.580.0152x843</t>
  </si>
  <si>
    <t>9327443076</t>
  </si>
  <si>
    <t>046.379.2208</t>
  </si>
  <si>
    <t>929-906-7564x49251</t>
  </si>
  <si>
    <t>(642)192-4682x5338</t>
  </si>
  <si>
    <t>823-044-4245</t>
  </si>
  <si>
    <t>001-868-576-9635x07800</t>
  </si>
  <si>
    <t>822.380.2302</t>
  </si>
  <si>
    <t>719.438.4498x09093</t>
  </si>
  <si>
    <t>472-374-0961x531</t>
  </si>
  <si>
    <t>(483)824-8768</t>
  </si>
  <si>
    <t>+1-904-529-7253x035</t>
  </si>
  <si>
    <t>001-692-783-9881</t>
  </si>
  <si>
    <t>001-603-870-1967</t>
  </si>
  <si>
    <t>628-511-0038x510</t>
  </si>
  <si>
    <t>001-874-338-9169x6987</t>
  </si>
  <si>
    <t>(838)661-9296</t>
  </si>
  <si>
    <t>(276)001-2905x13302</t>
  </si>
  <si>
    <t>(049)469-0385x56096</t>
  </si>
  <si>
    <t>+1-232-634-5612</t>
  </si>
  <si>
    <t>638-640-4233x4379</t>
  </si>
  <si>
    <t>2593452732</t>
  </si>
  <si>
    <t>+1-394-522-5101x946</t>
  </si>
  <si>
    <t>001-837-098-3610x5374</t>
  </si>
  <si>
    <t>0358982041</t>
  </si>
  <si>
    <t>492.005.8534x00257</t>
  </si>
  <si>
    <t>001-377-239-6397</t>
  </si>
  <si>
    <t>155.003.9171x70040</t>
  </si>
  <si>
    <t>001-471-844-1493x209</t>
  </si>
  <si>
    <t>+1-635-024-1093x7616</t>
  </si>
  <si>
    <t>409.013.6140</t>
  </si>
  <si>
    <t>942.873.9141x5231</t>
  </si>
  <si>
    <t>822.970.9731x905</t>
  </si>
  <si>
    <t>+1-429-296-8803</t>
  </si>
  <si>
    <t>7567774437</t>
  </si>
  <si>
    <t>001-102-038-9355x814</t>
  </si>
  <si>
    <t>001-672-797-5137</t>
  </si>
  <si>
    <t>(592)080-5737</t>
  </si>
  <si>
    <t>001-607-585-0959x647</t>
  </si>
  <si>
    <t>606-285-2940x0525</t>
  </si>
  <si>
    <t>(281)919-9839x802</t>
  </si>
  <si>
    <t>416-283-4598</t>
  </si>
  <si>
    <t>(772)999-9873x383</t>
  </si>
  <si>
    <t>165.225.2584x211</t>
  </si>
  <si>
    <t>065-178-3457</t>
  </si>
  <si>
    <t>(758)601-7871</t>
  </si>
  <si>
    <t>001-476-915-0646</t>
  </si>
  <si>
    <t>601-319-7494</t>
  </si>
  <si>
    <t>001-090-367-5918</t>
  </si>
  <si>
    <t>+1-258-856-2731x1123</t>
  </si>
  <si>
    <t>001-671-237-4517x162</t>
  </si>
  <si>
    <t>(582)271-7818x69036</t>
  </si>
  <si>
    <t>+1-554-414-5427x57912</t>
  </si>
  <si>
    <t>551-306-6431</t>
  </si>
  <si>
    <t>(992)997-8068x3537</t>
  </si>
  <si>
    <t>(383)791-3268</t>
  </si>
  <si>
    <t>413.674.2073x5124</t>
  </si>
  <si>
    <t>090-523-5801x8605</t>
  </si>
  <si>
    <t>808.435.3732x355</t>
  </si>
  <si>
    <t>001-150-079-7048x73700</t>
  </si>
  <si>
    <t>823-890-8734</t>
  </si>
  <si>
    <t>5147191593</t>
  </si>
  <si>
    <t>883.867.4657</t>
  </si>
  <si>
    <t>+1-001-324-6467</t>
  </si>
  <si>
    <t>001-834-075-3617x0534</t>
  </si>
  <si>
    <t>(863)113-6988x232</t>
  </si>
  <si>
    <t>001-714-946-2333</t>
  </si>
  <si>
    <t>436.946.7676x89890</t>
  </si>
  <si>
    <t>(361)276-5576x490</t>
  </si>
  <si>
    <t>877-208-9692x4067</t>
  </si>
  <si>
    <t>779-937-7333</t>
  </si>
  <si>
    <t>(301)954-9662x9860</t>
  </si>
  <si>
    <t>+1-920-099-7882x9592</t>
  </si>
  <si>
    <t>001-781-066-3072</t>
  </si>
  <si>
    <t>001-561-647-3214</t>
  </si>
  <si>
    <t>371.894.1530x7125</t>
  </si>
  <si>
    <t>341-039-6221</t>
  </si>
  <si>
    <t>+1-691-292-0723x378</t>
  </si>
  <si>
    <t>(064)854-3429</t>
  </si>
  <si>
    <t>001-385-698-0731</t>
  </si>
  <si>
    <t>+1-784-996-6634x4019</t>
  </si>
  <si>
    <t>+1-186-233-5985x1677</t>
  </si>
  <si>
    <t>(351)370-6997x713</t>
  </si>
  <si>
    <t>(543)023-5181</t>
  </si>
  <si>
    <t>(444)030-8838x1548</t>
  </si>
  <si>
    <t>1336857821</t>
  </si>
  <si>
    <t>(690)246-5873x7289</t>
  </si>
  <si>
    <t>8525408069</t>
  </si>
  <si>
    <t>405-439-9488</t>
  </si>
  <si>
    <t>+1-738-949-1479x9630</t>
  </si>
  <si>
    <t>001-551-048-6219x841</t>
  </si>
  <si>
    <t>0784119862</t>
  </si>
  <si>
    <t>712.303.0382</t>
  </si>
  <si>
    <t>890-150-7759x638</t>
  </si>
  <si>
    <t>001-813-665-5372</t>
  </si>
  <si>
    <t>(435)001-3838</t>
  </si>
  <si>
    <t>203.826.7494x6052</t>
  </si>
  <si>
    <t>+1-186-516-8648x523</t>
  </si>
  <si>
    <t>001-479-092-9866x12375</t>
  </si>
  <si>
    <t>(789)756-6386x34761</t>
  </si>
  <si>
    <t>001-904-515-2205x9297</t>
  </si>
  <si>
    <t>No</t>
  </si>
  <si>
    <t>Yes</t>
  </si>
  <si>
    <t>Orders</t>
  </si>
  <si>
    <t>Grand Total</t>
  </si>
  <si>
    <t>Year</t>
  </si>
  <si>
    <t>Purchase</t>
  </si>
  <si>
    <t>Number of Purchase per Year</t>
  </si>
  <si>
    <t>Region</t>
  </si>
  <si>
    <t>Africa</t>
  </si>
  <si>
    <t>Asia</t>
  </si>
  <si>
    <t>South America</t>
  </si>
  <si>
    <t>Europe</t>
  </si>
  <si>
    <t>Oceania</t>
  </si>
  <si>
    <t>North America</t>
  </si>
  <si>
    <t>United States</t>
  </si>
  <si>
    <t>South Sudan</t>
  </si>
  <si>
    <t>Singapore</t>
  </si>
  <si>
    <t>Paraguay</t>
  </si>
  <si>
    <t>North Macedonia</t>
  </si>
  <si>
    <t>Hungary</t>
  </si>
  <si>
    <t>Eswatini</t>
  </si>
  <si>
    <t>Continent</t>
  </si>
  <si>
    <t>Antarctica</t>
  </si>
  <si>
    <t>Curacao</t>
  </si>
  <si>
    <t>Bouvet Island</t>
  </si>
  <si>
    <t>Western Sahara</t>
  </si>
  <si>
    <t>Democratic Republic of the Congo</t>
  </si>
  <si>
    <t>British Indian Ocean Territory</t>
  </si>
  <si>
    <t>Sint Maarten (Dutch part)</t>
  </si>
  <si>
    <t xml:space="preserve">Cabo Verde </t>
  </si>
  <si>
    <t>Month</t>
  </si>
  <si>
    <t>Year/Month</t>
  </si>
  <si>
    <t>Regions</t>
  </si>
  <si>
    <t>Average Feedback Score</t>
  </si>
  <si>
    <t>Orders per Region</t>
  </si>
  <si>
    <t>Revenue per Region</t>
  </si>
  <si>
    <t>Feedback Score</t>
  </si>
  <si>
    <t>Overview</t>
  </si>
  <si>
    <t>Key Insights</t>
  </si>
  <si>
    <t>Average</t>
  </si>
  <si>
    <t>Recommendations</t>
  </si>
  <si>
    <r>
      <t xml:space="preserve">The dataset provides insights into product sales and customer feedback covering </t>
    </r>
    <r>
      <rPr>
        <b/>
        <sz val="11"/>
        <color theme="1"/>
        <rFont val="Calibri"/>
        <family val="2"/>
        <scheme val="minor"/>
      </rPr>
      <t>late 2023 to 2025</t>
    </r>
    <r>
      <rPr>
        <sz val="11"/>
        <color theme="1"/>
        <rFont val="Calibri"/>
        <family val="2"/>
        <scheme val="minor"/>
      </rPr>
      <t>.</t>
    </r>
  </si>
  <si>
    <r>
      <t xml:space="preserve">During this period, the product achieved a total revenue of </t>
    </r>
    <r>
      <rPr>
        <b/>
        <sz val="11"/>
        <color theme="1"/>
        <rFont val="Calibri"/>
        <family val="2"/>
        <scheme val="minor"/>
      </rPr>
      <t>₱4.9 million</t>
    </r>
    <r>
      <rPr>
        <sz val="11"/>
        <color theme="1"/>
        <rFont val="Calibri"/>
        <family val="2"/>
        <scheme val="minor"/>
      </rPr>
      <t xml:space="preserve"> from </t>
    </r>
    <r>
      <rPr>
        <b/>
        <sz val="11"/>
        <color theme="1"/>
        <rFont val="Calibri"/>
        <family val="2"/>
        <scheme val="minor"/>
      </rPr>
      <t>24,482 products sold</t>
    </r>
    <r>
      <rPr>
        <sz val="11"/>
        <color theme="1"/>
        <rFont val="Calibri"/>
        <family val="2"/>
        <scheme val="minor"/>
      </rPr>
      <t>.</t>
    </r>
  </si>
  <si>
    <r>
      <t xml:space="preserve">The </t>
    </r>
    <r>
      <rPr>
        <b/>
        <sz val="11"/>
        <color theme="1"/>
        <rFont val="Calibri"/>
        <family val="2"/>
        <scheme val="minor"/>
      </rPr>
      <t>Africa region</t>
    </r>
    <r>
      <rPr>
        <sz val="11"/>
        <color theme="1"/>
        <rFont val="Calibri"/>
        <family val="2"/>
        <scheme val="minor"/>
      </rPr>
      <t xml:space="preserve"> recorded the highest number of orders (</t>
    </r>
    <r>
      <rPr>
        <b/>
        <sz val="11"/>
        <color theme="1"/>
        <rFont val="Calibri"/>
        <family val="2"/>
        <scheme val="minor"/>
      </rPr>
      <t>5,666</t>
    </r>
    <r>
      <rPr>
        <sz val="11"/>
        <color theme="1"/>
        <rFont val="Calibri"/>
        <family val="2"/>
        <scheme val="minor"/>
      </rPr>
      <t>) and the greatest revenue (</t>
    </r>
    <r>
      <rPr>
        <b/>
        <sz val="11"/>
        <color theme="1"/>
        <rFont val="Calibri"/>
        <family val="2"/>
        <scheme val="minor"/>
      </rPr>
      <t>₱1.2 million</t>
    </r>
    <r>
      <rPr>
        <sz val="11"/>
        <color theme="1"/>
        <rFont val="Calibri"/>
        <family val="2"/>
        <scheme val="minor"/>
      </rPr>
      <t>), indicating strong market performance in that area.</t>
    </r>
  </si>
  <si>
    <t>Monthly Trends:</t>
  </si>
  <si>
    <r>
      <t xml:space="preserve">In 2025, sales data reveals that product purchases typically </t>
    </r>
    <r>
      <rPr>
        <b/>
        <sz val="11"/>
        <color theme="1"/>
        <rFont val="Calibri"/>
        <family val="2"/>
        <scheme val="minor"/>
      </rPr>
      <t>decline after a strong month of sales</t>
    </r>
    <r>
      <rPr>
        <sz val="11"/>
        <color theme="1"/>
        <rFont val="Calibri"/>
        <family val="2"/>
        <scheme val="minor"/>
      </rPr>
      <t>. The months with the highest purchase volumes were:</t>
    </r>
  </si>
  <si>
    <r>
      <t>February (853 products)</t>
    </r>
    <r>
      <rPr>
        <sz val="11"/>
        <color theme="1"/>
        <rFont val="Calibri"/>
        <family val="2"/>
        <scheme val="minor"/>
      </rPr>
      <t xml:space="preserve">, </t>
    </r>
    <r>
      <rPr>
        <b/>
        <sz val="11"/>
        <color theme="1"/>
        <rFont val="Calibri"/>
        <family val="2"/>
        <scheme val="minor"/>
      </rPr>
      <t>April (784 products)</t>
    </r>
    <r>
      <rPr>
        <sz val="11"/>
        <color theme="1"/>
        <rFont val="Calibri"/>
        <family val="2"/>
        <scheme val="minor"/>
      </rPr>
      <t xml:space="preserve">, and </t>
    </r>
    <r>
      <rPr>
        <b/>
        <sz val="11"/>
        <color theme="1"/>
        <rFont val="Calibri"/>
        <family val="2"/>
        <scheme val="minor"/>
      </rPr>
      <t>June (696 products)</t>
    </r>
    <r>
      <rPr>
        <sz val="11"/>
        <color theme="1"/>
        <rFont val="Calibri"/>
        <family val="2"/>
        <scheme val="minor"/>
      </rPr>
      <t>.</t>
    </r>
  </si>
  <si>
    <t>Regional Insights:</t>
  </si>
  <si>
    <r>
      <t>Antarctica</t>
    </r>
    <r>
      <rPr>
        <sz val="11"/>
        <color theme="1"/>
        <rFont val="Calibri"/>
        <family val="2"/>
        <scheme val="minor"/>
      </rPr>
      <t xml:space="preserve"> achieved the </t>
    </r>
    <r>
      <rPr>
        <b/>
        <sz val="11"/>
        <color theme="1"/>
        <rFont val="Calibri"/>
        <family val="2"/>
        <scheme val="minor"/>
      </rPr>
      <t>highest customer feedback score</t>
    </r>
    <r>
      <rPr>
        <sz val="11"/>
        <color theme="1"/>
        <rFont val="Calibri"/>
        <family val="2"/>
        <scheme val="minor"/>
      </rPr>
      <t xml:space="preserve"> despite lower sales volume, suggesting strong satisfaction from a smaller market.</t>
    </r>
  </si>
  <si>
    <r>
      <t>South America</t>
    </r>
    <r>
      <rPr>
        <sz val="11"/>
        <color theme="1"/>
        <rFont val="Calibri"/>
        <family val="2"/>
        <scheme val="minor"/>
      </rPr>
      <t xml:space="preserve"> had the </t>
    </r>
    <r>
      <rPr>
        <b/>
        <sz val="11"/>
        <color theme="1"/>
        <rFont val="Calibri"/>
        <family val="2"/>
        <scheme val="minor"/>
      </rPr>
      <t>lowest feedback score</t>
    </r>
    <r>
      <rPr>
        <sz val="11"/>
        <color theme="1"/>
        <rFont val="Calibri"/>
        <family val="2"/>
        <scheme val="minor"/>
      </rPr>
      <t>, indicating possible issues with product quality or customer experience in that region.</t>
    </r>
  </si>
  <si>
    <t>Overall Performance:</t>
  </si>
  <si>
    <r>
      <t xml:space="preserve">The product’s </t>
    </r>
    <r>
      <rPr>
        <b/>
        <sz val="11"/>
        <color theme="1"/>
        <rFont val="Calibri"/>
        <family val="2"/>
        <scheme val="minor"/>
      </rPr>
      <t>best-selling month</t>
    </r>
    <r>
      <rPr>
        <sz val="11"/>
        <color theme="1"/>
        <rFont val="Calibri"/>
        <family val="2"/>
        <scheme val="minor"/>
      </rPr>
      <t xml:space="preserve"> was </t>
    </r>
    <r>
      <rPr>
        <b/>
        <sz val="11"/>
        <color theme="1"/>
        <rFont val="Calibri"/>
        <family val="2"/>
        <scheme val="minor"/>
      </rPr>
      <t>May 2025</t>
    </r>
    <r>
      <rPr>
        <sz val="11"/>
        <color theme="1"/>
        <rFont val="Calibri"/>
        <family val="2"/>
        <scheme val="minor"/>
      </rPr>
      <t xml:space="preserve">, with </t>
    </r>
    <r>
      <rPr>
        <b/>
        <sz val="11"/>
        <color theme="1"/>
        <rFont val="Calibri"/>
        <family val="2"/>
        <scheme val="minor"/>
      </rPr>
      <t>1,352 products sold</t>
    </r>
    <r>
      <rPr>
        <sz val="11"/>
        <color theme="1"/>
        <rFont val="Calibri"/>
        <family val="2"/>
        <scheme val="minor"/>
      </rPr>
      <t xml:space="preserve"> across all regions.</t>
    </r>
  </si>
  <si>
    <r>
      <t xml:space="preserve">The </t>
    </r>
    <r>
      <rPr>
        <b/>
        <sz val="11"/>
        <color theme="1"/>
        <rFont val="Calibri"/>
        <family val="2"/>
        <scheme val="minor"/>
      </rPr>
      <t>average feedback score</t>
    </r>
    <r>
      <rPr>
        <sz val="11"/>
        <color theme="1"/>
        <rFont val="Calibri"/>
        <family val="2"/>
        <scheme val="minor"/>
      </rPr>
      <t xml:space="preserve"> across all regions is </t>
    </r>
    <r>
      <rPr>
        <b/>
        <sz val="11"/>
        <color theme="1"/>
        <rFont val="Calibri"/>
        <family val="2"/>
        <scheme val="minor"/>
      </rPr>
      <t>3.05 out of 5</t>
    </r>
    <r>
      <rPr>
        <sz val="11"/>
        <color theme="1"/>
        <rFont val="Calibri"/>
        <family val="2"/>
        <scheme val="minor"/>
      </rPr>
      <t>, reflecting moderate customer satisfaction and room for improvement.</t>
    </r>
  </si>
  <si>
    <t>1. Analyze Sales Drop Patterns:</t>
  </si>
  <si>
    <t>Investigate why sales tend to decline after a peak month — this may be due to limited marketing follow-through, stock issues, or seasonal buying behavior.</t>
  </si>
  <si>
    <t>2. Enhance Product Quality and Support:</t>
  </si>
  <si>
    <r>
      <t xml:space="preserve">Improving product quality and customer service could help boost feedback scores, especially in </t>
    </r>
    <r>
      <rPr>
        <b/>
        <sz val="11"/>
        <color theme="1"/>
        <rFont val="Calibri"/>
        <family val="2"/>
        <scheme val="minor"/>
      </rPr>
      <t>South America</t>
    </r>
    <r>
      <rPr>
        <sz val="11"/>
        <color theme="1"/>
        <rFont val="Calibri"/>
        <family val="2"/>
        <scheme val="minor"/>
      </rPr>
      <t>, where satisfaction is lowest.</t>
    </r>
  </si>
  <si>
    <t>3. Expand Market Strategy:</t>
  </si>
  <si>
    <r>
      <t xml:space="preserve">Strengthen </t>
    </r>
    <r>
      <rPr>
        <b/>
        <sz val="11"/>
        <color theme="1"/>
        <rFont val="Calibri"/>
        <family val="2"/>
        <scheme val="minor"/>
      </rPr>
      <t>marketing and promotional campaigns</t>
    </r>
    <r>
      <rPr>
        <sz val="11"/>
        <color theme="1"/>
        <rFont val="Calibri"/>
        <family val="2"/>
        <scheme val="minor"/>
      </rPr>
      <t xml:space="preserve"> in </t>
    </r>
    <r>
      <rPr>
        <b/>
        <sz val="11"/>
        <color theme="1"/>
        <rFont val="Calibri"/>
        <family val="2"/>
        <scheme val="minor"/>
      </rPr>
      <t>South America</t>
    </r>
    <r>
      <rPr>
        <sz val="11"/>
        <color theme="1"/>
        <rFont val="Calibri"/>
        <family val="2"/>
        <scheme val="minor"/>
      </rPr>
      <t xml:space="preserve"> and </t>
    </r>
    <r>
      <rPr>
        <b/>
        <sz val="11"/>
        <color theme="1"/>
        <rFont val="Calibri"/>
        <family val="2"/>
        <scheme val="minor"/>
      </rPr>
      <t>Oceania</t>
    </r>
    <r>
      <rPr>
        <sz val="11"/>
        <color theme="1"/>
        <rFont val="Calibri"/>
        <family val="2"/>
        <scheme val="minor"/>
      </rPr>
      <t xml:space="preserve"> to increase awareness and sales.</t>
    </r>
  </si>
  <si>
    <t>4. Leverage High-Performing Regions:</t>
  </si>
  <si>
    <r>
      <t xml:space="preserve">Continue reinforcing successful strategies in </t>
    </r>
    <r>
      <rPr>
        <b/>
        <sz val="11"/>
        <color theme="1"/>
        <rFont val="Calibri"/>
        <family val="2"/>
        <scheme val="minor"/>
      </rPr>
      <t>Africa and Asia</t>
    </r>
    <r>
      <rPr>
        <sz val="11"/>
        <color theme="1"/>
        <rFont val="Calibri"/>
        <family val="2"/>
        <scheme val="minor"/>
      </rPr>
      <t>, using them as models for other underperforming markets.</t>
    </r>
  </si>
  <si>
    <r>
      <t>Africa</t>
    </r>
    <r>
      <rPr>
        <sz val="11"/>
        <color theme="1"/>
        <rFont val="Calibri"/>
        <family val="2"/>
        <scheme val="minor"/>
      </rPr>
      <t xml:space="preserve"> continues to dominate in total orders and revenue, while </t>
    </r>
    <r>
      <rPr>
        <b/>
        <sz val="11"/>
        <color theme="1"/>
        <rFont val="Calibri"/>
        <family val="2"/>
        <scheme val="minor"/>
      </rPr>
      <t>Oceania</t>
    </r>
    <r>
      <rPr>
        <sz val="11"/>
        <color theme="1"/>
        <rFont val="Calibri"/>
        <family val="2"/>
        <scheme val="minor"/>
      </rPr>
      <t xml:space="preserve"> and </t>
    </r>
    <r>
      <rPr>
        <b/>
        <sz val="11"/>
        <color theme="1"/>
        <rFont val="Calibri"/>
        <family val="2"/>
        <scheme val="minor"/>
      </rPr>
      <t>South America</t>
    </r>
    <r>
      <rPr>
        <sz val="11"/>
        <color theme="1"/>
        <rFont val="Calibri"/>
        <family val="2"/>
        <scheme val="minor"/>
      </rPr>
      <t xml:space="preserve"> remain underperforming markets.</t>
    </r>
    <r>
      <rPr>
        <b/>
        <sz val="11"/>
        <color theme="1"/>
        <rFont val="Calibri"/>
        <family val="2"/>
        <scheme val="minor"/>
      </rPr>
      <t xml:space="preserve"> </t>
    </r>
  </si>
  <si>
    <r>
      <t xml:space="preserve">Overall, the </t>
    </r>
    <r>
      <rPr>
        <b/>
        <sz val="11"/>
        <color theme="1"/>
        <rFont val="Calibri"/>
        <family val="2"/>
        <scheme val="minor"/>
      </rPr>
      <t>consistent purchases over the past two years</t>
    </r>
    <r>
      <rPr>
        <sz val="11"/>
        <color theme="1"/>
        <rFont val="Calibri"/>
        <family val="2"/>
        <scheme val="minor"/>
      </rPr>
      <t xml:space="preserve"> demonstrates consistent product popularity and market growth.</t>
    </r>
  </si>
  <si>
    <r>
      <t xml:space="preserve">A </t>
    </r>
    <r>
      <rPr>
        <b/>
        <sz val="11"/>
        <color theme="1"/>
        <rFont val="Calibri"/>
        <family val="2"/>
        <scheme val="minor"/>
      </rPr>
      <t>direct relationship</t>
    </r>
    <r>
      <rPr>
        <sz val="11"/>
        <color theme="1"/>
        <rFont val="Calibri"/>
        <family val="2"/>
        <scheme val="minor"/>
      </rPr>
      <t xml:space="preserve"> between orders and revenue is observed, although customer feedback in Africa remains only average compared to other regions possibly indicating that demand outweighs the satisfastion from product.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</si>
</sst>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_-* #,##0_-;\-* #,##0_-;_-* &quot;-&quot;??_-;_-@_-"/>
  </numFmts>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4" fontId="0" fillId="0" borderId="0" xfId="0" applyNumberFormat="1"/>
    <xf numFmtId="14" fontId="1" fillId="0" borderId="1" xfId="0" applyNumberFormat="1" applyFont="1" applyBorder="1" applyAlignment="1">
      <alignment horizontal="center" vertical="top"/>
    </xf>
    <xf numFmtId="2" fontId="0" fillId="0" borderId="0" xfId="0" applyNumberFormat="1"/>
    <xf numFmtId="0" fontId="1" fillId="2" borderId="0" xfId="0" applyFont="1" applyFill="1"/>
    <xf numFmtId="0" fontId="0" fillId="3" borderId="0" xfId="0" applyFill="1" applyAlignment="1">
      <alignment horizontal="center"/>
    </xf>
    <xf numFmtId="166"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1" fillId="0" borderId="0" xfId="0" applyFont="1" applyAlignment="1">
      <alignment horizontal="left"/>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left" vertical="center" indent="2"/>
    </xf>
  </cellXfs>
  <cellStyles count="1">
    <cellStyle name="Normal" xfId="0" builtinId="0"/>
  </cellStyles>
  <dxfs count="15">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2" formatCode="0.00"/>
    </dxf>
    <dxf>
      <numFmt numFmtId="165" formatCode="&quot;₱&quot;#,##0.00"/>
    </dxf>
    <dxf>
      <numFmt numFmtId="19" formatCode="m/d/yyyy"/>
    </dxf>
    <dxf>
      <numFmt numFmtId="0" formatCode="General"/>
    </dxf>
    <dxf>
      <numFmt numFmtId="164" formatCode="yyyy\-mm\-dd"/>
    </dxf>
    <dxf>
      <numFmt numFmtId="164" formatCode="yyyy\-mm\-dd"/>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[Customer_Data_Analytics_Practice.xlsx]Tables and Charts!PivotTable1</c:name>
    <c:fmtId val="28"/>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solidFill>
                  <a:sysClr val="windowText" lastClr="000000"/>
                </a:solidFill>
              </a:rPr>
              <a:t>Orders</a:t>
            </a:r>
            <a:r>
              <a:rPr lang="en-US" baseline="0">
                <a:solidFill>
                  <a:sysClr val="windowText" lastClr="000000"/>
                </a:solidFill>
              </a:rPr>
              <a:t> per Region</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85000"/>
            </a:schemeClr>
          </a:solidFill>
          <a:ln w="9525" cap="flat" cmpd="sng" algn="ctr">
            <a:solidFill>
              <a:schemeClr val="lt1">
                <a:alpha val="50000"/>
              </a:schemeClr>
            </a:solidFill>
            <a:round/>
          </a:ln>
          <a:effectLst/>
        </c:spPr>
        <c:dLbl>
          <c:idx val="0"/>
          <c:layout>
            <c:manualLayout>
              <c:x val="-6.00367196258120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85000"/>
            </a:schemeClr>
          </a:solidFill>
          <a:ln w="9525" cap="flat" cmpd="sng" algn="ctr">
            <a:solidFill>
              <a:schemeClr val="lt1">
                <a:alpha val="50000"/>
              </a:schemeClr>
            </a:solidFill>
            <a:round/>
          </a:ln>
          <a:effectLst/>
        </c:spPr>
      </c:pivotFmt>
      <c:pivotFmt>
        <c:idx val="3"/>
        <c:spPr>
          <a:solidFill>
            <a:schemeClr val="bg2">
              <a:lumMod val="50000"/>
              <a:alpha val="85000"/>
            </a:schemeClr>
          </a:solidFill>
          <a:ln w="9525" cap="flat" cmpd="sng" algn="ctr">
            <a:solidFill>
              <a:schemeClr val="lt1">
                <a:alpha val="50000"/>
              </a:schemeClr>
            </a:solidFill>
            <a:round/>
          </a:ln>
          <a:effectLst/>
        </c:spPr>
      </c:pivotFmt>
      <c:pivotFmt>
        <c:idx val="4"/>
        <c:spPr>
          <a:solidFill>
            <a:schemeClr val="accent2">
              <a:lumMod val="75000"/>
              <a:alpha val="85000"/>
            </a:schemeClr>
          </a:solidFill>
          <a:ln w="9525" cap="flat" cmpd="sng" algn="ctr">
            <a:solidFill>
              <a:schemeClr val="lt1">
                <a:alpha val="50000"/>
              </a:schemeClr>
            </a:solidFill>
            <a:round/>
          </a:ln>
          <a:effectLst/>
        </c:spPr>
      </c:pivotFmt>
      <c:pivotFmt>
        <c:idx val="5"/>
        <c:spPr>
          <a:solidFill>
            <a:srgbClr val="7030A0">
              <a:alpha val="85000"/>
            </a:srgbClr>
          </a:solidFill>
          <a:ln w="9525" cap="flat" cmpd="sng" algn="ctr">
            <a:solidFill>
              <a:schemeClr val="lt1">
                <a:alpha val="50000"/>
              </a:schemeClr>
            </a:solidFill>
            <a:round/>
          </a:ln>
          <a:effectLst/>
        </c:spPr>
      </c:pivotFmt>
      <c:pivotFmt>
        <c:idx val="6"/>
        <c:spPr>
          <a:solidFill>
            <a:srgbClr val="FFC000">
              <a:alpha val="85000"/>
            </a:srgb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'Tables and Charts'!$B$2</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rgbClr val="FFC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5-AF8B-42E7-B4E4-D4F2612143AC}"/>
              </c:ext>
            </c:extLst>
          </c:dPt>
          <c:dPt>
            <c:idx val="1"/>
            <c:invertIfNegative val="0"/>
            <c:bubble3D val="0"/>
            <c:spPr>
              <a:solidFill>
                <a:srgbClr val="7030A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4-AF8B-42E7-B4E4-D4F2612143AC}"/>
              </c:ext>
            </c:extLst>
          </c:dPt>
          <c:dPt>
            <c:idx val="2"/>
            <c:invertIfNegative val="0"/>
            <c:bubble3D val="0"/>
            <c:spPr>
              <a:solidFill>
                <a:schemeClr val="accent2">
                  <a:lumMod val="7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AF8B-42E7-B4E4-D4F2612143AC}"/>
              </c:ext>
            </c:extLst>
          </c:dPt>
          <c:dPt>
            <c:idx val="3"/>
            <c:invertIfNegative val="0"/>
            <c:bubble3D val="0"/>
            <c:spPr>
              <a:solidFill>
                <a:schemeClr val="bg2">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AF8B-42E7-B4E4-D4F2612143AC}"/>
              </c:ext>
            </c:extLst>
          </c:dPt>
          <c:dPt>
            <c:idx val="4"/>
            <c:invertIfNegative val="0"/>
            <c:bubble3D val="0"/>
            <c:spPr>
              <a:solidFill>
                <a:schemeClr val="accent6">
                  <a:lumMod val="7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AF8B-42E7-B4E4-D4F2612143AC}"/>
              </c:ext>
            </c:extLst>
          </c:dPt>
          <c:dPt>
            <c:idx val="6"/>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AF8B-42E7-B4E4-D4F2612143AC}"/>
              </c:ext>
            </c:extLst>
          </c:dPt>
          <c:dLbls>
            <c:dLbl>
              <c:idx val="6"/>
              <c:layout>
                <c:manualLayout>
                  <c:x val="-6.003671962581202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8B-42E7-B4E4-D4F2612143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 and Charts'!$A$3:$A$10</c:f>
              <c:strCache>
                <c:ptCount val="7"/>
                <c:pt idx="0">
                  <c:v>Africa</c:v>
                </c:pt>
                <c:pt idx="1">
                  <c:v>Asia</c:v>
                </c:pt>
                <c:pt idx="2">
                  <c:v>Europe</c:v>
                </c:pt>
                <c:pt idx="3">
                  <c:v>North America</c:v>
                </c:pt>
                <c:pt idx="4">
                  <c:v>Oceania</c:v>
                </c:pt>
                <c:pt idx="5">
                  <c:v>South America</c:v>
                </c:pt>
                <c:pt idx="6">
                  <c:v>Antarctica</c:v>
                </c:pt>
              </c:strCache>
            </c:strRef>
          </c:cat>
          <c:val>
            <c:numRef>
              <c:f>'Tables and Charts'!$B$3:$B$10</c:f>
              <c:numCache>
                <c:formatCode>_-* #,##0_-;\-* #,##0_-;_-* "-"??_-;_-@_-</c:formatCode>
                <c:ptCount val="7"/>
                <c:pt idx="0">
                  <c:v>5666</c:v>
                </c:pt>
                <c:pt idx="1">
                  <c:v>4783</c:v>
                </c:pt>
                <c:pt idx="2">
                  <c:v>4685</c:v>
                </c:pt>
                <c:pt idx="3">
                  <c:v>4489</c:v>
                </c:pt>
                <c:pt idx="4">
                  <c:v>2499</c:v>
                </c:pt>
                <c:pt idx="5">
                  <c:v>1882</c:v>
                </c:pt>
                <c:pt idx="6">
                  <c:v>478</c:v>
                </c:pt>
              </c:numCache>
            </c:numRef>
          </c:val>
          <c:extLst>
            <c:ext xmlns:c16="http://schemas.microsoft.com/office/drawing/2014/chart" uri="{C3380CC4-5D6E-409C-BE32-E72D297353CC}">
              <c16:uniqueId val="{00000000-C28A-459D-885A-4BEA7C32CA0C}"/>
            </c:ext>
          </c:extLst>
        </c:ser>
        <c:dLbls>
          <c:dLblPos val="inEnd"/>
          <c:showLegendKey val="0"/>
          <c:showVal val="1"/>
          <c:showCatName val="0"/>
          <c:showSerName val="0"/>
          <c:showPercent val="0"/>
          <c:showBubbleSize val="0"/>
        </c:dLbls>
        <c:gapWidth val="65"/>
        <c:axId val="1884634032"/>
        <c:axId val="1884633072"/>
      </c:barChart>
      <c:catAx>
        <c:axId val="1884634032"/>
        <c:scaling>
          <c:orientation val="minMax"/>
        </c:scaling>
        <c:delete val="0"/>
        <c:axPos val="l"/>
        <c:numFmt formatCode="General" sourceLinked="0"/>
        <c:majorTickMark val="none"/>
        <c:minorTickMark val="none"/>
        <c:tickLblPos val="nextTo"/>
        <c:spPr>
          <a:noFill/>
          <a:ln w="19050" cap="flat" cmpd="sng" algn="ctr">
            <a:solidFill>
              <a:schemeClr val="dk1">
                <a:lumMod val="75000"/>
                <a:lumOff val="25000"/>
              </a:schemeClr>
            </a:solidFill>
            <a:round/>
          </a:ln>
          <a:effectLst>
            <a:glow rad="63500">
              <a:schemeClr val="accent3">
                <a:alpha val="40000"/>
              </a:schemeClr>
            </a:glow>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4633072"/>
        <c:crosses val="autoZero"/>
        <c:auto val="1"/>
        <c:lblAlgn val="ctr"/>
        <c:lblOffset val="100"/>
        <c:noMultiLvlLbl val="0"/>
      </c:catAx>
      <c:valAx>
        <c:axId val="18846330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PH"/>
                  <a:t>Orders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463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a:glow rad="101600">
        <a:schemeClr val="bg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[Customer_Data_Analytics_Practice.xlsx]Tables and Charts!PivotTable2</c:name>
    <c:fmtId val="1"/>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solidFill>
                  <a:sysClr val="windowText" lastClr="000000"/>
                </a:solidFill>
              </a:rPr>
              <a:t>Revenue per Region</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85000"/>
            </a:schemeClr>
          </a:solidFill>
          <a:ln w="9525" cap="flat" cmpd="sng" algn="ctr">
            <a:solidFill>
              <a:schemeClr val="lt1">
                <a:alpha val="50000"/>
              </a:schemeClr>
            </a:solidFill>
            <a:round/>
          </a:ln>
          <a:effectLst/>
        </c:spPr>
      </c:pivotFmt>
      <c:pivotFmt>
        <c:idx val="2"/>
        <c:spPr>
          <a:solidFill>
            <a:schemeClr val="accent6">
              <a:lumMod val="75000"/>
              <a:alpha val="85000"/>
            </a:schemeClr>
          </a:solidFill>
          <a:ln w="9525" cap="flat" cmpd="sng" algn="ctr">
            <a:solidFill>
              <a:schemeClr val="lt1">
                <a:alpha val="50000"/>
              </a:schemeClr>
            </a:solidFill>
            <a:round/>
          </a:ln>
          <a:effectLst/>
        </c:spPr>
      </c:pivotFmt>
      <c:pivotFmt>
        <c:idx val="3"/>
        <c:spPr>
          <a:solidFill>
            <a:schemeClr val="bg2">
              <a:lumMod val="50000"/>
              <a:alpha val="85000"/>
            </a:schemeClr>
          </a:solidFill>
          <a:ln w="9525" cap="flat" cmpd="sng" algn="ctr">
            <a:solidFill>
              <a:schemeClr val="lt1">
                <a:alpha val="50000"/>
              </a:schemeClr>
            </a:solidFill>
            <a:round/>
          </a:ln>
          <a:effectLst/>
        </c:spPr>
      </c:pivotFmt>
      <c:pivotFmt>
        <c:idx val="4"/>
        <c:spPr>
          <a:solidFill>
            <a:schemeClr val="accent2">
              <a:lumMod val="75000"/>
              <a:alpha val="85000"/>
            </a:schemeClr>
          </a:solidFill>
          <a:ln w="9525" cap="flat" cmpd="sng" algn="ctr">
            <a:solidFill>
              <a:schemeClr val="lt1">
                <a:alpha val="50000"/>
              </a:schemeClr>
            </a:solidFill>
            <a:round/>
          </a:ln>
          <a:effectLst/>
        </c:spPr>
      </c:pivotFmt>
      <c:pivotFmt>
        <c:idx val="5"/>
        <c:spPr>
          <a:solidFill>
            <a:srgbClr val="7030A0">
              <a:alpha val="85000"/>
            </a:srgbClr>
          </a:solidFill>
          <a:ln w="9525" cap="flat" cmpd="sng" algn="ctr">
            <a:solidFill>
              <a:schemeClr val="lt1">
                <a:alpha val="50000"/>
              </a:schemeClr>
            </a:solidFill>
            <a:round/>
          </a:ln>
          <a:effectLst/>
        </c:spPr>
      </c:pivotFmt>
      <c:pivotFmt>
        <c:idx val="6"/>
        <c:spPr>
          <a:solidFill>
            <a:srgbClr val="FFC000">
              <a:alpha val="85000"/>
            </a:srgb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'Tables and Charts'!$E$2</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rgbClr val="FFC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5-C59B-45DE-A5A5-22ECFBA5DA84}"/>
              </c:ext>
            </c:extLst>
          </c:dPt>
          <c:dPt>
            <c:idx val="1"/>
            <c:invertIfNegative val="0"/>
            <c:bubble3D val="0"/>
            <c:spPr>
              <a:solidFill>
                <a:srgbClr val="7030A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4-C59B-45DE-A5A5-22ECFBA5DA84}"/>
              </c:ext>
            </c:extLst>
          </c:dPt>
          <c:dPt>
            <c:idx val="2"/>
            <c:invertIfNegative val="0"/>
            <c:bubble3D val="0"/>
            <c:spPr>
              <a:solidFill>
                <a:schemeClr val="accent2">
                  <a:lumMod val="7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C59B-45DE-A5A5-22ECFBA5DA84}"/>
              </c:ext>
            </c:extLst>
          </c:dPt>
          <c:dPt>
            <c:idx val="3"/>
            <c:invertIfNegative val="0"/>
            <c:bubble3D val="0"/>
            <c:spPr>
              <a:solidFill>
                <a:schemeClr val="bg2">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C59B-45DE-A5A5-22ECFBA5DA84}"/>
              </c:ext>
            </c:extLst>
          </c:dPt>
          <c:dPt>
            <c:idx val="4"/>
            <c:invertIfNegative val="0"/>
            <c:bubble3D val="0"/>
            <c:spPr>
              <a:solidFill>
                <a:schemeClr val="accent6">
                  <a:lumMod val="7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C59B-45DE-A5A5-22ECFBA5DA84}"/>
              </c:ext>
            </c:extLst>
          </c:dPt>
          <c:dPt>
            <c:idx val="6"/>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C59B-45DE-A5A5-22ECFBA5DA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 and Charts'!$D$3:$D$10</c:f>
              <c:strCache>
                <c:ptCount val="7"/>
                <c:pt idx="0">
                  <c:v>Africa</c:v>
                </c:pt>
                <c:pt idx="1">
                  <c:v>Asia</c:v>
                </c:pt>
                <c:pt idx="2">
                  <c:v>Europe</c:v>
                </c:pt>
                <c:pt idx="3">
                  <c:v>North America</c:v>
                </c:pt>
                <c:pt idx="4">
                  <c:v>Oceania</c:v>
                </c:pt>
                <c:pt idx="5">
                  <c:v>South America</c:v>
                </c:pt>
                <c:pt idx="6">
                  <c:v>Antarctica</c:v>
                </c:pt>
              </c:strCache>
            </c:strRef>
          </c:cat>
          <c:val>
            <c:numRef>
              <c:f>'Tables and Charts'!$E$3:$E$10</c:f>
              <c:numCache>
                <c:formatCode>"₱"#,##0.00</c:formatCode>
                <c:ptCount val="7"/>
                <c:pt idx="0">
                  <c:v>1248314.689999999</c:v>
                </c:pt>
                <c:pt idx="1">
                  <c:v>912691.28999999934</c:v>
                </c:pt>
                <c:pt idx="2">
                  <c:v>969977.74999999977</c:v>
                </c:pt>
                <c:pt idx="3">
                  <c:v>824438.45999999985</c:v>
                </c:pt>
                <c:pt idx="4">
                  <c:v>563900.35000000033</c:v>
                </c:pt>
                <c:pt idx="5">
                  <c:v>329889.26</c:v>
                </c:pt>
                <c:pt idx="6">
                  <c:v>89753.05</c:v>
                </c:pt>
              </c:numCache>
            </c:numRef>
          </c:val>
          <c:extLst>
            <c:ext xmlns:c16="http://schemas.microsoft.com/office/drawing/2014/chart" uri="{C3380CC4-5D6E-409C-BE32-E72D297353CC}">
              <c16:uniqueId val="{00000000-2138-446B-BD9A-AA19238AFD0C}"/>
            </c:ext>
          </c:extLst>
        </c:ser>
        <c:dLbls>
          <c:dLblPos val="inEnd"/>
          <c:showLegendKey val="0"/>
          <c:showVal val="1"/>
          <c:showCatName val="0"/>
          <c:showSerName val="0"/>
          <c:showPercent val="0"/>
          <c:showBubbleSize val="0"/>
        </c:dLbls>
        <c:gapWidth val="65"/>
        <c:axId val="1320668240"/>
        <c:axId val="1320666800"/>
      </c:barChart>
      <c:catAx>
        <c:axId val="13206682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0666800"/>
        <c:crosses val="autoZero"/>
        <c:auto val="1"/>
        <c:lblAlgn val="ctr"/>
        <c:lblOffset val="100"/>
        <c:noMultiLvlLbl val="0"/>
      </c:catAx>
      <c:valAx>
        <c:axId val="13206668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PH"/>
                  <a:t>Revenue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2066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[Customer_Data_Analytics_Practice.xlsx]Tables and Charts!PivotTable3</c:name>
    <c:fmtId val="11"/>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solidFill>
                  <a:sysClr val="windowText" lastClr="000000"/>
                </a:solidFill>
              </a:rPr>
              <a:t>Avg Feedback Score per Region</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85000"/>
            </a:schemeClr>
          </a:solidFill>
          <a:ln w="9525" cap="flat" cmpd="sng" algn="ctr">
            <a:solidFill>
              <a:schemeClr val="lt1">
                <a:alpha val="50000"/>
              </a:schemeClr>
            </a:solidFill>
            <a:round/>
          </a:ln>
          <a:effectLst/>
        </c:spPr>
      </c:pivotFmt>
      <c:pivotFmt>
        <c:idx val="2"/>
        <c:spPr>
          <a:solidFill>
            <a:schemeClr val="accent6">
              <a:lumMod val="75000"/>
              <a:alpha val="85000"/>
            </a:schemeClr>
          </a:solidFill>
          <a:ln w="9525" cap="flat" cmpd="sng" algn="ctr">
            <a:solidFill>
              <a:schemeClr val="lt1">
                <a:alpha val="50000"/>
              </a:schemeClr>
            </a:solidFill>
            <a:round/>
          </a:ln>
          <a:effectLst/>
        </c:spPr>
      </c:pivotFmt>
      <c:pivotFmt>
        <c:idx val="3"/>
        <c:spPr>
          <a:solidFill>
            <a:schemeClr val="bg2">
              <a:lumMod val="50000"/>
              <a:alpha val="85000"/>
            </a:schemeClr>
          </a:solidFill>
          <a:ln w="9525" cap="flat" cmpd="sng" algn="ctr">
            <a:solidFill>
              <a:schemeClr val="lt1">
                <a:alpha val="50000"/>
              </a:schemeClr>
            </a:solidFill>
            <a:round/>
          </a:ln>
          <a:effectLst/>
        </c:spPr>
      </c:pivotFmt>
      <c:pivotFmt>
        <c:idx val="4"/>
        <c:spPr>
          <a:solidFill>
            <a:schemeClr val="accent2">
              <a:lumMod val="75000"/>
              <a:alpha val="85000"/>
            </a:schemeClr>
          </a:solidFill>
          <a:ln w="9525" cap="flat" cmpd="sng" algn="ctr">
            <a:solidFill>
              <a:schemeClr val="lt1">
                <a:alpha val="50000"/>
              </a:schemeClr>
            </a:solidFill>
            <a:round/>
          </a:ln>
          <a:effectLst/>
        </c:spPr>
      </c:pivotFmt>
      <c:pivotFmt>
        <c:idx val="5"/>
        <c:spPr>
          <a:solidFill>
            <a:srgbClr val="7030A0">
              <a:alpha val="85000"/>
            </a:srgbClr>
          </a:solidFill>
          <a:ln w="9525" cap="flat" cmpd="sng" algn="ctr">
            <a:solidFill>
              <a:schemeClr val="lt1">
                <a:alpha val="50000"/>
              </a:schemeClr>
            </a:solidFill>
            <a:round/>
          </a:ln>
          <a:effectLst/>
        </c:spPr>
      </c:pivotFmt>
      <c:pivotFmt>
        <c:idx val="6"/>
        <c:spPr>
          <a:solidFill>
            <a:srgbClr val="FFC000">
              <a:alpha val="85000"/>
            </a:srgb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'Tables and Charts'!$H$2</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rgbClr val="FFC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5-F6BA-4E91-B045-656FBBA99CE5}"/>
              </c:ext>
            </c:extLst>
          </c:dPt>
          <c:dPt>
            <c:idx val="1"/>
            <c:invertIfNegative val="0"/>
            <c:bubble3D val="0"/>
            <c:spPr>
              <a:solidFill>
                <a:srgbClr val="7030A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4-F6BA-4E91-B045-656FBBA99CE5}"/>
              </c:ext>
            </c:extLst>
          </c:dPt>
          <c:dPt>
            <c:idx val="2"/>
            <c:invertIfNegative val="0"/>
            <c:bubble3D val="0"/>
            <c:spPr>
              <a:solidFill>
                <a:schemeClr val="accent2">
                  <a:lumMod val="7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F6BA-4E91-B045-656FBBA99CE5}"/>
              </c:ext>
            </c:extLst>
          </c:dPt>
          <c:dPt>
            <c:idx val="3"/>
            <c:invertIfNegative val="0"/>
            <c:bubble3D val="0"/>
            <c:spPr>
              <a:solidFill>
                <a:schemeClr val="bg2">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F6BA-4E91-B045-656FBBA99CE5}"/>
              </c:ext>
            </c:extLst>
          </c:dPt>
          <c:dPt>
            <c:idx val="4"/>
            <c:invertIfNegative val="0"/>
            <c:bubble3D val="0"/>
            <c:spPr>
              <a:solidFill>
                <a:schemeClr val="accent6">
                  <a:lumMod val="75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F6BA-4E91-B045-656FBBA99CE5}"/>
              </c:ext>
            </c:extLst>
          </c:dPt>
          <c:dPt>
            <c:idx val="6"/>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F6BA-4E91-B045-656FBBA99C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 and Charts'!$G$3:$G$9</c:f>
              <c:strCache>
                <c:ptCount val="7"/>
                <c:pt idx="0">
                  <c:v>Africa</c:v>
                </c:pt>
                <c:pt idx="1">
                  <c:v>Asia</c:v>
                </c:pt>
                <c:pt idx="2">
                  <c:v>Europe</c:v>
                </c:pt>
                <c:pt idx="3">
                  <c:v>North America</c:v>
                </c:pt>
                <c:pt idx="4">
                  <c:v>Oceania</c:v>
                </c:pt>
                <c:pt idx="5">
                  <c:v>South America</c:v>
                </c:pt>
                <c:pt idx="6">
                  <c:v>Antarctica</c:v>
                </c:pt>
              </c:strCache>
            </c:strRef>
          </c:cat>
          <c:val>
            <c:numRef>
              <c:f>'Tables and Charts'!$H$3:$H$9</c:f>
              <c:numCache>
                <c:formatCode>0.00</c:formatCode>
                <c:ptCount val="7"/>
                <c:pt idx="0">
                  <c:v>3.0296610169491527</c:v>
                </c:pt>
                <c:pt idx="1">
                  <c:v>3.0757575757575757</c:v>
                </c:pt>
                <c:pt idx="2">
                  <c:v>3.1105263157894738</c:v>
                </c:pt>
                <c:pt idx="3">
                  <c:v>2.9942196531791909</c:v>
                </c:pt>
                <c:pt idx="4">
                  <c:v>3.0092592592592591</c:v>
                </c:pt>
                <c:pt idx="5">
                  <c:v>2.9420289855072466</c:v>
                </c:pt>
                <c:pt idx="6">
                  <c:v>3.1578947368421053</c:v>
                </c:pt>
              </c:numCache>
            </c:numRef>
          </c:val>
          <c:extLst>
            <c:ext xmlns:c16="http://schemas.microsoft.com/office/drawing/2014/chart" uri="{C3380CC4-5D6E-409C-BE32-E72D297353CC}">
              <c16:uniqueId val="{00000000-9196-4783-8C92-18F9625720AD}"/>
            </c:ext>
          </c:extLst>
        </c:ser>
        <c:dLbls>
          <c:dLblPos val="inEnd"/>
          <c:showLegendKey val="0"/>
          <c:showVal val="1"/>
          <c:showCatName val="0"/>
          <c:showSerName val="0"/>
          <c:showPercent val="0"/>
          <c:showBubbleSize val="0"/>
        </c:dLbls>
        <c:gapWidth val="65"/>
        <c:axId val="1885583360"/>
        <c:axId val="1885583840"/>
      </c:barChart>
      <c:catAx>
        <c:axId val="18855833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5583840"/>
        <c:crosses val="autoZero"/>
        <c:auto val="1"/>
        <c:lblAlgn val="ctr"/>
        <c:lblOffset val="100"/>
        <c:noMultiLvlLbl val="0"/>
      </c:catAx>
      <c:valAx>
        <c:axId val="18855838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PH"/>
                  <a:t>Feedback Score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558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[Customer_Data_Analytics_Practice.xlsx]Tables and Charts!PivotTable4</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800" b="1" baseline="0">
                <a:solidFill>
                  <a:sysClr val="windowText" lastClr="000000"/>
                </a:solidFill>
              </a:rPr>
              <a:t>Number of Purchase Timeline</a:t>
            </a:r>
          </a:p>
        </c:rich>
      </c:tx>
      <c:layout>
        <c:manualLayout>
          <c:xMode val="edge"/>
          <c:yMode val="edge"/>
          <c:x val="0.25744569154176133"/>
          <c:y val="2.77972421008461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cmpd="sng">
            <a:solidFill>
              <a:schemeClr val="accent3"/>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 and Charts'!$B$13</c:f>
              <c:strCache>
                <c:ptCount val="1"/>
                <c:pt idx="0">
                  <c:v>Total</c:v>
                </c:pt>
              </c:strCache>
            </c:strRef>
          </c:tx>
          <c:spPr>
            <a:ln w="28575" cap="rnd" cmpd="sng">
              <a:solidFill>
                <a:schemeClr val="accent3"/>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'Tables and Charts'!$A$14:$A$38</c:f>
              <c:multiLvlStrCache>
                <c:ptCount val="22"/>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lvl>
                <c:lvl>
                  <c:pt idx="0">
                    <c:v>2024</c:v>
                  </c:pt>
                  <c:pt idx="12">
                    <c:v>2025</c:v>
                  </c:pt>
                </c:lvl>
              </c:multiLvlStrCache>
            </c:multiLvlStrRef>
          </c:cat>
          <c:val>
            <c:numRef>
              <c:f>'Tables and Charts'!$B$14:$B$38</c:f>
              <c:numCache>
                <c:formatCode>_-* #,##0_-;\-* #,##0_-;_-* "-"??_-;_-@_-</c:formatCode>
                <c:ptCount val="22"/>
                <c:pt idx="0">
                  <c:v>760</c:v>
                </c:pt>
                <c:pt idx="1">
                  <c:v>998</c:v>
                </c:pt>
                <c:pt idx="2">
                  <c:v>794</c:v>
                </c:pt>
                <c:pt idx="3">
                  <c:v>840</c:v>
                </c:pt>
                <c:pt idx="4">
                  <c:v>797</c:v>
                </c:pt>
                <c:pt idx="5">
                  <c:v>1158</c:v>
                </c:pt>
                <c:pt idx="6">
                  <c:v>1038</c:v>
                </c:pt>
                <c:pt idx="7">
                  <c:v>962</c:v>
                </c:pt>
                <c:pt idx="8">
                  <c:v>919</c:v>
                </c:pt>
                <c:pt idx="9">
                  <c:v>1250</c:v>
                </c:pt>
                <c:pt idx="10">
                  <c:v>1106</c:v>
                </c:pt>
                <c:pt idx="11">
                  <c:v>905</c:v>
                </c:pt>
                <c:pt idx="12">
                  <c:v>1134</c:v>
                </c:pt>
                <c:pt idx="13">
                  <c:v>853</c:v>
                </c:pt>
                <c:pt idx="14">
                  <c:v>1116</c:v>
                </c:pt>
                <c:pt idx="15">
                  <c:v>784</c:v>
                </c:pt>
                <c:pt idx="16">
                  <c:v>1352</c:v>
                </c:pt>
                <c:pt idx="17">
                  <c:v>696</c:v>
                </c:pt>
                <c:pt idx="18">
                  <c:v>1201</c:v>
                </c:pt>
                <c:pt idx="19">
                  <c:v>1143</c:v>
                </c:pt>
                <c:pt idx="20">
                  <c:v>1075</c:v>
                </c:pt>
                <c:pt idx="21">
                  <c:v>1129</c:v>
                </c:pt>
              </c:numCache>
            </c:numRef>
          </c:val>
          <c:smooth val="0"/>
          <c:extLst>
            <c:ext xmlns:c16="http://schemas.microsoft.com/office/drawing/2014/chart" uri="{C3380CC4-5D6E-409C-BE32-E72D297353CC}">
              <c16:uniqueId val="{00000000-B7FE-4E41-AFB4-3AFE12D06758}"/>
            </c:ext>
          </c:extLst>
        </c:ser>
        <c:dLbls>
          <c:dLblPos val="t"/>
          <c:showLegendKey val="0"/>
          <c:showVal val="1"/>
          <c:showCatName val="0"/>
          <c:showSerName val="0"/>
          <c:showPercent val="0"/>
          <c:showBubbleSize val="0"/>
        </c:dLbls>
        <c:marker val="1"/>
        <c:smooth val="0"/>
        <c:axId val="1321994272"/>
        <c:axId val="1321990912"/>
      </c:lineChart>
      <c:catAx>
        <c:axId val="132199427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PH" b="1"/>
                  <a:t>Year/Month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1990912"/>
        <c:crosses val="autoZero"/>
        <c:auto val="1"/>
        <c:lblAlgn val="ctr"/>
        <c:lblOffset val="100"/>
        <c:noMultiLvlLbl val="0"/>
      </c:catAx>
      <c:valAx>
        <c:axId val="13219909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99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596045</xdr:colOff>
      <xdr:row>10</xdr:row>
      <xdr:rowOff>150934</xdr:rowOff>
    </xdr:from>
    <xdr:to>
      <xdr:col>7</xdr:col>
      <xdr:colOff>1102335</xdr:colOff>
      <xdr:row>25</xdr:row>
      <xdr:rowOff>36634</xdr:rowOff>
    </xdr:to>
    <xdr:graphicFrame macro="">
      <xdr:nvGraphicFramePr>
        <xdr:cNvPr id="4" name="Chart 3">
          <a:extLst>
            <a:ext uri="{FF2B5EF4-FFF2-40B4-BE49-F238E27FC236}">
              <a16:creationId xmlns:a16="http://schemas.microsoft.com/office/drawing/2014/main" id="{76D89D47-02AA-C8DD-4030-CE460A01F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1369034</xdr:colOff>
      <xdr:row>10</xdr:row>
      <xdr:rowOff>141408</xdr:rowOff>
    </xdr:from>
    <xdr:to>
      <xdr:col>18</xdr:col>
      <xdr:colOff>402248</xdr:colOff>
      <xdr:row>25</xdr:row>
      <xdr:rowOff>55683</xdr:rowOff>
    </xdr:to>
    <xdr:graphicFrame macro="">
      <xdr:nvGraphicFramePr>
        <xdr:cNvPr id="5" name="Chart 4">
          <a:extLst>
            <a:ext uri="{FF2B5EF4-FFF2-40B4-BE49-F238E27FC236}">
              <a16:creationId xmlns:a16="http://schemas.microsoft.com/office/drawing/2014/main" id="{ABC80A77-3160-8CA1-B91D-1B7102CB4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89647</xdr:colOff>
      <xdr:row>26</xdr:row>
      <xdr:rowOff>107575</xdr:rowOff>
    </xdr:from>
    <xdr:to>
      <xdr:col>8</xdr:col>
      <xdr:colOff>347382</xdr:colOff>
      <xdr:row>42</xdr:row>
      <xdr:rowOff>112058</xdr:rowOff>
    </xdr:to>
    <xdr:graphicFrame macro="">
      <xdr:nvGraphicFramePr>
        <xdr:cNvPr id="7" name="Chart 6">
          <a:extLst>
            <a:ext uri="{FF2B5EF4-FFF2-40B4-BE49-F238E27FC236}">
              <a16:creationId xmlns:a16="http://schemas.microsoft.com/office/drawing/2014/main" id="{ECEB06C4-2935-C36B-8865-32E667D9F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549088</xdr:colOff>
      <xdr:row>26</xdr:row>
      <xdr:rowOff>40341</xdr:rowOff>
    </xdr:from>
    <xdr:to>
      <xdr:col>18</xdr:col>
      <xdr:colOff>495300</xdr:colOff>
      <xdr:row>45</xdr:row>
      <xdr:rowOff>57150</xdr:rowOff>
    </xdr:to>
    <xdr:graphicFrame macro="">
      <xdr:nvGraphicFramePr>
        <xdr:cNvPr id="8" name="Chart 7">
          <a:extLst>
            <a:ext uri="{FF2B5EF4-FFF2-40B4-BE49-F238E27FC236}">
              <a16:creationId xmlns:a16="http://schemas.microsoft.com/office/drawing/2014/main" id="{681B94D9-E5C8-F4EA-34D9-DA06A231D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588868</xdr:colOff>
      <xdr:row>26</xdr:row>
      <xdr:rowOff>145116</xdr:rowOff>
    </xdr:from>
    <xdr:to>
      <xdr:col>21</xdr:col>
      <xdr:colOff>602315</xdr:colOff>
      <xdr:row>30</xdr:row>
      <xdr:rowOff>24093</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50FE8371-323C-211D-B392-9E7CE9428C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170397" y="5098116"/>
              <a:ext cx="1828800" cy="64097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refreshedDate="45961.596719560184" createdVersion="8" refreshedVersion="8" minRefreshableVersion="3" recordCount="993" xr:uid="{74E51561-15DC-4DEE-AF95-325B180A996A}">
  <cacheSource type="worksheet">
    <worksheetSource name="Customer_Data"/>
  </cacheSource>
  <cacheFields count="19">
    <cacheField name="CustomerID" numFmtId="0">
      <sharedItems containsSemiMixedTypes="0" containsString="0" containsNumber="1" containsInteger="1" minValue="1" maxValue="1000"/>
    </cacheField>
    <cacheField name="FirstName" numFmtId="0">
      <sharedItems/>
    </cacheField>
    <cacheField name="LastName" numFmtId="0">
      <sharedItems/>
    </cacheField>
    <cacheField name="Gender" numFmtId="0">
      <sharedItems/>
    </cacheField>
    <cacheField name="Age" numFmtId="0">
      <sharedItems containsSemiMixedTypes="0" containsString="0" containsNumber="1" containsInteger="1" minValue="18" maxValue="74"/>
    </cacheField>
    <cacheField name="Region" numFmtId="0">
      <sharedItems containsBlank="1" count="8">
        <s v="Europe"/>
        <s v="Asia"/>
        <s v="Africa"/>
        <s v="South America"/>
        <s v="North America"/>
        <s v="Oceania"/>
        <s v="Antarctica"/>
        <m u="1"/>
      </sharedItems>
    </cacheField>
    <cacheField name="Country" numFmtId="0">
      <sharedItems/>
    </cacheField>
    <cacheField name="City" numFmtId="0">
      <sharedItems/>
    </cacheField>
    <cacheField name="Email" numFmtId="0">
      <sharedItems/>
    </cacheField>
    <cacheField name="PhoneNumber" numFmtId="0">
      <sharedItems/>
    </cacheField>
    <cacheField name="SignupDate" numFmtId="164">
      <sharedItems containsSemiMixedTypes="0" containsNonDate="0" containsDate="1" containsString="0" minDate="2022-11-01T00:00:00" maxDate="2025-10-31T00:00:00"/>
    </cacheField>
    <cacheField name="Year" numFmtId="0">
      <sharedItems containsSemiMixedTypes="0" containsString="0" containsNumber="1" containsInteger="1" minValue="2023" maxValue="2025" count="3">
        <n v="2024"/>
        <n v="2025"/>
        <n v="2023"/>
      </sharedItems>
    </cacheField>
    <cacheField name="Month" numFmtId="0">
      <sharedItems containsSemiMixedTypes="0" containsString="0" containsNumber="1" containsInteger="1" minValue="1" maxValue="12" count="12">
        <n v="8"/>
        <n v="6"/>
        <n v="9"/>
        <n v="4"/>
        <n v="3"/>
        <n v="11"/>
        <n v="2"/>
        <n v="10"/>
        <n v="1"/>
        <n v="12"/>
        <n v="5"/>
        <n v="7"/>
      </sharedItems>
    </cacheField>
    <cacheField name="LastPurchaseDate" numFmtId="14">
      <sharedItems containsSemiMixedTypes="0" containsNonDate="0" containsDate="1" containsString="0" minDate="2023-10-31T00:00:00" maxDate="2025-10-31T00:00:00"/>
    </cacheField>
    <cacheField name="TotalOrders" numFmtId="0">
      <sharedItems containsSemiMixedTypes="0" containsString="0" containsNumber="1" containsInteger="1" minValue="1" maxValue="49"/>
    </cacheField>
    <cacheField name="TotalSpent" numFmtId="165">
      <sharedItems containsSemiMixedTypes="0" containsString="0" containsNumber="1" minValue="67.099999999999994" maxValue="9995.41"/>
    </cacheField>
    <cacheField name="LoyaltyMember" numFmtId="0">
      <sharedItems/>
    </cacheField>
    <cacheField name="FeedbackScore" numFmtId="0">
      <sharedItems containsSemiMixedTypes="0" containsString="0" containsNumber="1" containsInteger="1" minValue="1" maxValue="5"/>
    </cacheField>
    <cacheField name="AvgOrderValue" numFmtId="0">
      <sharedItems containsSemiMixedTypes="0" containsString="0" containsNumber="1" minValue="1.64" maxValue="9965.66"/>
    </cacheField>
  </cacheFields>
  <extLst>
    <ext xmlns:x14="http://schemas.microsoft.com/office/spreadsheetml/2009/9/main" uri="{725AE2AE-9491-48be-B2B4-4EB974FC3084}">
      <x14:pivotCacheDefinition pivotCacheId="1248585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3">
  <r>
    <n v="1"/>
    <s v="Damon"/>
    <s v="Wilson"/>
    <s v="Male"/>
    <n v="30"/>
    <x v="0"/>
    <s v="Liberia"/>
    <s v="Harrisfurt"/>
    <s v="samuelzavala@wiley.org"/>
    <s v="+1-080-566-7627"/>
    <d v="2024-10-11T00:00:00"/>
    <x v="0"/>
    <x v="0"/>
    <d v="2024-08-31T00:00:00"/>
    <n v="49"/>
    <n v="8710.89"/>
    <s v="No"/>
    <n v="2"/>
    <n v="177.77"/>
  </r>
  <r>
    <n v="2"/>
    <s v="Danny"/>
    <s v="Stevens"/>
    <s v="Male"/>
    <n v="33"/>
    <x v="1"/>
    <s v="Vanuatu"/>
    <s v="Seanburgh"/>
    <s v="johnsonbrandon@rodgers.com"/>
    <s v="249.673.1574x3454"/>
    <d v="2022-12-29T00:00:00"/>
    <x v="1"/>
    <x v="0"/>
    <d v="2025-08-30T00:00:00"/>
    <n v="15"/>
    <n v="9312.9699999999993"/>
    <s v="No"/>
    <n v="4"/>
    <n v="620.86"/>
  </r>
  <r>
    <n v="3"/>
    <s v="Mario"/>
    <s v="Mason"/>
    <s v="Female"/>
    <n v="30"/>
    <x v="0"/>
    <s v="Uganda"/>
    <s v="New Christopher"/>
    <s v="walterschelsea@hotmail.com"/>
    <s v="+1-803-670-4142x729"/>
    <d v="2024-08-09T00:00:00"/>
    <x v="1"/>
    <x v="1"/>
    <d v="2025-06-01T00:00:00"/>
    <n v="28"/>
    <n v="5963.46"/>
    <s v="Yes"/>
    <n v="5"/>
    <n v="212.98"/>
  </r>
  <r>
    <n v="4"/>
    <s v="Gregory"/>
    <s v="Morales"/>
    <s v="Female"/>
    <n v="70"/>
    <x v="2"/>
    <s v="Estonia"/>
    <s v="North Michael"/>
    <s v="allen63@calhoun.com"/>
    <s v="(913)885-1477"/>
    <d v="2024-02-26T00:00:00"/>
    <x v="1"/>
    <x v="2"/>
    <d v="2025-09-16T00:00:00"/>
    <n v="39"/>
    <n v="5477.23"/>
    <s v="No"/>
    <n v="3"/>
    <n v="140.44"/>
  </r>
  <r>
    <n v="5"/>
    <s v="Bobby"/>
    <s v="Bell"/>
    <s v="Female"/>
    <n v="63"/>
    <x v="2"/>
    <s v="Senegal"/>
    <s v="Lake Michaelfurt"/>
    <s v="teresa88@gmail.com"/>
    <s v="329.278.4353x5726"/>
    <d v="2025-08-21T00:00:00"/>
    <x v="1"/>
    <x v="3"/>
    <d v="2025-04-20T00:00:00"/>
    <n v="38"/>
    <n v="8668.41"/>
    <s v="No"/>
    <n v="5"/>
    <n v="228.12"/>
  </r>
  <r>
    <n v="6"/>
    <s v="Johnny"/>
    <s v="Johnson"/>
    <s v="Female"/>
    <n v="53"/>
    <x v="3"/>
    <s v="Guinea-Bissau"/>
    <s v="Port Maria"/>
    <s v="barneskevin@weaver-armstrong.biz"/>
    <s v="415.767.8029"/>
    <d v="2023-10-27T00:00:00"/>
    <x v="1"/>
    <x v="4"/>
    <d v="2025-03-13T00:00:00"/>
    <n v="4"/>
    <n v="1627.85"/>
    <s v="Yes"/>
    <n v="1"/>
    <n v="406.96"/>
  </r>
  <r>
    <n v="7"/>
    <s v="Alexis"/>
    <s v="Parker"/>
    <s v="Female"/>
    <n v="36"/>
    <x v="0"/>
    <s v="Ghana"/>
    <s v="Port Nicole"/>
    <s v="cherylcarrillo@gmail.com"/>
    <s v="001-769-486-0609x917"/>
    <d v="2025-08-13T00:00:00"/>
    <x v="2"/>
    <x v="5"/>
    <d v="2023-11-02T00:00:00"/>
    <n v="18"/>
    <n v="1536.51"/>
    <s v="No"/>
    <n v="1"/>
    <n v="85.36"/>
  </r>
  <r>
    <n v="8"/>
    <s v="Karen"/>
    <s v="Hill"/>
    <s v="Female"/>
    <n v="56"/>
    <x v="4"/>
    <s v="Antarctica (the territory South of 60 deg S)"/>
    <s v="Henryfurt"/>
    <s v="brandy44@yahoo.com"/>
    <s v="+1-340-604-0301"/>
    <d v="2023-06-30T00:00:00"/>
    <x v="1"/>
    <x v="4"/>
    <d v="2025-03-23T00:00:00"/>
    <n v="15"/>
    <n v="7083.1"/>
    <s v="Yes"/>
    <n v="4"/>
    <n v="472.21"/>
  </r>
  <r>
    <n v="9"/>
    <s v="Caroline"/>
    <s v="Rogers"/>
    <s v="Female"/>
    <n v="46"/>
    <x v="1"/>
    <s v="Chad"/>
    <s v="West Leslieview"/>
    <s v="juan58@gmail.com"/>
    <s v="534.379.4593"/>
    <d v="2024-01-19T00:00:00"/>
    <x v="0"/>
    <x v="6"/>
    <d v="2024-02-07T00:00:00"/>
    <n v="45"/>
    <n v="4779.59"/>
    <s v="Yes"/>
    <n v="4"/>
    <n v="106.21"/>
  </r>
  <r>
    <n v="10"/>
    <s v="Lacey"/>
    <s v="Miller"/>
    <s v="Female"/>
    <n v="44"/>
    <x v="1"/>
    <s v="Jersey"/>
    <s v="Christopherberg"/>
    <s v="jose52@gmail.com"/>
    <s v="+1-628-652-1347"/>
    <d v="2024-08-01T00:00:00"/>
    <x v="0"/>
    <x v="5"/>
    <d v="2024-11-29T00:00:00"/>
    <n v="23"/>
    <n v="6270.48"/>
    <s v="No"/>
    <n v="5"/>
    <n v="272.63"/>
  </r>
  <r>
    <n v="11"/>
    <s v="Christina"/>
    <s v="Adams"/>
    <s v="Male"/>
    <n v="60"/>
    <x v="0"/>
    <s v="Ghana"/>
    <s v="North Edwardberg"/>
    <s v="fordhailey@acevedo.com"/>
    <s v="355-749-6152x6151"/>
    <d v="2023-05-15T00:00:00"/>
    <x v="0"/>
    <x v="7"/>
    <d v="2024-10-01T00:00:00"/>
    <n v="34"/>
    <n v="6371.82"/>
    <s v="Yes"/>
    <n v="1"/>
    <n v="187.41"/>
  </r>
  <r>
    <n v="12"/>
    <s v="Donald"/>
    <s v="Price"/>
    <s v="Female"/>
    <n v="47"/>
    <x v="5"/>
    <s v="Grenada"/>
    <s v="New Paula"/>
    <s v="chad87@gmail.com"/>
    <s v="460.504.7307"/>
    <d v="2024-04-28T00:00:00"/>
    <x v="1"/>
    <x v="8"/>
    <d v="2025-01-31T00:00:00"/>
    <n v="41"/>
    <n v="5230.54"/>
    <s v="Yes"/>
    <n v="3"/>
    <n v="127.57"/>
  </r>
  <r>
    <n v="13"/>
    <s v="Christopher"/>
    <s v="Miller"/>
    <s v="Female"/>
    <n v="43"/>
    <x v="4"/>
    <s v="Cameroon"/>
    <s v="Rodriguezton"/>
    <s v="simpsonanna@hotmail.com"/>
    <s v="(268)162-3531x6358"/>
    <d v="2023-06-02T00:00:00"/>
    <x v="2"/>
    <x v="5"/>
    <d v="2023-11-02T00:00:00"/>
    <n v="18"/>
    <n v="4120.24"/>
    <s v="Yes"/>
    <n v="4"/>
    <n v="228.9"/>
  </r>
  <r>
    <n v="14"/>
    <s v="Jasmine"/>
    <s v="Mcgee"/>
    <s v="Other"/>
    <n v="36"/>
    <x v="4"/>
    <s v="Somalia"/>
    <s v="Pattonfurt"/>
    <s v="cynthiagood@gmail.com"/>
    <s v="594.167.8512x7103"/>
    <d v="2023-03-14T00:00:00"/>
    <x v="1"/>
    <x v="3"/>
    <d v="2025-04-07T00:00:00"/>
    <n v="21"/>
    <n v="3702.46"/>
    <s v="No"/>
    <n v="3"/>
    <n v="176.31"/>
  </r>
  <r>
    <n v="15"/>
    <s v="Gary"/>
    <s v="Murray"/>
    <s v="Male"/>
    <n v="20"/>
    <x v="1"/>
    <s v="Taiwan"/>
    <s v="Port Lauraside"/>
    <s v="katherine84@chandler.com"/>
    <s v="(809)900-7362x217"/>
    <d v="2025-07-04T00:00:00"/>
    <x v="2"/>
    <x v="9"/>
    <d v="2023-12-11T00:00:00"/>
    <n v="28"/>
    <n v="3517.11"/>
    <s v="Yes"/>
    <n v="2"/>
    <n v="125.61"/>
  </r>
  <r>
    <n v="16"/>
    <s v="Laura"/>
    <s v="Marshall"/>
    <s v="Female"/>
    <n v="39"/>
    <x v="3"/>
    <s v="Bouvet Island (Bouvetoya)"/>
    <s v="Lake Jillmouth"/>
    <s v="robinsonlisa@gmail.com"/>
    <s v="514-926-2983x320"/>
    <d v="2024-03-30T00:00:00"/>
    <x v="0"/>
    <x v="3"/>
    <d v="2024-04-18T00:00:00"/>
    <n v="41"/>
    <n v="4354.78"/>
    <s v="No"/>
    <n v="4"/>
    <n v="106.21"/>
  </r>
  <r>
    <n v="17"/>
    <s v="Cynthia"/>
    <s v="Wilkerson"/>
    <s v="Female"/>
    <n v="36"/>
    <x v="2"/>
    <s v="Bulgaria"/>
    <s v="East Rebecca"/>
    <s v="iellis@watts.com"/>
    <s v="(043)457-7701"/>
    <d v="2024-10-15T00:00:00"/>
    <x v="1"/>
    <x v="10"/>
    <d v="2025-05-12T00:00:00"/>
    <n v="17"/>
    <n v="6677.53"/>
    <s v="No"/>
    <n v="2"/>
    <n v="392.8"/>
  </r>
  <r>
    <n v="18"/>
    <s v="Jennifer"/>
    <s v="Smith"/>
    <s v="Male"/>
    <n v="46"/>
    <x v="2"/>
    <s v="Lebanon"/>
    <s v="North Lisa"/>
    <s v="snyderwesley@washington-warren.com"/>
    <s v="(935)306-9403x4339"/>
    <d v="2024-11-29T00:00:00"/>
    <x v="0"/>
    <x v="11"/>
    <d v="2024-07-19T00:00:00"/>
    <n v="22"/>
    <n v="4711.6000000000004"/>
    <s v="No"/>
    <n v="3"/>
    <n v="214.16"/>
  </r>
  <r>
    <n v="19"/>
    <s v="Ryan"/>
    <s v="Parker"/>
    <s v="Male"/>
    <n v="43"/>
    <x v="5"/>
    <s v="Nicaragua"/>
    <s v="West Brucefurt"/>
    <s v="yholt@hotmail.com"/>
    <s v="165.602.0219x778"/>
    <d v="2024-02-29T00:00:00"/>
    <x v="1"/>
    <x v="8"/>
    <d v="2025-01-21T00:00:00"/>
    <n v="28"/>
    <n v="6724.56"/>
    <s v="Yes"/>
    <n v="5"/>
    <n v="240.16"/>
  </r>
  <r>
    <n v="20"/>
    <s v="Ryan"/>
    <s v="Cisneros"/>
    <s v="Female"/>
    <n v="35"/>
    <x v="4"/>
    <s v="Rwanda"/>
    <s v="Lake Nicholasshire"/>
    <s v="johnssara@flowers.org"/>
    <s v="261.538.8624"/>
    <d v="2023-01-24T00:00:00"/>
    <x v="0"/>
    <x v="5"/>
    <d v="2024-11-08T00:00:00"/>
    <n v="47"/>
    <n v="2018.1"/>
    <s v="Yes"/>
    <n v="1"/>
    <n v="42.94"/>
  </r>
  <r>
    <n v="21"/>
    <s v="Bradley"/>
    <s v="Kane"/>
    <s v="Female"/>
    <n v="41"/>
    <x v="0"/>
    <s v="Sri Lanka"/>
    <s v="Washingtonstad"/>
    <s v="kimberlyholloway@ferguson-taylor.com"/>
    <s v="001-427-413-6982x580"/>
    <d v="2023-06-03T00:00:00"/>
    <x v="1"/>
    <x v="7"/>
    <d v="2025-10-09T00:00:00"/>
    <n v="41"/>
    <n v="9921.56"/>
    <s v="No"/>
    <n v="4"/>
    <n v="241.99"/>
  </r>
  <r>
    <n v="22"/>
    <s v="Eric"/>
    <s v="Craig"/>
    <s v="Male"/>
    <n v="62"/>
    <x v="4"/>
    <s v="Mali"/>
    <s v="Mcfarlandside"/>
    <s v="qfrye@hotmail.com"/>
    <s v="001-921-137-3522"/>
    <d v="2023-06-08T00:00:00"/>
    <x v="0"/>
    <x v="8"/>
    <d v="2024-01-16T00:00:00"/>
    <n v="1"/>
    <n v="8700.0400000000009"/>
    <s v="No"/>
    <n v="1"/>
    <n v="8700.0400000000009"/>
  </r>
  <r>
    <n v="23"/>
    <s v="Jessica"/>
    <s v="Tucker"/>
    <s v="Male"/>
    <n v="35"/>
    <x v="3"/>
    <s v="Christmas Island"/>
    <s v="Douglasstad"/>
    <s v="timothyjames@gmail.com"/>
    <s v="472-211-9465"/>
    <d v="2022-11-19T00:00:00"/>
    <x v="0"/>
    <x v="10"/>
    <d v="2024-05-12T00:00:00"/>
    <n v="25"/>
    <n v="8376.84"/>
    <s v="Yes"/>
    <n v="3"/>
    <n v="335.07"/>
  </r>
  <r>
    <n v="24"/>
    <s v="Jacqueline"/>
    <s v="Lane"/>
    <s v="Female"/>
    <n v="66"/>
    <x v="1"/>
    <s v="Myanmar"/>
    <s v="Atkinsonberg"/>
    <s v="adkinsstephanie@gmail.com"/>
    <s v="7776381781"/>
    <d v="2024-11-28T00:00:00"/>
    <x v="1"/>
    <x v="8"/>
    <d v="2025-01-10T00:00:00"/>
    <n v="45"/>
    <n v="2533.89"/>
    <s v="Yes"/>
    <n v="2"/>
    <n v="56.31"/>
  </r>
  <r>
    <n v="25"/>
    <s v="Jessica"/>
    <s v="Hodges"/>
    <s v="Female"/>
    <n v="42"/>
    <x v="4"/>
    <s v="United Arab Emirates"/>
    <s v="East Nicholas"/>
    <s v="lyonspatricia@hotmail.com"/>
    <s v="+1-526-974-4429"/>
    <d v="2024-07-22T00:00:00"/>
    <x v="1"/>
    <x v="11"/>
    <d v="2025-07-12T00:00:00"/>
    <n v="33"/>
    <n v="2904.44"/>
    <s v="No"/>
    <n v="4"/>
    <n v="88.01"/>
  </r>
  <r>
    <n v="26"/>
    <s v="Brittney"/>
    <s v="Haynes"/>
    <s v="Male"/>
    <n v="29"/>
    <x v="1"/>
    <s v="Trinidad and Tobago"/>
    <s v="Michaelbury"/>
    <s v="christina63@henderson-diaz.info"/>
    <s v="+1-394-479-2611"/>
    <d v="2025-05-25T00:00:00"/>
    <x v="0"/>
    <x v="1"/>
    <d v="2024-06-24T00:00:00"/>
    <n v="47"/>
    <n v="4675.87"/>
    <s v="Yes"/>
    <n v="1"/>
    <n v="99.49"/>
  </r>
  <r>
    <n v="27"/>
    <s v="Haley"/>
    <s v="Serrano"/>
    <s v="Female"/>
    <n v="39"/>
    <x v="2"/>
    <s v="Montenegro"/>
    <s v="South Barbaraburgh"/>
    <s v="victor03@bowers.info"/>
    <s v="570.608.0380x00908"/>
    <d v="2025-04-03T00:00:00"/>
    <x v="0"/>
    <x v="7"/>
    <d v="2024-10-25T00:00:00"/>
    <n v="43"/>
    <n v="5551.05"/>
    <s v="Yes"/>
    <n v="5"/>
    <n v="129.09"/>
  </r>
  <r>
    <n v="28"/>
    <s v="Anthony"/>
    <s v="Campbell"/>
    <s v="Male"/>
    <n v="49"/>
    <x v="4"/>
    <s v="Greece"/>
    <s v="Kathleenborough"/>
    <s v="david45@gill-harper.info"/>
    <s v="097.536.5582x51816"/>
    <d v="2025-07-08T00:00:00"/>
    <x v="1"/>
    <x v="1"/>
    <d v="2025-06-27T00:00:00"/>
    <n v="25"/>
    <n v="2807.34"/>
    <s v="No"/>
    <n v="5"/>
    <n v="112.29"/>
  </r>
  <r>
    <n v="29"/>
    <s v="Catherine"/>
    <s v="Simmons"/>
    <s v="Male"/>
    <n v="55"/>
    <x v="0"/>
    <s v="Iraq"/>
    <s v="Harrismouth"/>
    <s v="mariawilliams@johnson.net"/>
    <s v="+1-385-457-5485"/>
    <d v="2024-12-20T00:00:00"/>
    <x v="1"/>
    <x v="10"/>
    <d v="2025-05-14T00:00:00"/>
    <n v="5"/>
    <n v="2242.09"/>
    <s v="Yes"/>
    <n v="1"/>
    <n v="448.42"/>
  </r>
  <r>
    <n v="30"/>
    <s v="Eric"/>
    <s v="Gardner"/>
    <s v="Female"/>
    <n v="39"/>
    <x v="0"/>
    <s v="Brunei Darussalam"/>
    <s v="Lake Nancy"/>
    <s v="holtjames@yahoo.com"/>
    <s v="+1-497-192-4665x3680"/>
    <d v="2025-05-23T00:00:00"/>
    <x v="1"/>
    <x v="11"/>
    <d v="2025-07-24T00:00:00"/>
    <n v="8"/>
    <n v="7637.05"/>
    <s v="Yes"/>
    <n v="3"/>
    <n v="954.63"/>
  </r>
  <r>
    <n v="31"/>
    <s v="Joshua"/>
    <s v="White"/>
    <s v="Other"/>
    <n v="56"/>
    <x v="1"/>
    <s v="Jersey"/>
    <s v="Port Tammytown"/>
    <s v="carla93@gmail.com"/>
    <s v="001-035-629-4952x5789"/>
    <d v="2024-07-28T00:00:00"/>
    <x v="1"/>
    <x v="8"/>
    <d v="2025-01-25T00:00:00"/>
    <n v="33"/>
    <n v="9704.6299999999992"/>
    <s v="No"/>
    <n v="5"/>
    <n v="294.08"/>
  </r>
  <r>
    <n v="32"/>
    <s v="Dakota"/>
    <s v="Myers"/>
    <s v="Male"/>
    <n v="25"/>
    <x v="2"/>
    <s v="Reunion"/>
    <s v="New Adamberg"/>
    <s v="jonescurtis@cox.org"/>
    <s v="(849)575-5639"/>
    <d v="2022-12-22T00:00:00"/>
    <x v="0"/>
    <x v="4"/>
    <d v="2024-03-25T00:00:00"/>
    <n v="38"/>
    <n v="9660.6299999999992"/>
    <s v="Yes"/>
    <n v="4"/>
    <n v="254.23"/>
  </r>
  <r>
    <n v="33"/>
    <s v="Samuel"/>
    <s v="Taylor"/>
    <s v="Female"/>
    <n v="32"/>
    <x v="5"/>
    <s v="Timor-Leste"/>
    <s v="Birdmouth"/>
    <s v="glindsey@avila-taylor.com"/>
    <s v="282-127-3333x0073"/>
    <d v="2023-06-03T00:00:00"/>
    <x v="0"/>
    <x v="3"/>
    <d v="2024-04-19T00:00:00"/>
    <n v="43"/>
    <n v="9466.61"/>
    <s v="No"/>
    <n v="1"/>
    <n v="220.15"/>
  </r>
  <r>
    <n v="34"/>
    <s v="Charlotte"/>
    <s v="Petersen"/>
    <s v="Male"/>
    <n v="71"/>
    <x v="5"/>
    <s v="Thailand"/>
    <s v="North Melissachester"/>
    <s v="greenjames@strickland-barker.info"/>
    <s v="(115)804-5810"/>
    <d v="2024-07-22T00:00:00"/>
    <x v="0"/>
    <x v="11"/>
    <d v="2024-07-14T00:00:00"/>
    <n v="48"/>
    <n v="6899.17"/>
    <s v="Yes"/>
    <n v="4"/>
    <n v="143.72999999999999"/>
  </r>
  <r>
    <n v="35"/>
    <s v="Joshua"/>
    <s v="Roach"/>
    <s v="Male"/>
    <n v="56"/>
    <x v="3"/>
    <s v="Antigua and Barbuda"/>
    <s v="Foxchester"/>
    <s v="caseymelissa@jimenez.net"/>
    <s v="683.496.9345"/>
    <d v="2023-08-27T00:00:00"/>
    <x v="1"/>
    <x v="1"/>
    <d v="2025-06-27T00:00:00"/>
    <n v="32"/>
    <n v="7531.12"/>
    <s v="Yes"/>
    <n v="3"/>
    <n v="235.35"/>
  </r>
  <r>
    <n v="36"/>
    <s v="Walter"/>
    <s v="Pittman"/>
    <s v="Female"/>
    <n v="33"/>
    <x v="3"/>
    <s v="Spain"/>
    <s v="Deborahmouth"/>
    <s v="angela37@blanchard.com"/>
    <s v="213.171.7884x61646"/>
    <d v="2023-02-05T00:00:00"/>
    <x v="1"/>
    <x v="0"/>
    <d v="2025-08-14T00:00:00"/>
    <n v="32"/>
    <n v="5464.8"/>
    <s v="No"/>
    <n v="1"/>
    <n v="170.78"/>
  </r>
  <r>
    <n v="37"/>
    <s v="Samantha"/>
    <s v="Campbell"/>
    <s v="Male"/>
    <n v="23"/>
    <x v="2"/>
    <s v="El Salvador"/>
    <s v="Williamsonfort"/>
    <s v="michellemiller@gregory.com"/>
    <s v="348-914-4585x1328"/>
    <d v="2024-06-12T00:00:00"/>
    <x v="1"/>
    <x v="0"/>
    <d v="2025-08-17T00:00:00"/>
    <n v="46"/>
    <n v="6265.86"/>
    <s v="No"/>
    <n v="5"/>
    <n v="136.21"/>
  </r>
  <r>
    <n v="38"/>
    <s v="Curtis"/>
    <s v="Riley"/>
    <s v="Male"/>
    <n v="69"/>
    <x v="2"/>
    <s v="Guatemala"/>
    <s v="Lake Robert"/>
    <s v="myerselizabeth@gmail.com"/>
    <s v="174-525-1701x1286"/>
    <d v="2023-03-04T00:00:00"/>
    <x v="1"/>
    <x v="2"/>
    <d v="2025-09-22T00:00:00"/>
    <n v="10"/>
    <n v="9246.8799999999992"/>
    <s v="No"/>
    <n v="2"/>
    <n v="924.69"/>
  </r>
  <r>
    <n v="39"/>
    <s v="Joshua"/>
    <s v="Miller"/>
    <s v="Male"/>
    <n v="63"/>
    <x v="1"/>
    <s v="Holy See (Vatican City State)"/>
    <s v="Clarkburgh"/>
    <s v="ecooper@gmail.com"/>
    <s v="001-302-095-7305x693"/>
    <d v="2023-01-16T00:00:00"/>
    <x v="0"/>
    <x v="6"/>
    <d v="2024-02-12T00:00:00"/>
    <n v="7"/>
    <n v="1895.74"/>
    <s v="No"/>
    <n v="1"/>
    <n v="270.82"/>
  </r>
  <r>
    <n v="40"/>
    <s v="Brandy"/>
    <s v="Ramos"/>
    <s v="Male"/>
    <n v="51"/>
    <x v="4"/>
    <s v="Saint Kitts and Nevis"/>
    <s v="South Bethchester"/>
    <s v="nshaffer@hotmail.com"/>
    <s v="576.706.2400"/>
    <d v="2022-11-30T00:00:00"/>
    <x v="1"/>
    <x v="11"/>
    <d v="2025-07-21T00:00:00"/>
    <n v="35"/>
    <n v="6431.53"/>
    <s v="No"/>
    <n v="1"/>
    <n v="183.76"/>
  </r>
  <r>
    <n v="41"/>
    <s v="Todd"/>
    <s v="Rocha"/>
    <s v="Other"/>
    <n v="20"/>
    <x v="2"/>
    <s v="Wallis and Futuna"/>
    <s v="North Wanda"/>
    <s v="blopez@hotmail.com"/>
    <s v="757-817-4009x79705"/>
    <d v="2025-08-25T00:00:00"/>
    <x v="1"/>
    <x v="2"/>
    <d v="2025-09-06T00:00:00"/>
    <n v="1"/>
    <n v="6453.88"/>
    <s v="Yes"/>
    <n v="1"/>
    <n v="6453.88"/>
  </r>
  <r>
    <n v="42"/>
    <s v="Rebecca"/>
    <s v="Nunez"/>
    <s v="Female"/>
    <n v="28"/>
    <x v="3"/>
    <s v="Papua New Guinea"/>
    <s v="West John"/>
    <s v="walshjoel@parker-floyd.com"/>
    <s v="377.938.4466x122"/>
    <d v="2023-02-05T00:00:00"/>
    <x v="0"/>
    <x v="7"/>
    <d v="2024-10-01T00:00:00"/>
    <n v="27"/>
    <n v="3563.05"/>
    <s v="Yes"/>
    <n v="4"/>
    <n v="131.96"/>
  </r>
  <r>
    <n v="43"/>
    <s v="Michael"/>
    <s v="Hill"/>
    <s v="Male"/>
    <n v="71"/>
    <x v="0"/>
    <s v="American Samoa"/>
    <s v="East Lindsayfort"/>
    <s v="wweber@hall.info"/>
    <s v="1058172564"/>
    <d v="2023-12-05T00:00:00"/>
    <x v="0"/>
    <x v="0"/>
    <d v="2024-08-17T00:00:00"/>
    <n v="5"/>
    <n v="5356.51"/>
    <s v="Yes"/>
    <n v="5"/>
    <n v="1071.3"/>
  </r>
  <r>
    <n v="44"/>
    <s v="Ryan"/>
    <s v="Clark"/>
    <s v="Female"/>
    <n v="46"/>
    <x v="1"/>
    <s v="Korea"/>
    <s v="Thomasfort"/>
    <s v="rossnicholas@gmail.com"/>
    <s v="001-552-230-6541x0157"/>
    <d v="2024-08-26T00:00:00"/>
    <x v="0"/>
    <x v="9"/>
    <d v="2024-12-10T00:00:00"/>
    <n v="24"/>
    <n v="516.28"/>
    <s v="No"/>
    <n v="5"/>
    <n v="21.51"/>
  </r>
  <r>
    <n v="45"/>
    <s v="Heather"/>
    <s v="Harris"/>
    <s v="Male"/>
    <n v="38"/>
    <x v="1"/>
    <s v="Serbia"/>
    <s v="Danielleshire"/>
    <s v="williemartin@bates.com"/>
    <s v="487-971-4115x152"/>
    <d v="2022-12-06T00:00:00"/>
    <x v="2"/>
    <x v="5"/>
    <d v="2023-11-20T00:00:00"/>
    <n v="34"/>
    <n v="9479.5"/>
    <s v="Yes"/>
    <n v="4"/>
    <n v="278.81"/>
  </r>
  <r>
    <n v="46"/>
    <s v="Michael"/>
    <s v="Powell"/>
    <s v="Female"/>
    <n v="62"/>
    <x v="1"/>
    <s v="Romania"/>
    <s v="East Katherine"/>
    <s v="damondudley@stewart.net"/>
    <s v="+1-548-051-4321x5718"/>
    <d v="2024-04-12T00:00:00"/>
    <x v="0"/>
    <x v="11"/>
    <d v="2024-07-13T00:00:00"/>
    <n v="38"/>
    <n v="7063.78"/>
    <s v="No"/>
    <n v="1"/>
    <n v="185.89"/>
  </r>
  <r>
    <n v="47"/>
    <s v="James"/>
    <s v="Mccarthy"/>
    <s v="Male"/>
    <n v="59"/>
    <x v="0"/>
    <s v="Saint Pierre and Miquelon"/>
    <s v="Thomasview"/>
    <s v="susan48@stevens.com"/>
    <s v="470.093.7023"/>
    <d v="2025-01-12T00:00:00"/>
    <x v="1"/>
    <x v="10"/>
    <d v="2025-05-10T00:00:00"/>
    <n v="17"/>
    <n v="9133.2000000000007"/>
    <s v="Yes"/>
    <n v="5"/>
    <n v="537.25"/>
  </r>
  <r>
    <n v="48"/>
    <s v="Vanessa"/>
    <s v="White"/>
    <s v="Male"/>
    <n v="34"/>
    <x v="5"/>
    <s v="Saint Martin"/>
    <s v="East Frankshire"/>
    <s v="christopherrobertson@rosario.com"/>
    <s v="001-989-865-5912x671"/>
    <d v="2024-07-09T00:00:00"/>
    <x v="0"/>
    <x v="2"/>
    <d v="2024-09-24T00:00:00"/>
    <n v="18"/>
    <n v="4018.54"/>
    <s v="Yes"/>
    <n v="1"/>
    <n v="223.25"/>
  </r>
  <r>
    <n v="49"/>
    <s v="Shannon"/>
    <s v="Parker"/>
    <s v="Female"/>
    <n v="48"/>
    <x v="1"/>
    <s v="Cuba"/>
    <s v="Colemanchester"/>
    <s v="rgonzalez@benjamin-villa.com"/>
    <s v="(330)104-1471x1276"/>
    <d v="2023-05-14T00:00:00"/>
    <x v="0"/>
    <x v="7"/>
    <d v="2024-10-25T00:00:00"/>
    <n v="35"/>
    <n v="6374.47"/>
    <s v="No"/>
    <n v="4"/>
    <n v="182.13"/>
  </r>
  <r>
    <n v="50"/>
    <s v="Jeffrey"/>
    <s v="King"/>
    <s v="Male"/>
    <n v="52"/>
    <x v="0"/>
    <s v="Germany"/>
    <s v="Villanuevatown"/>
    <s v="juareztommy@yahoo.com"/>
    <s v="3480862018"/>
    <d v="2025-08-21T00:00:00"/>
    <x v="0"/>
    <x v="0"/>
    <d v="2024-08-26T00:00:00"/>
    <n v="33"/>
    <n v="8462.51"/>
    <s v="Yes"/>
    <n v="1"/>
    <n v="256.44"/>
  </r>
  <r>
    <n v="51"/>
    <s v="Jessica"/>
    <s v="Martinez"/>
    <s v="Female"/>
    <n v="54"/>
    <x v="2"/>
    <s v="San Marino"/>
    <s v="Port Brianfort"/>
    <s v="cdiaz@hamilton-robinson.com"/>
    <s v="366-721-4709x963"/>
    <d v="2025-01-08T00:00:00"/>
    <x v="2"/>
    <x v="9"/>
    <d v="2023-12-27T00:00:00"/>
    <n v="37"/>
    <n v="8723.4500000000007"/>
    <s v="Yes"/>
    <n v="2"/>
    <n v="235.77"/>
  </r>
  <r>
    <n v="52"/>
    <s v="Natasha"/>
    <s v="Stone"/>
    <s v="Female"/>
    <n v="39"/>
    <x v="4"/>
    <s v="Saint Helena"/>
    <s v="South Carolview"/>
    <s v="aweber@gmail.com"/>
    <s v="001-993-240-3196x15312"/>
    <d v="2023-09-10T00:00:00"/>
    <x v="2"/>
    <x v="9"/>
    <d v="2023-12-12T00:00:00"/>
    <n v="49"/>
    <n v="8090.21"/>
    <s v="Yes"/>
    <n v="3"/>
    <n v="165.11"/>
  </r>
  <r>
    <n v="53"/>
    <s v="Steven"/>
    <s v="Garcia"/>
    <s v="Female"/>
    <n v="50"/>
    <x v="2"/>
    <s v="Bulgaria"/>
    <s v="Parkfort"/>
    <s v="mccoyryan@jones.com"/>
    <s v="9647710238"/>
    <d v="2024-09-07T00:00:00"/>
    <x v="1"/>
    <x v="2"/>
    <d v="2025-09-17T00:00:00"/>
    <n v="27"/>
    <n v="7413.06"/>
    <s v="Yes"/>
    <n v="3"/>
    <n v="274.56"/>
  </r>
  <r>
    <n v="54"/>
    <s v="Ashley"/>
    <s v="Fleming"/>
    <s v="Other"/>
    <n v="36"/>
    <x v="1"/>
    <s v="Bermuda"/>
    <s v="New Sarahaven"/>
    <s v="reynoldsangela@mitchell.org"/>
    <s v="(759)084-1219x9476"/>
    <d v="2023-10-26T00:00:00"/>
    <x v="1"/>
    <x v="7"/>
    <d v="2025-10-10T00:00:00"/>
    <n v="7"/>
    <n v="184.75"/>
    <s v="No"/>
    <n v="3"/>
    <n v="26.39"/>
  </r>
  <r>
    <n v="55"/>
    <s v="Jennifer"/>
    <s v="Jones"/>
    <s v="Female"/>
    <n v="70"/>
    <x v="5"/>
    <s v="Palau"/>
    <s v="North Ryanstad"/>
    <s v="carrieevans@middleton-montgomery.com"/>
    <s v="089-473-8941"/>
    <d v="2025-09-06T00:00:00"/>
    <x v="0"/>
    <x v="5"/>
    <d v="2024-11-09T00:00:00"/>
    <n v="9"/>
    <n v="7161.76"/>
    <s v="Yes"/>
    <n v="5"/>
    <n v="795.75"/>
  </r>
  <r>
    <n v="56"/>
    <s v="Peggy"/>
    <s v="Bridges"/>
    <s v="Male"/>
    <n v="40"/>
    <x v="4"/>
    <s v="Croatia"/>
    <s v="Lake Dustinport"/>
    <s v="aprilmorgan@payne-ray.com"/>
    <s v="244.551.3776"/>
    <d v="2024-11-15T00:00:00"/>
    <x v="1"/>
    <x v="2"/>
    <d v="2025-09-04T00:00:00"/>
    <n v="13"/>
    <n v="8373.25"/>
    <s v="No"/>
    <n v="2"/>
    <n v="644.1"/>
  </r>
  <r>
    <n v="57"/>
    <s v="Timothy"/>
    <s v="Johnson"/>
    <s v="Male"/>
    <n v="26"/>
    <x v="4"/>
    <s v="Cameroon"/>
    <s v="Lake Deborah"/>
    <s v="koconnor@hatfield-knapp.com"/>
    <s v="(980)574-9983x127"/>
    <d v="2023-08-06T00:00:00"/>
    <x v="1"/>
    <x v="3"/>
    <d v="2025-04-20T00:00:00"/>
    <n v="13"/>
    <n v="3582.07"/>
    <s v="Yes"/>
    <n v="1"/>
    <n v="275.54000000000002"/>
  </r>
  <r>
    <n v="58"/>
    <s v="Lisa"/>
    <s v="Singleton"/>
    <s v="Male"/>
    <n v="70"/>
    <x v="1"/>
    <s v="Oman"/>
    <s v="New Michaelberg"/>
    <s v="hclarke@villa.com"/>
    <s v="(201)213-5339x80325"/>
    <d v="2022-12-11T00:00:00"/>
    <x v="1"/>
    <x v="10"/>
    <d v="2025-05-05T00:00:00"/>
    <n v="47"/>
    <n v="4097.66"/>
    <s v="No"/>
    <n v="4"/>
    <n v="87.18"/>
  </r>
  <r>
    <n v="59"/>
    <s v="Jerome"/>
    <s v="Chavez"/>
    <s v="Male"/>
    <n v="62"/>
    <x v="4"/>
    <s v="Monaco"/>
    <s v="Lake Johnland"/>
    <s v="jonathanchang@gmail.com"/>
    <s v="001-787-862-2204"/>
    <d v="2023-02-22T00:00:00"/>
    <x v="1"/>
    <x v="11"/>
    <d v="2025-07-28T00:00:00"/>
    <n v="1"/>
    <n v="4958.8999999999996"/>
    <s v="No"/>
    <n v="5"/>
    <n v="4958.8999999999996"/>
  </r>
  <r>
    <n v="60"/>
    <s v="Jessica"/>
    <s v="Nelson"/>
    <s v="Male"/>
    <n v="68"/>
    <x v="2"/>
    <s v="Lesotho"/>
    <s v="Harrismouth"/>
    <s v="mmarshall@gmail.com"/>
    <s v="7293396419"/>
    <d v="2024-05-15T00:00:00"/>
    <x v="0"/>
    <x v="0"/>
    <d v="2024-08-01T00:00:00"/>
    <n v="35"/>
    <n v="7823.96"/>
    <s v="Yes"/>
    <n v="2"/>
    <n v="223.54"/>
  </r>
  <r>
    <n v="61"/>
    <s v="Dana"/>
    <s v="Henry"/>
    <s v="Female"/>
    <n v="33"/>
    <x v="2"/>
    <s v="Malta"/>
    <s v="Frankport"/>
    <s v="thomasbartlett@villegas-golden.com"/>
    <s v="394.521.8850x79571"/>
    <d v="2025-06-29T00:00:00"/>
    <x v="1"/>
    <x v="11"/>
    <d v="2025-07-29T00:00:00"/>
    <n v="35"/>
    <n v="8192.5"/>
    <s v="No"/>
    <n v="3"/>
    <n v="234.07"/>
  </r>
  <r>
    <n v="62"/>
    <s v="Jeffrey"/>
    <s v="Valencia"/>
    <s v="Male"/>
    <n v="61"/>
    <x v="1"/>
    <s v="Cape Verde"/>
    <s v="West Rebecca"/>
    <s v="ddecker@jackson.com"/>
    <s v="446-346-6359"/>
    <d v="2024-11-24T00:00:00"/>
    <x v="1"/>
    <x v="1"/>
    <d v="2025-06-14T00:00:00"/>
    <n v="32"/>
    <n v="400.98"/>
    <s v="Yes"/>
    <n v="5"/>
    <n v="12.53"/>
  </r>
  <r>
    <n v="63"/>
    <s v="Nicole"/>
    <s v="Marshall"/>
    <s v="Male"/>
    <n v="36"/>
    <x v="3"/>
    <s v="Antigua and Barbuda"/>
    <s v="Foxbury"/>
    <s v="ksawyer@gmail.com"/>
    <s v="(827)765-6214x546"/>
    <d v="2025-08-19T00:00:00"/>
    <x v="1"/>
    <x v="10"/>
    <d v="2025-05-09T00:00:00"/>
    <n v="10"/>
    <n v="9664.64"/>
    <s v="No"/>
    <n v="2"/>
    <n v="966.46"/>
  </r>
  <r>
    <n v="64"/>
    <s v="David"/>
    <s v="Taylor"/>
    <s v="Male"/>
    <n v="72"/>
    <x v="4"/>
    <s v="Saint Barthelemy"/>
    <s v="Wendyberg"/>
    <s v="hullchase@cameron.net"/>
    <s v="+1-720-639-6764"/>
    <d v="2025-04-08T00:00:00"/>
    <x v="0"/>
    <x v="5"/>
    <d v="2024-11-30T00:00:00"/>
    <n v="42"/>
    <n v="2249.8000000000002"/>
    <s v="Yes"/>
    <n v="1"/>
    <n v="53.57"/>
  </r>
  <r>
    <n v="65"/>
    <s v="Benjamin"/>
    <s v="Pope"/>
    <s v="Female"/>
    <n v="66"/>
    <x v="0"/>
    <s v="Costa Rica"/>
    <s v="Alyssahaven"/>
    <s v="mcgeebrian@johnson.com"/>
    <s v="963-673-4439"/>
    <d v="2023-08-15T00:00:00"/>
    <x v="2"/>
    <x v="5"/>
    <d v="2023-11-15T00:00:00"/>
    <n v="48"/>
    <n v="9198.2800000000007"/>
    <s v="Yes"/>
    <n v="2"/>
    <n v="191.63"/>
  </r>
  <r>
    <n v="66"/>
    <s v="Kevin"/>
    <s v="Carney"/>
    <s v="Female"/>
    <n v="55"/>
    <x v="0"/>
    <s v="Uganda"/>
    <s v="Angelicashire"/>
    <s v="lacey84@yahoo.com"/>
    <s v="411.232.7215x26033"/>
    <d v="2025-10-19T00:00:00"/>
    <x v="1"/>
    <x v="3"/>
    <d v="2025-04-06T00:00:00"/>
    <n v="10"/>
    <n v="6064.45"/>
    <s v="Yes"/>
    <n v="1"/>
    <n v="606.44000000000005"/>
  </r>
  <r>
    <n v="67"/>
    <s v="Natalie"/>
    <s v="Davis"/>
    <s v="Male"/>
    <n v="37"/>
    <x v="0"/>
    <s v="Gambia"/>
    <s v="Jasonmouth"/>
    <s v="gonzalezcory@bryant-henry.org"/>
    <s v="(114)431-6829x96595"/>
    <d v="2023-08-24T00:00:00"/>
    <x v="1"/>
    <x v="10"/>
    <d v="2025-05-02T00:00:00"/>
    <n v="7"/>
    <n v="5372.56"/>
    <s v="Yes"/>
    <n v="2"/>
    <n v="767.51"/>
  </r>
  <r>
    <n v="68"/>
    <s v="Kelly"/>
    <s v="Miller"/>
    <s v="Female"/>
    <n v="38"/>
    <x v="1"/>
    <s v="Italy"/>
    <s v="Johnview"/>
    <s v="jeffrodgers@yahoo.com"/>
    <s v="909-432-4313x1449"/>
    <d v="2024-01-12T00:00:00"/>
    <x v="1"/>
    <x v="2"/>
    <d v="2025-09-10T00:00:00"/>
    <n v="28"/>
    <n v="4885.58"/>
    <s v="Yes"/>
    <n v="1"/>
    <n v="174.48"/>
  </r>
  <r>
    <n v="69"/>
    <s v="Charles"/>
    <s v="Caldwell"/>
    <s v="Male"/>
    <n v="22"/>
    <x v="3"/>
    <s v="Spain"/>
    <s v="Smithton"/>
    <s v="caindaniel@yahoo.com"/>
    <s v="038-586-4865x463"/>
    <d v="2022-11-06T00:00:00"/>
    <x v="2"/>
    <x v="5"/>
    <d v="2023-11-11T00:00:00"/>
    <n v="48"/>
    <n v="1215.98"/>
    <s v="Yes"/>
    <n v="3"/>
    <n v="25.33"/>
  </r>
  <r>
    <n v="70"/>
    <s v="Sara"/>
    <s v="Huynh"/>
    <s v="Male"/>
    <n v="27"/>
    <x v="0"/>
    <s v="Philippines"/>
    <s v="South Sandraland"/>
    <s v="beckyjohnson@butler.com"/>
    <s v="952.224.2800x1059"/>
    <d v="2025-01-17T00:00:00"/>
    <x v="1"/>
    <x v="11"/>
    <d v="2025-07-14T00:00:00"/>
    <n v="17"/>
    <n v="4812.84"/>
    <s v="No"/>
    <n v="4"/>
    <n v="283.11"/>
  </r>
  <r>
    <n v="71"/>
    <s v="Luis"/>
    <s v="Powell"/>
    <s v="Female"/>
    <n v="20"/>
    <x v="0"/>
    <s v="Sri Lanka"/>
    <s v="East John"/>
    <s v="amypreston@perez.com"/>
    <s v="269-624-7483"/>
    <d v="2023-12-08T00:00:00"/>
    <x v="0"/>
    <x v="8"/>
    <d v="2024-01-17T00:00:00"/>
    <n v="48"/>
    <n v="8254.01"/>
    <s v="Yes"/>
    <n v="2"/>
    <n v="171.96"/>
  </r>
  <r>
    <n v="72"/>
    <s v="George"/>
    <s v="Daniels"/>
    <s v="Male"/>
    <n v="64"/>
    <x v="1"/>
    <s v="Svalbard &amp; Jan Mayen Islands"/>
    <s v="Brandonmouth"/>
    <s v="martindixon@mcmillan.com"/>
    <s v="001-002-934-3284x0949"/>
    <d v="2023-01-19T00:00:00"/>
    <x v="0"/>
    <x v="5"/>
    <d v="2024-11-17T00:00:00"/>
    <n v="10"/>
    <n v="7364.41"/>
    <s v="No"/>
    <n v="2"/>
    <n v="736.44"/>
  </r>
  <r>
    <n v="73"/>
    <s v="Sean"/>
    <s v="Faulkner"/>
    <s v="Female"/>
    <n v="43"/>
    <x v="1"/>
    <s v="Bermuda"/>
    <s v="Nancyville"/>
    <s v="david42@wilson.info"/>
    <s v="013-038-7659x426"/>
    <d v="2024-08-23T00:00:00"/>
    <x v="0"/>
    <x v="9"/>
    <d v="2024-12-19T00:00:00"/>
    <n v="32"/>
    <n v="4296.6899999999996"/>
    <s v="Yes"/>
    <n v="5"/>
    <n v="134.27000000000001"/>
  </r>
  <r>
    <n v="74"/>
    <s v="Jason"/>
    <s v="Alvarez"/>
    <s v="Male"/>
    <n v="26"/>
    <x v="5"/>
    <s v="France"/>
    <s v="Cartershire"/>
    <s v="billychristian@beltran.com"/>
    <s v="979.347.2170x505"/>
    <d v="2025-09-15T00:00:00"/>
    <x v="0"/>
    <x v="9"/>
    <d v="2024-12-24T00:00:00"/>
    <n v="31"/>
    <n v="7435.01"/>
    <s v="Yes"/>
    <n v="3"/>
    <n v="239.84"/>
  </r>
  <r>
    <n v="75"/>
    <s v="Mitchell"/>
    <s v="Schroeder"/>
    <s v="Female"/>
    <n v="21"/>
    <x v="5"/>
    <s v="Ukraine"/>
    <s v="Port Danport"/>
    <s v="cshea@lewis-zhang.org"/>
    <s v="766-413-4043x183"/>
    <d v="2024-06-08T00:00:00"/>
    <x v="1"/>
    <x v="10"/>
    <d v="2025-05-21T00:00:00"/>
    <n v="37"/>
    <n v="9148.51"/>
    <s v="Yes"/>
    <n v="1"/>
    <n v="247.26"/>
  </r>
  <r>
    <n v="76"/>
    <s v="Tyler"/>
    <s v="Haynes"/>
    <s v="Male"/>
    <n v="19"/>
    <x v="5"/>
    <s v="Nigeria"/>
    <s v="Moranbury"/>
    <s v="ldaniels@gmail.com"/>
    <s v="+1-787-560-2614x217"/>
    <d v="2023-01-25T00:00:00"/>
    <x v="1"/>
    <x v="2"/>
    <d v="2025-09-23T00:00:00"/>
    <n v="2"/>
    <n v="4010.36"/>
    <s v="No"/>
    <n v="5"/>
    <n v="2005.18"/>
  </r>
  <r>
    <n v="77"/>
    <s v="Jordan"/>
    <s v="Leblanc"/>
    <s v="Male"/>
    <n v="74"/>
    <x v="0"/>
    <s v="Afghanistan"/>
    <s v="North Tonyhaven"/>
    <s v="wilsonhannah@stafford.com"/>
    <s v="(617)420-5011x48101"/>
    <d v="2024-01-02T00:00:00"/>
    <x v="1"/>
    <x v="11"/>
    <d v="2025-07-16T00:00:00"/>
    <n v="21"/>
    <n v="4885.78"/>
    <s v="No"/>
    <n v="2"/>
    <n v="232.66"/>
  </r>
  <r>
    <n v="78"/>
    <s v="Jose"/>
    <s v="Nguyen"/>
    <s v="Male"/>
    <n v="50"/>
    <x v="4"/>
    <s v="Cambodia"/>
    <s v="Johnnybury"/>
    <s v="annette89@yahoo.com"/>
    <s v="+1-035-694-3829x9847"/>
    <d v="2022-11-21T00:00:00"/>
    <x v="2"/>
    <x v="5"/>
    <d v="2023-11-27T00:00:00"/>
    <n v="36"/>
    <n v="4177.41"/>
    <s v="Yes"/>
    <n v="4"/>
    <n v="116.04"/>
  </r>
  <r>
    <n v="79"/>
    <s v="Kevin"/>
    <s v="Gray"/>
    <s v="Female"/>
    <n v="48"/>
    <x v="4"/>
    <s v="Cote d'Ivoire"/>
    <s v="North Vickiechester"/>
    <s v="erin68@hotmail.com"/>
    <s v="001-206-747-4608x8705"/>
    <d v="2024-07-16T00:00:00"/>
    <x v="0"/>
    <x v="11"/>
    <d v="2024-07-06T00:00:00"/>
    <n v="6"/>
    <n v="9596.26"/>
    <s v="Yes"/>
    <n v="1"/>
    <n v="1599.38"/>
  </r>
  <r>
    <n v="80"/>
    <s v="Anita"/>
    <s v="Clark"/>
    <s v="Male"/>
    <n v="23"/>
    <x v="0"/>
    <s v="Libyan Arab Jamahiriya"/>
    <s v="Bryantown"/>
    <s v="hlee@randolph-harris.biz"/>
    <s v="561-796-1724x35033"/>
    <d v="2025-05-03T00:00:00"/>
    <x v="0"/>
    <x v="10"/>
    <d v="2024-05-28T00:00:00"/>
    <n v="12"/>
    <n v="6195.33"/>
    <s v="Yes"/>
    <n v="3"/>
    <n v="516.28"/>
  </r>
  <r>
    <n v="81"/>
    <s v="Bryan"/>
    <s v="Aguirre"/>
    <s v="Male"/>
    <n v="61"/>
    <x v="5"/>
    <s v="Timor-Leste"/>
    <s v="East Joel"/>
    <s v="williamparsons@gaines-perez.com"/>
    <s v="+1-391-905-6398x770"/>
    <d v="2024-05-18T00:00:00"/>
    <x v="1"/>
    <x v="0"/>
    <d v="2025-08-31T00:00:00"/>
    <n v="1"/>
    <n v="3863.37"/>
    <s v="Yes"/>
    <n v="4"/>
    <n v="3863.37"/>
  </r>
  <r>
    <n v="82"/>
    <s v="Thomas"/>
    <s v="Aguilar"/>
    <s v="Other"/>
    <n v="41"/>
    <x v="4"/>
    <s v="Saint Barthelemy"/>
    <s v="Warnerbury"/>
    <s v="vgonzalez@decker.biz"/>
    <s v="+1-872-812-8165x36113"/>
    <d v="2024-07-26T00:00:00"/>
    <x v="1"/>
    <x v="3"/>
    <d v="2025-04-20T00:00:00"/>
    <n v="16"/>
    <n v="2508.85"/>
    <s v="No"/>
    <n v="5"/>
    <n v="156.80000000000001"/>
  </r>
  <r>
    <n v="83"/>
    <s v="Janice"/>
    <s v="Vargas"/>
    <s v="Male"/>
    <n v="24"/>
    <x v="0"/>
    <s v="Jamaica"/>
    <s v="West Tyler"/>
    <s v="robin79@yahoo.com"/>
    <s v="853-863-4923x211"/>
    <d v="2025-04-06T00:00:00"/>
    <x v="0"/>
    <x v="4"/>
    <d v="2024-03-01T00:00:00"/>
    <n v="28"/>
    <n v="9381.56"/>
    <s v="No"/>
    <n v="5"/>
    <n v="335.06"/>
  </r>
  <r>
    <n v="84"/>
    <s v="Jeffery"/>
    <s v="Perez"/>
    <s v="Female"/>
    <n v="34"/>
    <x v="1"/>
    <s v="Samoa"/>
    <s v="Justinfurt"/>
    <s v="smorris@edwards.net"/>
    <s v="(024)560-4032x138"/>
    <d v="2024-01-18T00:00:00"/>
    <x v="0"/>
    <x v="9"/>
    <d v="2024-12-24T00:00:00"/>
    <n v="15"/>
    <n v="5792.4"/>
    <s v="No"/>
    <n v="5"/>
    <n v="386.16"/>
  </r>
  <r>
    <n v="85"/>
    <s v="Kevin"/>
    <s v="Miles"/>
    <s v="Female"/>
    <n v="29"/>
    <x v="1"/>
    <s v="Poland"/>
    <s v="Rachelstad"/>
    <s v="louis98@yahoo.com"/>
    <s v="001-363-384-4914"/>
    <d v="2023-08-30T00:00:00"/>
    <x v="0"/>
    <x v="5"/>
    <d v="2024-11-24T00:00:00"/>
    <n v="16"/>
    <n v="2031.02"/>
    <s v="Yes"/>
    <n v="4"/>
    <n v="126.94"/>
  </r>
  <r>
    <n v="86"/>
    <s v="Nicole"/>
    <s v="Mathis"/>
    <s v="Male"/>
    <n v="39"/>
    <x v="5"/>
    <s v="Nauru"/>
    <s v="Lake Corey"/>
    <s v="stewartsara@harmon.info"/>
    <s v="+1-228-418-5335"/>
    <d v="2025-02-02T00:00:00"/>
    <x v="1"/>
    <x v="3"/>
    <d v="2025-04-11T00:00:00"/>
    <n v="7"/>
    <n v="9100.18"/>
    <s v="Yes"/>
    <n v="4"/>
    <n v="1300.03"/>
  </r>
  <r>
    <n v="87"/>
    <s v="Tony"/>
    <s v="Patel"/>
    <s v="Male"/>
    <n v="63"/>
    <x v="0"/>
    <s v="Turks and Caicos Islands"/>
    <s v="North Williamtown"/>
    <s v="ebennett@davis.com"/>
    <s v="001-866-834-3254x19850"/>
    <d v="2024-05-06T00:00:00"/>
    <x v="0"/>
    <x v="4"/>
    <d v="2024-03-21T00:00:00"/>
    <n v="24"/>
    <n v="1287.45"/>
    <s v="Yes"/>
    <n v="5"/>
    <n v="53.64"/>
  </r>
  <r>
    <n v="88"/>
    <s v="Jody"/>
    <s v="Vargas"/>
    <s v="Male"/>
    <n v="36"/>
    <x v="4"/>
    <s v="Israel"/>
    <s v="Paulbury"/>
    <s v="robert80@lopez.com"/>
    <s v="(392)955-9843x404"/>
    <d v="2024-04-30T00:00:00"/>
    <x v="0"/>
    <x v="6"/>
    <d v="2024-02-22T00:00:00"/>
    <n v="43"/>
    <n v="440.51"/>
    <s v="No"/>
    <n v="4"/>
    <n v="10.24"/>
  </r>
  <r>
    <n v="89"/>
    <s v="Alison"/>
    <s v="Brown"/>
    <s v="Male"/>
    <n v="30"/>
    <x v="0"/>
    <s v="Kyrgyz Republic"/>
    <s v="West Justinborough"/>
    <s v="evansmartin@yahoo.com"/>
    <s v="(555)253-5537x40276"/>
    <d v="2023-12-19T00:00:00"/>
    <x v="1"/>
    <x v="7"/>
    <d v="2025-10-01T00:00:00"/>
    <n v="25"/>
    <n v="4408.04"/>
    <s v="No"/>
    <n v="1"/>
    <n v="176.32"/>
  </r>
  <r>
    <n v="90"/>
    <s v="Daniel"/>
    <s v="Hamilton"/>
    <s v="Male"/>
    <n v="45"/>
    <x v="5"/>
    <s v="Mauritius"/>
    <s v="Port Larrybury"/>
    <s v="nathanielmeyers@riley.net"/>
    <s v="047.165.9183"/>
    <d v="2024-10-05T00:00:00"/>
    <x v="0"/>
    <x v="0"/>
    <d v="2024-08-16T00:00:00"/>
    <n v="11"/>
    <n v="2325.4699999999998"/>
    <s v="Yes"/>
    <n v="2"/>
    <n v="211.41"/>
  </r>
  <r>
    <n v="91"/>
    <s v="Joseph"/>
    <s v="Hudson"/>
    <s v="Female"/>
    <n v="41"/>
    <x v="4"/>
    <s v="Pakistan"/>
    <s v="Francisborough"/>
    <s v="buckleydouglas@yahoo.com"/>
    <s v="(383)330-0443x571"/>
    <d v="2022-11-11T00:00:00"/>
    <x v="0"/>
    <x v="0"/>
    <d v="2024-08-07T00:00:00"/>
    <n v="33"/>
    <n v="5905.12"/>
    <s v="Yes"/>
    <n v="2"/>
    <n v="178.94"/>
  </r>
  <r>
    <n v="92"/>
    <s v="Stephanie"/>
    <s v="Perez"/>
    <s v="Male"/>
    <n v="43"/>
    <x v="5"/>
    <s v="Falkland Islands (Malvinas)"/>
    <s v="West Kara"/>
    <s v="jackgutierrez@baker-campbell.com"/>
    <s v="126-184-5391x99110"/>
    <d v="2023-08-28T00:00:00"/>
    <x v="0"/>
    <x v="6"/>
    <d v="2024-02-04T00:00:00"/>
    <n v="12"/>
    <n v="4015.36"/>
    <s v="No"/>
    <n v="1"/>
    <n v="334.61"/>
  </r>
  <r>
    <n v="93"/>
    <s v="Thomas"/>
    <s v="Blake"/>
    <s v="Male"/>
    <n v="54"/>
    <x v="2"/>
    <s v="Mongolia"/>
    <s v="Millsfurt"/>
    <s v="moraleskari@yahoo.com"/>
    <s v="(622)203-3589"/>
    <d v="2025-01-06T00:00:00"/>
    <x v="0"/>
    <x v="8"/>
    <d v="2024-01-22T00:00:00"/>
    <n v="24"/>
    <n v="5529.69"/>
    <s v="Yes"/>
    <n v="3"/>
    <n v="230.4"/>
  </r>
  <r>
    <n v="94"/>
    <s v="Denise"/>
    <s v="Richardson"/>
    <s v="Male"/>
    <n v="56"/>
    <x v="2"/>
    <s v="Jordan"/>
    <s v="New Jasonville"/>
    <s v="stoutallison@jacobson.com"/>
    <s v="3684795289"/>
    <d v="2025-06-25T00:00:00"/>
    <x v="0"/>
    <x v="1"/>
    <d v="2024-06-22T00:00:00"/>
    <n v="29"/>
    <n v="3336.99"/>
    <s v="Yes"/>
    <n v="5"/>
    <n v="115.07"/>
  </r>
  <r>
    <n v="95"/>
    <s v="Caitlin"/>
    <s v="Clark"/>
    <s v="Male"/>
    <n v="24"/>
    <x v="5"/>
    <s v="United States Virgin Islands"/>
    <s v="Lake Laurenmouth"/>
    <s v="zsaunders@king.org"/>
    <s v="001-561-275-7623x0420"/>
    <d v="2023-02-20T00:00:00"/>
    <x v="1"/>
    <x v="1"/>
    <d v="2025-06-10T00:00:00"/>
    <n v="20"/>
    <n v="3931.47"/>
    <s v="Yes"/>
    <n v="4"/>
    <n v="196.57"/>
  </r>
  <r>
    <n v="96"/>
    <s v="Anthony"/>
    <s v="Martin"/>
    <s v="Male"/>
    <n v="19"/>
    <x v="0"/>
    <s v="Peru"/>
    <s v="Ericmouth"/>
    <s v="lewisnicole@taylor.info"/>
    <s v="157.593.1681x54090"/>
    <d v="2024-01-16T00:00:00"/>
    <x v="2"/>
    <x v="9"/>
    <d v="2023-12-03T00:00:00"/>
    <n v="30"/>
    <n v="3432.3"/>
    <s v="Yes"/>
    <n v="4"/>
    <n v="114.41"/>
  </r>
  <r>
    <n v="97"/>
    <s v="Michael"/>
    <s v="Brewer"/>
    <s v="Male"/>
    <n v="19"/>
    <x v="5"/>
    <s v="Niger"/>
    <s v="East Matthewfurt"/>
    <s v="rjohnson@chavez-saunders.biz"/>
    <s v="267-451-3646x6018"/>
    <d v="2025-01-23T00:00:00"/>
    <x v="1"/>
    <x v="1"/>
    <d v="2025-06-20T00:00:00"/>
    <n v="49"/>
    <n v="254.56"/>
    <s v="Yes"/>
    <n v="4"/>
    <n v="5.2"/>
  </r>
  <r>
    <n v="98"/>
    <s v="William"/>
    <s v="Saunders"/>
    <s v="Other"/>
    <n v="46"/>
    <x v="1"/>
    <s v="Madagascar"/>
    <s v="New Christinaberg"/>
    <s v="ortizmiranda@greene.com"/>
    <s v="001-320-335-5125x6966"/>
    <d v="2024-11-01T00:00:00"/>
    <x v="0"/>
    <x v="2"/>
    <d v="2024-09-29T00:00:00"/>
    <n v="11"/>
    <n v="2328.11"/>
    <s v="No"/>
    <n v="5"/>
    <n v="211.65"/>
  </r>
  <r>
    <n v="99"/>
    <s v="Stephanie"/>
    <s v="Huff"/>
    <s v="Male"/>
    <n v="58"/>
    <x v="4"/>
    <s v="Pitcairn Islands"/>
    <s v="New Melissafurt"/>
    <s v="vhawkins@hotmail.com"/>
    <s v="879.832.8863x5425"/>
    <d v="2023-12-12T00:00:00"/>
    <x v="2"/>
    <x v="9"/>
    <d v="2023-12-22T00:00:00"/>
    <n v="24"/>
    <n v="9052.2999999999993"/>
    <s v="Yes"/>
    <n v="3"/>
    <n v="377.18"/>
  </r>
  <r>
    <n v="100"/>
    <s v="David"/>
    <s v="Nichols"/>
    <s v="Female"/>
    <n v="63"/>
    <x v="1"/>
    <s v="India"/>
    <s v="West Michael"/>
    <s v="tclements@miller.biz"/>
    <s v="(433)162-6781"/>
    <d v="2025-04-10T00:00:00"/>
    <x v="1"/>
    <x v="11"/>
    <d v="2025-07-09T00:00:00"/>
    <n v="2"/>
    <n v="290.14999999999998"/>
    <s v="Yes"/>
    <n v="2"/>
    <n v="145.07"/>
  </r>
  <r>
    <n v="101"/>
    <s v="Gary"/>
    <s v="Young"/>
    <s v="Female"/>
    <n v="20"/>
    <x v="0"/>
    <s v="Norfolk Island"/>
    <s v="Obrienview"/>
    <s v="scottvincent@pugh.org"/>
    <s v="054.872.8405"/>
    <d v="2022-12-20T00:00:00"/>
    <x v="0"/>
    <x v="7"/>
    <d v="2024-10-04T00:00:00"/>
    <n v="40"/>
    <n v="8182.54"/>
    <s v="Yes"/>
    <n v="2"/>
    <n v="204.56"/>
  </r>
  <r>
    <n v="102"/>
    <s v="Dawn"/>
    <s v="Norris"/>
    <s v="Male"/>
    <n v="32"/>
    <x v="2"/>
    <s v="Saint Vincent and the Grenadines"/>
    <s v="Joneston"/>
    <s v="irwinsteven@yahoo.com"/>
    <s v="001-689-719-6194x089"/>
    <d v="2022-12-29T00:00:00"/>
    <x v="1"/>
    <x v="11"/>
    <d v="2025-07-23T00:00:00"/>
    <n v="5"/>
    <n v="1017.27"/>
    <s v="Yes"/>
    <n v="3"/>
    <n v="203.45"/>
  </r>
  <r>
    <n v="103"/>
    <s v="Breanna"/>
    <s v="Robinson"/>
    <s v="Female"/>
    <n v="32"/>
    <x v="1"/>
    <s v="Sweden"/>
    <s v="New Matthew"/>
    <s v="stokesbrandon@gmail.com"/>
    <s v="389-820-8890x586"/>
    <d v="2023-03-19T00:00:00"/>
    <x v="1"/>
    <x v="10"/>
    <d v="2025-05-18T00:00:00"/>
    <n v="23"/>
    <n v="2095.9299999999998"/>
    <s v="Yes"/>
    <n v="4"/>
    <n v="91.13"/>
  </r>
  <r>
    <n v="104"/>
    <s v="Kimberly"/>
    <s v="Moreno"/>
    <s v="Male"/>
    <n v="28"/>
    <x v="1"/>
    <s v="Austria"/>
    <s v="Kristinfurt"/>
    <s v="davidsmith@yahoo.com"/>
    <s v="(708)148-2511x7014"/>
    <d v="2023-09-21T00:00:00"/>
    <x v="0"/>
    <x v="8"/>
    <d v="2024-01-09T00:00:00"/>
    <n v="42"/>
    <n v="2406.2399999999998"/>
    <s v="Yes"/>
    <n v="1"/>
    <n v="57.29"/>
  </r>
  <r>
    <n v="105"/>
    <s v="Christine"/>
    <s v="Wright"/>
    <s v="Male"/>
    <n v="36"/>
    <x v="2"/>
    <s v="Guernsey"/>
    <s v="East Maryville"/>
    <s v="danielcarter@elliott.com"/>
    <s v="(917)040-8822x82236"/>
    <d v="2023-10-26T00:00:00"/>
    <x v="1"/>
    <x v="7"/>
    <d v="2025-10-03T00:00:00"/>
    <n v="46"/>
    <n v="5089.03"/>
    <s v="Yes"/>
    <n v="2"/>
    <n v="110.63"/>
  </r>
  <r>
    <n v="106"/>
    <s v="Patricia"/>
    <s v="Chavez"/>
    <s v="Female"/>
    <n v="43"/>
    <x v="2"/>
    <s v="Portugal"/>
    <s v="Rachaelbury"/>
    <s v="davidlee@phillips-wilcox.info"/>
    <s v="+1-687-488-7699x40394"/>
    <d v="2025-09-05T00:00:00"/>
    <x v="0"/>
    <x v="6"/>
    <d v="2024-02-14T00:00:00"/>
    <n v="40"/>
    <n v="3460.51"/>
    <s v="No"/>
    <n v="4"/>
    <n v="86.51"/>
  </r>
  <r>
    <n v="107"/>
    <s v="David"/>
    <s v="Mcdonald"/>
    <s v="Male"/>
    <n v="50"/>
    <x v="1"/>
    <s v="Svalbard &amp; Jan Mayen Islands"/>
    <s v="Thompsonborough"/>
    <s v="zdennis@yahoo.com"/>
    <s v="(304)112-7496x1609"/>
    <d v="2023-08-09T00:00:00"/>
    <x v="0"/>
    <x v="3"/>
    <d v="2024-04-30T00:00:00"/>
    <n v="45"/>
    <n v="8953.06"/>
    <s v="No"/>
    <n v="4"/>
    <n v="198.96"/>
  </r>
  <r>
    <n v="108"/>
    <s v="Toni"/>
    <s v="Perez"/>
    <s v="Female"/>
    <n v="40"/>
    <x v="0"/>
    <s v="Puerto Rico"/>
    <s v="Keithside"/>
    <s v="guzmanelizabeth@hotmail.com"/>
    <s v="350.852.6899"/>
    <d v="2025-01-04T00:00:00"/>
    <x v="0"/>
    <x v="3"/>
    <d v="2024-04-30T00:00:00"/>
    <n v="47"/>
    <n v="9536.76"/>
    <s v="Yes"/>
    <n v="4"/>
    <n v="202.91"/>
  </r>
  <r>
    <n v="109"/>
    <s v="Thomas"/>
    <s v="Garcia"/>
    <s v="Male"/>
    <n v="71"/>
    <x v="0"/>
    <s v="Uganda"/>
    <s v="Alyssamouth"/>
    <s v="christensenjoanne@wall-curtis.info"/>
    <s v="583.883.1045x2918"/>
    <d v="2025-04-09T00:00:00"/>
    <x v="1"/>
    <x v="2"/>
    <d v="2025-09-12T00:00:00"/>
    <n v="14"/>
    <n v="8583.73"/>
    <s v="Yes"/>
    <n v="5"/>
    <n v="613.12"/>
  </r>
  <r>
    <n v="110"/>
    <s v="Kevin"/>
    <s v="Horn"/>
    <s v="Male"/>
    <n v="45"/>
    <x v="4"/>
    <s v="Bangladesh"/>
    <s v="South Victoria"/>
    <s v="christine33@yahoo.com"/>
    <s v="001-243-887-1833"/>
    <d v="2023-10-04T00:00:00"/>
    <x v="0"/>
    <x v="8"/>
    <d v="2024-01-08T00:00:00"/>
    <n v="28"/>
    <n v="905.92"/>
    <s v="Yes"/>
    <n v="4"/>
    <n v="32.35"/>
  </r>
  <r>
    <n v="111"/>
    <s v="Stephanie"/>
    <s v="Dennis"/>
    <s v="Female"/>
    <n v="52"/>
    <x v="0"/>
    <s v="Peru"/>
    <s v="Michaelton"/>
    <s v="vlopez@gmail.com"/>
    <s v="001-227-531-6244x118"/>
    <d v="2023-10-02T00:00:00"/>
    <x v="0"/>
    <x v="2"/>
    <d v="2024-09-18T00:00:00"/>
    <n v="31"/>
    <n v="698.01"/>
    <s v="Yes"/>
    <n v="5"/>
    <n v="22.52"/>
  </r>
  <r>
    <n v="112"/>
    <s v="David"/>
    <s v="Scott"/>
    <s v="Female"/>
    <n v="40"/>
    <x v="3"/>
    <s v="Christmas Island"/>
    <s v="East Andrea"/>
    <s v="harpermelissa@patel.com"/>
    <s v="867.213.6176x89105"/>
    <d v="2025-10-23T00:00:00"/>
    <x v="0"/>
    <x v="10"/>
    <d v="2024-05-01T00:00:00"/>
    <n v="35"/>
    <n v="5662.9"/>
    <s v="Yes"/>
    <n v="1"/>
    <n v="161.80000000000001"/>
  </r>
  <r>
    <n v="113"/>
    <s v="John"/>
    <s v="Hernandez"/>
    <s v="Female"/>
    <n v="42"/>
    <x v="2"/>
    <s v="Colombia"/>
    <s v="Dianaburgh"/>
    <s v="woodsmichael@walls-lamb.com"/>
    <s v="001-697-991-6422x885"/>
    <d v="2025-01-11T00:00:00"/>
    <x v="1"/>
    <x v="6"/>
    <d v="2025-02-27T00:00:00"/>
    <n v="27"/>
    <n v="9140.6200000000008"/>
    <s v="No"/>
    <n v="3"/>
    <n v="338.54"/>
  </r>
  <r>
    <n v="114"/>
    <s v="Alexander"/>
    <s v="Stein"/>
    <s v="Male"/>
    <n v="22"/>
    <x v="0"/>
    <s v="Sri Lanka"/>
    <s v="Andersonmouth"/>
    <s v="larrythomas@hotmail.com"/>
    <s v="891.575.3293x233"/>
    <d v="2025-06-08T00:00:00"/>
    <x v="1"/>
    <x v="3"/>
    <d v="2025-04-24T00:00:00"/>
    <n v="13"/>
    <n v="9618.25"/>
    <s v="Yes"/>
    <n v="2"/>
    <n v="739.87"/>
  </r>
  <r>
    <n v="115"/>
    <s v="Kristin"/>
    <s v="Castillo"/>
    <s v="Female"/>
    <n v="69"/>
    <x v="5"/>
    <s v="Nigeria"/>
    <s v="Johnsonland"/>
    <s v="meadowsdebra@gmail.com"/>
    <s v="001-830-753-3709x86781"/>
    <d v="2023-07-15T00:00:00"/>
    <x v="0"/>
    <x v="10"/>
    <d v="2024-05-25T00:00:00"/>
    <n v="38"/>
    <n v="5517.57"/>
    <s v="Yes"/>
    <n v="3"/>
    <n v="145.19999999999999"/>
  </r>
  <r>
    <n v="116"/>
    <s v="Steve"/>
    <s v="Cameron"/>
    <s v="Female"/>
    <n v="42"/>
    <x v="1"/>
    <s v="Chad"/>
    <s v="North Jordan"/>
    <s v="antonio41@hotmail.com"/>
    <s v="1980202000"/>
    <d v="2023-11-24T00:00:00"/>
    <x v="1"/>
    <x v="8"/>
    <d v="2025-01-01T00:00:00"/>
    <n v="5"/>
    <n v="3269.3"/>
    <s v="Yes"/>
    <n v="4"/>
    <n v="653.86"/>
  </r>
  <r>
    <n v="117"/>
    <s v="Mark"/>
    <s v="Houston"/>
    <s v="Female"/>
    <n v="74"/>
    <x v="4"/>
    <s v="Croatia"/>
    <s v="Ewingview"/>
    <s v="kennethtanner@gmail.com"/>
    <s v="(753)071-6981x5066"/>
    <d v="2025-05-31T00:00:00"/>
    <x v="0"/>
    <x v="2"/>
    <d v="2024-09-07T00:00:00"/>
    <n v="41"/>
    <n v="9820.48"/>
    <s v="Yes"/>
    <n v="4"/>
    <n v="239.52"/>
  </r>
  <r>
    <n v="118"/>
    <s v="Randy"/>
    <s v="Guzman"/>
    <s v="Male"/>
    <n v="30"/>
    <x v="3"/>
    <s v="Uruguay"/>
    <s v="Maysshire"/>
    <s v="kristen13@gmail.com"/>
    <s v="447.280.7699"/>
    <d v="2023-01-10T00:00:00"/>
    <x v="2"/>
    <x v="9"/>
    <d v="2023-12-22T00:00:00"/>
    <n v="30"/>
    <n v="4007.07"/>
    <s v="Yes"/>
    <n v="3"/>
    <n v="133.57"/>
  </r>
  <r>
    <n v="119"/>
    <s v="Ryan"/>
    <s v="Bridges"/>
    <s v="Female"/>
    <n v="54"/>
    <x v="2"/>
    <s v="Lebanon"/>
    <s v="Averyfurt"/>
    <s v="wjohnson@hotmail.com"/>
    <s v="+1-589-198-3738"/>
    <d v="2023-07-15T00:00:00"/>
    <x v="0"/>
    <x v="9"/>
    <d v="2024-12-13T00:00:00"/>
    <n v="21"/>
    <n v="9470.5400000000009"/>
    <s v="Yes"/>
    <n v="4"/>
    <n v="450.98"/>
  </r>
  <r>
    <n v="120"/>
    <s v="Samantha"/>
    <s v="Douglas"/>
    <s v="Female"/>
    <n v="27"/>
    <x v="2"/>
    <s v="French Southern Territories"/>
    <s v="Thomasshire"/>
    <s v="garyburton@mueller.com"/>
    <s v="001-957-923-4439"/>
    <d v="2023-08-24T00:00:00"/>
    <x v="0"/>
    <x v="6"/>
    <d v="2024-02-08T00:00:00"/>
    <n v="23"/>
    <n v="1112.32"/>
    <s v="No"/>
    <n v="1"/>
    <n v="48.36"/>
  </r>
  <r>
    <n v="121"/>
    <s v="Erika"/>
    <s v="Cross"/>
    <s v="Female"/>
    <n v="54"/>
    <x v="0"/>
    <s v="Suriname"/>
    <s v="West Dawnburgh"/>
    <s v="scotttammy@hotmail.com"/>
    <s v="+1-953-182-7189x45144"/>
    <d v="2025-10-19T00:00:00"/>
    <x v="1"/>
    <x v="10"/>
    <d v="2025-05-22T00:00:00"/>
    <n v="40"/>
    <n v="4774.13"/>
    <s v="Yes"/>
    <n v="1"/>
    <n v="119.35"/>
  </r>
  <r>
    <n v="122"/>
    <s v="Joshua"/>
    <s v="Brady"/>
    <s v="Female"/>
    <n v="19"/>
    <x v="2"/>
    <s v="Guatemala"/>
    <s v="Kevinfurt"/>
    <s v="marvinsnyder@baldwin.com"/>
    <s v="846-932-5316x948"/>
    <d v="2025-06-13T00:00:00"/>
    <x v="0"/>
    <x v="2"/>
    <d v="2024-09-18T00:00:00"/>
    <n v="41"/>
    <n v="684.2"/>
    <s v="No"/>
    <n v="1"/>
    <n v="16.690000000000001"/>
  </r>
  <r>
    <n v="123"/>
    <s v="Kirk"/>
    <s v="Simmons"/>
    <s v="Male"/>
    <n v="39"/>
    <x v="2"/>
    <s v="Martinique"/>
    <s v="Brandishire"/>
    <s v="reneejohnson@gmail.com"/>
    <s v="857-318-9734x220"/>
    <d v="2023-02-04T00:00:00"/>
    <x v="0"/>
    <x v="2"/>
    <d v="2024-09-16T00:00:00"/>
    <n v="27"/>
    <n v="6477.95"/>
    <s v="No"/>
    <n v="4"/>
    <n v="239.92"/>
  </r>
  <r>
    <n v="124"/>
    <s v="Sean"/>
    <s v="Woods"/>
    <s v="Female"/>
    <n v="21"/>
    <x v="2"/>
    <s v="Bulgaria"/>
    <s v="Williamsville"/>
    <s v="znavarro@hotmail.com"/>
    <s v="001-981-817-5918x4956"/>
    <d v="2024-12-10T00:00:00"/>
    <x v="1"/>
    <x v="7"/>
    <d v="2025-10-01T00:00:00"/>
    <n v="31"/>
    <n v="2516.89"/>
    <s v="No"/>
    <n v="5"/>
    <n v="81.19"/>
  </r>
  <r>
    <n v="125"/>
    <s v="Dennis"/>
    <s v="Hubbard"/>
    <s v="Female"/>
    <n v="70"/>
    <x v="0"/>
    <s v="Australia"/>
    <s v="Richardstad"/>
    <s v="brianhernandez@little-stevens.com"/>
    <s v="+1-008-200-1589x1620"/>
    <d v="2024-01-22T00:00:00"/>
    <x v="0"/>
    <x v="7"/>
    <d v="2024-10-07T00:00:00"/>
    <n v="35"/>
    <n v="6308.02"/>
    <s v="Yes"/>
    <n v="5"/>
    <n v="180.23"/>
  </r>
  <r>
    <n v="126"/>
    <s v="Jeffrey"/>
    <s v="Reyes"/>
    <s v="Female"/>
    <n v="28"/>
    <x v="4"/>
    <s v="Gibraltar"/>
    <s v="Alexanderfort"/>
    <s v="anthonytaylor@walker.com"/>
    <s v="319-091-9105x07068"/>
    <d v="2024-12-19T00:00:00"/>
    <x v="1"/>
    <x v="0"/>
    <d v="2025-08-08T00:00:00"/>
    <n v="24"/>
    <n v="7450.24"/>
    <s v="No"/>
    <n v="5"/>
    <n v="310.43"/>
  </r>
  <r>
    <n v="127"/>
    <s v="Tommy"/>
    <s v="Pierce"/>
    <s v="Other"/>
    <n v="46"/>
    <x v="2"/>
    <s v="Turkmenistan"/>
    <s v="Amandachester"/>
    <s v="fboyle@robinson-soto.com"/>
    <s v="693.627.5670"/>
    <d v="2023-02-21T00:00:00"/>
    <x v="2"/>
    <x v="7"/>
    <d v="2023-10-31T00:00:00"/>
    <n v="21"/>
    <n v="4305.79"/>
    <s v="No"/>
    <n v="3"/>
    <n v="205.04"/>
  </r>
  <r>
    <n v="128"/>
    <s v="Kenneth"/>
    <s v="Long"/>
    <s v="Female"/>
    <n v="58"/>
    <x v="1"/>
    <s v="Brazil"/>
    <s v="Darylside"/>
    <s v="calvinwright@collins.com"/>
    <s v="(578)994-3631"/>
    <d v="2023-11-30T00:00:00"/>
    <x v="1"/>
    <x v="1"/>
    <d v="2025-06-26T00:00:00"/>
    <n v="37"/>
    <n v="1891.59"/>
    <s v="No"/>
    <n v="1"/>
    <n v="51.12"/>
  </r>
  <r>
    <n v="129"/>
    <s v="Brenda"/>
    <s v="Contreras"/>
    <s v="Male"/>
    <n v="29"/>
    <x v="4"/>
    <s v="Cambodia"/>
    <s v="West Kathryn"/>
    <s v="madison21@bishop.biz"/>
    <s v="001-863-629-6575x673"/>
    <d v="2023-08-21T00:00:00"/>
    <x v="0"/>
    <x v="4"/>
    <d v="2024-03-23T00:00:00"/>
    <n v="6"/>
    <n v="7690.37"/>
    <s v="No"/>
    <n v="1"/>
    <n v="1281.73"/>
  </r>
  <r>
    <n v="130"/>
    <s v="Robert"/>
    <s v="Reyes"/>
    <s v="Female"/>
    <n v="21"/>
    <x v="1"/>
    <s v="Jersey"/>
    <s v="North Jamiefurt"/>
    <s v="teresa36@hotmail.com"/>
    <s v="(228)692-5151"/>
    <d v="2023-09-01T00:00:00"/>
    <x v="1"/>
    <x v="3"/>
    <d v="2025-04-10T00:00:00"/>
    <n v="38"/>
    <n v="357.38"/>
    <s v="No"/>
    <n v="5"/>
    <n v="9.4"/>
  </r>
  <r>
    <n v="131"/>
    <s v="Lori"/>
    <s v="Lara"/>
    <s v="Female"/>
    <n v="25"/>
    <x v="1"/>
    <s v="Holy See (Vatican City State)"/>
    <s v="Lake Benjaminmouth"/>
    <s v="blackashley@edwards.info"/>
    <s v="(754)319-3721x856"/>
    <d v="2023-07-28T00:00:00"/>
    <x v="0"/>
    <x v="4"/>
    <d v="2024-03-11T00:00:00"/>
    <n v="34"/>
    <n v="4634.38"/>
    <s v="No"/>
    <n v="5"/>
    <n v="136.31"/>
  </r>
  <r>
    <n v="132"/>
    <s v="Mark"/>
    <s v="Owens"/>
    <s v="Male"/>
    <n v="63"/>
    <x v="2"/>
    <s v="Canada"/>
    <s v="Kristaburgh"/>
    <s v="richardhampton@lewis-simon.com"/>
    <s v="923-517-8375x08589"/>
    <d v="2023-04-04T00:00:00"/>
    <x v="2"/>
    <x v="5"/>
    <d v="2023-11-09T00:00:00"/>
    <n v="33"/>
    <n v="1155.42"/>
    <s v="Yes"/>
    <n v="1"/>
    <n v="35.01"/>
  </r>
  <r>
    <n v="133"/>
    <s v="Brandon"/>
    <s v="Peterson"/>
    <s v="Male"/>
    <n v="35"/>
    <x v="4"/>
    <s v="Monaco"/>
    <s v="South David"/>
    <s v="mfuentes@hotmail.com"/>
    <s v="(628)203-0239x0523"/>
    <d v="2022-12-21T00:00:00"/>
    <x v="0"/>
    <x v="8"/>
    <d v="2024-01-10T00:00:00"/>
    <n v="18"/>
    <n v="1895.63"/>
    <s v="Yes"/>
    <n v="2"/>
    <n v="105.31"/>
  </r>
  <r>
    <n v="134"/>
    <s v="Dawn"/>
    <s v="Sullivan"/>
    <s v="Female"/>
    <n v="22"/>
    <x v="0"/>
    <s v="Brunei Darussalam"/>
    <s v="Jamiehaven"/>
    <s v="iwilson@rodriguez.com"/>
    <s v="001-661-881-9189x04930"/>
    <d v="2024-05-20T00:00:00"/>
    <x v="0"/>
    <x v="6"/>
    <d v="2024-02-27T00:00:00"/>
    <n v="46"/>
    <n v="4982.53"/>
    <s v="Yes"/>
    <n v="5"/>
    <n v="108.32"/>
  </r>
  <r>
    <n v="135"/>
    <s v="Sara"/>
    <s v="Strickland"/>
    <s v="Male"/>
    <n v="33"/>
    <x v="3"/>
    <s v="Panama"/>
    <s v="Davischester"/>
    <s v="williamsjessica@yahoo.com"/>
    <s v="(315)186-2423"/>
    <d v="2023-03-04T00:00:00"/>
    <x v="0"/>
    <x v="2"/>
    <d v="2024-09-07T00:00:00"/>
    <n v="44"/>
    <n v="3925.73"/>
    <s v="No"/>
    <n v="5"/>
    <n v="89.22"/>
  </r>
  <r>
    <n v="136"/>
    <s v="Christopher"/>
    <s v="Dalton"/>
    <s v="Female"/>
    <n v="29"/>
    <x v="1"/>
    <s v="Kuwait"/>
    <s v="East Chadborough"/>
    <s v="rebecca13@gmail.com"/>
    <s v="001-123-774-2148x942"/>
    <d v="2024-10-03T00:00:00"/>
    <x v="0"/>
    <x v="9"/>
    <d v="2024-12-10T00:00:00"/>
    <n v="40"/>
    <n v="3098.17"/>
    <s v="Yes"/>
    <n v="5"/>
    <n v="77.45"/>
  </r>
  <r>
    <n v="137"/>
    <s v="Laura"/>
    <s v="Thompson"/>
    <s v="Female"/>
    <n v="57"/>
    <x v="1"/>
    <s v="Madagascar"/>
    <s v="North Katherine"/>
    <s v="jmaldonado@gmail.com"/>
    <s v="001-254-076-2025x6000"/>
    <d v="2024-12-31T00:00:00"/>
    <x v="1"/>
    <x v="0"/>
    <d v="2025-08-16T00:00:00"/>
    <n v="10"/>
    <n v="6579.07"/>
    <s v="No"/>
    <n v="2"/>
    <n v="657.91"/>
  </r>
  <r>
    <n v="138"/>
    <s v="Olivia"/>
    <s v="Dominguez"/>
    <s v="Male"/>
    <n v="55"/>
    <x v="2"/>
    <s v="Turkmenistan"/>
    <s v="New Steven"/>
    <s v="stephanie92@diaz.com"/>
    <s v="203-425-4253x9528"/>
    <d v="2023-03-03T00:00:00"/>
    <x v="0"/>
    <x v="7"/>
    <d v="2024-10-21T00:00:00"/>
    <n v="19"/>
    <n v="3146.99"/>
    <s v="Yes"/>
    <n v="1"/>
    <n v="165.63"/>
  </r>
  <r>
    <n v="139"/>
    <s v="Brian"/>
    <s v="Watson"/>
    <s v="Female"/>
    <n v="53"/>
    <x v="4"/>
    <s v="Croatia"/>
    <s v="Rickyfurt"/>
    <s v="michelle08@hotmail.com"/>
    <s v="+1-665-978-9463"/>
    <d v="2024-11-06T00:00:00"/>
    <x v="1"/>
    <x v="11"/>
    <d v="2025-07-03T00:00:00"/>
    <n v="20"/>
    <n v="1797.27"/>
    <s v="Yes"/>
    <n v="5"/>
    <n v="89.86"/>
  </r>
  <r>
    <n v="140"/>
    <s v="Sarah"/>
    <s v="Adams"/>
    <s v="Female"/>
    <n v="25"/>
    <x v="1"/>
    <s v="Taiwan"/>
    <s v="South Paul"/>
    <s v="salinascharles@roth.com"/>
    <s v="(258)165-7423x1407"/>
    <d v="2024-09-21T00:00:00"/>
    <x v="2"/>
    <x v="5"/>
    <d v="2023-11-20T00:00:00"/>
    <n v="14"/>
    <n v="8176.98"/>
    <s v="Yes"/>
    <n v="2"/>
    <n v="584.07000000000005"/>
  </r>
  <r>
    <n v="141"/>
    <s v="Jacob"/>
    <s v="Wagner"/>
    <s v="Female"/>
    <n v="64"/>
    <x v="0"/>
    <s v="Kyrgyz Republic"/>
    <s v="Turnerfurt"/>
    <s v="nicholashansen@farmer-baird.com"/>
    <s v="001-027-998-3467x5118"/>
    <d v="2022-11-13T00:00:00"/>
    <x v="1"/>
    <x v="11"/>
    <d v="2025-07-28T00:00:00"/>
    <n v="17"/>
    <n v="6544.68"/>
    <s v="No"/>
    <n v="5"/>
    <n v="384.98"/>
  </r>
  <r>
    <n v="142"/>
    <s v="Carla"/>
    <s v="Coffey"/>
    <s v="Other"/>
    <n v="50"/>
    <x v="0"/>
    <s v="Haiti"/>
    <s v="Sanchezhaven"/>
    <s v="waltersalexander@hotmail.com"/>
    <s v="911.629.6795x4894"/>
    <d v="2023-11-07T00:00:00"/>
    <x v="1"/>
    <x v="0"/>
    <d v="2025-08-20T00:00:00"/>
    <n v="33"/>
    <n v="3953.58"/>
    <s v="Yes"/>
    <n v="5"/>
    <n v="119.81"/>
  </r>
  <r>
    <n v="143"/>
    <s v="Jeffrey"/>
    <s v="Beard"/>
    <s v="Male"/>
    <n v="25"/>
    <x v="5"/>
    <s v="Turkey"/>
    <s v="Tinafurt"/>
    <s v="michelleandrade@gonzalez.com"/>
    <s v="001-784-471-5697"/>
    <d v="2024-07-08T00:00:00"/>
    <x v="0"/>
    <x v="1"/>
    <d v="2024-06-27T00:00:00"/>
    <n v="41"/>
    <n v="565.62"/>
    <s v="Yes"/>
    <n v="5"/>
    <n v="13.8"/>
  </r>
  <r>
    <n v="144"/>
    <s v="Jennifer"/>
    <s v="Bailey"/>
    <s v="Female"/>
    <n v="40"/>
    <x v="1"/>
    <s v="Romania"/>
    <s v="Carlosport"/>
    <s v="riddlejoy@hotmail.com"/>
    <s v="607.664.2817"/>
    <d v="2025-04-16T00:00:00"/>
    <x v="0"/>
    <x v="0"/>
    <d v="2024-08-06T00:00:00"/>
    <n v="1"/>
    <n v="9965.66"/>
    <s v="Yes"/>
    <n v="4"/>
    <n v="9965.66"/>
  </r>
  <r>
    <n v="145"/>
    <s v="Roberto"/>
    <s v="Carr"/>
    <s v="Male"/>
    <n v="51"/>
    <x v="4"/>
    <s v="Saint Helena"/>
    <s v="Glennland"/>
    <s v="sarahgray@shaffer.biz"/>
    <s v="+1-512-240-8181x8202"/>
    <d v="2025-08-14T00:00:00"/>
    <x v="0"/>
    <x v="4"/>
    <d v="2024-03-14T00:00:00"/>
    <n v="13"/>
    <n v="2706.4"/>
    <s v="Yes"/>
    <n v="1"/>
    <n v="208.18"/>
  </r>
  <r>
    <n v="146"/>
    <s v="Katie"/>
    <s v="Edwards"/>
    <s v="Other"/>
    <n v="60"/>
    <x v="2"/>
    <s v="Slovakia (Slovak Republic)"/>
    <s v="Donaldchester"/>
    <s v="simskendra@gmail.com"/>
    <s v="024.558.3534"/>
    <d v="2025-02-21T00:00:00"/>
    <x v="0"/>
    <x v="9"/>
    <d v="2024-12-14T00:00:00"/>
    <n v="46"/>
    <n v="4594.7299999999996"/>
    <s v="No"/>
    <n v="5"/>
    <n v="99.89"/>
  </r>
  <r>
    <n v="147"/>
    <s v="Jacob"/>
    <s v="Santana"/>
    <s v="Male"/>
    <n v="45"/>
    <x v="2"/>
    <s v="Guatemala"/>
    <s v="Patriciaburgh"/>
    <s v="curtiscooke@hotmail.com"/>
    <s v="358-018-0237"/>
    <d v="2024-07-09T00:00:00"/>
    <x v="0"/>
    <x v="10"/>
    <d v="2024-05-11T00:00:00"/>
    <n v="30"/>
    <n v="4464.91"/>
    <s v="Yes"/>
    <n v="2"/>
    <n v="148.83000000000001"/>
  </r>
  <r>
    <n v="148"/>
    <s v="Michael"/>
    <s v="Nelson"/>
    <s v="Female"/>
    <n v="22"/>
    <x v="1"/>
    <s v="British Virgin Islands"/>
    <s v="Roberttown"/>
    <s v="ocarroll@finley.com"/>
    <s v="4519500417"/>
    <d v="2025-07-12T00:00:00"/>
    <x v="1"/>
    <x v="6"/>
    <d v="2025-02-05T00:00:00"/>
    <n v="44"/>
    <n v="710.28"/>
    <s v="No"/>
    <n v="4"/>
    <n v="16.14"/>
  </r>
  <r>
    <n v="149"/>
    <s v="Robert"/>
    <s v="Wilson"/>
    <s v="Female"/>
    <n v="62"/>
    <x v="4"/>
    <s v="Mauritania"/>
    <s v="Cynthiaville"/>
    <s v="zsimon@chen.com"/>
    <s v="(635)092-0161"/>
    <d v="2024-06-12T00:00:00"/>
    <x v="0"/>
    <x v="9"/>
    <d v="2024-12-05T00:00:00"/>
    <n v="8"/>
    <n v="7899.91"/>
    <s v="No"/>
    <n v="1"/>
    <n v="987.49"/>
  </r>
  <r>
    <n v="150"/>
    <s v="Kimberly"/>
    <s v="Zavala"/>
    <s v="Male"/>
    <n v="47"/>
    <x v="1"/>
    <s v="Kuwait"/>
    <s v="Feliciastad"/>
    <s v="carneymichael@hotmail.com"/>
    <s v="613-868-4861x650"/>
    <d v="2023-05-17T00:00:00"/>
    <x v="0"/>
    <x v="7"/>
    <d v="2024-10-29T00:00:00"/>
    <n v="21"/>
    <n v="6191.34"/>
    <s v="No"/>
    <n v="5"/>
    <n v="294.83"/>
  </r>
  <r>
    <n v="152"/>
    <s v="Donald"/>
    <s v="Spencer"/>
    <s v="Male"/>
    <n v="65"/>
    <x v="0"/>
    <s v="Equatorial Guinea"/>
    <s v="New Marcmouth"/>
    <s v="currycolleen@yahoo.com"/>
    <s v="(450)097-0664"/>
    <d v="2023-01-14T00:00:00"/>
    <x v="1"/>
    <x v="10"/>
    <d v="2025-05-25T00:00:00"/>
    <n v="45"/>
    <n v="7137.26"/>
    <s v="Yes"/>
    <n v="2"/>
    <n v="158.61000000000001"/>
  </r>
  <r>
    <n v="153"/>
    <s v="Joseph"/>
    <s v="Hamilton"/>
    <s v="Male"/>
    <n v="35"/>
    <x v="4"/>
    <s v="Rwanda"/>
    <s v="Edwardsland"/>
    <s v="johnsondebbie@dixon.com"/>
    <s v="620.132.6777x44400"/>
    <d v="2023-08-02T00:00:00"/>
    <x v="1"/>
    <x v="4"/>
    <d v="2025-03-23T00:00:00"/>
    <n v="48"/>
    <n v="2603.79"/>
    <s v="Yes"/>
    <n v="4"/>
    <n v="54.25"/>
  </r>
  <r>
    <n v="154"/>
    <s v="Autumn"/>
    <s v="Fuentes"/>
    <s v="Female"/>
    <n v="38"/>
    <x v="2"/>
    <s v="Russian Federation"/>
    <s v="Johnborough"/>
    <s v="uadams@harris.com"/>
    <s v="+1-342-514-6076"/>
    <d v="2024-12-12T00:00:00"/>
    <x v="0"/>
    <x v="4"/>
    <d v="2024-03-18T00:00:00"/>
    <n v="38"/>
    <n v="7131.5"/>
    <s v="Yes"/>
    <n v="1"/>
    <n v="187.67"/>
  </r>
  <r>
    <n v="155"/>
    <s v="Michael"/>
    <s v="Williams"/>
    <s v="Female"/>
    <n v="39"/>
    <x v="5"/>
    <s v="Saint Martin"/>
    <s v="North Heatherburgh"/>
    <s v="jlee@mitchell-williams.com"/>
    <s v="+1-210-110-8634x219"/>
    <d v="2024-06-02T00:00:00"/>
    <x v="0"/>
    <x v="9"/>
    <d v="2024-12-22T00:00:00"/>
    <n v="32"/>
    <n v="7251.58"/>
    <s v="No"/>
    <n v="3"/>
    <n v="226.61"/>
  </r>
  <r>
    <n v="156"/>
    <s v="Nicole"/>
    <s v="Henderson"/>
    <s v="Male"/>
    <n v="45"/>
    <x v="2"/>
    <s v="Belize"/>
    <s v="Port Raymondbury"/>
    <s v="darcher@gmail.com"/>
    <s v="761.294.6773"/>
    <d v="2025-09-03T00:00:00"/>
    <x v="1"/>
    <x v="0"/>
    <d v="2025-08-05T00:00:00"/>
    <n v="44"/>
    <n v="5369.21"/>
    <s v="Yes"/>
    <n v="4"/>
    <n v="122.03"/>
  </r>
  <r>
    <n v="157"/>
    <s v="Rebekah"/>
    <s v="Jones"/>
    <s v="Female"/>
    <n v="39"/>
    <x v="1"/>
    <s v="Micronesia"/>
    <s v="Jessicaland"/>
    <s v="jennifer45@gmail.com"/>
    <s v="+1-513-292-5799"/>
    <d v="2025-09-13T00:00:00"/>
    <x v="0"/>
    <x v="7"/>
    <d v="2024-10-21T00:00:00"/>
    <n v="47"/>
    <n v="5173.75"/>
    <s v="Yes"/>
    <n v="2"/>
    <n v="110.08"/>
  </r>
  <r>
    <n v="158"/>
    <s v="Kathy"/>
    <s v="Mccann"/>
    <s v="Female"/>
    <n v="60"/>
    <x v="4"/>
    <s v="Greenland"/>
    <s v="Lake Davidberg"/>
    <s v="brewermelanie@fisher-taylor.com"/>
    <s v="677.699.3317x1246"/>
    <d v="2023-02-20T00:00:00"/>
    <x v="1"/>
    <x v="0"/>
    <d v="2025-08-08T00:00:00"/>
    <n v="19"/>
    <n v="2369.5500000000002"/>
    <s v="Yes"/>
    <n v="3"/>
    <n v="124.71"/>
  </r>
  <r>
    <n v="159"/>
    <s v="Mark"/>
    <s v="Tran"/>
    <s v="Female"/>
    <n v="70"/>
    <x v="1"/>
    <s v="Lithuania"/>
    <s v="Duranmouth"/>
    <s v="michaelwoods@yahoo.com"/>
    <s v="0323573927"/>
    <d v="2024-10-26T00:00:00"/>
    <x v="2"/>
    <x v="9"/>
    <d v="2023-12-16T00:00:00"/>
    <n v="12"/>
    <n v="1575.76"/>
    <s v="No"/>
    <n v="1"/>
    <n v="131.31"/>
  </r>
  <r>
    <n v="160"/>
    <s v="Megan"/>
    <s v="Parker"/>
    <s v="Female"/>
    <n v="71"/>
    <x v="0"/>
    <s v="Libyan Arab Jamahiriya"/>
    <s v="Melvinville"/>
    <s v="phillip58@yang.com"/>
    <s v="+1-877-261-3164x94872"/>
    <d v="2023-10-25T00:00:00"/>
    <x v="0"/>
    <x v="4"/>
    <d v="2024-03-15T00:00:00"/>
    <n v="24"/>
    <n v="7691.52"/>
    <s v="Yes"/>
    <n v="4"/>
    <n v="320.48"/>
  </r>
  <r>
    <n v="161"/>
    <s v="Jason"/>
    <s v="Brown"/>
    <s v="Female"/>
    <n v="69"/>
    <x v="1"/>
    <s v="Vanuatu"/>
    <s v="Port Katherineland"/>
    <s v="slara@hotmail.com"/>
    <s v="(795)219-2238"/>
    <d v="2024-04-15T00:00:00"/>
    <x v="1"/>
    <x v="11"/>
    <d v="2025-07-02T00:00:00"/>
    <n v="32"/>
    <n v="2789.53"/>
    <s v="Yes"/>
    <n v="4"/>
    <n v="87.17"/>
  </r>
  <r>
    <n v="162"/>
    <s v="Michael"/>
    <s v="Stewart"/>
    <s v="Male"/>
    <n v="56"/>
    <x v="4"/>
    <s v="Greece"/>
    <s v="New Scott"/>
    <s v="jeffrey80@grimes.biz"/>
    <s v="+1-771-681-9303x765"/>
    <d v="2024-09-10T00:00:00"/>
    <x v="0"/>
    <x v="5"/>
    <d v="2024-11-30T00:00:00"/>
    <n v="33"/>
    <n v="5764.37"/>
    <s v="Yes"/>
    <n v="4"/>
    <n v="174.68"/>
  </r>
  <r>
    <n v="163"/>
    <s v="Kenneth"/>
    <s v="Cooke"/>
    <s v="Male"/>
    <n v="51"/>
    <x v="0"/>
    <s v="Mayotte"/>
    <s v="Davisfurt"/>
    <s v="abigailrodriguez@gmail.com"/>
    <s v="585-544-9276x70041"/>
    <d v="2025-05-30T00:00:00"/>
    <x v="0"/>
    <x v="7"/>
    <d v="2024-10-27T00:00:00"/>
    <n v="7"/>
    <n v="6565.69"/>
    <s v="Yes"/>
    <n v="4"/>
    <n v="937.96"/>
  </r>
  <r>
    <n v="164"/>
    <s v="Daniel"/>
    <s v="Brown"/>
    <s v="Female"/>
    <n v="37"/>
    <x v="2"/>
    <s v="Jordan"/>
    <s v="Daltonhaven"/>
    <s v="larry16@hotmail.com"/>
    <s v="6144947675"/>
    <d v="2023-12-04T00:00:00"/>
    <x v="0"/>
    <x v="1"/>
    <d v="2024-06-17T00:00:00"/>
    <n v="27"/>
    <n v="2250.14"/>
    <s v="No"/>
    <n v="5"/>
    <n v="83.34"/>
  </r>
  <r>
    <n v="165"/>
    <s v="Dawn"/>
    <s v="Rivers"/>
    <s v="Male"/>
    <n v="67"/>
    <x v="3"/>
    <s v="Central African Republic"/>
    <s v="West Emilyfurt"/>
    <s v="kbrooks@camacho.com"/>
    <s v="+1-238-425-6958"/>
    <d v="2024-11-30T00:00:00"/>
    <x v="1"/>
    <x v="7"/>
    <d v="2025-10-25T00:00:00"/>
    <n v="21"/>
    <n v="6285.59"/>
    <s v="No"/>
    <n v="2"/>
    <n v="299.31"/>
  </r>
  <r>
    <n v="166"/>
    <s v="John"/>
    <s v="Martin"/>
    <s v="Male"/>
    <n v="57"/>
    <x v="2"/>
    <s v="Albania"/>
    <s v="West Gloriaberg"/>
    <s v="blevinsashley@yahoo.com"/>
    <s v="+1-885-008-0039"/>
    <d v="2023-09-23T00:00:00"/>
    <x v="0"/>
    <x v="2"/>
    <d v="2024-09-28T00:00:00"/>
    <n v="41"/>
    <n v="8554.57"/>
    <s v="Yes"/>
    <n v="5"/>
    <n v="208.65"/>
  </r>
  <r>
    <n v="167"/>
    <s v="Theresa"/>
    <s v="Heath"/>
    <s v="Female"/>
    <n v="63"/>
    <x v="3"/>
    <s v="Guinea"/>
    <s v="Lake Victoriashire"/>
    <s v="taylorthomas@lowe-hernandez.info"/>
    <s v="643.922.9285x6628"/>
    <d v="2025-04-15T00:00:00"/>
    <x v="1"/>
    <x v="11"/>
    <d v="2025-07-09T00:00:00"/>
    <n v="12"/>
    <n v="4801.2299999999996"/>
    <s v="Yes"/>
    <n v="4"/>
    <n v="400.1"/>
  </r>
  <r>
    <n v="168"/>
    <s v="Sara"/>
    <s v="Scott"/>
    <s v="Female"/>
    <n v="37"/>
    <x v="1"/>
    <s v="Kiribati"/>
    <s v="New Phillip"/>
    <s v="jlindsey@bishop.com"/>
    <s v="001-944-425-8805"/>
    <d v="2025-06-24T00:00:00"/>
    <x v="0"/>
    <x v="0"/>
    <d v="2024-08-09T00:00:00"/>
    <n v="6"/>
    <n v="5402.1"/>
    <s v="Yes"/>
    <n v="2"/>
    <n v="900.35"/>
  </r>
  <r>
    <n v="169"/>
    <s v="Peter"/>
    <s v="Alexander"/>
    <s v="Female"/>
    <n v="23"/>
    <x v="4"/>
    <s v="Congo"/>
    <s v="Wendyburgh"/>
    <s v="nancybrock@hotmail.com"/>
    <s v="954-471-0415"/>
    <d v="2024-11-21T00:00:00"/>
    <x v="0"/>
    <x v="6"/>
    <d v="2024-02-20T00:00:00"/>
    <n v="41"/>
    <n v="669.43"/>
    <s v="No"/>
    <n v="2"/>
    <n v="16.329999999999998"/>
  </r>
  <r>
    <n v="170"/>
    <s v="Brandon"/>
    <s v="Moore"/>
    <s v="Male"/>
    <n v="36"/>
    <x v="2"/>
    <s v="Syrian Arab Republic"/>
    <s v="North Robert"/>
    <s v="czamora@bonilla-green.org"/>
    <s v="(489)547-1182x779"/>
    <d v="2023-09-08T00:00:00"/>
    <x v="0"/>
    <x v="11"/>
    <d v="2024-07-01T00:00:00"/>
    <n v="25"/>
    <n v="3751.17"/>
    <s v="Yes"/>
    <n v="5"/>
    <n v="150.05000000000001"/>
  </r>
  <r>
    <n v="171"/>
    <s v="Travis"/>
    <s v="Barnes"/>
    <s v="Male"/>
    <n v="47"/>
    <x v="2"/>
    <s v="Canada"/>
    <s v="Williamsshire"/>
    <s v="ucarey@hotmail.com"/>
    <s v="7685906477"/>
    <d v="2024-08-27T00:00:00"/>
    <x v="2"/>
    <x v="5"/>
    <d v="2023-11-05T00:00:00"/>
    <n v="12"/>
    <n v="7687.84"/>
    <s v="Yes"/>
    <n v="5"/>
    <n v="640.65"/>
  </r>
  <r>
    <n v="172"/>
    <s v="Debra"/>
    <s v="Thomas"/>
    <s v="Female"/>
    <n v="28"/>
    <x v="2"/>
    <s v="Tanzania"/>
    <s v="New Jamesburgh"/>
    <s v="oblackburn@parsons.com"/>
    <s v="554.781.0939"/>
    <d v="2025-07-10T00:00:00"/>
    <x v="1"/>
    <x v="7"/>
    <d v="2025-10-11T00:00:00"/>
    <n v="38"/>
    <n v="2166.5700000000002"/>
    <s v="Yes"/>
    <n v="4"/>
    <n v="57.02"/>
  </r>
  <r>
    <n v="173"/>
    <s v="Christina"/>
    <s v="Roberts"/>
    <s v="Male"/>
    <n v="26"/>
    <x v="6"/>
    <s v="Botswana"/>
    <s v="Lake Gavin"/>
    <s v="ojones@hotmail.com"/>
    <s v="(810)035-3458x680"/>
    <d v="2023-10-29T00:00:00"/>
    <x v="0"/>
    <x v="1"/>
    <d v="2024-06-04T00:00:00"/>
    <n v="17"/>
    <n v="1874.73"/>
    <s v="Yes"/>
    <n v="3"/>
    <n v="110.28"/>
  </r>
  <r>
    <n v="174"/>
    <s v="Jackson"/>
    <s v="Bryant"/>
    <s v="Female"/>
    <n v="74"/>
    <x v="0"/>
    <s v="Libyan Arab Jamahiriya"/>
    <s v="Sherrybury"/>
    <s v="qbowen@gmail.com"/>
    <s v="6310586141"/>
    <d v="2025-01-17T00:00:00"/>
    <x v="0"/>
    <x v="5"/>
    <d v="2024-11-17T00:00:00"/>
    <n v="48"/>
    <n v="7569.77"/>
    <s v="No"/>
    <n v="3"/>
    <n v="157.69999999999999"/>
  </r>
  <r>
    <n v="175"/>
    <s v="Kristen"/>
    <s v="Bell"/>
    <s v="Male"/>
    <n v="43"/>
    <x v="2"/>
    <s v="Cayman Islands"/>
    <s v="Stephenmouth"/>
    <s v="vramirez@gmail.com"/>
    <s v="326-723-0767x6012"/>
    <d v="2024-02-26T00:00:00"/>
    <x v="1"/>
    <x v="11"/>
    <d v="2025-07-04T00:00:00"/>
    <n v="5"/>
    <n v="6294.8"/>
    <s v="No"/>
    <n v="4"/>
    <n v="1258.96"/>
  </r>
  <r>
    <n v="176"/>
    <s v="Sonya"/>
    <s v="Brooks"/>
    <s v="Female"/>
    <n v="38"/>
    <x v="0"/>
    <s v="Qatar"/>
    <s v="Randolphshire"/>
    <s v="ycortez@gmail.com"/>
    <s v="9873679959"/>
    <d v="2025-05-02T00:00:00"/>
    <x v="1"/>
    <x v="3"/>
    <d v="2025-04-10T00:00:00"/>
    <n v="45"/>
    <n v="6546.85"/>
    <s v="Yes"/>
    <n v="3"/>
    <n v="145.49"/>
  </r>
  <r>
    <n v="177"/>
    <s v="Ashley"/>
    <s v="Miller"/>
    <s v="Male"/>
    <n v="66"/>
    <x v="0"/>
    <s v="Iran"/>
    <s v="Carterland"/>
    <s v="nichole96@burnett.org"/>
    <s v="082.953.5430x13650"/>
    <d v="2023-03-12T00:00:00"/>
    <x v="0"/>
    <x v="4"/>
    <d v="2024-03-19T00:00:00"/>
    <n v="2"/>
    <n v="7680.21"/>
    <s v="No"/>
    <n v="2"/>
    <n v="3840.1"/>
  </r>
  <r>
    <n v="178"/>
    <s v="Thomas"/>
    <s v="Sampson"/>
    <s v="Female"/>
    <n v="56"/>
    <x v="5"/>
    <s v="Norway"/>
    <s v="Jamesside"/>
    <s v="maxwellchristina@yahoo.com"/>
    <s v="+1-970-049-3514x7035"/>
    <d v="2023-08-08T00:00:00"/>
    <x v="0"/>
    <x v="7"/>
    <d v="2024-10-20T00:00:00"/>
    <n v="36"/>
    <n v="8440.49"/>
    <s v="Yes"/>
    <n v="4"/>
    <n v="234.46"/>
  </r>
  <r>
    <n v="179"/>
    <s v="Heidi"/>
    <s v="Rice"/>
    <s v="Female"/>
    <n v="74"/>
    <x v="2"/>
    <s v="Slovenia"/>
    <s v="Davidshire"/>
    <s v="bruce11@yahoo.com"/>
    <s v="722-829-1700x7129"/>
    <d v="2024-02-10T00:00:00"/>
    <x v="0"/>
    <x v="1"/>
    <d v="2024-06-08T00:00:00"/>
    <n v="10"/>
    <n v="9324.83"/>
    <s v="Yes"/>
    <n v="1"/>
    <n v="932.48"/>
  </r>
  <r>
    <n v="180"/>
    <s v="Dawn"/>
    <s v="Ramos"/>
    <s v="Female"/>
    <n v="37"/>
    <x v="1"/>
    <s v="Bahrain"/>
    <s v="West Jacqueline"/>
    <s v="bwhite@yahoo.com"/>
    <s v="930-605-5084x2922"/>
    <d v="2023-02-09T00:00:00"/>
    <x v="1"/>
    <x v="3"/>
    <d v="2025-04-21T00:00:00"/>
    <n v="19"/>
    <n v="1467.3"/>
    <s v="Yes"/>
    <n v="3"/>
    <n v="77.23"/>
  </r>
  <r>
    <n v="181"/>
    <s v="Ryan"/>
    <s v="Davis"/>
    <s v="Female"/>
    <n v="21"/>
    <x v="0"/>
    <s v="Iran"/>
    <s v="Rojasmouth"/>
    <s v="tryan@gill-johnson.biz"/>
    <s v="883-798-7250x623"/>
    <d v="2023-05-31T00:00:00"/>
    <x v="0"/>
    <x v="11"/>
    <d v="2024-07-02T00:00:00"/>
    <n v="3"/>
    <n v="6515.77"/>
    <s v="No"/>
    <n v="1"/>
    <n v="2171.92"/>
  </r>
  <r>
    <n v="182"/>
    <s v="Elizabeth"/>
    <s v="Williams"/>
    <s v="Male"/>
    <n v="34"/>
    <x v="0"/>
    <s v="Turks and Caicos Islands"/>
    <s v="Williamsmouth"/>
    <s v="timothylutz@hotmail.com"/>
    <s v="794.217.0077x12288"/>
    <d v="2023-01-14T00:00:00"/>
    <x v="0"/>
    <x v="6"/>
    <d v="2024-02-18T00:00:00"/>
    <n v="43"/>
    <n v="1170.9000000000001"/>
    <s v="No"/>
    <n v="2"/>
    <n v="27.23"/>
  </r>
  <r>
    <n v="183"/>
    <s v="James"/>
    <s v="Christensen"/>
    <s v="Female"/>
    <n v="22"/>
    <x v="1"/>
    <s v="Austria"/>
    <s v="Alexandramouth"/>
    <s v="williamyang@yahoo.com"/>
    <s v="979.654.5626x293"/>
    <d v="2024-04-21T00:00:00"/>
    <x v="0"/>
    <x v="11"/>
    <d v="2024-07-28T00:00:00"/>
    <n v="38"/>
    <n v="690.06"/>
    <s v="Yes"/>
    <n v="5"/>
    <n v="18.16"/>
  </r>
  <r>
    <n v="184"/>
    <s v="Vincent"/>
    <s v="Jimenez"/>
    <s v="Female"/>
    <n v="49"/>
    <x v="3"/>
    <s v="Central African Republic"/>
    <s v="North Crystal"/>
    <s v="parkermelissa@tate.info"/>
    <s v="641.252.0758"/>
    <d v="2023-11-12T00:00:00"/>
    <x v="0"/>
    <x v="4"/>
    <d v="2024-03-31T00:00:00"/>
    <n v="7"/>
    <n v="5885.09"/>
    <s v="Yes"/>
    <n v="3"/>
    <n v="840.73"/>
  </r>
  <r>
    <n v="185"/>
    <s v="Jeremy"/>
    <s v="Key"/>
    <s v="Male"/>
    <n v="48"/>
    <x v="2"/>
    <s v="Mongolia"/>
    <s v="East Nicole"/>
    <s v="sduncan@yahoo.com"/>
    <s v="5785494654"/>
    <d v="2024-06-26T00:00:00"/>
    <x v="2"/>
    <x v="9"/>
    <d v="2023-12-04T00:00:00"/>
    <n v="49"/>
    <n v="7293.14"/>
    <s v="Yes"/>
    <n v="2"/>
    <n v="148.84"/>
  </r>
  <r>
    <n v="186"/>
    <s v="Scott"/>
    <s v="Barry"/>
    <s v="Female"/>
    <n v="70"/>
    <x v="6"/>
    <s v="Anguilla"/>
    <s v="Jodiview"/>
    <s v="gregory60@gordon.net"/>
    <s v="5572493434"/>
    <d v="2024-05-17T00:00:00"/>
    <x v="1"/>
    <x v="1"/>
    <d v="2025-06-02T00:00:00"/>
    <n v="5"/>
    <n v="7672.28"/>
    <s v="Yes"/>
    <n v="3"/>
    <n v="1534.46"/>
  </r>
  <r>
    <n v="187"/>
    <s v="Edward"/>
    <s v="Flynn"/>
    <s v="Female"/>
    <n v="62"/>
    <x v="0"/>
    <s v="Saint Pierre and Miquelon"/>
    <s v="Port Georgeland"/>
    <s v="torrestrevor@hotmail.com"/>
    <s v="079-802-1029x2574"/>
    <d v="2023-11-14T00:00:00"/>
    <x v="0"/>
    <x v="10"/>
    <d v="2024-05-04T00:00:00"/>
    <n v="20"/>
    <n v="882.38"/>
    <s v="No"/>
    <n v="3"/>
    <n v="44.12"/>
  </r>
  <r>
    <n v="188"/>
    <s v="Joshua"/>
    <s v="Edwards"/>
    <s v="Female"/>
    <n v="47"/>
    <x v="2"/>
    <s v="Montenegro"/>
    <s v="Rileyhaven"/>
    <s v="natashapennington@fischer.net"/>
    <s v="(180)154-5239"/>
    <d v="2025-10-14T00:00:00"/>
    <x v="0"/>
    <x v="2"/>
    <d v="2024-09-19T00:00:00"/>
    <n v="10"/>
    <n v="1198.0899999999999"/>
    <s v="Yes"/>
    <n v="2"/>
    <n v="119.81"/>
  </r>
  <r>
    <n v="189"/>
    <s v="David"/>
    <s v="Obrien"/>
    <s v="Female"/>
    <n v="38"/>
    <x v="2"/>
    <s v="Belize"/>
    <s v="Port Deanna"/>
    <s v="ophillips@dodson.com"/>
    <s v="+1-468-517-1514x784"/>
    <d v="2025-06-05T00:00:00"/>
    <x v="1"/>
    <x v="8"/>
    <d v="2025-01-17T00:00:00"/>
    <n v="35"/>
    <n v="1934.47"/>
    <s v="Yes"/>
    <n v="5"/>
    <n v="55.27"/>
  </r>
  <r>
    <n v="190"/>
    <s v="Brittany"/>
    <s v="Mcdonald"/>
    <s v="Female"/>
    <n v="26"/>
    <x v="4"/>
    <s v="Congo"/>
    <s v="West Alison"/>
    <s v="schaeferwendy@gmail.com"/>
    <s v="+1-946-583-0038x4619"/>
    <d v="2022-12-18T00:00:00"/>
    <x v="2"/>
    <x v="5"/>
    <d v="2023-11-07T00:00:00"/>
    <n v="37"/>
    <n v="349.73"/>
    <s v="Yes"/>
    <n v="1"/>
    <n v="9.4499999999999993"/>
  </r>
  <r>
    <n v="191"/>
    <s v="Victoria"/>
    <s v="Sosa"/>
    <s v="Female"/>
    <n v="38"/>
    <x v="4"/>
    <s v="Saint Kitts and Nevis"/>
    <s v="North Christopherbury"/>
    <s v="milleradrienne@cole.com"/>
    <s v="+1-118-099-5663"/>
    <d v="2025-10-17T00:00:00"/>
    <x v="0"/>
    <x v="5"/>
    <d v="2024-11-14T00:00:00"/>
    <n v="41"/>
    <n v="7853.92"/>
    <s v="Yes"/>
    <n v="3"/>
    <n v="191.56"/>
  </r>
  <r>
    <n v="192"/>
    <s v="Rodney"/>
    <s v="Novak"/>
    <s v="Male"/>
    <n v="63"/>
    <x v="4"/>
    <s v="Azerbaijan"/>
    <s v="New Robert"/>
    <s v="vhall@hayes.org"/>
    <s v="(526)772-2564"/>
    <d v="2023-04-05T00:00:00"/>
    <x v="2"/>
    <x v="5"/>
    <d v="2023-11-05T00:00:00"/>
    <n v="40"/>
    <n v="2351.38"/>
    <s v="No"/>
    <n v="1"/>
    <n v="58.78"/>
  </r>
  <r>
    <n v="193"/>
    <s v="Gregory"/>
    <s v="Taylor"/>
    <s v="Male"/>
    <n v="43"/>
    <x v="3"/>
    <s v="United Kingdom"/>
    <s v="Erinfort"/>
    <s v="wsmith@shields.info"/>
    <s v="(032)035-2567"/>
    <d v="2022-11-03T00:00:00"/>
    <x v="0"/>
    <x v="1"/>
    <d v="2024-06-20T00:00:00"/>
    <n v="17"/>
    <n v="9982.15"/>
    <s v="No"/>
    <n v="3"/>
    <n v="587.19000000000005"/>
  </r>
  <r>
    <n v="194"/>
    <s v="David"/>
    <s v="Cummings"/>
    <s v="Male"/>
    <n v="39"/>
    <x v="2"/>
    <s v="Senegal"/>
    <s v="Davidville"/>
    <s v="mackenzie42@gmail.com"/>
    <s v="5269641498"/>
    <d v="2024-05-16T00:00:00"/>
    <x v="0"/>
    <x v="5"/>
    <d v="2024-11-20T00:00:00"/>
    <n v="14"/>
    <n v="9232.0300000000007"/>
    <s v="Yes"/>
    <n v="4"/>
    <n v="659.43"/>
  </r>
  <r>
    <n v="195"/>
    <s v="Crystal"/>
    <s v="Smith"/>
    <s v="Female"/>
    <n v="24"/>
    <x v="2"/>
    <s v="Canada"/>
    <s v="Lopezmouth"/>
    <s v="turnerjason@hoffman.com"/>
    <s v="886.912.0094"/>
    <d v="2024-02-22T00:00:00"/>
    <x v="1"/>
    <x v="1"/>
    <d v="2025-06-05T00:00:00"/>
    <n v="12"/>
    <n v="6920.76"/>
    <s v="No"/>
    <n v="1"/>
    <n v="576.73"/>
  </r>
  <r>
    <n v="196"/>
    <s v="Robin"/>
    <s v="Olson"/>
    <s v="Female"/>
    <n v="54"/>
    <x v="0"/>
    <s v="Malaysia"/>
    <s v="Craigborough"/>
    <s v="kimberlyoconnell@guerra.net"/>
    <s v="001-431-716-8960x667"/>
    <d v="2025-10-26T00:00:00"/>
    <x v="1"/>
    <x v="3"/>
    <d v="2025-04-30T00:00:00"/>
    <n v="11"/>
    <n v="8241.43"/>
    <s v="No"/>
    <n v="3"/>
    <n v="749.22"/>
  </r>
  <r>
    <n v="197"/>
    <s v="Antonio"/>
    <s v="Matthews"/>
    <s v="Female"/>
    <n v="25"/>
    <x v="5"/>
    <s v="United States of America"/>
    <s v="Port Chris"/>
    <s v="jgreen@hotmail.com"/>
    <s v="6105521171"/>
    <d v="2023-05-16T00:00:00"/>
    <x v="1"/>
    <x v="4"/>
    <d v="2025-03-13T00:00:00"/>
    <n v="9"/>
    <n v="6190.51"/>
    <s v="Yes"/>
    <n v="3"/>
    <n v="687.83"/>
  </r>
  <r>
    <n v="198"/>
    <s v="Thomas"/>
    <s v="Larson"/>
    <s v="Female"/>
    <n v="59"/>
    <x v="6"/>
    <s v="Anguilla"/>
    <s v="Andreaborough"/>
    <s v="jenkinsmichael@moreno-bush.com"/>
    <s v="6099000290"/>
    <d v="2023-07-22T00:00:00"/>
    <x v="0"/>
    <x v="4"/>
    <d v="2024-03-26T00:00:00"/>
    <n v="4"/>
    <n v="2814.95"/>
    <s v="No"/>
    <n v="5"/>
    <n v="703.74"/>
  </r>
  <r>
    <n v="199"/>
    <s v="Hunter"/>
    <s v="Torres"/>
    <s v="Female"/>
    <n v="71"/>
    <x v="0"/>
    <s v="Iran"/>
    <s v="Lindseyshire"/>
    <s v="victoriaharrell@yahoo.com"/>
    <s v="583-168-9408x5279"/>
    <d v="2023-08-13T00:00:00"/>
    <x v="2"/>
    <x v="9"/>
    <d v="2023-12-24T00:00:00"/>
    <n v="7"/>
    <n v="9229.2999999999993"/>
    <s v="Yes"/>
    <n v="1"/>
    <n v="1318.47"/>
  </r>
  <r>
    <n v="200"/>
    <s v="Daniel"/>
    <s v="Long"/>
    <s v="Female"/>
    <n v="18"/>
    <x v="4"/>
    <s v="Djibouti"/>
    <s v="East Alexishaven"/>
    <s v="rwallace@gmail.com"/>
    <s v="895.490.0421x65961"/>
    <d v="2025-10-26T00:00:00"/>
    <x v="0"/>
    <x v="7"/>
    <d v="2024-10-19T00:00:00"/>
    <n v="29"/>
    <n v="4155.3100000000004"/>
    <s v="Yes"/>
    <n v="3"/>
    <n v="143.29"/>
  </r>
  <r>
    <n v="201"/>
    <s v="Douglas"/>
    <s v="Harvey"/>
    <s v="Male"/>
    <n v="44"/>
    <x v="4"/>
    <s v="Tunisia"/>
    <s v="North Jason"/>
    <s v="williamsbrett@hotmail.com"/>
    <s v="056-933-3508x228"/>
    <d v="2024-03-09T00:00:00"/>
    <x v="1"/>
    <x v="6"/>
    <d v="2025-02-09T00:00:00"/>
    <n v="32"/>
    <n v="1016.54"/>
    <s v="No"/>
    <n v="4"/>
    <n v="31.77"/>
  </r>
  <r>
    <n v="202"/>
    <s v="Calvin"/>
    <s v="Wilson"/>
    <s v="Male"/>
    <n v="27"/>
    <x v="4"/>
    <s v="Heard Island and McDonald Islands"/>
    <s v="Stephenshire"/>
    <s v="vjacobs@craig.net"/>
    <s v="001-429-139-9869x443"/>
    <d v="2025-01-29T00:00:00"/>
    <x v="0"/>
    <x v="7"/>
    <d v="2024-10-25T00:00:00"/>
    <n v="27"/>
    <n v="7421.85"/>
    <s v="No"/>
    <n v="5"/>
    <n v="274.88"/>
  </r>
  <r>
    <n v="203"/>
    <s v="Tasha"/>
    <s v="Thompson"/>
    <s v="Male"/>
    <n v="38"/>
    <x v="1"/>
    <s v="Lao People's Democratic Republic"/>
    <s v="North Jimmy"/>
    <s v="shanewilliams@hotmail.com"/>
    <s v="(478)611-1779"/>
    <d v="2024-11-19T00:00:00"/>
    <x v="2"/>
    <x v="5"/>
    <d v="2023-11-24T00:00:00"/>
    <n v="29"/>
    <n v="5224.32"/>
    <s v="Yes"/>
    <n v="3"/>
    <n v="180.15"/>
  </r>
  <r>
    <n v="204"/>
    <s v="Michael"/>
    <s v="Jones"/>
    <s v="Male"/>
    <n v="62"/>
    <x v="4"/>
    <s v="Cameroon"/>
    <s v="South Rebeccaburgh"/>
    <s v="mbarnett@johnson.com"/>
    <s v="582.404.6691x7849"/>
    <d v="2023-10-11T00:00:00"/>
    <x v="1"/>
    <x v="11"/>
    <d v="2025-07-13T00:00:00"/>
    <n v="41"/>
    <n v="950.87"/>
    <s v="No"/>
    <n v="1"/>
    <n v="23.19"/>
  </r>
  <r>
    <n v="205"/>
    <s v="Roberta"/>
    <s v="Jones"/>
    <s v="Male"/>
    <n v="60"/>
    <x v="2"/>
    <s v="Cocos (Keeling) Islands"/>
    <s v="Norrisburgh"/>
    <s v="stephaniesmith@hotmail.com"/>
    <s v="871-362-3663x4121"/>
    <d v="2023-06-15T00:00:00"/>
    <x v="0"/>
    <x v="0"/>
    <d v="2024-08-08T00:00:00"/>
    <n v="22"/>
    <n v="6891.97"/>
    <s v="No"/>
    <n v="1"/>
    <n v="313.27"/>
  </r>
  <r>
    <n v="206"/>
    <s v="Justin"/>
    <s v="Bowman"/>
    <s v="Male"/>
    <n v="46"/>
    <x v="0"/>
    <s v="Bolivia"/>
    <s v="Christinaport"/>
    <s v="bhall@bell.com"/>
    <s v="001-562-011-6010"/>
    <d v="2025-07-30T00:00:00"/>
    <x v="1"/>
    <x v="11"/>
    <d v="2025-07-27T00:00:00"/>
    <n v="49"/>
    <n v="125.93"/>
    <s v="Yes"/>
    <n v="5"/>
    <n v="2.57"/>
  </r>
  <r>
    <n v="207"/>
    <s v="Steven"/>
    <s v="Jones"/>
    <s v="Female"/>
    <n v="19"/>
    <x v="4"/>
    <s v="Greenland"/>
    <s v="West Cassandrafort"/>
    <s v="daniel18@castro.com"/>
    <s v="+1-365-885-6736"/>
    <d v="2024-07-19T00:00:00"/>
    <x v="1"/>
    <x v="7"/>
    <d v="2025-10-08T00:00:00"/>
    <n v="33"/>
    <n v="1422.62"/>
    <s v="Yes"/>
    <n v="2"/>
    <n v="43.11"/>
  </r>
  <r>
    <n v="208"/>
    <s v="John"/>
    <s v="Shaw"/>
    <s v="Male"/>
    <n v="62"/>
    <x v="4"/>
    <s v="Djibouti"/>
    <s v="Powellmouth"/>
    <s v="richard43@yoder-huang.com"/>
    <s v="001-597-042-2145x19620"/>
    <d v="2024-09-15T00:00:00"/>
    <x v="1"/>
    <x v="10"/>
    <d v="2025-05-29T00:00:00"/>
    <n v="33"/>
    <n v="9958.18"/>
    <s v="No"/>
    <n v="2"/>
    <n v="301.76"/>
  </r>
  <r>
    <n v="209"/>
    <s v="Timothy"/>
    <s v="Smith"/>
    <s v="Female"/>
    <n v="20"/>
    <x v="0"/>
    <s v="Jamaica"/>
    <s v="Stevenstad"/>
    <s v="samanthabryant@yahoo.com"/>
    <s v="332.328.5850x99160"/>
    <d v="2024-07-15T00:00:00"/>
    <x v="0"/>
    <x v="6"/>
    <d v="2024-02-22T00:00:00"/>
    <n v="9"/>
    <n v="406.35"/>
    <s v="Yes"/>
    <n v="2"/>
    <n v="45.15"/>
  </r>
  <r>
    <n v="210"/>
    <s v="Julie"/>
    <s v="Spencer"/>
    <s v="Female"/>
    <n v="46"/>
    <x v="0"/>
    <s v="Haiti"/>
    <s v="South Jenniferton"/>
    <s v="romanjames@herrera.biz"/>
    <s v="124.965.0292x00238"/>
    <d v="2025-07-06T00:00:00"/>
    <x v="1"/>
    <x v="4"/>
    <d v="2025-03-26T00:00:00"/>
    <n v="3"/>
    <n v="1159.05"/>
    <s v="Yes"/>
    <n v="1"/>
    <n v="386.35"/>
  </r>
  <r>
    <n v="211"/>
    <s v="Kathleen"/>
    <s v="Hayes"/>
    <s v="Female"/>
    <n v="22"/>
    <x v="2"/>
    <s v="Malta"/>
    <s v="Chenborough"/>
    <s v="uduran@gmail.com"/>
    <s v="+1-482-101-0917"/>
    <d v="2023-08-31T00:00:00"/>
    <x v="1"/>
    <x v="8"/>
    <d v="2025-01-11T00:00:00"/>
    <n v="4"/>
    <n v="1026.3499999999999"/>
    <s v="Yes"/>
    <n v="1"/>
    <n v="256.58999999999997"/>
  </r>
  <r>
    <n v="212"/>
    <s v="Clayton"/>
    <s v="Moss"/>
    <s v="Female"/>
    <n v="32"/>
    <x v="1"/>
    <s v="Montserrat"/>
    <s v="Port Shannonborough"/>
    <s v="ntaylor@moore.org"/>
    <s v="001-988-293-4546x9854"/>
    <d v="2024-09-27T00:00:00"/>
    <x v="0"/>
    <x v="3"/>
    <d v="2024-04-12T00:00:00"/>
    <n v="29"/>
    <n v="3365.83"/>
    <s v="No"/>
    <n v="3"/>
    <n v="116.06"/>
  </r>
  <r>
    <n v="213"/>
    <s v="Victoria"/>
    <s v="Cabrera"/>
    <s v="Female"/>
    <n v="47"/>
    <x v="4"/>
    <s v="Mauritania"/>
    <s v="East Catherine"/>
    <s v="monica11@ross-ferrell.com"/>
    <s v="499-476-3751x7181"/>
    <d v="2023-11-09T00:00:00"/>
    <x v="1"/>
    <x v="0"/>
    <d v="2025-08-29T00:00:00"/>
    <n v="27"/>
    <n v="5018.6899999999996"/>
    <s v="Yes"/>
    <n v="3"/>
    <n v="185.88"/>
  </r>
  <r>
    <n v="214"/>
    <s v="Martha"/>
    <s v="Baker"/>
    <s v="Female"/>
    <n v="48"/>
    <x v="0"/>
    <s v="Moldova"/>
    <s v="Edwardview"/>
    <s v="ericaharris@floyd.com"/>
    <s v="926.313.0978x93239"/>
    <d v="2024-09-06T00:00:00"/>
    <x v="0"/>
    <x v="9"/>
    <d v="2024-12-01T00:00:00"/>
    <n v="6"/>
    <n v="3320.5"/>
    <s v="Yes"/>
    <n v="4"/>
    <n v="553.41999999999996"/>
  </r>
  <r>
    <n v="215"/>
    <s v="Marc"/>
    <s v="Cobb"/>
    <s v="Male"/>
    <n v="46"/>
    <x v="2"/>
    <s v="French Polynesia"/>
    <s v="Cherylhaven"/>
    <s v="jeffrey86@hotmail.com"/>
    <s v="698-040-9746x843"/>
    <d v="2025-01-14T00:00:00"/>
    <x v="1"/>
    <x v="11"/>
    <d v="2025-07-11T00:00:00"/>
    <n v="36"/>
    <n v="9744.61"/>
    <s v="Yes"/>
    <n v="2"/>
    <n v="270.68"/>
  </r>
  <r>
    <n v="217"/>
    <s v="Chad"/>
    <s v="Cooper"/>
    <s v="Female"/>
    <n v="55"/>
    <x v="4"/>
    <s v="Belgium"/>
    <s v="North Bryce"/>
    <s v="sean17@downs.info"/>
    <s v="001-665-630-6305"/>
    <d v="2024-07-02T00:00:00"/>
    <x v="1"/>
    <x v="0"/>
    <d v="2025-08-23T00:00:00"/>
    <n v="1"/>
    <n v="2009.78"/>
    <s v="Yes"/>
    <n v="3"/>
    <n v="2009.78"/>
  </r>
  <r>
    <n v="218"/>
    <s v="Maureen"/>
    <s v="Mora"/>
    <s v="Male"/>
    <n v="36"/>
    <x v="3"/>
    <s v="Panama"/>
    <s v="Elizabethborough"/>
    <s v="charlesgriffin@yahoo.com"/>
    <s v="001-062-232-6236x87370"/>
    <d v="2024-11-01T00:00:00"/>
    <x v="0"/>
    <x v="0"/>
    <d v="2024-08-16T00:00:00"/>
    <n v="2"/>
    <n v="8983.34"/>
    <s v="No"/>
    <n v="2"/>
    <n v="4491.67"/>
  </r>
  <r>
    <n v="219"/>
    <s v="Daniel"/>
    <s v="Decker"/>
    <s v="Male"/>
    <n v="69"/>
    <x v="1"/>
    <s v="Sweden"/>
    <s v="South Christopherside"/>
    <s v="john37@hill.org"/>
    <s v="(146)300-9663"/>
    <d v="2024-02-04T00:00:00"/>
    <x v="0"/>
    <x v="5"/>
    <d v="2024-11-07T00:00:00"/>
    <n v="35"/>
    <n v="7054.17"/>
    <s v="No"/>
    <n v="3"/>
    <n v="201.55"/>
  </r>
  <r>
    <n v="220"/>
    <s v="Sarah"/>
    <s v="Hayes"/>
    <s v="Female"/>
    <n v="50"/>
    <x v="2"/>
    <s v="Syrian Arab Republic"/>
    <s v="Simpsonfort"/>
    <s v="vazquezjon@gmail.com"/>
    <s v="+1-466-262-3088"/>
    <d v="2024-10-31T00:00:00"/>
    <x v="0"/>
    <x v="1"/>
    <d v="2024-06-25T00:00:00"/>
    <n v="7"/>
    <n v="9672.77"/>
    <s v="Yes"/>
    <n v="4"/>
    <n v="1381.82"/>
  </r>
  <r>
    <n v="221"/>
    <s v="Philip"/>
    <s v="Clark"/>
    <s v="Female"/>
    <n v="74"/>
    <x v="0"/>
    <s v="Uganda"/>
    <s v="New Jonathanchester"/>
    <s v="ostewart@yahoo.com"/>
    <s v="+1-623-806-6433"/>
    <d v="2023-12-06T00:00:00"/>
    <x v="0"/>
    <x v="0"/>
    <d v="2024-08-25T00:00:00"/>
    <n v="20"/>
    <n v="748.58"/>
    <s v="Yes"/>
    <n v="5"/>
    <n v="37.43"/>
  </r>
  <r>
    <n v="222"/>
    <s v="Antonio"/>
    <s v="Miller"/>
    <s v="Other"/>
    <n v="36"/>
    <x v="5"/>
    <s v="Falkland Islands (Malvinas)"/>
    <s v="North Shawnaside"/>
    <s v="lori41@gmail.com"/>
    <s v="001-530-560-9771"/>
    <d v="2024-06-18T00:00:00"/>
    <x v="1"/>
    <x v="11"/>
    <d v="2025-07-26T00:00:00"/>
    <n v="41"/>
    <n v="3732.47"/>
    <s v="Yes"/>
    <n v="1"/>
    <n v="91.04"/>
  </r>
  <r>
    <n v="223"/>
    <s v="Tammy"/>
    <s v="Guerra"/>
    <s v="Female"/>
    <n v="29"/>
    <x v="1"/>
    <s v="Korea"/>
    <s v="Abigailtown"/>
    <s v="ballardlinda@sanchez.info"/>
    <s v="+1-337-780-8232"/>
    <d v="2025-01-16T00:00:00"/>
    <x v="0"/>
    <x v="5"/>
    <d v="2024-11-19T00:00:00"/>
    <n v="48"/>
    <n v="3641.81"/>
    <s v="Yes"/>
    <n v="2"/>
    <n v="75.87"/>
  </r>
  <r>
    <n v="224"/>
    <s v="Jason"/>
    <s v="Perkins"/>
    <s v="Male"/>
    <n v="31"/>
    <x v="1"/>
    <s v="Austria"/>
    <s v="Castillobury"/>
    <s v="thomastorres@gmail.com"/>
    <s v="997.256.8749x2190"/>
    <d v="2024-07-07T00:00:00"/>
    <x v="0"/>
    <x v="8"/>
    <d v="2024-01-26T00:00:00"/>
    <n v="20"/>
    <n v="3070.04"/>
    <s v="No"/>
    <n v="1"/>
    <n v="153.5"/>
  </r>
  <r>
    <n v="225"/>
    <s v="Leonard"/>
    <s v="Hicks"/>
    <s v="Male"/>
    <n v="27"/>
    <x v="1"/>
    <s v="Montserrat"/>
    <s v="South Stephaniechester"/>
    <s v="hamiltonmelissa@hays.info"/>
    <s v="086.740.3146"/>
    <d v="2024-01-28T00:00:00"/>
    <x v="1"/>
    <x v="6"/>
    <d v="2025-02-13T00:00:00"/>
    <n v="27"/>
    <n v="3892.66"/>
    <s v="Yes"/>
    <n v="5"/>
    <n v="144.16999999999999"/>
  </r>
  <r>
    <n v="226"/>
    <s v="Amy"/>
    <s v="Santiago"/>
    <s v="Male"/>
    <n v="73"/>
    <x v="2"/>
    <s v="Guatemala"/>
    <s v="West Brian"/>
    <s v="allenpaula@hooper.net"/>
    <s v="725-072-0462"/>
    <d v="2024-01-25T00:00:00"/>
    <x v="1"/>
    <x v="0"/>
    <d v="2025-08-21T00:00:00"/>
    <n v="13"/>
    <n v="8015.31"/>
    <s v="No"/>
    <n v="3"/>
    <n v="616.55999999999995"/>
  </r>
  <r>
    <n v="227"/>
    <s v="Heidi"/>
    <s v="Reed"/>
    <s v="Female"/>
    <n v="38"/>
    <x v="1"/>
    <s v="Tuvalu"/>
    <s v="Rosehaven"/>
    <s v="courtneydawson@dorsey.com"/>
    <s v="038-038-8482"/>
    <d v="2023-12-09T00:00:00"/>
    <x v="0"/>
    <x v="5"/>
    <d v="2024-11-23T00:00:00"/>
    <n v="3"/>
    <n v="8776.1299999999992"/>
    <s v="Yes"/>
    <n v="4"/>
    <n v="2925.38"/>
  </r>
  <r>
    <n v="228"/>
    <s v="Tony"/>
    <s v="Gonzalez"/>
    <s v="Male"/>
    <n v="54"/>
    <x v="4"/>
    <s v="Greenland"/>
    <s v="Port Brittany"/>
    <s v="nelsoncandice@woods.biz"/>
    <s v="551-525-7556"/>
    <d v="2025-08-31T00:00:00"/>
    <x v="1"/>
    <x v="7"/>
    <d v="2025-10-08T00:00:00"/>
    <n v="17"/>
    <n v="8289.98"/>
    <s v="Yes"/>
    <n v="2"/>
    <n v="487.65"/>
  </r>
  <r>
    <n v="229"/>
    <s v="Rhonda"/>
    <s v="Molina"/>
    <s v="Male"/>
    <n v="50"/>
    <x v="2"/>
    <s v="Estonia"/>
    <s v="New Shawn"/>
    <s v="ericbaker@yahoo.com"/>
    <s v="001-298-943-4215"/>
    <d v="2023-06-04T00:00:00"/>
    <x v="1"/>
    <x v="0"/>
    <d v="2025-08-28T00:00:00"/>
    <n v="29"/>
    <n v="3807.01"/>
    <s v="Yes"/>
    <n v="4"/>
    <n v="131.28"/>
  </r>
  <r>
    <n v="230"/>
    <s v="Frank"/>
    <s v="Griffith"/>
    <s v="Female"/>
    <n v="52"/>
    <x v="0"/>
    <s v="Brunei Darussalam"/>
    <s v="Port Jared"/>
    <s v="tblackwell@fowler-powell.net"/>
    <s v="+1-784-817-4618x490"/>
    <d v="2023-12-27T00:00:00"/>
    <x v="1"/>
    <x v="0"/>
    <d v="2025-08-25T00:00:00"/>
    <n v="27"/>
    <n v="1931.12"/>
    <s v="Yes"/>
    <n v="4"/>
    <n v="71.52"/>
  </r>
  <r>
    <n v="231"/>
    <s v="Heather"/>
    <s v="Martin"/>
    <s v="Male"/>
    <n v="37"/>
    <x v="1"/>
    <s v="Iceland"/>
    <s v="Dianaton"/>
    <s v="carolyn09@gmail.com"/>
    <s v="001-812-036-6492"/>
    <d v="2025-09-22T00:00:00"/>
    <x v="0"/>
    <x v="6"/>
    <d v="2024-02-21T00:00:00"/>
    <n v="37"/>
    <n v="4132.6499999999996"/>
    <s v="Yes"/>
    <n v="3"/>
    <n v="111.69"/>
  </r>
  <r>
    <n v="232"/>
    <s v="Patricia"/>
    <s v="Miller"/>
    <s v="Male"/>
    <n v="71"/>
    <x v="4"/>
    <s v="Netherlands"/>
    <s v="Jacksonshire"/>
    <s v="vanessa23@smith.biz"/>
    <s v="001-069-772-3236"/>
    <d v="2024-01-09T00:00:00"/>
    <x v="1"/>
    <x v="4"/>
    <d v="2025-03-19T00:00:00"/>
    <n v="40"/>
    <n v="4308.32"/>
    <s v="No"/>
    <n v="5"/>
    <n v="107.71"/>
  </r>
  <r>
    <n v="233"/>
    <s v="Cindy"/>
    <s v="Washington"/>
    <s v="Female"/>
    <n v="68"/>
    <x v="4"/>
    <s v="Angola"/>
    <s v="South Angelafort"/>
    <s v="nancy44@ramos.com"/>
    <s v="+1-670-355-8757x055"/>
    <d v="2024-07-13T00:00:00"/>
    <x v="1"/>
    <x v="10"/>
    <d v="2025-05-31T00:00:00"/>
    <n v="19"/>
    <n v="4309.8599999999997"/>
    <s v="Yes"/>
    <n v="1"/>
    <n v="226.83"/>
  </r>
  <r>
    <n v="234"/>
    <s v="Carrie"/>
    <s v="Gross"/>
    <s v="Female"/>
    <n v="52"/>
    <x v="1"/>
    <s v="Holy See (Vatican City State)"/>
    <s v="Port Sarahmouth"/>
    <s v="linda32@thomas-mendez.org"/>
    <s v="(050)701-7148"/>
    <d v="2024-09-05T00:00:00"/>
    <x v="1"/>
    <x v="7"/>
    <d v="2025-10-14T00:00:00"/>
    <n v="36"/>
    <n v="8230.43"/>
    <s v="Yes"/>
    <n v="4"/>
    <n v="228.62"/>
  </r>
  <r>
    <n v="235"/>
    <s v="Tyler"/>
    <s v="Burton"/>
    <s v="Female"/>
    <n v="48"/>
    <x v="1"/>
    <s v="Samoa"/>
    <s v="North Jonathan"/>
    <s v="rodney58@little.org"/>
    <s v="001-258-549-6526x5663"/>
    <d v="2025-06-11T00:00:00"/>
    <x v="0"/>
    <x v="11"/>
    <d v="2024-07-24T00:00:00"/>
    <n v="24"/>
    <n v="3137.25"/>
    <s v="Yes"/>
    <n v="4"/>
    <n v="130.72"/>
  </r>
  <r>
    <n v="236"/>
    <s v="Ricardo"/>
    <s v="Harding"/>
    <s v="Female"/>
    <n v="51"/>
    <x v="2"/>
    <s v="Wallis and Futuna"/>
    <s v="Reillyland"/>
    <s v="meadowssamantha@hotmail.com"/>
    <s v="(407)240-1576x83057"/>
    <d v="2023-03-12T00:00:00"/>
    <x v="0"/>
    <x v="2"/>
    <d v="2024-09-23T00:00:00"/>
    <n v="16"/>
    <n v="4112.47"/>
    <s v="No"/>
    <n v="3"/>
    <n v="257.02999999999997"/>
  </r>
  <r>
    <n v="237"/>
    <s v="Samuel"/>
    <s v="Quinn"/>
    <s v="Male"/>
    <n v="49"/>
    <x v="2"/>
    <s v="Tanzania"/>
    <s v="Derekbury"/>
    <s v="chambersdaniel@gmail.com"/>
    <s v="0318379791"/>
    <d v="2025-02-16T00:00:00"/>
    <x v="0"/>
    <x v="9"/>
    <d v="2024-12-05T00:00:00"/>
    <n v="25"/>
    <n v="935.16"/>
    <s v="Yes"/>
    <n v="1"/>
    <n v="37.409999999999997"/>
  </r>
  <r>
    <n v="238"/>
    <s v="Karen"/>
    <s v="Cooper"/>
    <s v="Female"/>
    <n v="68"/>
    <x v="4"/>
    <s v="Seychelles"/>
    <s v="New Alexville"/>
    <s v="escobaraustin@gmail.com"/>
    <s v="(190)607-9729x52422"/>
    <d v="2024-11-10T00:00:00"/>
    <x v="1"/>
    <x v="10"/>
    <d v="2025-05-26T00:00:00"/>
    <n v="40"/>
    <n v="359.16"/>
    <s v="No"/>
    <n v="1"/>
    <n v="8.98"/>
  </r>
  <r>
    <n v="239"/>
    <s v="Melinda"/>
    <s v="Robertson"/>
    <s v="Male"/>
    <n v="29"/>
    <x v="1"/>
    <s v="Tajikistan"/>
    <s v="Warrenfort"/>
    <s v="brian41@hotmail.com"/>
    <s v="1164220602"/>
    <d v="2025-01-09T00:00:00"/>
    <x v="0"/>
    <x v="2"/>
    <d v="2024-09-30T00:00:00"/>
    <n v="32"/>
    <n v="4465.3999999999996"/>
    <s v="No"/>
    <n v="5"/>
    <n v="139.54"/>
  </r>
  <r>
    <n v="240"/>
    <s v="Willie"/>
    <s v="Stephenson"/>
    <s v="Other"/>
    <n v="66"/>
    <x v="0"/>
    <s v="Equatorial Guinea"/>
    <s v="North Mitchellfurt"/>
    <s v="jenniferperez@miranda.info"/>
    <s v="594-042-0804x81498"/>
    <d v="2023-04-30T00:00:00"/>
    <x v="0"/>
    <x v="0"/>
    <d v="2024-08-21T00:00:00"/>
    <n v="1"/>
    <n v="5187.9399999999996"/>
    <s v="Yes"/>
    <n v="2"/>
    <n v="5187.9399999999996"/>
  </r>
  <r>
    <n v="241"/>
    <s v="Lori"/>
    <s v="Perez"/>
    <s v="Male"/>
    <n v="39"/>
    <x v="2"/>
    <s v="Reunion"/>
    <s v="Scottburgh"/>
    <s v="gomezamanda@weber.com"/>
    <s v="+1-432-306-1973x24155"/>
    <d v="2023-01-16T00:00:00"/>
    <x v="1"/>
    <x v="8"/>
    <d v="2025-01-19T00:00:00"/>
    <n v="2"/>
    <n v="8783.7199999999993"/>
    <s v="No"/>
    <n v="1"/>
    <n v="4391.8599999999997"/>
  </r>
  <r>
    <n v="242"/>
    <s v="Casey"/>
    <s v="Burch"/>
    <s v="Male"/>
    <n v="34"/>
    <x v="2"/>
    <s v="Egypt"/>
    <s v="Crystalland"/>
    <s v="carol84@yahoo.com"/>
    <s v="1017931003"/>
    <d v="2023-12-20T00:00:00"/>
    <x v="2"/>
    <x v="5"/>
    <d v="2023-11-25T00:00:00"/>
    <n v="29"/>
    <n v="3556.37"/>
    <s v="No"/>
    <n v="3"/>
    <n v="122.63"/>
  </r>
  <r>
    <n v="243"/>
    <s v="Blake"/>
    <s v="Ramos"/>
    <s v="Female"/>
    <n v="21"/>
    <x v="2"/>
    <s v="Saudi Arabia"/>
    <s v="Port Traci"/>
    <s v="lindseygarcia@torres-hughes.com"/>
    <s v="(835)174-5838x39493"/>
    <d v="2023-10-21T00:00:00"/>
    <x v="0"/>
    <x v="1"/>
    <d v="2024-06-24T00:00:00"/>
    <n v="7"/>
    <n v="7150.5"/>
    <s v="Yes"/>
    <n v="3"/>
    <n v="1021.5"/>
  </r>
  <r>
    <n v="244"/>
    <s v="Kristina"/>
    <s v="Martin"/>
    <s v="Female"/>
    <n v="58"/>
    <x v="1"/>
    <s v="Cuba"/>
    <s v="East Toddmouth"/>
    <s v="smithrebecca@gmail.com"/>
    <s v="(058)327-0453x64800"/>
    <d v="2024-02-23T00:00:00"/>
    <x v="1"/>
    <x v="10"/>
    <d v="2025-05-06T00:00:00"/>
    <n v="17"/>
    <n v="5023.63"/>
    <s v="No"/>
    <n v="1"/>
    <n v="295.51"/>
  </r>
  <r>
    <n v="245"/>
    <s v="Catherine"/>
    <s v="Price"/>
    <s v="Female"/>
    <n v="46"/>
    <x v="2"/>
    <s v="Yemen"/>
    <s v="Sandersfort"/>
    <s v="nmoore@french.com"/>
    <s v="001-871-873-4761"/>
    <d v="2024-08-03T00:00:00"/>
    <x v="0"/>
    <x v="5"/>
    <d v="2024-11-16T00:00:00"/>
    <n v="11"/>
    <n v="8830.85"/>
    <s v="Yes"/>
    <n v="4"/>
    <n v="802.8"/>
  </r>
  <r>
    <n v="246"/>
    <s v="Jacob"/>
    <s v="Wong"/>
    <s v="Other"/>
    <n v="52"/>
    <x v="5"/>
    <s v="United States of America"/>
    <s v="Stewartstad"/>
    <s v="oyoung@hotmail.com"/>
    <s v="302.654.4584"/>
    <d v="2024-11-03T00:00:00"/>
    <x v="2"/>
    <x v="9"/>
    <d v="2023-12-15T00:00:00"/>
    <n v="44"/>
    <n v="9237.7900000000009"/>
    <s v="Yes"/>
    <n v="2"/>
    <n v="209.95"/>
  </r>
  <r>
    <n v="247"/>
    <s v="Ashley"/>
    <s v="Hardy"/>
    <s v="Male"/>
    <n v="43"/>
    <x v="1"/>
    <s v="Bahrain"/>
    <s v="Henryfurt"/>
    <s v="molinajamie@morris.com"/>
    <s v="+1-774-036-4306x80416"/>
    <d v="2023-05-18T00:00:00"/>
    <x v="1"/>
    <x v="11"/>
    <d v="2025-07-18T00:00:00"/>
    <n v="20"/>
    <n v="7624.96"/>
    <s v="Yes"/>
    <n v="4"/>
    <n v="381.25"/>
  </r>
  <r>
    <n v="248"/>
    <s v="Joshua"/>
    <s v="Williams"/>
    <s v="Male"/>
    <n v="41"/>
    <x v="6"/>
    <s v="French Guiana"/>
    <s v="Khanville"/>
    <s v="chasebarnes@wilson.com"/>
    <s v="001-716-929-9168x191"/>
    <d v="2024-06-09T00:00:00"/>
    <x v="0"/>
    <x v="2"/>
    <d v="2024-09-21T00:00:00"/>
    <n v="23"/>
    <n v="713.79"/>
    <s v="Yes"/>
    <n v="3"/>
    <n v="31.03"/>
  </r>
  <r>
    <n v="249"/>
    <s v="Julie"/>
    <s v="Clark"/>
    <s v="Male"/>
    <n v="51"/>
    <x v="0"/>
    <s v="Iran"/>
    <s v="West Carmen"/>
    <s v="nortonsamantha@walker.com"/>
    <s v="807.926.7037"/>
    <d v="2025-09-01T00:00:00"/>
    <x v="0"/>
    <x v="6"/>
    <d v="2024-02-25T00:00:00"/>
    <n v="10"/>
    <n v="2086.56"/>
    <s v="Yes"/>
    <n v="3"/>
    <n v="208.66"/>
  </r>
  <r>
    <n v="250"/>
    <s v="Ryan"/>
    <s v="Phillips"/>
    <s v="Female"/>
    <n v="56"/>
    <x v="0"/>
    <s v="Peru"/>
    <s v="New Benjaminmouth"/>
    <s v="zscott@williams.com"/>
    <s v="033.411.0841"/>
    <d v="2023-09-29T00:00:00"/>
    <x v="1"/>
    <x v="7"/>
    <d v="2025-10-11T00:00:00"/>
    <n v="24"/>
    <n v="5209.18"/>
    <s v="Yes"/>
    <n v="4"/>
    <n v="217.05"/>
  </r>
  <r>
    <n v="251"/>
    <s v="Jeffrey"/>
    <s v="Matthews"/>
    <s v="Male"/>
    <n v="34"/>
    <x v="5"/>
    <s v="Algeria"/>
    <s v="Loriport"/>
    <s v="grace31@gmail.com"/>
    <s v="001-378-584-6400x9698"/>
    <d v="2024-05-27T00:00:00"/>
    <x v="2"/>
    <x v="5"/>
    <d v="2023-11-27T00:00:00"/>
    <n v="9"/>
    <n v="4455.92"/>
    <s v="No"/>
    <n v="4"/>
    <n v="495.1"/>
  </r>
  <r>
    <n v="252"/>
    <s v="Oscar"/>
    <s v="Myers"/>
    <s v="Male"/>
    <n v="68"/>
    <x v="2"/>
    <s v="Zimbabwe"/>
    <s v="New Jeffrey"/>
    <s v="markgoodwin@kline-riggs.com"/>
    <s v="001-773-669-2139x620"/>
    <d v="2024-08-11T00:00:00"/>
    <x v="1"/>
    <x v="6"/>
    <d v="2025-02-15T00:00:00"/>
    <n v="47"/>
    <n v="398.76"/>
    <s v="Yes"/>
    <n v="4"/>
    <n v="8.48"/>
  </r>
  <r>
    <n v="253"/>
    <s v="Luke"/>
    <s v="Mooney"/>
    <s v="Other"/>
    <n v="66"/>
    <x v="2"/>
    <s v="Bosnia and Herzegovina"/>
    <s v="Hernandezborough"/>
    <s v="levymonica@hotmail.com"/>
    <s v="(256)702-1182x7402"/>
    <d v="2025-07-16T00:00:00"/>
    <x v="0"/>
    <x v="9"/>
    <d v="2024-12-14T00:00:00"/>
    <n v="35"/>
    <n v="6046.94"/>
    <s v="Yes"/>
    <n v="4"/>
    <n v="172.77"/>
  </r>
  <r>
    <n v="254"/>
    <s v="Matthew"/>
    <s v="Andrews"/>
    <s v="Male"/>
    <n v="37"/>
    <x v="5"/>
    <s v="Venezuela"/>
    <s v="Jacquelinehaven"/>
    <s v="brianjohnson@adams.info"/>
    <s v="+1-532-385-6952x653"/>
    <d v="2023-12-17T00:00:00"/>
    <x v="0"/>
    <x v="5"/>
    <d v="2024-11-26T00:00:00"/>
    <n v="10"/>
    <n v="4138.3"/>
    <s v="No"/>
    <n v="3"/>
    <n v="413.83"/>
  </r>
  <r>
    <n v="255"/>
    <s v="Jorge"/>
    <s v="Briggs"/>
    <s v="Male"/>
    <n v="32"/>
    <x v="5"/>
    <s v="Ukraine"/>
    <s v="Johnsonchester"/>
    <s v="dale83@simpson.com"/>
    <s v="001-331-662-6233x21935"/>
    <d v="2023-06-30T00:00:00"/>
    <x v="1"/>
    <x v="8"/>
    <d v="2025-01-07T00:00:00"/>
    <n v="48"/>
    <n v="3614.16"/>
    <s v="Yes"/>
    <n v="4"/>
    <n v="75.3"/>
  </r>
  <r>
    <n v="256"/>
    <s v="Douglas"/>
    <s v="Blevins"/>
    <s v="Female"/>
    <n v="26"/>
    <x v="5"/>
    <s v="Thailand"/>
    <s v="Jonesberg"/>
    <s v="qbell@hotmail.com"/>
    <s v="001-422-770-1232x2116"/>
    <d v="2023-06-11T00:00:00"/>
    <x v="0"/>
    <x v="5"/>
    <d v="2024-11-09T00:00:00"/>
    <n v="25"/>
    <n v="9911.23"/>
    <s v="No"/>
    <n v="3"/>
    <n v="396.45"/>
  </r>
  <r>
    <n v="257"/>
    <s v="Mary"/>
    <s v="Torres"/>
    <s v="Female"/>
    <n v="28"/>
    <x v="2"/>
    <s v="Burundi"/>
    <s v="Port Seth"/>
    <s v="mackenziewright@young.com"/>
    <s v="448-493-8504x083"/>
    <d v="2025-04-06T00:00:00"/>
    <x v="1"/>
    <x v="11"/>
    <d v="2025-07-14T00:00:00"/>
    <n v="42"/>
    <n v="8052.32"/>
    <s v="Yes"/>
    <n v="2"/>
    <n v="191.72"/>
  </r>
  <r>
    <n v="258"/>
    <s v="Michelle"/>
    <s v="Ramirez"/>
    <s v="Female"/>
    <n v="23"/>
    <x v="1"/>
    <s v="Korea"/>
    <s v="Lake Yvettemouth"/>
    <s v="john49@hamilton.com"/>
    <s v="304.753.3238x437"/>
    <d v="2023-11-14T00:00:00"/>
    <x v="0"/>
    <x v="7"/>
    <d v="2024-10-30T00:00:00"/>
    <n v="22"/>
    <n v="3219.76"/>
    <s v="No"/>
    <n v="5"/>
    <n v="146.35"/>
  </r>
  <r>
    <n v="259"/>
    <s v="Ashley"/>
    <s v="Moore"/>
    <s v="Female"/>
    <n v="35"/>
    <x v="5"/>
    <s v="Timor-Leste"/>
    <s v="Paulshire"/>
    <s v="rodriguezcarol@gilmore-frey.org"/>
    <s v="+1-584-773-6770x747"/>
    <d v="2024-05-05T00:00:00"/>
    <x v="1"/>
    <x v="8"/>
    <d v="2025-01-08T00:00:00"/>
    <n v="28"/>
    <n v="9608.41"/>
    <s v="No"/>
    <n v="1"/>
    <n v="343.16"/>
  </r>
  <r>
    <n v="260"/>
    <s v="Amber"/>
    <s v="Smith"/>
    <s v="Male"/>
    <n v="25"/>
    <x v="1"/>
    <s v="Chad"/>
    <s v="West Brandon"/>
    <s v="martinezshannon@gmail.com"/>
    <s v="374.137.5118"/>
    <d v="2023-01-15T00:00:00"/>
    <x v="1"/>
    <x v="1"/>
    <d v="2025-06-20T00:00:00"/>
    <n v="41"/>
    <n v="6377.21"/>
    <s v="Yes"/>
    <n v="3"/>
    <n v="155.54"/>
  </r>
  <r>
    <n v="261"/>
    <s v="Samantha"/>
    <s v="Williams"/>
    <s v="Male"/>
    <n v="70"/>
    <x v="4"/>
    <s v="Azerbaijan"/>
    <s v="Angelatown"/>
    <s v="david79@garrison.com"/>
    <s v="(495)844-7318x4248"/>
    <d v="2023-05-14T00:00:00"/>
    <x v="1"/>
    <x v="7"/>
    <d v="2025-10-23T00:00:00"/>
    <n v="29"/>
    <n v="2645.04"/>
    <s v="Yes"/>
    <n v="5"/>
    <n v="91.21"/>
  </r>
  <r>
    <n v="262"/>
    <s v="Rachel"/>
    <s v="Erickson"/>
    <s v="Female"/>
    <n v="68"/>
    <x v="2"/>
    <s v="Senegal"/>
    <s v="Devinstad"/>
    <s v="brandon16@hart.com"/>
    <s v="167-367-4889x8215"/>
    <d v="2025-05-21T00:00:00"/>
    <x v="2"/>
    <x v="9"/>
    <d v="2023-12-02T00:00:00"/>
    <n v="26"/>
    <n v="9718.6200000000008"/>
    <s v="Yes"/>
    <n v="1"/>
    <n v="373.79"/>
  </r>
  <r>
    <n v="263"/>
    <s v="Michael"/>
    <s v="Lambert"/>
    <s v="Other"/>
    <n v="19"/>
    <x v="5"/>
    <s v="Algeria"/>
    <s v="Port Vicki"/>
    <s v="jhurley@spencer.net"/>
    <s v="001-830-491-9638x36015"/>
    <d v="2023-09-27T00:00:00"/>
    <x v="0"/>
    <x v="0"/>
    <d v="2024-08-05T00:00:00"/>
    <n v="36"/>
    <n v="6173.08"/>
    <s v="Yes"/>
    <n v="1"/>
    <n v="171.47"/>
  </r>
  <r>
    <n v="264"/>
    <s v="Kyle"/>
    <s v="Paul"/>
    <s v="Male"/>
    <n v="53"/>
    <x v="2"/>
    <s v="Burkina Faso"/>
    <s v="East Ryanbury"/>
    <s v="waltersusan@cisneros.com"/>
    <s v="001-356-604-5989x039"/>
    <d v="2023-02-14T00:00:00"/>
    <x v="1"/>
    <x v="10"/>
    <d v="2025-05-09T00:00:00"/>
    <n v="32"/>
    <n v="432.25"/>
    <s v="No"/>
    <n v="1"/>
    <n v="13.51"/>
  </r>
  <r>
    <n v="265"/>
    <s v="Christopher"/>
    <s v="Sweeney"/>
    <s v="Male"/>
    <n v="64"/>
    <x v="3"/>
    <s v="Uruguay"/>
    <s v="East Meganport"/>
    <s v="barmstrong@yahoo.com"/>
    <s v="001-809-270-5525"/>
    <d v="2024-10-29T00:00:00"/>
    <x v="2"/>
    <x v="9"/>
    <d v="2023-12-11T00:00:00"/>
    <n v="1"/>
    <n v="898.22"/>
    <s v="No"/>
    <n v="5"/>
    <n v="898.22"/>
  </r>
  <r>
    <n v="266"/>
    <s v="Debra"/>
    <s v="Grant"/>
    <s v="Female"/>
    <n v="61"/>
    <x v="1"/>
    <s v="Kiribati"/>
    <s v="East Mitchell"/>
    <s v="jonathan00@galvan.biz"/>
    <s v="001-524-963-2274x443"/>
    <d v="2023-01-25T00:00:00"/>
    <x v="1"/>
    <x v="2"/>
    <d v="2025-09-02T00:00:00"/>
    <n v="34"/>
    <n v="921.85"/>
    <s v="No"/>
    <n v="3"/>
    <n v="27.11"/>
  </r>
  <r>
    <n v="267"/>
    <s v="Jessica"/>
    <s v="Perez"/>
    <s v="Female"/>
    <n v="18"/>
    <x v="4"/>
    <s v="Netherlands"/>
    <s v="Vickieborough"/>
    <s v="carlsonpaul@carroll.biz"/>
    <s v="328-898-6448"/>
    <d v="2023-09-24T00:00:00"/>
    <x v="1"/>
    <x v="11"/>
    <d v="2025-07-08T00:00:00"/>
    <n v="40"/>
    <n v="3206.62"/>
    <s v="No"/>
    <n v="3"/>
    <n v="80.17"/>
  </r>
  <r>
    <n v="268"/>
    <s v="Tara"/>
    <s v="Zimmerman"/>
    <s v="Male"/>
    <n v="29"/>
    <x v="1"/>
    <s v="Gabon"/>
    <s v="Rhodeschester"/>
    <s v="fosterjanice@gmail.com"/>
    <s v="798.809.1990"/>
    <d v="2022-12-07T00:00:00"/>
    <x v="0"/>
    <x v="6"/>
    <d v="2024-02-20T00:00:00"/>
    <n v="26"/>
    <n v="9995.41"/>
    <s v="Yes"/>
    <n v="5"/>
    <n v="384.44"/>
  </r>
  <r>
    <n v="269"/>
    <s v="Nathan"/>
    <s v="Ellis"/>
    <s v="Female"/>
    <n v="71"/>
    <x v="1"/>
    <s v="Korea"/>
    <s v="Lake Rayfort"/>
    <s v="paguilar@perry-moss.com"/>
    <s v="198-930-5660x7580"/>
    <d v="2023-03-30T00:00:00"/>
    <x v="2"/>
    <x v="5"/>
    <d v="2023-11-17T00:00:00"/>
    <n v="38"/>
    <n v="4674.96"/>
    <s v="No"/>
    <n v="2"/>
    <n v="123.03"/>
  </r>
  <r>
    <n v="270"/>
    <s v="Stephanie"/>
    <s v="Mercado"/>
    <s v="Female"/>
    <n v="31"/>
    <x v="3"/>
    <s v="Palestinian Territory"/>
    <s v="New Kennethshire"/>
    <s v="mccoydiana@becker.com"/>
    <s v="(954)707-4309"/>
    <d v="2023-07-24T00:00:00"/>
    <x v="0"/>
    <x v="5"/>
    <d v="2024-11-03T00:00:00"/>
    <n v="31"/>
    <n v="4840.34"/>
    <s v="No"/>
    <n v="1"/>
    <n v="156.13999999999999"/>
  </r>
  <r>
    <n v="271"/>
    <s v="Barbara"/>
    <s v="Bentley"/>
    <s v="Female"/>
    <n v="68"/>
    <x v="2"/>
    <s v="Burkina Faso"/>
    <s v="New Theresa"/>
    <s v="danasimmons@johnson.net"/>
    <s v="8244325152"/>
    <d v="2025-05-15T00:00:00"/>
    <x v="2"/>
    <x v="5"/>
    <d v="2023-11-21T00:00:00"/>
    <n v="36"/>
    <n v="2322.75"/>
    <s v="No"/>
    <n v="1"/>
    <n v="64.52"/>
  </r>
  <r>
    <n v="272"/>
    <s v="Debra"/>
    <s v="Young"/>
    <s v="Other"/>
    <n v="34"/>
    <x v="2"/>
    <s v="Malawi"/>
    <s v="New Cindy"/>
    <s v="james45@yahoo.com"/>
    <s v="001-681-349-8048"/>
    <d v="2023-08-05T00:00:00"/>
    <x v="0"/>
    <x v="11"/>
    <d v="2024-07-05T00:00:00"/>
    <n v="5"/>
    <n v="5506.86"/>
    <s v="No"/>
    <n v="2"/>
    <n v="1101.3699999999999"/>
  </r>
  <r>
    <n v="273"/>
    <s v="Clayton"/>
    <s v="Hines"/>
    <s v="Female"/>
    <n v="52"/>
    <x v="1"/>
    <s v="Lao People's Democratic Republic"/>
    <s v="Lake Danielville"/>
    <s v="smithlaura@jackson.org"/>
    <s v="+1-654-793-2082x7871"/>
    <d v="2023-06-20T00:00:00"/>
    <x v="0"/>
    <x v="9"/>
    <d v="2024-12-25T00:00:00"/>
    <n v="3"/>
    <n v="3631.99"/>
    <s v="No"/>
    <n v="1"/>
    <n v="1210.6600000000001"/>
  </r>
  <r>
    <n v="274"/>
    <s v="Tom"/>
    <s v="Caldwell"/>
    <s v="Male"/>
    <n v="18"/>
    <x v="0"/>
    <s v="Saint Pierre and Miquelon"/>
    <s v="Chapmanbury"/>
    <s v="tylerwhite@gmail.com"/>
    <s v="257.670.7360"/>
    <d v="2024-03-30T00:00:00"/>
    <x v="0"/>
    <x v="6"/>
    <d v="2024-02-10T00:00:00"/>
    <n v="8"/>
    <n v="4739.9799999999996"/>
    <s v="Yes"/>
    <n v="5"/>
    <n v="592.5"/>
  </r>
  <r>
    <n v="275"/>
    <s v="Jesse"/>
    <s v="Johnson"/>
    <s v="Male"/>
    <n v="52"/>
    <x v="4"/>
    <s v="Mali"/>
    <s v="Timville"/>
    <s v="nancy85@navarro.org"/>
    <s v="3746869496"/>
    <d v="2024-09-12T00:00:00"/>
    <x v="1"/>
    <x v="4"/>
    <d v="2025-03-16T00:00:00"/>
    <n v="37"/>
    <n v="5552.79"/>
    <s v="Yes"/>
    <n v="5"/>
    <n v="150.08000000000001"/>
  </r>
  <r>
    <n v="276"/>
    <s v="Karen"/>
    <s v="Mullen"/>
    <s v="Female"/>
    <n v="62"/>
    <x v="3"/>
    <s v="Panama"/>
    <s v="Jamesport"/>
    <s v="clairemorgan@yahoo.com"/>
    <s v="642-380-8704"/>
    <d v="2023-02-19T00:00:00"/>
    <x v="0"/>
    <x v="4"/>
    <d v="2024-03-09T00:00:00"/>
    <n v="32"/>
    <n v="1397.16"/>
    <s v="Yes"/>
    <n v="4"/>
    <n v="43.66"/>
  </r>
  <r>
    <n v="277"/>
    <s v="Shirley"/>
    <s v="Jackson"/>
    <s v="Male"/>
    <n v="53"/>
    <x v="4"/>
    <s v="Saint Barthelemy"/>
    <s v="Watersburgh"/>
    <s v="ksmith@gmail.com"/>
    <s v="+1-015-986-2506"/>
    <d v="2023-12-21T00:00:00"/>
    <x v="1"/>
    <x v="6"/>
    <d v="2025-02-26T00:00:00"/>
    <n v="18"/>
    <n v="4097.1099999999997"/>
    <s v="Yes"/>
    <n v="3"/>
    <n v="227.62"/>
  </r>
  <r>
    <n v="278"/>
    <s v="Michele"/>
    <s v="Curry"/>
    <s v="Male"/>
    <n v="24"/>
    <x v="4"/>
    <s v="Togo"/>
    <s v="Pamelamouth"/>
    <s v="jason93@yahoo.com"/>
    <s v="141.023.3515x460"/>
    <d v="2025-03-18T00:00:00"/>
    <x v="0"/>
    <x v="10"/>
    <d v="2024-05-24T00:00:00"/>
    <n v="24"/>
    <n v="5033.2299999999996"/>
    <s v="No"/>
    <n v="1"/>
    <n v="209.72"/>
  </r>
  <r>
    <n v="279"/>
    <s v="Stacey"/>
    <s v="Monroe"/>
    <s v="Female"/>
    <n v="21"/>
    <x v="3"/>
    <s v="Antigua and Barbuda"/>
    <s v="South Davidmouth"/>
    <s v="yrussell@watson.info"/>
    <s v="115.275.3928x38397"/>
    <d v="2025-08-01T00:00:00"/>
    <x v="0"/>
    <x v="11"/>
    <d v="2024-07-11T00:00:00"/>
    <n v="30"/>
    <n v="4130.62"/>
    <s v="Yes"/>
    <n v="1"/>
    <n v="137.69"/>
  </r>
  <r>
    <n v="280"/>
    <s v="Kelsey"/>
    <s v="Smith"/>
    <s v="Female"/>
    <n v="71"/>
    <x v="4"/>
    <s v="Azerbaijan"/>
    <s v="Harrisfort"/>
    <s v="levineaaron@gmail.com"/>
    <s v="001-974-820-3526x55772"/>
    <d v="2025-06-29T00:00:00"/>
    <x v="1"/>
    <x v="11"/>
    <d v="2025-07-26T00:00:00"/>
    <n v="48"/>
    <n v="4591.97"/>
    <s v="Yes"/>
    <n v="2"/>
    <n v="95.67"/>
  </r>
  <r>
    <n v="281"/>
    <s v="Anthony"/>
    <s v="Combs"/>
    <s v="Female"/>
    <n v="61"/>
    <x v="2"/>
    <s v="Mongolia"/>
    <s v="Keithland"/>
    <s v="steven67@smith-hamilton.com"/>
    <s v="001-378-794-1942"/>
    <d v="2023-04-05T00:00:00"/>
    <x v="1"/>
    <x v="8"/>
    <d v="2025-01-02T00:00:00"/>
    <n v="28"/>
    <n v="4333.2"/>
    <s v="Yes"/>
    <n v="2"/>
    <n v="154.76"/>
  </r>
  <r>
    <n v="282"/>
    <s v="Amanda"/>
    <s v="Zuniga"/>
    <s v="Female"/>
    <n v="45"/>
    <x v="4"/>
    <s v="Greenland"/>
    <s v="West Darrylshire"/>
    <s v="kennethbutler@gmail.com"/>
    <s v="086-991-9279x440"/>
    <d v="2023-04-21T00:00:00"/>
    <x v="0"/>
    <x v="3"/>
    <d v="2024-04-21T00:00:00"/>
    <n v="22"/>
    <n v="1833.39"/>
    <s v="Yes"/>
    <n v="1"/>
    <n v="83.34"/>
  </r>
  <r>
    <n v="283"/>
    <s v="Christine"/>
    <s v="Reynolds"/>
    <s v="Female"/>
    <n v="48"/>
    <x v="5"/>
    <s v="Algeria"/>
    <s v="Gatesview"/>
    <s v="matthewlogan@johnson.net"/>
    <s v="(069)737-4918x1126"/>
    <d v="2024-08-26T00:00:00"/>
    <x v="1"/>
    <x v="11"/>
    <d v="2025-07-07T00:00:00"/>
    <n v="32"/>
    <n v="3063.83"/>
    <s v="Yes"/>
    <n v="5"/>
    <n v="95.74"/>
  </r>
  <r>
    <n v="284"/>
    <s v="Joseph"/>
    <s v="Scott"/>
    <s v="Male"/>
    <n v="30"/>
    <x v="0"/>
    <s v="Sierra Leone"/>
    <s v="Matthewstad"/>
    <s v="idecker@pierce.org"/>
    <s v="393-115-0826x876"/>
    <d v="2025-05-15T00:00:00"/>
    <x v="0"/>
    <x v="7"/>
    <d v="2024-10-05T00:00:00"/>
    <n v="47"/>
    <n v="81.19"/>
    <s v="Yes"/>
    <n v="2"/>
    <n v="1.73"/>
  </r>
  <r>
    <n v="285"/>
    <s v="Jeremy"/>
    <s v="Carter"/>
    <s v="Female"/>
    <n v="24"/>
    <x v="4"/>
    <s v="Heard Island and McDonald Islands"/>
    <s v="Mathewville"/>
    <s v="ugarrison@gmail.com"/>
    <s v="(245)423-9966"/>
    <d v="2023-01-18T00:00:00"/>
    <x v="0"/>
    <x v="10"/>
    <d v="2024-05-31T00:00:00"/>
    <n v="26"/>
    <n v="7392.36"/>
    <s v="No"/>
    <n v="2"/>
    <n v="284.32"/>
  </r>
  <r>
    <n v="286"/>
    <s v="Kelli"/>
    <s v="Jones"/>
    <s v="Other"/>
    <n v="28"/>
    <x v="4"/>
    <s v="Gibraltar"/>
    <s v="Johnsonland"/>
    <s v="othomas@yahoo.com"/>
    <s v="001-958-103-3477"/>
    <d v="2022-12-11T00:00:00"/>
    <x v="0"/>
    <x v="7"/>
    <d v="2024-10-13T00:00:00"/>
    <n v="6"/>
    <n v="3048.4"/>
    <s v="Yes"/>
    <n v="4"/>
    <n v="508.07"/>
  </r>
  <r>
    <n v="287"/>
    <s v="Paul"/>
    <s v="Holland"/>
    <s v="Female"/>
    <n v="65"/>
    <x v="0"/>
    <s v="Hong Kong"/>
    <s v="North Ann"/>
    <s v="qavila@hotmail.com"/>
    <s v="200.238.0654x896"/>
    <d v="2024-06-07T00:00:00"/>
    <x v="0"/>
    <x v="5"/>
    <d v="2024-11-17T00:00:00"/>
    <n v="49"/>
    <n v="3687.12"/>
    <s v="Yes"/>
    <n v="1"/>
    <n v="75.25"/>
  </r>
  <r>
    <n v="288"/>
    <s v="Kayla"/>
    <s v="Smith"/>
    <s v="Male"/>
    <n v="74"/>
    <x v="0"/>
    <s v="Barbados"/>
    <s v="Walterton"/>
    <s v="nclay@gallagher-williams.com"/>
    <s v="+1-417-536-7327x7430"/>
    <d v="2025-01-26T00:00:00"/>
    <x v="1"/>
    <x v="7"/>
    <d v="2025-10-07T00:00:00"/>
    <n v="4"/>
    <n v="3870.69"/>
    <s v="No"/>
    <n v="2"/>
    <n v="967.67"/>
  </r>
  <r>
    <n v="289"/>
    <s v="John"/>
    <s v="Wilson"/>
    <s v="Female"/>
    <n v="71"/>
    <x v="2"/>
    <s v="Canada"/>
    <s v="Madisonland"/>
    <s v="blynn@hotmail.com"/>
    <s v="(888)282-2528"/>
    <d v="2025-05-03T00:00:00"/>
    <x v="1"/>
    <x v="4"/>
    <d v="2025-03-15T00:00:00"/>
    <n v="19"/>
    <n v="945.85"/>
    <s v="No"/>
    <n v="4"/>
    <n v="49.78"/>
  </r>
  <r>
    <n v="290"/>
    <s v="Robert"/>
    <s v="Bauer"/>
    <s v="Male"/>
    <n v="40"/>
    <x v="0"/>
    <s v="Sierra Leone"/>
    <s v="East Maryshire"/>
    <s v="aaron19@gmail.com"/>
    <s v="467-708-5539x05768"/>
    <d v="2025-06-21T00:00:00"/>
    <x v="1"/>
    <x v="6"/>
    <d v="2025-02-19T00:00:00"/>
    <n v="49"/>
    <n v="3052.01"/>
    <s v="Yes"/>
    <n v="2"/>
    <n v="62.29"/>
  </r>
  <r>
    <n v="292"/>
    <s v="Kathleen"/>
    <s v="Hernandez"/>
    <s v="Male"/>
    <n v="54"/>
    <x v="3"/>
    <s v="Uruguay"/>
    <s v="Donport"/>
    <s v="hurstjames@roy.net"/>
    <s v="219.127.9553"/>
    <d v="2022-12-21T00:00:00"/>
    <x v="1"/>
    <x v="4"/>
    <d v="2025-03-17T00:00:00"/>
    <n v="20"/>
    <n v="878.5"/>
    <s v="Yes"/>
    <n v="3"/>
    <n v="43.92"/>
  </r>
  <r>
    <n v="293"/>
    <s v="Stephanie"/>
    <s v="Krueger"/>
    <s v="Male"/>
    <n v="72"/>
    <x v="1"/>
    <s v="Romania"/>
    <s v="Seanland"/>
    <s v="jaredarmstrong@gmail.com"/>
    <s v="(777)924-0557x969"/>
    <d v="2024-06-15T00:00:00"/>
    <x v="1"/>
    <x v="10"/>
    <d v="2025-05-29T00:00:00"/>
    <n v="23"/>
    <n v="9765.25"/>
    <s v="Yes"/>
    <n v="1"/>
    <n v="424.58"/>
  </r>
  <r>
    <n v="294"/>
    <s v="Desiree"/>
    <s v="Cooper"/>
    <s v="Female"/>
    <n v="30"/>
    <x v="0"/>
    <s v="Ethiopia"/>
    <s v="West Reneebury"/>
    <s v="cquinn@nguyen.info"/>
    <s v="(422)943-4422x673"/>
    <d v="2023-02-13T00:00:00"/>
    <x v="1"/>
    <x v="7"/>
    <d v="2025-10-07T00:00:00"/>
    <n v="11"/>
    <n v="7670.63"/>
    <s v="Yes"/>
    <n v="1"/>
    <n v="697.33"/>
  </r>
  <r>
    <n v="295"/>
    <s v="Christopher"/>
    <s v="Levy"/>
    <s v="Female"/>
    <n v="31"/>
    <x v="4"/>
    <s v="Monaco"/>
    <s v="Nicoleport"/>
    <s v="guerreroalexander@hotmail.com"/>
    <s v="(832)981-8141x332"/>
    <d v="2022-12-16T00:00:00"/>
    <x v="2"/>
    <x v="5"/>
    <d v="2023-11-07T00:00:00"/>
    <n v="47"/>
    <n v="1748.53"/>
    <s v="Yes"/>
    <n v="5"/>
    <n v="37.200000000000003"/>
  </r>
  <r>
    <n v="296"/>
    <s v="Jennifer"/>
    <s v="Carter"/>
    <s v="Male"/>
    <n v="70"/>
    <x v="6"/>
    <s v="French Guiana"/>
    <s v="Lake Joshua"/>
    <s v="delacruzkimberly@yahoo.com"/>
    <s v="230.002.1198"/>
    <d v="2025-04-24T00:00:00"/>
    <x v="1"/>
    <x v="2"/>
    <d v="2025-09-03T00:00:00"/>
    <n v="40"/>
    <n v="5707.89"/>
    <s v="No"/>
    <n v="2"/>
    <n v="142.69999999999999"/>
  </r>
  <r>
    <n v="297"/>
    <s v="Thomas"/>
    <s v="Brown"/>
    <s v="Male"/>
    <n v="52"/>
    <x v="0"/>
    <s v="Bolivia"/>
    <s v="Travisside"/>
    <s v="jessica99@gmail.com"/>
    <s v="983.173.6746x2236"/>
    <d v="2024-01-28T00:00:00"/>
    <x v="0"/>
    <x v="6"/>
    <d v="2024-02-03T00:00:00"/>
    <n v="18"/>
    <n v="7316.78"/>
    <s v="Yes"/>
    <n v="4"/>
    <n v="406.49"/>
  </r>
  <r>
    <n v="298"/>
    <s v="Suzanne"/>
    <s v="Acosta"/>
    <s v="Female"/>
    <n v="66"/>
    <x v="5"/>
    <s v="Grenada"/>
    <s v="Hollyport"/>
    <s v="bonnie10@yahoo.com"/>
    <s v="(942)586-5977x56133"/>
    <d v="2022-12-04T00:00:00"/>
    <x v="0"/>
    <x v="8"/>
    <d v="2024-01-12T00:00:00"/>
    <n v="27"/>
    <n v="9843.84"/>
    <s v="Yes"/>
    <n v="4"/>
    <n v="364.59"/>
  </r>
  <r>
    <n v="299"/>
    <s v="Cynthia"/>
    <s v="George"/>
    <s v="Female"/>
    <n v="30"/>
    <x v="5"/>
    <s v="Algeria"/>
    <s v="Lisaton"/>
    <s v="bianca92@gmail.com"/>
    <s v="038.203.1505"/>
    <d v="2025-03-02T00:00:00"/>
    <x v="1"/>
    <x v="11"/>
    <d v="2025-07-17T00:00:00"/>
    <n v="7"/>
    <n v="5987.05"/>
    <s v="No"/>
    <n v="4"/>
    <n v="855.29"/>
  </r>
  <r>
    <n v="300"/>
    <s v="Linda"/>
    <s v="Rogers"/>
    <s v="Female"/>
    <n v="54"/>
    <x v="1"/>
    <s v="Bahrain"/>
    <s v="East Troy"/>
    <s v="sgonzalez@jensen.net"/>
    <s v="096-531-1354x515"/>
    <d v="2023-04-20T00:00:00"/>
    <x v="0"/>
    <x v="4"/>
    <d v="2024-03-28T00:00:00"/>
    <n v="43"/>
    <n v="1604.28"/>
    <s v="No"/>
    <n v="4"/>
    <n v="37.31"/>
  </r>
  <r>
    <n v="301"/>
    <s v="David"/>
    <s v="Rodriguez"/>
    <s v="Male"/>
    <n v="55"/>
    <x v="0"/>
    <s v="Sierra Leone"/>
    <s v="East Carlos"/>
    <s v="brandonhull@hotmail.com"/>
    <s v="417-645-9482"/>
    <d v="2023-09-29T00:00:00"/>
    <x v="0"/>
    <x v="4"/>
    <d v="2024-03-22T00:00:00"/>
    <n v="16"/>
    <n v="4938.51"/>
    <s v="Yes"/>
    <n v="3"/>
    <n v="308.66000000000003"/>
  </r>
  <r>
    <n v="302"/>
    <s v="Curtis"/>
    <s v="Moore"/>
    <s v="Male"/>
    <n v="43"/>
    <x v="4"/>
    <s v="Azerbaijan"/>
    <s v="North Crystal"/>
    <s v="ogarcia@blackwell-frazier.net"/>
    <s v="+1-130-679-0127x682"/>
    <d v="2023-07-02T00:00:00"/>
    <x v="1"/>
    <x v="2"/>
    <d v="2025-09-19T00:00:00"/>
    <n v="31"/>
    <n v="81.16"/>
    <s v="Yes"/>
    <n v="5"/>
    <n v="2.62"/>
  </r>
  <r>
    <n v="303"/>
    <s v="Alicia"/>
    <s v="Fernandez"/>
    <s v="Female"/>
    <n v="73"/>
    <x v="4"/>
    <s v="Ecuador"/>
    <s v="South Jennifer"/>
    <s v="mirandamatthews@jenkins.net"/>
    <s v="+1-509-212-1866x26604"/>
    <d v="2025-08-11T00:00:00"/>
    <x v="0"/>
    <x v="10"/>
    <d v="2024-05-25T00:00:00"/>
    <n v="49"/>
    <n v="3306.5"/>
    <s v="Yes"/>
    <n v="3"/>
    <n v="67.48"/>
  </r>
  <r>
    <n v="304"/>
    <s v="Lori"/>
    <s v="Robinson"/>
    <s v="Male"/>
    <n v="71"/>
    <x v="5"/>
    <s v="Niger"/>
    <s v="New Kelseymouth"/>
    <s v="yolanda42@hotmail.com"/>
    <s v="446.787.9559x979"/>
    <d v="2024-09-07T00:00:00"/>
    <x v="1"/>
    <x v="11"/>
    <d v="2025-07-02T00:00:00"/>
    <n v="20"/>
    <n v="9024.23"/>
    <s v="Yes"/>
    <n v="2"/>
    <n v="451.21"/>
  </r>
  <r>
    <n v="305"/>
    <s v="Megan"/>
    <s v="King"/>
    <s v="Female"/>
    <n v="55"/>
    <x v="4"/>
    <s v="Guadeloupe"/>
    <s v="Christineland"/>
    <s v="todd84@doyle.info"/>
    <s v="623-058-3983x983"/>
    <d v="2024-04-23T00:00:00"/>
    <x v="1"/>
    <x v="4"/>
    <d v="2025-03-20T00:00:00"/>
    <n v="39"/>
    <n v="7978.15"/>
    <s v="No"/>
    <n v="1"/>
    <n v="204.57"/>
  </r>
  <r>
    <n v="306"/>
    <s v="Lindsay"/>
    <s v="Young"/>
    <s v="Male"/>
    <n v="63"/>
    <x v="4"/>
    <s v="British Indian Ocean Territory (Chagos Archipelago)"/>
    <s v="Jamesfurt"/>
    <s v="hornlisa@norton.com"/>
    <s v="060.288.0982x93792"/>
    <d v="2024-02-19T00:00:00"/>
    <x v="0"/>
    <x v="1"/>
    <d v="2024-06-21T00:00:00"/>
    <n v="43"/>
    <n v="9736.69"/>
    <s v="Yes"/>
    <n v="2"/>
    <n v="226.43"/>
  </r>
  <r>
    <n v="307"/>
    <s v="Kirk"/>
    <s v="Reynolds"/>
    <s v="Female"/>
    <n v="52"/>
    <x v="3"/>
    <s v="Papua New Guinea"/>
    <s v="East Katherinefurt"/>
    <s v="ipalmer@hotmail.com"/>
    <s v="610.242.9630"/>
    <d v="2023-04-27T00:00:00"/>
    <x v="1"/>
    <x v="6"/>
    <d v="2025-02-05T00:00:00"/>
    <n v="29"/>
    <n v="3352.3"/>
    <s v="Yes"/>
    <n v="3"/>
    <n v="115.6"/>
  </r>
  <r>
    <n v="308"/>
    <s v="Catherine"/>
    <s v="Lee"/>
    <s v="Female"/>
    <n v="62"/>
    <x v="1"/>
    <s v="Tuvalu"/>
    <s v="Dustinberg"/>
    <s v="mirandawright@hotmail.com"/>
    <s v="+1-281-216-2541x56156"/>
    <d v="2024-02-02T00:00:00"/>
    <x v="1"/>
    <x v="6"/>
    <d v="2025-02-19T00:00:00"/>
    <n v="12"/>
    <n v="5582.85"/>
    <s v="No"/>
    <n v="1"/>
    <n v="465.24"/>
  </r>
  <r>
    <n v="309"/>
    <s v="John"/>
    <s v="Clark"/>
    <s v="Female"/>
    <n v="23"/>
    <x v="0"/>
    <s v="Fiji"/>
    <s v="New Josephhaven"/>
    <s v="melissacook@morris-gray.com"/>
    <s v="(965)465-8200x997"/>
    <d v="2023-11-07T00:00:00"/>
    <x v="0"/>
    <x v="7"/>
    <d v="2024-10-25T00:00:00"/>
    <n v="33"/>
    <n v="4304.58"/>
    <s v="No"/>
    <n v="2"/>
    <n v="130.44"/>
  </r>
  <r>
    <n v="310"/>
    <s v="Darrell"/>
    <s v="Villarreal"/>
    <s v="Female"/>
    <n v="42"/>
    <x v="4"/>
    <s v="Ecuador"/>
    <s v="Caldwellborough"/>
    <s v="veronicagarcia@gmail.com"/>
    <s v="(987)588-6190x044"/>
    <d v="2025-08-04T00:00:00"/>
    <x v="0"/>
    <x v="9"/>
    <d v="2024-12-30T00:00:00"/>
    <n v="32"/>
    <n v="1167.07"/>
    <s v="No"/>
    <n v="4"/>
    <n v="36.47"/>
  </r>
  <r>
    <n v="311"/>
    <s v="Michael"/>
    <s v="White"/>
    <s v="Female"/>
    <n v="44"/>
    <x v="2"/>
    <s v="Estonia"/>
    <s v="Velasquezside"/>
    <s v="estradanatalie@gmail.com"/>
    <s v="502.562.5435x9814"/>
    <d v="2022-11-19T00:00:00"/>
    <x v="0"/>
    <x v="4"/>
    <d v="2024-03-13T00:00:00"/>
    <n v="43"/>
    <n v="5018.55"/>
    <s v="Yes"/>
    <n v="2"/>
    <n v="116.71"/>
  </r>
  <r>
    <n v="312"/>
    <s v="Caitlin"/>
    <s v="Hodge"/>
    <s v="Female"/>
    <n v="35"/>
    <x v="5"/>
    <s v="Saint Martin"/>
    <s v="Crystalshire"/>
    <s v="fieldscody@gmail.com"/>
    <s v="(967)102-3158x0110"/>
    <d v="2025-09-09T00:00:00"/>
    <x v="0"/>
    <x v="7"/>
    <d v="2024-10-02T00:00:00"/>
    <n v="21"/>
    <n v="984.41"/>
    <s v="Yes"/>
    <n v="3"/>
    <n v="46.88"/>
  </r>
  <r>
    <n v="313"/>
    <s v="Patrick"/>
    <s v="Crosby"/>
    <s v="Female"/>
    <n v="33"/>
    <x v="0"/>
    <s v="Czech Republic"/>
    <s v="West Lisa"/>
    <s v="ddaniels@jones-scott.info"/>
    <s v="001-925-978-6393"/>
    <d v="2023-01-11T00:00:00"/>
    <x v="0"/>
    <x v="0"/>
    <d v="2024-08-15T00:00:00"/>
    <n v="22"/>
    <n v="2925.49"/>
    <s v="Yes"/>
    <n v="5"/>
    <n v="132.97999999999999"/>
  </r>
  <r>
    <n v="314"/>
    <s v="Kristin"/>
    <s v="Contreras"/>
    <s v="Other"/>
    <n v="27"/>
    <x v="4"/>
    <s v="Azerbaijan"/>
    <s v="Port Lisaland"/>
    <s v="kimdaniel@smith.com"/>
    <s v="392.498.4712x17832"/>
    <d v="2023-11-03T00:00:00"/>
    <x v="1"/>
    <x v="3"/>
    <d v="2025-04-11T00:00:00"/>
    <n v="9"/>
    <n v="5052.3100000000004"/>
    <s v="Yes"/>
    <n v="1"/>
    <n v="561.37"/>
  </r>
  <r>
    <n v="315"/>
    <s v="Dana"/>
    <s v="Raymond"/>
    <s v="Female"/>
    <n v="29"/>
    <x v="1"/>
    <s v="Tuvalu"/>
    <s v="New Matthewbury"/>
    <s v="ginajenkins@wright-flores.com"/>
    <s v="596-550-4210"/>
    <d v="2024-07-03T00:00:00"/>
    <x v="1"/>
    <x v="6"/>
    <d v="2025-02-13T00:00:00"/>
    <n v="28"/>
    <n v="9928.33"/>
    <s v="No"/>
    <n v="1"/>
    <n v="354.58"/>
  </r>
  <r>
    <n v="316"/>
    <s v="Kenneth"/>
    <s v="Terrell"/>
    <s v="Female"/>
    <n v="38"/>
    <x v="5"/>
    <s v="Mauritius"/>
    <s v="East Anna"/>
    <s v="aliciathompson@jones.info"/>
    <s v="001-633-920-9309x03910"/>
    <d v="2024-09-05T00:00:00"/>
    <x v="0"/>
    <x v="1"/>
    <d v="2024-06-11T00:00:00"/>
    <n v="23"/>
    <n v="3084"/>
    <s v="No"/>
    <n v="5"/>
    <n v="134.09"/>
  </r>
  <r>
    <n v="317"/>
    <s v="James"/>
    <s v="Zamora"/>
    <s v="Male"/>
    <n v="26"/>
    <x v="2"/>
    <s v="Mongolia"/>
    <s v="Reginaldview"/>
    <s v="csnyder@barnes.com"/>
    <s v="(944)198-4719x1996"/>
    <d v="2024-10-16T00:00:00"/>
    <x v="0"/>
    <x v="5"/>
    <d v="2024-11-29T00:00:00"/>
    <n v="8"/>
    <n v="8260.6"/>
    <s v="No"/>
    <n v="3"/>
    <n v="1032.58"/>
  </r>
  <r>
    <n v="318"/>
    <s v="Peter"/>
    <s v="Byrd"/>
    <s v="Male"/>
    <n v="46"/>
    <x v="0"/>
    <s v="Macao"/>
    <s v="New Katrinaville"/>
    <s v="vancejohn@gmail.com"/>
    <s v="272-742-1380"/>
    <d v="2025-07-22T00:00:00"/>
    <x v="0"/>
    <x v="7"/>
    <d v="2024-10-02T00:00:00"/>
    <n v="28"/>
    <n v="7258.7"/>
    <s v="No"/>
    <n v="4"/>
    <n v="259.24"/>
  </r>
  <r>
    <n v="319"/>
    <s v="Ryan"/>
    <s v="Knox"/>
    <s v="Male"/>
    <n v="19"/>
    <x v="2"/>
    <s v="Saudi Arabia"/>
    <s v="Scottburgh"/>
    <s v="probertson@lewis.com"/>
    <s v="+1-124-561-1850x74076"/>
    <d v="2023-10-18T00:00:00"/>
    <x v="0"/>
    <x v="11"/>
    <d v="2024-07-07T00:00:00"/>
    <n v="27"/>
    <n v="1100.77"/>
    <s v="No"/>
    <n v="5"/>
    <n v="40.770000000000003"/>
  </r>
  <r>
    <n v="320"/>
    <s v="Keith"/>
    <s v="Williams"/>
    <s v="Other"/>
    <n v="35"/>
    <x v="0"/>
    <s v="Isle of Man"/>
    <s v="Davistown"/>
    <s v="danielgamble@yahoo.com"/>
    <s v="001-283-770-7235x07002"/>
    <d v="2023-08-31T00:00:00"/>
    <x v="1"/>
    <x v="3"/>
    <d v="2025-04-03T00:00:00"/>
    <n v="16"/>
    <n v="3528.54"/>
    <s v="Yes"/>
    <n v="1"/>
    <n v="220.53"/>
  </r>
  <r>
    <n v="321"/>
    <s v="Alexandra"/>
    <s v="Hughes"/>
    <s v="Male"/>
    <n v="39"/>
    <x v="4"/>
    <s v="Antarctica (the territory South of 60 deg S)"/>
    <s v="East Stephenmouth"/>
    <s v="hcastillo@weber-espinoza.com"/>
    <s v="+1-682-697-3344x093"/>
    <d v="2024-07-03T00:00:00"/>
    <x v="1"/>
    <x v="8"/>
    <d v="2025-01-02T00:00:00"/>
    <n v="47"/>
    <n v="8947.9599999999991"/>
    <s v="Yes"/>
    <n v="5"/>
    <n v="190.38"/>
  </r>
  <r>
    <n v="322"/>
    <s v="Kyle"/>
    <s v="Underwood"/>
    <s v="Female"/>
    <n v="23"/>
    <x v="4"/>
    <s v="Pakistan"/>
    <s v="Lake Timothy"/>
    <s v="vortiz@holden.com"/>
    <s v="(035)440-8538x681"/>
    <d v="2025-09-01T00:00:00"/>
    <x v="0"/>
    <x v="1"/>
    <d v="2024-06-14T00:00:00"/>
    <n v="18"/>
    <n v="5998.97"/>
    <s v="Yes"/>
    <n v="5"/>
    <n v="333.28"/>
  </r>
  <r>
    <n v="323"/>
    <s v="Mario"/>
    <s v="Anderson"/>
    <s v="Female"/>
    <n v="43"/>
    <x v="4"/>
    <s v="Netherlands"/>
    <s v="South Samuelstad"/>
    <s v="rogersstephanie@yahoo.com"/>
    <s v="329-307-5938x24819"/>
    <d v="2025-09-02T00:00:00"/>
    <x v="0"/>
    <x v="9"/>
    <d v="2024-12-05T00:00:00"/>
    <n v="1"/>
    <n v="207.67"/>
    <s v="No"/>
    <n v="1"/>
    <n v="207.67"/>
  </r>
  <r>
    <n v="324"/>
    <s v="Donald"/>
    <s v="Murphy"/>
    <s v="Male"/>
    <n v="20"/>
    <x v="1"/>
    <s v="Ireland"/>
    <s v="Steeleburgh"/>
    <s v="deborah81@howe.com"/>
    <s v="250.087.9096x690"/>
    <d v="2022-11-27T00:00:00"/>
    <x v="1"/>
    <x v="10"/>
    <d v="2025-05-21T00:00:00"/>
    <n v="22"/>
    <n v="5223.28"/>
    <s v="Yes"/>
    <n v="5"/>
    <n v="237.42"/>
  </r>
  <r>
    <n v="325"/>
    <s v="Randy"/>
    <s v="Sanchez"/>
    <s v="Male"/>
    <n v="61"/>
    <x v="1"/>
    <s v="Chad"/>
    <s v="Brianborough"/>
    <s v="davidcarter@smith-marshall.com"/>
    <s v="5747155827"/>
    <d v="2025-08-21T00:00:00"/>
    <x v="0"/>
    <x v="5"/>
    <d v="2024-11-26T00:00:00"/>
    <n v="24"/>
    <n v="7625.31"/>
    <s v="Yes"/>
    <n v="3"/>
    <n v="317.72000000000003"/>
  </r>
  <r>
    <n v="326"/>
    <s v="Evan"/>
    <s v="Graham"/>
    <s v="Male"/>
    <n v="23"/>
    <x v="3"/>
    <s v="Panama"/>
    <s v="Lake Anthonyview"/>
    <s v="fhuff@bell.com"/>
    <s v="001-765-118-5525x51664"/>
    <d v="2024-05-18T00:00:00"/>
    <x v="2"/>
    <x v="9"/>
    <d v="2023-12-21T00:00:00"/>
    <n v="34"/>
    <n v="8404.85"/>
    <s v="No"/>
    <n v="3"/>
    <n v="247.2"/>
  </r>
  <r>
    <n v="327"/>
    <s v="Carol"/>
    <s v="Walters"/>
    <s v="Female"/>
    <n v="42"/>
    <x v="3"/>
    <s v="Dominican Republic"/>
    <s v="East Emilystad"/>
    <s v="joshua36@gmail.com"/>
    <s v="566.809.2986"/>
    <d v="2025-06-30T00:00:00"/>
    <x v="2"/>
    <x v="5"/>
    <d v="2023-11-21T00:00:00"/>
    <n v="30"/>
    <n v="3357.43"/>
    <s v="No"/>
    <n v="2"/>
    <n v="111.91"/>
  </r>
  <r>
    <n v="328"/>
    <s v="Jeffrey"/>
    <s v="Lam"/>
    <s v="Male"/>
    <n v="51"/>
    <x v="4"/>
    <s v="Bangladesh"/>
    <s v="Karenville"/>
    <s v="baldwinkyle@yahoo.com"/>
    <s v="(760)356-1730x5044"/>
    <d v="2025-07-02T00:00:00"/>
    <x v="0"/>
    <x v="11"/>
    <d v="2024-07-18T00:00:00"/>
    <n v="3"/>
    <n v="5663.05"/>
    <s v="No"/>
    <n v="3"/>
    <n v="1887.68"/>
  </r>
  <r>
    <n v="329"/>
    <s v="Jorge"/>
    <s v="Edwards"/>
    <s v="Male"/>
    <n v="45"/>
    <x v="0"/>
    <s v="Libyan Arab Jamahiriya"/>
    <s v="North Roberttown"/>
    <s v="karen70@gmail.com"/>
    <s v="818.233.6054"/>
    <d v="2024-01-28T00:00:00"/>
    <x v="0"/>
    <x v="7"/>
    <d v="2024-10-04T00:00:00"/>
    <n v="6"/>
    <n v="4231.9399999999996"/>
    <s v="Yes"/>
    <n v="5"/>
    <n v="705.32"/>
  </r>
  <r>
    <n v="330"/>
    <s v="Kimberly"/>
    <s v="Lee"/>
    <s v="Female"/>
    <n v="55"/>
    <x v="1"/>
    <s v="Ireland"/>
    <s v="South Kevin"/>
    <s v="robert52@gmail.com"/>
    <s v="5181747908"/>
    <d v="2024-01-06T00:00:00"/>
    <x v="2"/>
    <x v="9"/>
    <d v="2023-12-25T00:00:00"/>
    <n v="43"/>
    <n v="7732.88"/>
    <s v="No"/>
    <n v="4"/>
    <n v="179.83"/>
  </r>
  <r>
    <n v="331"/>
    <s v="Lawrence"/>
    <s v="Wood"/>
    <s v="Male"/>
    <n v="61"/>
    <x v="1"/>
    <s v="Cape Verde"/>
    <s v="Port Dana"/>
    <s v="smithkaitlyn@flores.net"/>
    <s v="930-719-3491"/>
    <d v="2025-04-03T00:00:00"/>
    <x v="1"/>
    <x v="8"/>
    <d v="2025-01-27T00:00:00"/>
    <n v="15"/>
    <n v="9988.92"/>
    <s v="No"/>
    <n v="2"/>
    <n v="665.93"/>
  </r>
  <r>
    <n v="332"/>
    <s v="Timothy"/>
    <s v="Hayden"/>
    <s v="Female"/>
    <n v="58"/>
    <x v="5"/>
    <s v="Mozambique"/>
    <s v="Melissatown"/>
    <s v="butlerandre@brady.com"/>
    <s v="041.026.0405x812"/>
    <d v="2024-02-11T00:00:00"/>
    <x v="0"/>
    <x v="5"/>
    <d v="2024-11-29T00:00:00"/>
    <n v="3"/>
    <n v="5545.09"/>
    <s v="Yes"/>
    <n v="2"/>
    <n v="1848.36"/>
  </r>
  <r>
    <n v="333"/>
    <s v="Alexander"/>
    <s v="Weeks"/>
    <s v="Male"/>
    <n v="28"/>
    <x v="1"/>
    <s v="Italy"/>
    <s v="Mercerchester"/>
    <s v="joneskaren@singh.org"/>
    <s v="696-694-1407x6029"/>
    <d v="2024-03-23T00:00:00"/>
    <x v="0"/>
    <x v="4"/>
    <d v="2024-03-13T00:00:00"/>
    <n v="47"/>
    <n v="4902.8500000000004"/>
    <s v="Yes"/>
    <n v="2"/>
    <n v="104.32"/>
  </r>
  <r>
    <n v="334"/>
    <s v="Jeffrey"/>
    <s v="Robertson"/>
    <s v="Other"/>
    <n v="30"/>
    <x v="2"/>
    <s v="Uzbekistan"/>
    <s v="South Ericfurt"/>
    <s v="barbara16@yahoo.com"/>
    <s v="594.488.5430x56527"/>
    <d v="2024-12-23T00:00:00"/>
    <x v="1"/>
    <x v="2"/>
    <d v="2025-09-11T00:00:00"/>
    <n v="7"/>
    <n v="1496.41"/>
    <s v="Yes"/>
    <n v="4"/>
    <n v="213.77"/>
  </r>
  <r>
    <n v="335"/>
    <s v="Dustin"/>
    <s v="Davis"/>
    <s v="Female"/>
    <n v="66"/>
    <x v="2"/>
    <s v="Bosnia and Herzegovina"/>
    <s v="North Stacybury"/>
    <s v="lsmith@ramos-brewer.com"/>
    <s v="8873286811"/>
    <d v="2024-02-15T00:00:00"/>
    <x v="1"/>
    <x v="6"/>
    <d v="2025-02-08T00:00:00"/>
    <n v="9"/>
    <n v="8310.7199999999993"/>
    <s v="No"/>
    <n v="5"/>
    <n v="923.41"/>
  </r>
  <r>
    <n v="336"/>
    <s v="Todd"/>
    <s v="Sandoval"/>
    <s v="Male"/>
    <n v="56"/>
    <x v="3"/>
    <s v="Antigua and Barbuda"/>
    <s v="Harrisonborough"/>
    <s v="jeffrey43@hotmail.com"/>
    <s v="+1-173-717-7134x747"/>
    <d v="2022-11-14T00:00:00"/>
    <x v="1"/>
    <x v="4"/>
    <d v="2025-03-20T00:00:00"/>
    <n v="26"/>
    <n v="8271.2199999999993"/>
    <s v="No"/>
    <n v="4"/>
    <n v="318.12"/>
  </r>
  <r>
    <n v="337"/>
    <s v="Sara"/>
    <s v="Phillips"/>
    <s v="Female"/>
    <n v="63"/>
    <x v="2"/>
    <s v="Senegal"/>
    <s v="South Brian"/>
    <s v="awilliams@gmail.com"/>
    <s v="001-381-250-1306x569"/>
    <d v="2025-02-21T00:00:00"/>
    <x v="1"/>
    <x v="8"/>
    <d v="2025-01-05T00:00:00"/>
    <n v="25"/>
    <n v="2580.56"/>
    <s v="Yes"/>
    <n v="1"/>
    <n v="103.22"/>
  </r>
  <r>
    <n v="338"/>
    <s v="Jennifer"/>
    <s v="Jones"/>
    <s v="Female"/>
    <n v="63"/>
    <x v="1"/>
    <s v="Taiwan"/>
    <s v="Buckleyborough"/>
    <s v="justin85@yahoo.com"/>
    <s v="702-356-3509x38444"/>
    <d v="2025-03-20T00:00:00"/>
    <x v="1"/>
    <x v="1"/>
    <d v="2025-06-17T00:00:00"/>
    <n v="35"/>
    <n v="678.98"/>
    <s v="Yes"/>
    <n v="2"/>
    <n v="19.399999999999999"/>
  </r>
  <r>
    <n v="339"/>
    <s v="Debra"/>
    <s v="Sherman"/>
    <s v="Female"/>
    <n v="64"/>
    <x v="5"/>
    <s v="Grenada"/>
    <s v="Williammouth"/>
    <s v="upatel@smith-kelley.com"/>
    <s v="(285)180-9235"/>
    <d v="2023-09-03T00:00:00"/>
    <x v="1"/>
    <x v="11"/>
    <d v="2025-07-09T00:00:00"/>
    <n v="39"/>
    <n v="6621.29"/>
    <s v="No"/>
    <n v="2"/>
    <n v="169.78"/>
  </r>
  <r>
    <n v="340"/>
    <s v="Dennis"/>
    <s v="Thomas"/>
    <s v="Male"/>
    <n v="60"/>
    <x v="4"/>
    <s v="Bangladesh"/>
    <s v="Morganmouth"/>
    <s v="stephanieschmidt@gmail.com"/>
    <s v="843-383-5300x30249"/>
    <d v="2024-09-10T00:00:00"/>
    <x v="0"/>
    <x v="2"/>
    <d v="2024-09-22T00:00:00"/>
    <n v="24"/>
    <n v="9142.89"/>
    <s v="Yes"/>
    <n v="1"/>
    <n v="380.95"/>
  </r>
  <r>
    <n v="341"/>
    <s v="Linda"/>
    <s v="Glover"/>
    <s v="Male"/>
    <n v="57"/>
    <x v="4"/>
    <s v="Mali"/>
    <s v="Lake Nancy"/>
    <s v="floresmeredith@mccoy-stokes.biz"/>
    <s v="(536)107-5132x32863"/>
    <d v="2023-02-14T00:00:00"/>
    <x v="0"/>
    <x v="2"/>
    <d v="2024-09-11T00:00:00"/>
    <n v="23"/>
    <n v="1296.92"/>
    <s v="Yes"/>
    <n v="5"/>
    <n v="56.39"/>
  </r>
  <r>
    <n v="342"/>
    <s v="Patrick"/>
    <s v="Sanchez"/>
    <s v="Male"/>
    <n v="71"/>
    <x v="4"/>
    <s v="Gibraltar"/>
    <s v="Sotoshire"/>
    <s v="williamssteven@hotmail.com"/>
    <s v="(301)981-5295x16680"/>
    <d v="2025-06-08T00:00:00"/>
    <x v="0"/>
    <x v="1"/>
    <d v="2024-06-10T00:00:00"/>
    <n v="20"/>
    <n v="1135.3399999999999"/>
    <s v="Yes"/>
    <n v="3"/>
    <n v="56.77"/>
  </r>
  <r>
    <n v="343"/>
    <s v="Teresa"/>
    <s v="Sharp"/>
    <s v="Male"/>
    <n v="51"/>
    <x v="3"/>
    <s v="Spain"/>
    <s v="Karenhaven"/>
    <s v="amorgan@yahoo.com"/>
    <s v="300.652.1132"/>
    <d v="2024-06-06T00:00:00"/>
    <x v="1"/>
    <x v="11"/>
    <d v="2025-07-23T00:00:00"/>
    <n v="36"/>
    <n v="183.93"/>
    <s v="Yes"/>
    <n v="2"/>
    <n v="5.1100000000000003"/>
  </r>
  <r>
    <n v="345"/>
    <s v="Ashley"/>
    <s v="Vazquez"/>
    <s v="Male"/>
    <n v="54"/>
    <x v="0"/>
    <s v="Sierra Leone"/>
    <s v="Kristophermouth"/>
    <s v="josephbradley@thomas.com"/>
    <s v="(370)475-0344"/>
    <d v="2025-03-17T00:00:00"/>
    <x v="0"/>
    <x v="11"/>
    <d v="2024-07-03T00:00:00"/>
    <n v="40"/>
    <n v="3520.65"/>
    <s v="Yes"/>
    <n v="3"/>
    <n v="88.02"/>
  </r>
  <r>
    <n v="346"/>
    <s v="Matthew"/>
    <s v="Gray"/>
    <s v="Male"/>
    <n v="18"/>
    <x v="1"/>
    <s v="Taiwan"/>
    <s v="Josephfurt"/>
    <s v="charles88@gmail.com"/>
    <s v="203-915-9413"/>
    <d v="2025-01-18T00:00:00"/>
    <x v="1"/>
    <x v="2"/>
    <d v="2025-09-24T00:00:00"/>
    <n v="32"/>
    <n v="5021.75"/>
    <s v="Yes"/>
    <n v="5"/>
    <n v="156.93"/>
  </r>
  <r>
    <n v="347"/>
    <s v="Faith"/>
    <s v="Brady"/>
    <s v="Female"/>
    <n v="73"/>
    <x v="4"/>
    <s v="Saint Barthelemy"/>
    <s v="Lucasburgh"/>
    <s v="collinsjohn@yahoo.com"/>
    <s v="001-193-423-0387x62242"/>
    <d v="2023-12-15T00:00:00"/>
    <x v="0"/>
    <x v="8"/>
    <d v="2024-01-09T00:00:00"/>
    <n v="32"/>
    <n v="8485.42"/>
    <s v="Yes"/>
    <n v="1"/>
    <n v="265.17"/>
  </r>
  <r>
    <n v="348"/>
    <s v="Kristine"/>
    <s v="Lucas"/>
    <s v="Male"/>
    <n v="67"/>
    <x v="2"/>
    <s v="Georgia"/>
    <s v="North Brittany"/>
    <s v="lisa89@white.org"/>
    <s v="001-334-277-0712x62387"/>
    <d v="2023-12-25T00:00:00"/>
    <x v="0"/>
    <x v="9"/>
    <d v="2024-12-17T00:00:00"/>
    <n v="15"/>
    <n v="2555.6799999999998"/>
    <s v="No"/>
    <n v="2"/>
    <n v="170.38"/>
  </r>
  <r>
    <n v="349"/>
    <s v="Robin"/>
    <s v="Crawford"/>
    <s v="Male"/>
    <n v="57"/>
    <x v="4"/>
    <s v="Netherlands"/>
    <s v="Lake Jennifer"/>
    <s v="melissa97@gmail.com"/>
    <s v="820.631.7370x3362"/>
    <d v="2023-02-20T00:00:00"/>
    <x v="1"/>
    <x v="1"/>
    <d v="2025-06-02T00:00:00"/>
    <n v="8"/>
    <n v="4796.99"/>
    <s v="Yes"/>
    <n v="3"/>
    <n v="599.62"/>
  </r>
  <r>
    <n v="350"/>
    <s v="Stephanie"/>
    <s v="Chavez"/>
    <s v="Female"/>
    <n v="24"/>
    <x v="0"/>
    <s v="Peru"/>
    <s v="Justinview"/>
    <s v="rhonda85@lopez.com"/>
    <s v="+1-294-243-6159x829"/>
    <d v="2025-10-28T00:00:00"/>
    <x v="0"/>
    <x v="6"/>
    <d v="2024-02-20T00:00:00"/>
    <n v="49"/>
    <n v="1530.75"/>
    <s v="Yes"/>
    <n v="5"/>
    <n v="31.24"/>
  </r>
  <r>
    <n v="351"/>
    <s v="Tammy"/>
    <s v="Velasquez"/>
    <s v="Male"/>
    <n v="30"/>
    <x v="0"/>
    <s v="Namibia"/>
    <s v="West Maryland"/>
    <s v="hnolan@yahoo.com"/>
    <s v="+1-209-380-4500x07617"/>
    <d v="2022-12-17T00:00:00"/>
    <x v="0"/>
    <x v="10"/>
    <d v="2024-05-14T00:00:00"/>
    <n v="18"/>
    <n v="6749.3"/>
    <s v="Yes"/>
    <n v="3"/>
    <n v="374.96"/>
  </r>
  <r>
    <n v="353"/>
    <s v="Angela"/>
    <s v="Mullins"/>
    <s v="Female"/>
    <n v="59"/>
    <x v="0"/>
    <s v="Equatorial Guinea"/>
    <s v="New Dana"/>
    <s v="sarahfranco@hotmail.com"/>
    <s v="518.038.7304"/>
    <d v="2023-10-01T00:00:00"/>
    <x v="1"/>
    <x v="6"/>
    <d v="2025-02-12T00:00:00"/>
    <n v="47"/>
    <n v="1356.8"/>
    <s v="Yes"/>
    <n v="1"/>
    <n v="28.87"/>
  </r>
  <r>
    <n v="354"/>
    <s v="Wendy"/>
    <s v="Baker"/>
    <s v="Male"/>
    <n v="63"/>
    <x v="4"/>
    <s v="Togo"/>
    <s v="Eileenberg"/>
    <s v="brittany91@yahoo.com"/>
    <s v="+1-803-653-3707"/>
    <d v="2025-05-14T00:00:00"/>
    <x v="1"/>
    <x v="1"/>
    <d v="2025-06-01T00:00:00"/>
    <n v="10"/>
    <n v="7616.98"/>
    <s v="No"/>
    <n v="4"/>
    <n v="761.7"/>
  </r>
  <r>
    <n v="355"/>
    <s v="Patricia"/>
    <s v="Conner"/>
    <s v="Female"/>
    <n v="24"/>
    <x v="0"/>
    <s v="American Samoa"/>
    <s v="East Monicaborough"/>
    <s v="tmitchell@wilkinson.com"/>
    <s v="8634125131"/>
    <d v="2025-03-28T00:00:00"/>
    <x v="0"/>
    <x v="3"/>
    <d v="2024-04-30T00:00:00"/>
    <n v="32"/>
    <n v="7963.22"/>
    <s v="No"/>
    <n v="5"/>
    <n v="248.85"/>
  </r>
  <r>
    <n v="356"/>
    <s v="Ronald"/>
    <s v="Hernandez"/>
    <s v="Female"/>
    <n v="59"/>
    <x v="2"/>
    <s v="Saudi Arabia"/>
    <s v="Elizabethtown"/>
    <s v="masonjeremy@yahoo.com"/>
    <s v="+1-106-715-2357"/>
    <d v="2023-01-24T00:00:00"/>
    <x v="2"/>
    <x v="5"/>
    <d v="2023-11-10T00:00:00"/>
    <n v="35"/>
    <n v="6247.26"/>
    <s v="Yes"/>
    <n v="2"/>
    <n v="178.49"/>
  </r>
  <r>
    <n v="357"/>
    <s v="Sarah"/>
    <s v="Smith"/>
    <s v="Male"/>
    <n v="65"/>
    <x v="5"/>
    <s v="Grenada"/>
    <s v="Debbiebury"/>
    <s v="upitts@gmail.com"/>
    <s v="001-899-374-9696x87660"/>
    <d v="2024-02-17T00:00:00"/>
    <x v="0"/>
    <x v="8"/>
    <d v="2024-01-25T00:00:00"/>
    <n v="4"/>
    <n v="6566.7"/>
    <s v="No"/>
    <n v="5"/>
    <n v="1641.68"/>
  </r>
  <r>
    <n v="358"/>
    <s v="Robert"/>
    <s v="Edwards"/>
    <s v="Male"/>
    <n v="73"/>
    <x v="5"/>
    <s v="Niue"/>
    <s v="West Mistyland"/>
    <s v="lkrueger@key.com"/>
    <s v="201.592.1264x712"/>
    <d v="2025-07-25T00:00:00"/>
    <x v="0"/>
    <x v="9"/>
    <d v="2024-12-13T00:00:00"/>
    <n v="1"/>
    <n v="6763.96"/>
    <s v="No"/>
    <n v="5"/>
    <n v="6763.96"/>
  </r>
  <r>
    <n v="359"/>
    <s v="Jason"/>
    <s v="Thompson"/>
    <s v="Female"/>
    <n v="37"/>
    <x v="0"/>
    <s v="Haiti"/>
    <s v="Fowlerside"/>
    <s v="valerieporter@hotmail.com"/>
    <s v="489.417.4946"/>
    <d v="2023-07-03T00:00:00"/>
    <x v="0"/>
    <x v="7"/>
    <d v="2024-10-24T00:00:00"/>
    <n v="40"/>
    <n v="3991.35"/>
    <s v="Yes"/>
    <n v="3"/>
    <n v="99.78"/>
  </r>
  <r>
    <n v="360"/>
    <s v="Heather"/>
    <s v="Butler"/>
    <s v="Female"/>
    <n v="36"/>
    <x v="1"/>
    <s v="Macedonia"/>
    <s v="Fieldsbury"/>
    <s v="todd03@hotmail.com"/>
    <s v="+1-204-452-2951x3693"/>
    <d v="2023-04-19T00:00:00"/>
    <x v="0"/>
    <x v="7"/>
    <d v="2024-10-21T00:00:00"/>
    <n v="11"/>
    <n v="4951.29"/>
    <s v="Yes"/>
    <n v="4"/>
    <n v="450.12"/>
  </r>
  <r>
    <n v="361"/>
    <s v="Lauren"/>
    <s v="Oneill"/>
    <s v="Male"/>
    <n v="35"/>
    <x v="1"/>
    <s v="Austria"/>
    <s v="North Jennifer"/>
    <s v="richardmoore@yahoo.com"/>
    <s v="001-346-472-3692x2701"/>
    <d v="2024-04-20T00:00:00"/>
    <x v="1"/>
    <x v="7"/>
    <d v="2025-10-30T00:00:00"/>
    <n v="23"/>
    <n v="7231.67"/>
    <s v="Yes"/>
    <n v="2"/>
    <n v="314.42"/>
  </r>
  <r>
    <n v="362"/>
    <s v="Carolyn"/>
    <s v="Lewis"/>
    <s v="Female"/>
    <n v="31"/>
    <x v="4"/>
    <s v="British Indian Ocean Territory (Chagos Archipelago)"/>
    <s v="Davidtown"/>
    <s v="michaelhansen@thompson.com"/>
    <s v="(124)336-6824"/>
    <d v="2025-07-10T00:00:00"/>
    <x v="0"/>
    <x v="0"/>
    <d v="2024-08-25T00:00:00"/>
    <n v="38"/>
    <n v="8855.89"/>
    <s v="Yes"/>
    <n v="1"/>
    <n v="233.05"/>
  </r>
  <r>
    <n v="363"/>
    <s v="Ryan"/>
    <s v="Neal"/>
    <s v="Male"/>
    <n v="22"/>
    <x v="4"/>
    <s v="Seychelles"/>
    <s v="Derrickview"/>
    <s v="markhamilton@hotmail.com"/>
    <s v="001-015-436-7217x55876"/>
    <d v="2025-10-07T00:00:00"/>
    <x v="1"/>
    <x v="11"/>
    <d v="2025-07-21T00:00:00"/>
    <n v="23"/>
    <n v="6689.16"/>
    <s v="Yes"/>
    <n v="5"/>
    <n v="290.83"/>
  </r>
  <r>
    <n v="364"/>
    <s v="Jennifer"/>
    <s v="Bird"/>
    <s v="Male"/>
    <n v="29"/>
    <x v="5"/>
    <s v="Maldives"/>
    <s v="Phillipport"/>
    <s v="jonesreginald@gmail.com"/>
    <s v="(330)693-9979x19813"/>
    <d v="2022-12-30T00:00:00"/>
    <x v="1"/>
    <x v="0"/>
    <d v="2025-08-07T00:00:00"/>
    <n v="27"/>
    <n v="7907.62"/>
    <s v="No"/>
    <n v="3"/>
    <n v="292.87"/>
  </r>
  <r>
    <n v="365"/>
    <s v="Ellen"/>
    <s v="Long"/>
    <s v="Female"/>
    <n v="66"/>
    <x v="5"/>
    <s v="Nepal"/>
    <s v="New Codyport"/>
    <s v="jbrock@hotmail.com"/>
    <s v="988.743.4375x181"/>
    <d v="2025-01-13T00:00:00"/>
    <x v="1"/>
    <x v="4"/>
    <d v="2025-03-08T00:00:00"/>
    <n v="4"/>
    <n v="1902.4"/>
    <s v="Yes"/>
    <n v="4"/>
    <n v="475.6"/>
  </r>
  <r>
    <n v="366"/>
    <s v="William"/>
    <s v="Carpenter"/>
    <s v="Female"/>
    <n v="66"/>
    <x v="4"/>
    <s v="United Arab Emirates"/>
    <s v="New Daleborough"/>
    <s v="fholland@gmail.com"/>
    <s v="370-711-2349"/>
    <d v="2023-11-13T00:00:00"/>
    <x v="1"/>
    <x v="0"/>
    <d v="2025-08-20T00:00:00"/>
    <n v="22"/>
    <n v="9786.15"/>
    <s v="Yes"/>
    <n v="4"/>
    <n v="444.82"/>
  </r>
  <r>
    <n v="367"/>
    <s v="Jennifer"/>
    <s v="Ortiz"/>
    <s v="Female"/>
    <n v="73"/>
    <x v="3"/>
    <s v="Central African Republic"/>
    <s v="Lake Gloria"/>
    <s v="georgewiley@yahoo.com"/>
    <s v="385-949-5164x828"/>
    <d v="2024-08-17T00:00:00"/>
    <x v="0"/>
    <x v="11"/>
    <d v="2024-07-09T00:00:00"/>
    <n v="29"/>
    <n v="4259.05"/>
    <s v="Yes"/>
    <n v="4"/>
    <n v="146.86000000000001"/>
  </r>
  <r>
    <n v="368"/>
    <s v="Patricia"/>
    <s v="Callahan"/>
    <s v="Male"/>
    <n v="20"/>
    <x v="4"/>
    <s v="Rwanda"/>
    <s v="East Timothy"/>
    <s v="urobinson@reed.com"/>
    <s v="255.800.1815x70185"/>
    <d v="2023-09-23T00:00:00"/>
    <x v="1"/>
    <x v="0"/>
    <d v="2025-08-26T00:00:00"/>
    <n v="36"/>
    <n v="6863.98"/>
    <s v="No"/>
    <n v="4"/>
    <n v="190.67"/>
  </r>
  <r>
    <n v="369"/>
    <s v="Charles"/>
    <s v="Johnson"/>
    <s v="Female"/>
    <n v="21"/>
    <x v="0"/>
    <s v="Costa Rica"/>
    <s v="Lake Kimberlyberg"/>
    <s v="amanda36@torres.info"/>
    <s v="456.820.2391x3888"/>
    <d v="2022-12-26T00:00:00"/>
    <x v="0"/>
    <x v="10"/>
    <d v="2024-05-26T00:00:00"/>
    <n v="8"/>
    <n v="5702.65"/>
    <s v="No"/>
    <n v="5"/>
    <n v="712.83"/>
  </r>
  <r>
    <n v="370"/>
    <s v="Haley"/>
    <s v="Park"/>
    <s v="Female"/>
    <n v="36"/>
    <x v="3"/>
    <s v="Antigua and Barbuda"/>
    <s v="Williammouth"/>
    <s v="brian87@hotmail.com"/>
    <s v="+1-168-600-1202x66713"/>
    <d v="2023-09-01T00:00:00"/>
    <x v="1"/>
    <x v="0"/>
    <d v="2025-08-09T00:00:00"/>
    <n v="32"/>
    <n v="306.88"/>
    <s v="Yes"/>
    <n v="5"/>
    <n v="9.59"/>
  </r>
  <r>
    <n v="371"/>
    <s v="Henry"/>
    <s v="Mitchell"/>
    <s v="Female"/>
    <n v="73"/>
    <x v="2"/>
    <s v="Slovakia (Slovak Republic)"/>
    <s v="Rogersberg"/>
    <s v="sabrina67@yahoo.com"/>
    <s v="(109)037-8527x4023"/>
    <d v="2024-01-12T00:00:00"/>
    <x v="1"/>
    <x v="11"/>
    <d v="2025-07-03T00:00:00"/>
    <n v="31"/>
    <n v="7104.25"/>
    <s v="Yes"/>
    <n v="5"/>
    <n v="229.17"/>
  </r>
  <r>
    <n v="372"/>
    <s v="Tiffany"/>
    <s v="Gomez"/>
    <s v="Male"/>
    <n v="64"/>
    <x v="2"/>
    <s v="New Caledonia"/>
    <s v="Lauriefort"/>
    <s v="stuartmichelle@wang.info"/>
    <s v="110-216-1808"/>
    <d v="2023-07-31T00:00:00"/>
    <x v="0"/>
    <x v="1"/>
    <d v="2024-06-30T00:00:00"/>
    <n v="9"/>
    <n v="4202.67"/>
    <s v="No"/>
    <n v="5"/>
    <n v="466.96"/>
  </r>
  <r>
    <n v="373"/>
    <s v="Kim"/>
    <s v="Williams"/>
    <s v="Male"/>
    <n v="22"/>
    <x v="1"/>
    <s v="Myanmar"/>
    <s v="North Johnview"/>
    <s v="michelle01@hotmail.com"/>
    <s v="490.508.7952x4500"/>
    <d v="2023-09-20T00:00:00"/>
    <x v="0"/>
    <x v="10"/>
    <d v="2024-05-30T00:00:00"/>
    <n v="15"/>
    <n v="6865.71"/>
    <s v="Yes"/>
    <n v="2"/>
    <n v="457.71"/>
  </r>
  <r>
    <n v="374"/>
    <s v="Anna"/>
    <s v="House"/>
    <s v="Female"/>
    <n v="57"/>
    <x v="1"/>
    <s v="Jersey"/>
    <s v="North Tinaberg"/>
    <s v="lisa26@wilson-ballard.com"/>
    <s v="312-791-9164x02810"/>
    <d v="2024-04-10T00:00:00"/>
    <x v="0"/>
    <x v="1"/>
    <d v="2024-06-27T00:00:00"/>
    <n v="28"/>
    <n v="1758.68"/>
    <s v="Yes"/>
    <n v="4"/>
    <n v="62.81"/>
  </r>
  <r>
    <n v="375"/>
    <s v="Holly"/>
    <s v="Cook"/>
    <s v="Female"/>
    <n v="29"/>
    <x v="0"/>
    <s v="Barbados"/>
    <s v="Sanchezchester"/>
    <s v="mcclurekatherine@gmail.com"/>
    <s v="858-946-9401x37407"/>
    <d v="2023-02-05T00:00:00"/>
    <x v="1"/>
    <x v="4"/>
    <d v="2025-03-14T00:00:00"/>
    <n v="47"/>
    <n v="8289.25"/>
    <s v="Yes"/>
    <n v="4"/>
    <n v="176.37"/>
  </r>
  <r>
    <n v="376"/>
    <s v="Jasmine"/>
    <s v="Mcintyre"/>
    <s v="Female"/>
    <n v="64"/>
    <x v="2"/>
    <s v="Syrian Arab Republic"/>
    <s v="South Regina"/>
    <s v="gjohnson@mckay.net"/>
    <s v="001-003-074-0770x60247"/>
    <d v="2025-05-26T00:00:00"/>
    <x v="0"/>
    <x v="3"/>
    <d v="2024-04-29T00:00:00"/>
    <n v="2"/>
    <n v="6518.65"/>
    <s v="Yes"/>
    <n v="5"/>
    <n v="3259.32"/>
  </r>
  <r>
    <n v="377"/>
    <s v="Lindsay"/>
    <s v="Davis"/>
    <s v="Female"/>
    <n v="65"/>
    <x v="1"/>
    <s v="Korea"/>
    <s v="Collinsstad"/>
    <s v="andreagoodman@davis-williams.info"/>
    <s v="(991)080-5257"/>
    <d v="2024-07-03T00:00:00"/>
    <x v="1"/>
    <x v="1"/>
    <d v="2025-06-12T00:00:00"/>
    <n v="34"/>
    <n v="4403.7700000000004"/>
    <s v="Yes"/>
    <n v="1"/>
    <n v="129.52000000000001"/>
  </r>
  <r>
    <n v="378"/>
    <s v="Vanessa"/>
    <s v="Barnes"/>
    <s v="Male"/>
    <n v="35"/>
    <x v="0"/>
    <s v="Macao"/>
    <s v="West Davidshire"/>
    <s v="josephwilson@cox.com"/>
    <s v="2895814814"/>
    <d v="2024-09-07T00:00:00"/>
    <x v="1"/>
    <x v="11"/>
    <d v="2025-07-28T00:00:00"/>
    <n v="5"/>
    <n v="6888.24"/>
    <s v="Yes"/>
    <n v="5"/>
    <n v="1377.65"/>
  </r>
  <r>
    <n v="379"/>
    <s v="Thomas"/>
    <s v="Gutierrez"/>
    <s v="Other"/>
    <n v="38"/>
    <x v="2"/>
    <s v="San Marino"/>
    <s v="Port Andrew"/>
    <s v="christopherkelly@franklin.info"/>
    <s v="800.665.6860"/>
    <d v="2025-02-19T00:00:00"/>
    <x v="1"/>
    <x v="3"/>
    <d v="2025-04-15T00:00:00"/>
    <n v="30"/>
    <n v="1560.86"/>
    <s v="No"/>
    <n v="4"/>
    <n v="52.03"/>
  </r>
  <r>
    <n v="380"/>
    <s v="Sally"/>
    <s v="Wilson"/>
    <s v="Male"/>
    <n v="21"/>
    <x v="1"/>
    <s v="Korea"/>
    <s v="North Priscillaside"/>
    <s v="sean15@gmail.com"/>
    <s v="667-695-1418"/>
    <d v="2022-12-02T00:00:00"/>
    <x v="2"/>
    <x v="5"/>
    <d v="2023-11-23T00:00:00"/>
    <n v="11"/>
    <n v="809.43"/>
    <s v="Yes"/>
    <n v="5"/>
    <n v="73.58"/>
  </r>
  <r>
    <n v="381"/>
    <s v="Jennifer"/>
    <s v="Sandoval"/>
    <s v="Female"/>
    <n v="68"/>
    <x v="5"/>
    <s v="Kazakhstan"/>
    <s v="Port Dawnhaven"/>
    <s v="robertlloyd@barker.info"/>
    <s v="998-303-2891x1429"/>
    <d v="2024-12-23T00:00:00"/>
    <x v="1"/>
    <x v="10"/>
    <d v="2025-05-23T00:00:00"/>
    <n v="7"/>
    <n v="7774.32"/>
    <s v="Yes"/>
    <n v="2"/>
    <n v="1110.6199999999999"/>
  </r>
  <r>
    <n v="382"/>
    <s v="Antonio"/>
    <s v="Miller"/>
    <s v="Male"/>
    <n v="48"/>
    <x v="3"/>
    <s v="Finland"/>
    <s v="Tonymouth"/>
    <s v="zcruz@hotmail.com"/>
    <s v="+1-559-773-3330x983"/>
    <d v="2023-10-10T00:00:00"/>
    <x v="0"/>
    <x v="11"/>
    <d v="2024-07-23T00:00:00"/>
    <n v="3"/>
    <n v="8312.2000000000007"/>
    <s v="Yes"/>
    <n v="5"/>
    <n v="2770.73"/>
  </r>
  <r>
    <n v="383"/>
    <s v="Jason"/>
    <s v="Bush"/>
    <s v="Male"/>
    <n v="52"/>
    <x v="2"/>
    <s v="Andorra"/>
    <s v="East Danielchester"/>
    <s v="floresjames@hotmail.com"/>
    <s v="(084)573-5956x82629"/>
    <d v="2022-11-23T00:00:00"/>
    <x v="0"/>
    <x v="3"/>
    <d v="2024-04-24T00:00:00"/>
    <n v="46"/>
    <n v="1234.6400000000001"/>
    <s v="No"/>
    <n v="1"/>
    <n v="26.84"/>
  </r>
  <r>
    <n v="384"/>
    <s v="John"/>
    <s v="Willis"/>
    <s v="Male"/>
    <n v="62"/>
    <x v="5"/>
    <s v="Mauritius"/>
    <s v="West Maryfort"/>
    <s v="pjohnson@yahoo.com"/>
    <s v="036-726-8527x789"/>
    <d v="2024-08-16T00:00:00"/>
    <x v="0"/>
    <x v="11"/>
    <d v="2024-07-23T00:00:00"/>
    <n v="36"/>
    <n v="2467.8200000000002"/>
    <s v="Yes"/>
    <n v="3"/>
    <n v="68.55"/>
  </r>
  <r>
    <n v="385"/>
    <s v="Jamie"/>
    <s v="Carpenter"/>
    <s v="Male"/>
    <n v="23"/>
    <x v="1"/>
    <s v="Brazil"/>
    <s v="Davidside"/>
    <s v="ywilliams@gmail.com"/>
    <s v="+1-153-689-6750x018"/>
    <d v="2023-12-14T00:00:00"/>
    <x v="2"/>
    <x v="5"/>
    <d v="2023-11-26T00:00:00"/>
    <n v="30"/>
    <n v="162.94"/>
    <s v="Yes"/>
    <n v="4"/>
    <n v="5.43"/>
  </r>
  <r>
    <n v="386"/>
    <s v="Karen"/>
    <s v="Christensen"/>
    <s v="Female"/>
    <n v="37"/>
    <x v="2"/>
    <s v="Canada"/>
    <s v="Powerschester"/>
    <s v="myerschristopher@gmail.com"/>
    <s v="653.781.7570x633"/>
    <d v="2022-12-04T00:00:00"/>
    <x v="1"/>
    <x v="11"/>
    <d v="2025-07-04T00:00:00"/>
    <n v="48"/>
    <n v="7276.6"/>
    <s v="Yes"/>
    <n v="2"/>
    <n v="151.6"/>
  </r>
  <r>
    <n v="387"/>
    <s v="Linda"/>
    <s v="James"/>
    <s v="Male"/>
    <n v="71"/>
    <x v="0"/>
    <s v="Turks and Caicos Islands"/>
    <s v="Katiehaven"/>
    <s v="danielschneider@hotmail.com"/>
    <s v="197-453-2481x91165"/>
    <d v="2024-08-01T00:00:00"/>
    <x v="1"/>
    <x v="7"/>
    <d v="2025-10-03T00:00:00"/>
    <n v="40"/>
    <n v="9945.14"/>
    <s v="Yes"/>
    <n v="1"/>
    <n v="248.63"/>
  </r>
  <r>
    <n v="388"/>
    <s v="William"/>
    <s v="Collins"/>
    <s v="Male"/>
    <n v="31"/>
    <x v="2"/>
    <s v="Martinique"/>
    <s v="Brandonside"/>
    <s v="roberto67@yahoo.com"/>
    <s v="001-083-651-4231"/>
    <d v="2024-01-08T00:00:00"/>
    <x v="2"/>
    <x v="9"/>
    <d v="2023-12-20T00:00:00"/>
    <n v="36"/>
    <n v="7629.26"/>
    <s v="Yes"/>
    <n v="5"/>
    <n v="211.92"/>
  </r>
  <r>
    <n v="389"/>
    <s v="Michael"/>
    <s v="Perez"/>
    <s v="Male"/>
    <n v="73"/>
    <x v="4"/>
    <s v="United Arab Emirates"/>
    <s v="New Paul"/>
    <s v="rgonzalez@hotmail.com"/>
    <s v="(408)053-7197x441"/>
    <d v="2023-05-17T00:00:00"/>
    <x v="1"/>
    <x v="0"/>
    <d v="2025-08-01T00:00:00"/>
    <n v="36"/>
    <n v="6614.02"/>
    <s v="No"/>
    <n v="5"/>
    <n v="183.72"/>
  </r>
  <r>
    <n v="390"/>
    <s v="Heather"/>
    <s v="Hammond"/>
    <s v="Male"/>
    <n v="42"/>
    <x v="2"/>
    <s v="Turkmenistan"/>
    <s v="Lake Lisafort"/>
    <s v="emily61@miller.net"/>
    <s v="553-009-3247"/>
    <d v="2024-01-18T00:00:00"/>
    <x v="0"/>
    <x v="2"/>
    <d v="2024-09-18T00:00:00"/>
    <n v="24"/>
    <n v="4395.8900000000003"/>
    <s v="Yes"/>
    <n v="1"/>
    <n v="183.16"/>
  </r>
  <r>
    <n v="391"/>
    <s v="Karen"/>
    <s v="Fisher"/>
    <s v="Male"/>
    <n v="22"/>
    <x v="2"/>
    <s v="Andorra"/>
    <s v="East Frankfort"/>
    <s v="ipope@hotmail.com"/>
    <s v="3086100621"/>
    <d v="2022-11-26T00:00:00"/>
    <x v="1"/>
    <x v="2"/>
    <d v="2025-09-23T00:00:00"/>
    <n v="48"/>
    <n v="1606.83"/>
    <s v="No"/>
    <n v="5"/>
    <n v="33.479999999999997"/>
  </r>
  <r>
    <n v="392"/>
    <s v="Arthur"/>
    <s v="Burton"/>
    <s v="Male"/>
    <n v="68"/>
    <x v="4"/>
    <s v="Guadeloupe"/>
    <s v="South Annafort"/>
    <s v="poncerandy@hotmail.com"/>
    <s v="349.572.6459"/>
    <d v="2025-05-14T00:00:00"/>
    <x v="2"/>
    <x v="9"/>
    <d v="2023-12-14T00:00:00"/>
    <n v="31"/>
    <n v="5740.24"/>
    <s v="No"/>
    <n v="5"/>
    <n v="185.17"/>
  </r>
  <r>
    <n v="393"/>
    <s v="Jeffrey"/>
    <s v="Alexander"/>
    <s v="Female"/>
    <n v="25"/>
    <x v="4"/>
    <s v="Somalia"/>
    <s v="North Tamarafort"/>
    <s v="tylerhowe@yahoo.com"/>
    <s v="038-039-9660x968"/>
    <d v="2022-11-04T00:00:00"/>
    <x v="0"/>
    <x v="9"/>
    <d v="2024-12-31T00:00:00"/>
    <n v="35"/>
    <n v="286.88"/>
    <s v="Yes"/>
    <n v="3"/>
    <n v="8.1999999999999993"/>
  </r>
  <r>
    <n v="394"/>
    <s v="Dylan"/>
    <s v="Lopez"/>
    <s v="Female"/>
    <n v="28"/>
    <x v="1"/>
    <s v="Austria"/>
    <s v="Briannaport"/>
    <s v="prodgers@drake.com"/>
    <s v="423-688-3249x13942"/>
    <d v="2024-03-26T00:00:00"/>
    <x v="1"/>
    <x v="8"/>
    <d v="2025-01-13T00:00:00"/>
    <n v="26"/>
    <n v="763.05"/>
    <s v="Yes"/>
    <n v="2"/>
    <n v="29.35"/>
  </r>
  <r>
    <n v="395"/>
    <s v="Carlos"/>
    <s v="Gutierrez"/>
    <s v="Other"/>
    <n v="38"/>
    <x v="0"/>
    <s v="Malaysia"/>
    <s v="Zimmermanborough"/>
    <s v="xperry@gmail.com"/>
    <s v="(641)852-7535"/>
    <d v="2025-05-23T00:00:00"/>
    <x v="0"/>
    <x v="6"/>
    <d v="2024-02-03T00:00:00"/>
    <n v="15"/>
    <n v="3572.01"/>
    <s v="Yes"/>
    <n v="4"/>
    <n v="238.13"/>
  </r>
  <r>
    <n v="396"/>
    <s v="Nicole"/>
    <s v="Carpenter"/>
    <s v="Male"/>
    <n v="28"/>
    <x v="1"/>
    <s v="Kuwait"/>
    <s v="Joshualand"/>
    <s v="hbenton@bates.com"/>
    <s v="150-113-7734x9157"/>
    <d v="2022-11-02T00:00:00"/>
    <x v="2"/>
    <x v="9"/>
    <d v="2023-12-11T00:00:00"/>
    <n v="14"/>
    <n v="8371.93"/>
    <s v="No"/>
    <n v="4"/>
    <n v="598"/>
  </r>
  <r>
    <n v="397"/>
    <s v="Hunter"/>
    <s v="Hardy"/>
    <s v="Male"/>
    <n v="18"/>
    <x v="0"/>
    <s v="Liberia"/>
    <s v="Georgechester"/>
    <s v="mwilliams@yahoo.com"/>
    <s v="4792645389"/>
    <d v="2025-09-24T00:00:00"/>
    <x v="1"/>
    <x v="3"/>
    <d v="2025-04-05T00:00:00"/>
    <n v="29"/>
    <n v="1764.47"/>
    <s v="No"/>
    <n v="4"/>
    <n v="60.84"/>
  </r>
  <r>
    <n v="398"/>
    <s v="Kyle"/>
    <s v="Gentry"/>
    <s v="Female"/>
    <n v="21"/>
    <x v="3"/>
    <s v="Guinea"/>
    <s v="Cassandraburgh"/>
    <s v="millernatalie@sanchez.com"/>
    <s v="+1-667-891-1211x12974"/>
    <d v="2023-09-15T00:00:00"/>
    <x v="1"/>
    <x v="2"/>
    <d v="2025-09-20T00:00:00"/>
    <n v="45"/>
    <n v="4277.6899999999996"/>
    <s v="Yes"/>
    <n v="4"/>
    <n v="95.06"/>
  </r>
  <r>
    <n v="399"/>
    <s v="Gabriel"/>
    <s v="Bishop"/>
    <s v="Male"/>
    <n v="34"/>
    <x v="3"/>
    <s v="Dominica"/>
    <s v="Martinezmouth"/>
    <s v="richardsmith@yahoo.com"/>
    <s v="925-062-8835x963"/>
    <d v="2025-02-26T00:00:00"/>
    <x v="1"/>
    <x v="1"/>
    <d v="2025-06-11T00:00:00"/>
    <n v="48"/>
    <n v="4435.8500000000004"/>
    <s v="No"/>
    <n v="2"/>
    <n v="92.41"/>
  </r>
  <r>
    <n v="400"/>
    <s v="Daniel"/>
    <s v="Jones"/>
    <s v="Female"/>
    <n v="19"/>
    <x v="3"/>
    <s v="Central African Republic"/>
    <s v="South Shawn"/>
    <s v="ramseybryan@young.com"/>
    <s v="7399836758"/>
    <d v="2024-12-21T00:00:00"/>
    <x v="0"/>
    <x v="4"/>
    <d v="2024-03-14T00:00:00"/>
    <n v="3"/>
    <n v="9732.51"/>
    <s v="Yes"/>
    <n v="5"/>
    <n v="3244.17"/>
  </r>
  <r>
    <n v="401"/>
    <s v="Sarah"/>
    <s v="Butler"/>
    <s v="Male"/>
    <n v="53"/>
    <x v="5"/>
    <s v="United States Virgin Islands"/>
    <s v="Port Monicaberg"/>
    <s v="swilliamson@gmail.com"/>
    <s v="315-835-6505x209"/>
    <d v="2024-12-03T00:00:00"/>
    <x v="1"/>
    <x v="1"/>
    <d v="2025-06-23T00:00:00"/>
    <n v="35"/>
    <n v="9421.17"/>
    <s v="Yes"/>
    <n v="2"/>
    <n v="269.18"/>
  </r>
  <r>
    <n v="402"/>
    <s v="Lori"/>
    <s v="Waller"/>
    <s v="Female"/>
    <n v="64"/>
    <x v="2"/>
    <s v="Lebanon"/>
    <s v="Port Christopherview"/>
    <s v="dylansolis@gmail.com"/>
    <s v="+1-663-628-1299x2490"/>
    <d v="2024-01-02T00:00:00"/>
    <x v="1"/>
    <x v="2"/>
    <d v="2025-09-08T00:00:00"/>
    <n v="48"/>
    <n v="374.75"/>
    <s v="Yes"/>
    <n v="2"/>
    <n v="7.81"/>
  </r>
  <r>
    <n v="403"/>
    <s v="Suzanne"/>
    <s v="Hayes"/>
    <s v="Other"/>
    <n v="38"/>
    <x v="1"/>
    <s v="Brazil"/>
    <s v="North Jeanborough"/>
    <s v="jessica74@rodriguez.com"/>
    <s v="080-149-2298"/>
    <d v="2023-02-17T00:00:00"/>
    <x v="0"/>
    <x v="0"/>
    <d v="2024-08-07T00:00:00"/>
    <n v="42"/>
    <n v="6426.36"/>
    <s v="No"/>
    <n v="4"/>
    <n v="153.01"/>
  </r>
  <r>
    <n v="404"/>
    <s v="David"/>
    <s v="Maxwell"/>
    <s v="Male"/>
    <n v="38"/>
    <x v="5"/>
    <s v="Aruba"/>
    <s v="Danielhaven"/>
    <s v="todd95@yahoo.com"/>
    <s v="846.591.5992x240"/>
    <d v="2022-11-03T00:00:00"/>
    <x v="1"/>
    <x v="6"/>
    <d v="2025-02-19T00:00:00"/>
    <n v="7"/>
    <n v="8763.35"/>
    <s v="Yes"/>
    <n v="3"/>
    <n v="1251.9100000000001"/>
  </r>
  <r>
    <n v="405"/>
    <s v="Erik"/>
    <s v="Travis"/>
    <s v="Female"/>
    <n v="64"/>
    <x v="0"/>
    <s v="Czech Republic"/>
    <s v="Webbview"/>
    <s v="smithkevin@gmail.com"/>
    <s v="1644622372"/>
    <d v="2025-03-09T00:00:00"/>
    <x v="0"/>
    <x v="11"/>
    <d v="2024-07-11T00:00:00"/>
    <n v="33"/>
    <n v="564.73"/>
    <s v="Yes"/>
    <n v="3"/>
    <n v="17.11"/>
  </r>
  <r>
    <n v="406"/>
    <s v="Anthony"/>
    <s v="Allen"/>
    <s v="Male"/>
    <n v="42"/>
    <x v="1"/>
    <s v="Tonga"/>
    <s v="West Patricia"/>
    <s v="qnewton@hotmail.com"/>
    <s v="(052)904-5681x584"/>
    <d v="2025-10-23T00:00:00"/>
    <x v="2"/>
    <x v="9"/>
    <d v="2023-12-11T00:00:00"/>
    <n v="29"/>
    <n v="8158.92"/>
    <s v="Yes"/>
    <n v="3"/>
    <n v="281.33999999999997"/>
  </r>
  <r>
    <n v="407"/>
    <s v="Michael"/>
    <s v="Fischer"/>
    <s v="Male"/>
    <n v="48"/>
    <x v="2"/>
    <s v="Cyprus"/>
    <s v="Morganfort"/>
    <s v="jamessullivan@davis.com"/>
    <s v="(679)683-0052x588"/>
    <d v="2024-12-10T00:00:00"/>
    <x v="0"/>
    <x v="8"/>
    <d v="2024-01-26T00:00:00"/>
    <n v="29"/>
    <n v="2942.07"/>
    <s v="No"/>
    <n v="1"/>
    <n v="101.45"/>
  </r>
  <r>
    <n v="408"/>
    <s v="Samuel"/>
    <s v="Williams"/>
    <s v="Female"/>
    <n v="18"/>
    <x v="6"/>
    <s v="Anguilla"/>
    <s v="New Daniel"/>
    <s v="timothyreeves@hammond.com"/>
    <s v="129-237-9425x253"/>
    <d v="2023-11-25T00:00:00"/>
    <x v="0"/>
    <x v="5"/>
    <d v="2024-11-16T00:00:00"/>
    <n v="9"/>
    <n v="9528.0499999999993"/>
    <s v="No"/>
    <n v="4"/>
    <n v="1058.67"/>
  </r>
  <r>
    <n v="409"/>
    <s v="Frank"/>
    <s v="Atkins"/>
    <s v="Male"/>
    <n v="74"/>
    <x v="0"/>
    <s v="Mayotte"/>
    <s v="Stephensberg"/>
    <s v="jaredochoa@gmail.com"/>
    <s v="+1-400-532-1791"/>
    <d v="2025-03-19T00:00:00"/>
    <x v="0"/>
    <x v="1"/>
    <d v="2024-06-17T00:00:00"/>
    <n v="11"/>
    <n v="2347.08"/>
    <s v="Yes"/>
    <n v="5"/>
    <n v="213.37"/>
  </r>
  <r>
    <n v="410"/>
    <s v="Charles"/>
    <s v="Ferguson"/>
    <s v="Male"/>
    <n v="32"/>
    <x v="5"/>
    <s v="Norway"/>
    <s v="Stewartport"/>
    <s v="kathleenmccormick@gmail.com"/>
    <s v="001-788-169-5976x035"/>
    <d v="2025-01-17T00:00:00"/>
    <x v="1"/>
    <x v="7"/>
    <d v="2025-10-14T00:00:00"/>
    <n v="14"/>
    <n v="4289.28"/>
    <s v="No"/>
    <n v="4"/>
    <n v="306.38"/>
  </r>
  <r>
    <n v="411"/>
    <s v="Jamie"/>
    <s v="Huff"/>
    <s v="Male"/>
    <n v="36"/>
    <x v="0"/>
    <s v="Macao"/>
    <s v="Timothyborough"/>
    <s v="jonathan90@gmail.com"/>
    <s v="765-797-2121"/>
    <d v="2024-06-23T00:00:00"/>
    <x v="0"/>
    <x v="4"/>
    <d v="2024-03-22T00:00:00"/>
    <n v="12"/>
    <n v="8978.84"/>
    <s v="Yes"/>
    <n v="3"/>
    <n v="748.24"/>
  </r>
  <r>
    <n v="412"/>
    <s v="Cassie"/>
    <s v="Henderson"/>
    <s v="Male"/>
    <n v="54"/>
    <x v="1"/>
    <s v="Holy See (Vatican City State)"/>
    <s v="New Michael"/>
    <s v="jesseromero@gmail.com"/>
    <s v="001-906-435-9816x82636"/>
    <d v="2024-11-04T00:00:00"/>
    <x v="0"/>
    <x v="10"/>
    <d v="2024-05-22T00:00:00"/>
    <n v="20"/>
    <n v="685.18"/>
    <s v="Yes"/>
    <n v="3"/>
    <n v="34.26"/>
  </r>
  <r>
    <n v="413"/>
    <s v="Melissa"/>
    <s v="Roberts"/>
    <s v="Male"/>
    <n v="63"/>
    <x v="1"/>
    <s v="United States Minor Outlying Islands"/>
    <s v="Andreamouth"/>
    <s v="kellererin@russell.com"/>
    <s v="(518)380-1236x98791"/>
    <d v="2024-04-05T00:00:00"/>
    <x v="0"/>
    <x v="1"/>
    <d v="2024-06-12T00:00:00"/>
    <n v="18"/>
    <n v="292.39"/>
    <s v="Yes"/>
    <n v="1"/>
    <n v="16.239999999999998"/>
  </r>
  <r>
    <n v="414"/>
    <s v="Eric"/>
    <s v="Chavez"/>
    <s v="Female"/>
    <n v="61"/>
    <x v="0"/>
    <s v="Mayotte"/>
    <s v="Moorebury"/>
    <s v="millercory@walls.com"/>
    <s v="001-966-298-2125"/>
    <d v="2022-12-05T00:00:00"/>
    <x v="0"/>
    <x v="1"/>
    <d v="2024-06-12T00:00:00"/>
    <n v="40"/>
    <n v="7921.8"/>
    <s v="No"/>
    <n v="1"/>
    <n v="198.04"/>
  </r>
  <r>
    <n v="415"/>
    <s v="Robert"/>
    <s v="Jimenez"/>
    <s v="Male"/>
    <n v="51"/>
    <x v="6"/>
    <s v="Solomon Islands"/>
    <s v="Port Samantha"/>
    <s v="wlarson@yahoo.com"/>
    <s v="+1-554-405-7606x8811"/>
    <d v="2025-08-19T00:00:00"/>
    <x v="1"/>
    <x v="3"/>
    <d v="2025-04-19T00:00:00"/>
    <n v="16"/>
    <n v="6866.04"/>
    <s v="Yes"/>
    <n v="4"/>
    <n v="429.13"/>
  </r>
  <r>
    <n v="416"/>
    <s v="Jeffrey"/>
    <s v="Lamb"/>
    <s v="Female"/>
    <n v="25"/>
    <x v="2"/>
    <s v="Cocos (Keeling) Islands"/>
    <s v="Port Loretta"/>
    <s v="owenswilliam@robbins.info"/>
    <s v="001-733-368-5694"/>
    <d v="2023-09-07T00:00:00"/>
    <x v="2"/>
    <x v="5"/>
    <d v="2023-11-14T00:00:00"/>
    <n v="18"/>
    <n v="6139.95"/>
    <s v="No"/>
    <n v="4"/>
    <n v="341.11"/>
  </r>
  <r>
    <n v="417"/>
    <s v="Jason"/>
    <s v="Barker"/>
    <s v="Female"/>
    <n v="27"/>
    <x v="4"/>
    <s v="Cameroon"/>
    <s v="New Maria"/>
    <s v="luis25@hotmail.com"/>
    <s v="273-242-2271"/>
    <d v="2025-09-27T00:00:00"/>
    <x v="0"/>
    <x v="3"/>
    <d v="2024-04-18T00:00:00"/>
    <n v="1"/>
    <n v="6737.05"/>
    <s v="Yes"/>
    <n v="5"/>
    <n v="6737.05"/>
  </r>
  <r>
    <n v="418"/>
    <s v="Robert"/>
    <s v="Wilson"/>
    <s v="Female"/>
    <n v="49"/>
    <x v="2"/>
    <s v="Tanzania"/>
    <s v="Jefferyfort"/>
    <s v="kathybrown@yahoo.com"/>
    <s v="912-109-4670"/>
    <d v="2025-03-04T00:00:00"/>
    <x v="0"/>
    <x v="5"/>
    <d v="2024-11-14T00:00:00"/>
    <n v="36"/>
    <n v="8981.5"/>
    <s v="Yes"/>
    <n v="4"/>
    <n v="249.49"/>
  </r>
  <r>
    <n v="419"/>
    <s v="Adam"/>
    <s v="Cunningham"/>
    <s v="Male"/>
    <n v="64"/>
    <x v="1"/>
    <s v="Lao People's Democratic Republic"/>
    <s v="Davidsonview"/>
    <s v="douglas11@gmail.com"/>
    <s v="855.049.7257x55505"/>
    <d v="2025-10-02T00:00:00"/>
    <x v="2"/>
    <x v="9"/>
    <d v="2023-12-10T00:00:00"/>
    <n v="3"/>
    <n v="9112.2900000000009"/>
    <s v="Yes"/>
    <n v="3"/>
    <n v="3037.43"/>
  </r>
  <r>
    <n v="420"/>
    <s v="John"/>
    <s v="Farrell"/>
    <s v="Female"/>
    <n v="33"/>
    <x v="0"/>
    <s v="Costa Rica"/>
    <s v="West Savannahfurt"/>
    <s v="hendricksmichelle@hotmail.com"/>
    <s v="892.743.1804"/>
    <d v="2025-05-23T00:00:00"/>
    <x v="0"/>
    <x v="1"/>
    <d v="2024-06-24T00:00:00"/>
    <n v="12"/>
    <n v="2370.11"/>
    <s v="Yes"/>
    <n v="1"/>
    <n v="197.51"/>
  </r>
  <r>
    <n v="421"/>
    <s v="William"/>
    <s v="Flores"/>
    <s v="Female"/>
    <n v="59"/>
    <x v="2"/>
    <s v="Syrian Arab Republic"/>
    <s v="Riceland"/>
    <s v="lewisjames@yahoo.com"/>
    <s v="+1-842-227-9671x72484"/>
    <d v="2023-11-06T00:00:00"/>
    <x v="0"/>
    <x v="6"/>
    <d v="2024-02-13T00:00:00"/>
    <n v="43"/>
    <n v="3846.16"/>
    <s v="Yes"/>
    <n v="1"/>
    <n v="89.45"/>
  </r>
  <r>
    <n v="422"/>
    <s v="Megan"/>
    <s v="Dickerson"/>
    <s v="Male"/>
    <n v="69"/>
    <x v="1"/>
    <s v="Iceland"/>
    <s v="New Jacobmouth"/>
    <s v="alexanderhernandez@gmail.com"/>
    <s v="(459)863-9144"/>
    <d v="2023-06-05T00:00:00"/>
    <x v="1"/>
    <x v="4"/>
    <d v="2025-03-17T00:00:00"/>
    <n v="11"/>
    <n v="6761.19"/>
    <s v="No"/>
    <n v="4"/>
    <n v="614.65"/>
  </r>
  <r>
    <n v="423"/>
    <s v="Jason"/>
    <s v="Adams"/>
    <s v="Male"/>
    <n v="64"/>
    <x v="4"/>
    <s v="British Indian Ocean Territory (Chagos Archipelago)"/>
    <s v="Lorichester"/>
    <s v="mitchell17@gmail.com"/>
    <s v="638-421-1454x854"/>
    <d v="2024-04-27T00:00:00"/>
    <x v="0"/>
    <x v="0"/>
    <d v="2024-08-03T00:00:00"/>
    <n v="32"/>
    <n v="5567.55"/>
    <s v="No"/>
    <n v="3"/>
    <n v="173.99"/>
  </r>
  <r>
    <n v="424"/>
    <s v="Drew"/>
    <s v="Johnson"/>
    <s v="Other"/>
    <n v="60"/>
    <x v="5"/>
    <s v="Palau"/>
    <s v="Kennethchester"/>
    <s v="lholmes@alexander.com"/>
    <s v="761.742.6964x96818"/>
    <d v="2025-07-09T00:00:00"/>
    <x v="0"/>
    <x v="4"/>
    <d v="2024-03-01T00:00:00"/>
    <n v="33"/>
    <n v="8902.83"/>
    <s v="No"/>
    <n v="1"/>
    <n v="269.77999999999997"/>
  </r>
  <r>
    <n v="425"/>
    <s v="Robert"/>
    <s v="Walker"/>
    <s v="Male"/>
    <n v="72"/>
    <x v="2"/>
    <s v="Lebanon"/>
    <s v="South Laura"/>
    <s v="ophillips@yahoo.com"/>
    <s v="054.189.7754"/>
    <d v="2024-12-29T00:00:00"/>
    <x v="2"/>
    <x v="5"/>
    <d v="2023-11-18T00:00:00"/>
    <n v="26"/>
    <n v="4445.88"/>
    <s v="No"/>
    <n v="4"/>
    <n v="171"/>
  </r>
  <r>
    <n v="426"/>
    <s v="Alex"/>
    <s v="Moore"/>
    <s v="Male"/>
    <n v="51"/>
    <x v="1"/>
    <s v="Vietnam"/>
    <s v="West Paulville"/>
    <s v="sanfordemily@hotmail.com"/>
    <s v="608-799-1580"/>
    <d v="2023-01-03T00:00:00"/>
    <x v="0"/>
    <x v="7"/>
    <d v="2024-10-01T00:00:00"/>
    <n v="14"/>
    <n v="1771.47"/>
    <s v="Yes"/>
    <n v="2"/>
    <n v="126.53"/>
  </r>
  <r>
    <n v="427"/>
    <s v="William"/>
    <s v="Patton"/>
    <s v="Female"/>
    <n v="39"/>
    <x v="1"/>
    <s v="Chad"/>
    <s v="Alexandertown"/>
    <s v="qdavis@yahoo.com"/>
    <s v="905-572-4060x9446"/>
    <d v="2024-01-10T00:00:00"/>
    <x v="0"/>
    <x v="10"/>
    <d v="2024-05-08T00:00:00"/>
    <n v="49"/>
    <n v="6696.61"/>
    <s v="No"/>
    <n v="5"/>
    <n v="136.66999999999999"/>
  </r>
  <r>
    <n v="428"/>
    <s v="Samantha"/>
    <s v="Mills"/>
    <s v="Male"/>
    <n v="62"/>
    <x v="4"/>
    <s v="Croatia"/>
    <s v="East Beth"/>
    <s v="yangeric@gmail.com"/>
    <s v="(129)554-1708"/>
    <d v="2024-02-29T00:00:00"/>
    <x v="0"/>
    <x v="3"/>
    <d v="2024-04-25T00:00:00"/>
    <n v="10"/>
    <n v="1859.98"/>
    <s v="Yes"/>
    <n v="3"/>
    <n v="186"/>
  </r>
  <r>
    <n v="429"/>
    <s v="Theresa"/>
    <s v="Reyes"/>
    <s v="Female"/>
    <n v="23"/>
    <x v="1"/>
    <s v="Chad"/>
    <s v="Thompsonland"/>
    <s v="haileypeterson@williams.info"/>
    <s v="001-965-765-4937"/>
    <d v="2025-05-21T00:00:00"/>
    <x v="2"/>
    <x v="9"/>
    <d v="2023-12-26T00:00:00"/>
    <n v="5"/>
    <n v="3235.62"/>
    <s v="Yes"/>
    <n v="3"/>
    <n v="647.12"/>
  </r>
  <r>
    <n v="430"/>
    <s v="Eric"/>
    <s v="Farmer"/>
    <s v="Male"/>
    <n v="46"/>
    <x v="1"/>
    <s v="Chile"/>
    <s v="East Jasonburgh"/>
    <s v="robinsonryan@gmail.com"/>
    <s v="569.114.8865x807"/>
    <d v="2023-07-31T00:00:00"/>
    <x v="1"/>
    <x v="0"/>
    <d v="2025-08-25T00:00:00"/>
    <n v="31"/>
    <n v="7474.52"/>
    <s v="Yes"/>
    <n v="4"/>
    <n v="241.11"/>
  </r>
  <r>
    <n v="431"/>
    <s v="Kimberly"/>
    <s v="Young"/>
    <s v="Male"/>
    <n v="40"/>
    <x v="0"/>
    <s v="Honduras"/>
    <s v="West Ricardo"/>
    <s v="iholloway@yahoo.com"/>
    <s v="(800)538-3539x4939"/>
    <d v="2024-01-30T00:00:00"/>
    <x v="0"/>
    <x v="3"/>
    <d v="2024-04-24T00:00:00"/>
    <n v="30"/>
    <n v="1165.93"/>
    <s v="Yes"/>
    <n v="5"/>
    <n v="38.86"/>
  </r>
  <r>
    <n v="432"/>
    <s v="Ryan"/>
    <s v="Martinez"/>
    <s v="Female"/>
    <n v="41"/>
    <x v="4"/>
    <s v="Monaco"/>
    <s v="South Alexisberg"/>
    <s v="paulduffy@yahoo.com"/>
    <s v="856-459-6767x45872"/>
    <d v="2025-01-22T00:00:00"/>
    <x v="1"/>
    <x v="0"/>
    <d v="2025-08-07T00:00:00"/>
    <n v="17"/>
    <n v="7388.21"/>
    <s v="Yes"/>
    <n v="3"/>
    <n v="434.6"/>
  </r>
  <r>
    <n v="433"/>
    <s v="Sherry"/>
    <s v="Long"/>
    <s v="Male"/>
    <n v="55"/>
    <x v="2"/>
    <s v="Georgia"/>
    <s v="Brianaland"/>
    <s v="vanessafaulkner@rojas.org"/>
    <s v="030-026-0661x6446"/>
    <d v="2025-01-18T00:00:00"/>
    <x v="1"/>
    <x v="0"/>
    <d v="2025-08-10T00:00:00"/>
    <n v="30"/>
    <n v="5691.94"/>
    <s v="Yes"/>
    <n v="2"/>
    <n v="189.73"/>
  </r>
  <r>
    <n v="434"/>
    <s v="Ricky"/>
    <s v="Ramos"/>
    <s v="Male"/>
    <n v="39"/>
    <x v="0"/>
    <s v="Kyrgyz Republic"/>
    <s v="Lake Amyburgh"/>
    <s v="rfuentes@hotmail.com"/>
    <s v="551.105.8711x867"/>
    <d v="2023-10-14T00:00:00"/>
    <x v="1"/>
    <x v="8"/>
    <d v="2025-01-03T00:00:00"/>
    <n v="6"/>
    <n v="6405.36"/>
    <s v="No"/>
    <n v="1"/>
    <n v="1067.56"/>
  </r>
  <r>
    <n v="435"/>
    <s v="Shawna"/>
    <s v="Dennis"/>
    <s v="Female"/>
    <n v="69"/>
    <x v="2"/>
    <s v="El Salvador"/>
    <s v="Donnaborough"/>
    <s v="lindawalker@hotmail.com"/>
    <s v="994-381-2973x186"/>
    <d v="2022-12-13T00:00:00"/>
    <x v="0"/>
    <x v="8"/>
    <d v="2024-01-23T00:00:00"/>
    <n v="2"/>
    <n v="205.09"/>
    <s v="No"/>
    <n v="4"/>
    <n v="102.54"/>
  </r>
  <r>
    <n v="436"/>
    <s v="Victoria"/>
    <s v="Valenzuela"/>
    <s v="Female"/>
    <n v="68"/>
    <x v="2"/>
    <s v="Zimbabwe"/>
    <s v="North Brandonchester"/>
    <s v="jerry06@yahoo.com"/>
    <s v="001-841-905-3893x69817"/>
    <d v="2024-04-12T00:00:00"/>
    <x v="0"/>
    <x v="11"/>
    <d v="2024-07-06T00:00:00"/>
    <n v="14"/>
    <n v="7498.03"/>
    <s v="Yes"/>
    <n v="2"/>
    <n v="535.57000000000005"/>
  </r>
  <r>
    <n v="437"/>
    <s v="Ashley"/>
    <s v="Ross"/>
    <s v="Female"/>
    <n v="62"/>
    <x v="2"/>
    <s v="Latvia"/>
    <s v="East Cherylbury"/>
    <s v="williamscody@foley-frey.net"/>
    <s v="(907)716-4144x032"/>
    <d v="2023-07-07T00:00:00"/>
    <x v="0"/>
    <x v="1"/>
    <d v="2024-06-14T00:00:00"/>
    <n v="29"/>
    <n v="6915.62"/>
    <s v="Yes"/>
    <n v="4"/>
    <n v="238.47"/>
  </r>
  <r>
    <n v="438"/>
    <s v="James"/>
    <s v="Nichols"/>
    <s v="Male"/>
    <n v="23"/>
    <x v="0"/>
    <s v="Barbados"/>
    <s v="Villarrealbury"/>
    <s v="paulanderson@hotmail.com"/>
    <s v="713-569-2741x254"/>
    <d v="2025-07-13T00:00:00"/>
    <x v="2"/>
    <x v="5"/>
    <d v="2023-11-06T00:00:00"/>
    <n v="33"/>
    <n v="8594.81"/>
    <s v="Yes"/>
    <n v="3"/>
    <n v="260.45"/>
  </r>
  <r>
    <n v="439"/>
    <s v="Ryan"/>
    <s v="Duncan"/>
    <s v="Female"/>
    <n v="32"/>
    <x v="1"/>
    <s v="Serbia"/>
    <s v="Oconnorland"/>
    <s v="glennflores@ruiz.com"/>
    <s v="(032)183-3234"/>
    <d v="2023-07-09T00:00:00"/>
    <x v="1"/>
    <x v="8"/>
    <d v="2025-01-10T00:00:00"/>
    <n v="21"/>
    <n v="9471.7800000000007"/>
    <s v="Yes"/>
    <n v="3"/>
    <n v="451.04"/>
  </r>
  <r>
    <n v="440"/>
    <s v="Steven"/>
    <s v="Stuart"/>
    <s v="Female"/>
    <n v="30"/>
    <x v="2"/>
    <s v="Cook Islands"/>
    <s v="Scottstad"/>
    <s v="lshort@knox.com"/>
    <s v="(300)861-1282x685"/>
    <d v="2023-07-29T00:00:00"/>
    <x v="0"/>
    <x v="0"/>
    <d v="2024-08-22T00:00:00"/>
    <n v="27"/>
    <n v="3330.42"/>
    <s v="No"/>
    <n v="1"/>
    <n v="123.35"/>
  </r>
  <r>
    <n v="441"/>
    <s v="Joshua"/>
    <s v="Griffin"/>
    <s v="Female"/>
    <n v="62"/>
    <x v="5"/>
    <s v="Kazakhstan"/>
    <s v="West Anthonyborough"/>
    <s v="david86@yahoo.com"/>
    <s v="101.905.5553x4935"/>
    <d v="2024-04-15T00:00:00"/>
    <x v="0"/>
    <x v="8"/>
    <d v="2024-01-24T00:00:00"/>
    <n v="17"/>
    <n v="9805.23"/>
    <s v="No"/>
    <n v="1"/>
    <n v="576.78"/>
  </r>
  <r>
    <n v="442"/>
    <s v="Kelly"/>
    <s v="Wiley"/>
    <s v="Female"/>
    <n v="67"/>
    <x v="0"/>
    <s v="Ghana"/>
    <s v="West Sheilachester"/>
    <s v="wagnerbradley@gmail.com"/>
    <s v="001-199-675-1306x6067"/>
    <d v="2024-05-13T00:00:00"/>
    <x v="1"/>
    <x v="4"/>
    <d v="2025-03-11T00:00:00"/>
    <n v="11"/>
    <n v="7350.25"/>
    <s v="No"/>
    <n v="2"/>
    <n v="668.2"/>
  </r>
  <r>
    <n v="443"/>
    <s v="Eddie"/>
    <s v="Morales"/>
    <s v="Male"/>
    <n v="44"/>
    <x v="4"/>
    <s v="Israel"/>
    <s v="Kennedybury"/>
    <s v="connorrogers@sharp-santana.net"/>
    <s v="001-183-038-6496x96967"/>
    <d v="2024-08-05T00:00:00"/>
    <x v="0"/>
    <x v="7"/>
    <d v="2024-10-13T00:00:00"/>
    <n v="26"/>
    <n v="1361.18"/>
    <s v="No"/>
    <n v="5"/>
    <n v="52.35"/>
  </r>
  <r>
    <n v="444"/>
    <s v="Heather"/>
    <s v="Wagner"/>
    <s v="Female"/>
    <n v="70"/>
    <x v="4"/>
    <s v="Monaco"/>
    <s v="Michaeltown"/>
    <s v="perryjoseph@crosby.com"/>
    <s v="+1-930-151-7028x388"/>
    <d v="2025-10-20T00:00:00"/>
    <x v="1"/>
    <x v="8"/>
    <d v="2025-01-23T00:00:00"/>
    <n v="13"/>
    <n v="1964.73"/>
    <s v="Yes"/>
    <n v="4"/>
    <n v="151.13"/>
  </r>
  <r>
    <n v="445"/>
    <s v="David"/>
    <s v="Cruz"/>
    <s v="Male"/>
    <n v="46"/>
    <x v="5"/>
    <s v="Palau"/>
    <s v="Cooleyville"/>
    <s v="robert50@gmail.com"/>
    <s v="(031)947-3253"/>
    <d v="2023-05-13T00:00:00"/>
    <x v="0"/>
    <x v="7"/>
    <d v="2024-10-10T00:00:00"/>
    <n v="1"/>
    <n v="2647.38"/>
    <s v="No"/>
    <n v="2"/>
    <n v="2647.38"/>
  </r>
  <r>
    <n v="446"/>
    <s v="Peter"/>
    <s v="Sanders"/>
    <s v="Male"/>
    <n v="50"/>
    <x v="2"/>
    <s v="Estonia"/>
    <s v="North Randy"/>
    <s v="rebeccanguyen@davis-rasmussen.com"/>
    <s v="536.183.3191"/>
    <d v="2025-03-26T00:00:00"/>
    <x v="0"/>
    <x v="7"/>
    <d v="2024-10-15T00:00:00"/>
    <n v="10"/>
    <n v="9912.9599999999991"/>
    <s v="Yes"/>
    <n v="4"/>
    <n v="991.3"/>
  </r>
  <r>
    <n v="447"/>
    <s v="Douglas"/>
    <s v="Wilson"/>
    <s v="Male"/>
    <n v="47"/>
    <x v="2"/>
    <s v="Burundi"/>
    <s v="West Steven"/>
    <s v="diane75@johnson-reed.com"/>
    <s v="886.561.9036x4285"/>
    <d v="2024-08-05T00:00:00"/>
    <x v="0"/>
    <x v="9"/>
    <d v="2024-12-25T00:00:00"/>
    <n v="20"/>
    <n v="1148.7"/>
    <s v="Yes"/>
    <n v="5"/>
    <n v="57.44"/>
  </r>
  <r>
    <n v="448"/>
    <s v="Katelyn"/>
    <s v="Yang"/>
    <s v="Female"/>
    <n v="73"/>
    <x v="2"/>
    <s v="New Caledonia"/>
    <s v="New Elizabethside"/>
    <s v="stephenallen@yahoo.com"/>
    <s v="8300738418"/>
    <d v="2023-07-19T00:00:00"/>
    <x v="0"/>
    <x v="1"/>
    <d v="2024-06-02T00:00:00"/>
    <n v="42"/>
    <n v="5050"/>
    <s v="No"/>
    <n v="5"/>
    <n v="120.24"/>
  </r>
  <r>
    <n v="449"/>
    <s v="Ruth"/>
    <s v="Davis"/>
    <s v="Male"/>
    <n v="59"/>
    <x v="2"/>
    <s v="Bulgaria"/>
    <s v="Nicholaschester"/>
    <s v="jenniferhansen@knight.info"/>
    <s v="320.890.8401"/>
    <d v="2024-10-30T00:00:00"/>
    <x v="1"/>
    <x v="7"/>
    <d v="2025-10-21T00:00:00"/>
    <n v="12"/>
    <n v="2922.95"/>
    <s v="No"/>
    <n v="1"/>
    <n v="243.58"/>
  </r>
  <r>
    <n v="450"/>
    <s v="Zachary"/>
    <s v="Robinson"/>
    <s v="Male"/>
    <n v="61"/>
    <x v="2"/>
    <s v="Burundi"/>
    <s v="Nicoleport"/>
    <s v="ginarosales@mack-watts.com"/>
    <s v="737-079-4492"/>
    <d v="2023-11-12T00:00:00"/>
    <x v="0"/>
    <x v="1"/>
    <d v="2024-06-29T00:00:00"/>
    <n v="16"/>
    <n v="258.86"/>
    <s v="Yes"/>
    <n v="4"/>
    <n v="16.18"/>
  </r>
  <r>
    <n v="451"/>
    <s v="Kelly"/>
    <s v="Peterson"/>
    <s v="Male"/>
    <n v="36"/>
    <x v="2"/>
    <s v="Guatemala"/>
    <s v="Lake Rebecca"/>
    <s v="hesterjames@compton.com"/>
    <s v="5882902897"/>
    <d v="2025-09-20T00:00:00"/>
    <x v="0"/>
    <x v="1"/>
    <d v="2024-06-18T00:00:00"/>
    <n v="33"/>
    <n v="2342.69"/>
    <s v="No"/>
    <n v="1"/>
    <n v="70.989999999999995"/>
  </r>
  <r>
    <n v="452"/>
    <s v="John"/>
    <s v="Williams"/>
    <s v="Female"/>
    <n v="69"/>
    <x v="0"/>
    <s v="Sudan"/>
    <s v="Kennedybury"/>
    <s v="brandon85@gmail.com"/>
    <s v="+1-418-369-0217x1977"/>
    <d v="2023-10-29T00:00:00"/>
    <x v="1"/>
    <x v="1"/>
    <d v="2025-06-01T00:00:00"/>
    <n v="14"/>
    <n v="7948.5"/>
    <s v="Yes"/>
    <n v="4"/>
    <n v="567.75"/>
  </r>
  <r>
    <n v="453"/>
    <s v="Jody"/>
    <s v="Fuentes"/>
    <s v="Female"/>
    <n v="51"/>
    <x v="2"/>
    <s v="Eritrea"/>
    <s v="Knightland"/>
    <s v="mark71@hotmail.com"/>
    <s v="001-351-144-9517x3346"/>
    <d v="2023-04-07T00:00:00"/>
    <x v="0"/>
    <x v="8"/>
    <d v="2024-01-17T00:00:00"/>
    <n v="6"/>
    <n v="3267.79"/>
    <s v="Yes"/>
    <n v="4"/>
    <n v="544.63"/>
  </r>
  <r>
    <n v="454"/>
    <s v="Jesse"/>
    <s v="Hunter"/>
    <s v="Male"/>
    <n v="39"/>
    <x v="3"/>
    <s v="Palestinian Territory"/>
    <s v="Jamesland"/>
    <s v="zreynolds@petty-morris.info"/>
    <s v="+1-758-700-3052x471"/>
    <d v="2025-01-25T00:00:00"/>
    <x v="1"/>
    <x v="0"/>
    <d v="2025-08-02T00:00:00"/>
    <n v="14"/>
    <n v="3474.45"/>
    <s v="Yes"/>
    <n v="2"/>
    <n v="248.18"/>
  </r>
  <r>
    <n v="455"/>
    <s v="Tina"/>
    <s v="Kelly"/>
    <s v="Male"/>
    <n v="34"/>
    <x v="5"/>
    <s v="Kazakhstan"/>
    <s v="Port Samuelside"/>
    <s v="mahoneyfrank@ramirez.com"/>
    <s v="4115526554"/>
    <d v="2022-11-06T00:00:00"/>
    <x v="1"/>
    <x v="10"/>
    <d v="2025-05-08T00:00:00"/>
    <n v="41"/>
    <n v="3759.64"/>
    <s v="Yes"/>
    <n v="2"/>
    <n v="91.7"/>
  </r>
  <r>
    <n v="456"/>
    <s v="Gabriel"/>
    <s v="Parrish"/>
    <s v="Male"/>
    <n v="29"/>
    <x v="2"/>
    <s v="Jordan"/>
    <s v="New Amberview"/>
    <s v="gzamora@marshall.biz"/>
    <s v="411.569.7837"/>
    <d v="2024-07-05T00:00:00"/>
    <x v="0"/>
    <x v="2"/>
    <d v="2024-09-23T00:00:00"/>
    <n v="36"/>
    <n v="5784.68"/>
    <s v="Yes"/>
    <n v="1"/>
    <n v="160.69"/>
  </r>
  <r>
    <n v="457"/>
    <s v="Laura"/>
    <s v="Riley"/>
    <s v="Female"/>
    <n v="48"/>
    <x v="0"/>
    <s v="Hong Kong"/>
    <s v="North Martin"/>
    <s v="qwatkins@yahoo.com"/>
    <s v="608.752.7064"/>
    <d v="2025-08-15T00:00:00"/>
    <x v="1"/>
    <x v="4"/>
    <d v="2025-03-25T00:00:00"/>
    <n v="14"/>
    <n v="247.82"/>
    <s v="Yes"/>
    <n v="3"/>
    <n v="17.7"/>
  </r>
  <r>
    <n v="458"/>
    <s v="Denise"/>
    <s v="Olson"/>
    <s v="Male"/>
    <n v="45"/>
    <x v="4"/>
    <s v="Antarctica (the territory South of 60 deg S)"/>
    <s v="West Lucashaven"/>
    <s v="pottershannon@yahoo.com"/>
    <s v="037-917-2462x55510"/>
    <d v="2024-11-08T00:00:00"/>
    <x v="1"/>
    <x v="10"/>
    <d v="2025-05-20T00:00:00"/>
    <n v="37"/>
    <n v="7125.94"/>
    <s v="Yes"/>
    <n v="4"/>
    <n v="192.59"/>
  </r>
  <r>
    <n v="459"/>
    <s v="Juan"/>
    <s v="Miller"/>
    <s v="Other"/>
    <n v="52"/>
    <x v="1"/>
    <s v="Jersey"/>
    <s v="Port Ronaldchester"/>
    <s v="vferguson@gmail.com"/>
    <s v="115.167.4826x4780"/>
    <d v="2023-09-28T00:00:00"/>
    <x v="1"/>
    <x v="11"/>
    <d v="2025-07-19T00:00:00"/>
    <n v="22"/>
    <n v="8632.6"/>
    <s v="Yes"/>
    <n v="2"/>
    <n v="392.39"/>
  </r>
  <r>
    <n v="460"/>
    <s v="Douglas"/>
    <s v="Ramirez"/>
    <s v="Female"/>
    <n v="21"/>
    <x v="0"/>
    <s v="Iran"/>
    <s v="New Johnberg"/>
    <s v="obriengregory@hotmail.com"/>
    <s v="3772572065"/>
    <d v="2025-01-05T00:00:00"/>
    <x v="1"/>
    <x v="7"/>
    <d v="2025-10-17T00:00:00"/>
    <n v="21"/>
    <n v="1328.26"/>
    <s v="No"/>
    <n v="3"/>
    <n v="63.25"/>
  </r>
  <r>
    <n v="461"/>
    <s v="Cameron"/>
    <s v="Davis"/>
    <s v="Female"/>
    <n v="37"/>
    <x v="0"/>
    <s v="Saint Pierre and Miquelon"/>
    <s v="Richport"/>
    <s v="idorsey@yahoo.com"/>
    <s v="(166)801-2540x9149"/>
    <d v="2022-12-30T00:00:00"/>
    <x v="0"/>
    <x v="5"/>
    <d v="2024-11-27T00:00:00"/>
    <n v="15"/>
    <n v="9236.17"/>
    <s v="No"/>
    <n v="3"/>
    <n v="615.74"/>
  </r>
  <r>
    <n v="462"/>
    <s v="Jay"/>
    <s v="Morgan"/>
    <s v="Male"/>
    <n v="43"/>
    <x v="1"/>
    <s v="Oman"/>
    <s v="Garciastad"/>
    <s v="david87@ryan.info"/>
    <s v="001-276-906-4606"/>
    <d v="2025-04-07T00:00:00"/>
    <x v="0"/>
    <x v="3"/>
    <d v="2024-04-03T00:00:00"/>
    <n v="4"/>
    <n v="6347.77"/>
    <s v="No"/>
    <n v="4"/>
    <n v="1586.94"/>
  </r>
  <r>
    <n v="463"/>
    <s v="Debra"/>
    <s v="Cohen"/>
    <s v="Male"/>
    <n v="59"/>
    <x v="0"/>
    <s v="Mexico"/>
    <s v="East Rachel"/>
    <s v="patrick09@pacheco.org"/>
    <s v="+1-105-440-3449"/>
    <d v="2023-09-04T00:00:00"/>
    <x v="2"/>
    <x v="9"/>
    <d v="2023-12-27T00:00:00"/>
    <n v="48"/>
    <n v="2298.87"/>
    <s v="Yes"/>
    <n v="1"/>
    <n v="47.89"/>
  </r>
  <r>
    <n v="464"/>
    <s v="Andrew"/>
    <s v="Schmidt"/>
    <s v="Male"/>
    <n v="44"/>
    <x v="5"/>
    <s v="Niger"/>
    <s v="Andrewport"/>
    <s v="arthurfritz@gmail.com"/>
    <s v="7917191026"/>
    <d v="2024-04-22T00:00:00"/>
    <x v="0"/>
    <x v="2"/>
    <d v="2024-09-09T00:00:00"/>
    <n v="1"/>
    <n v="9187.98"/>
    <s v="No"/>
    <n v="2"/>
    <n v="9187.98"/>
  </r>
  <r>
    <n v="465"/>
    <s v="Jerry"/>
    <s v="Jacobson"/>
    <s v="Other"/>
    <n v="21"/>
    <x v="2"/>
    <s v="Wallis and Futuna"/>
    <s v="South Laura"/>
    <s v="caroldavis@decker.info"/>
    <s v="076-931-6230x2868"/>
    <d v="2023-10-26T00:00:00"/>
    <x v="0"/>
    <x v="10"/>
    <d v="2024-05-24T00:00:00"/>
    <n v="32"/>
    <n v="4202.01"/>
    <s v="Yes"/>
    <n v="2"/>
    <n v="131.31"/>
  </r>
  <r>
    <n v="466"/>
    <s v="Steven"/>
    <s v="Schroeder"/>
    <s v="Male"/>
    <n v="26"/>
    <x v="2"/>
    <s v="Latvia"/>
    <s v="West Jeromeview"/>
    <s v="annawhitaker@gmail.com"/>
    <s v="+1-030-074-1349x42915"/>
    <d v="2024-06-01T00:00:00"/>
    <x v="0"/>
    <x v="9"/>
    <d v="2024-12-19T00:00:00"/>
    <n v="22"/>
    <n v="6690"/>
    <s v="No"/>
    <n v="5"/>
    <n v="304.08999999999997"/>
  </r>
  <r>
    <n v="467"/>
    <s v="Jason"/>
    <s v="Bell"/>
    <s v="Male"/>
    <n v="36"/>
    <x v="1"/>
    <s v="Kiribati"/>
    <s v="Bartonton"/>
    <s v="christinafrench@kennedy.com"/>
    <s v="078.036.0723"/>
    <d v="2025-01-05T00:00:00"/>
    <x v="1"/>
    <x v="10"/>
    <d v="2025-05-30T00:00:00"/>
    <n v="26"/>
    <n v="354.06"/>
    <s v="No"/>
    <n v="1"/>
    <n v="13.62"/>
  </r>
  <r>
    <n v="468"/>
    <s v="Pamela"/>
    <s v="Carlson"/>
    <s v="Female"/>
    <n v="30"/>
    <x v="5"/>
    <s v="Mozambique"/>
    <s v="North Michelle"/>
    <s v="nryan@hotmail.com"/>
    <s v="756-054-5986x39503"/>
    <d v="2024-06-11T00:00:00"/>
    <x v="0"/>
    <x v="10"/>
    <d v="2024-05-18T00:00:00"/>
    <n v="23"/>
    <n v="4352.71"/>
    <s v="Yes"/>
    <n v="2"/>
    <n v="189.25"/>
  </r>
  <r>
    <n v="469"/>
    <s v="Sarah"/>
    <s v="Rivera"/>
    <s v="Female"/>
    <n v="31"/>
    <x v="2"/>
    <s v="Uzbekistan"/>
    <s v="South Michele"/>
    <s v="nicole05@yahoo.com"/>
    <s v="(455)185-0261"/>
    <d v="2024-06-10T00:00:00"/>
    <x v="1"/>
    <x v="2"/>
    <d v="2025-09-15T00:00:00"/>
    <n v="29"/>
    <n v="9879.58"/>
    <s v="Yes"/>
    <n v="5"/>
    <n v="340.68"/>
  </r>
  <r>
    <n v="470"/>
    <s v="Denise"/>
    <s v="Wright"/>
    <s v="Male"/>
    <n v="46"/>
    <x v="2"/>
    <s v="Lesotho"/>
    <s v="Jennamouth"/>
    <s v="jamiechurch@bell-munoz.org"/>
    <s v="634.752.9991x221"/>
    <d v="2024-10-14T00:00:00"/>
    <x v="0"/>
    <x v="1"/>
    <d v="2024-06-20T00:00:00"/>
    <n v="2"/>
    <n v="9785.3799999999992"/>
    <s v="Yes"/>
    <n v="4"/>
    <n v="4892.6899999999996"/>
  </r>
  <r>
    <n v="471"/>
    <s v="Erik"/>
    <s v="Bush"/>
    <s v="Female"/>
    <n v="53"/>
    <x v="1"/>
    <s v="Ireland"/>
    <s v="Port Laurie"/>
    <s v="codylopez@gmail.com"/>
    <s v="(001)617-2885x852"/>
    <d v="2024-10-25T00:00:00"/>
    <x v="0"/>
    <x v="6"/>
    <d v="2024-02-29T00:00:00"/>
    <n v="19"/>
    <n v="9182.14"/>
    <s v="No"/>
    <n v="4"/>
    <n v="483.27"/>
  </r>
  <r>
    <n v="472"/>
    <s v="Laura"/>
    <s v="Stanley"/>
    <s v="Female"/>
    <n v="66"/>
    <x v="4"/>
    <s v="Guadeloupe"/>
    <s v="Brandonland"/>
    <s v="cameron32@lewis.com"/>
    <s v="+1-257-389-0526"/>
    <d v="2023-11-09T00:00:00"/>
    <x v="0"/>
    <x v="9"/>
    <d v="2024-12-24T00:00:00"/>
    <n v="49"/>
    <n v="1461.47"/>
    <s v="Yes"/>
    <n v="1"/>
    <n v="29.83"/>
  </r>
  <r>
    <n v="473"/>
    <s v="Jason"/>
    <s v="Grant"/>
    <s v="Female"/>
    <n v="45"/>
    <x v="2"/>
    <s v="Zimbabwe"/>
    <s v="South Dustin"/>
    <s v="derrick30@wise.info"/>
    <s v="001-351-876-9390x841"/>
    <d v="2024-06-21T00:00:00"/>
    <x v="0"/>
    <x v="4"/>
    <d v="2024-03-17T00:00:00"/>
    <n v="7"/>
    <n v="8252.23"/>
    <s v="Yes"/>
    <n v="3"/>
    <n v="1178.8900000000001"/>
  </r>
  <r>
    <n v="474"/>
    <s v="Linda"/>
    <s v="Munoz"/>
    <s v="Male"/>
    <n v="50"/>
    <x v="1"/>
    <s v="Tajikistan"/>
    <s v="Petersonland"/>
    <s v="brittanystewart@gmail.com"/>
    <s v="490.866.4630x278"/>
    <d v="2023-04-03T00:00:00"/>
    <x v="2"/>
    <x v="5"/>
    <d v="2023-11-16T00:00:00"/>
    <n v="30"/>
    <n v="8268.86"/>
    <s v="No"/>
    <n v="1"/>
    <n v="275.63"/>
  </r>
  <r>
    <n v="475"/>
    <s v="Amy"/>
    <s v="Mccormick"/>
    <s v="Female"/>
    <n v="39"/>
    <x v="2"/>
    <s v="Cook Islands"/>
    <s v="Port Pamela"/>
    <s v="moralesshane@craig-reynolds.com"/>
    <s v="(511)883-4199x680"/>
    <d v="2022-11-05T00:00:00"/>
    <x v="0"/>
    <x v="9"/>
    <d v="2024-12-03T00:00:00"/>
    <n v="9"/>
    <n v="8512.51"/>
    <s v="Yes"/>
    <n v="2"/>
    <n v="945.83"/>
  </r>
  <r>
    <n v="476"/>
    <s v="Joseph"/>
    <s v="Andrews"/>
    <s v="Other"/>
    <n v="62"/>
    <x v="1"/>
    <s v="Taiwan"/>
    <s v="East George"/>
    <s v="gordonchristopher@james-norris.com"/>
    <s v="217-096-5291"/>
    <d v="2023-08-02T00:00:00"/>
    <x v="0"/>
    <x v="11"/>
    <d v="2024-07-20T00:00:00"/>
    <n v="27"/>
    <n v="5270.75"/>
    <s v="Yes"/>
    <n v="5"/>
    <n v="195.21"/>
  </r>
  <r>
    <n v="477"/>
    <s v="Christina"/>
    <s v="Gonzales"/>
    <s v="Female"/>
    <n v="68"/>
    <x v="2"/>
    <s v="Eritrea"/>
    <s v="Holdenmouth"/>
    <s v="robertevans@reynolds.org"/>
    <s v="3113973926"/>
    <d v="2025-02-24T00:00:00"/>
    <x v="0"/>
    <x v="6"/>
    <d v="2024-02-02T00:00:00"/>
    <n v="13"/>
    <n v="6909.98"/>
    <s v="No"/>
    <n v="4"/>
    <n v="531.54"/>
  </r>
  <r>
    <n v="478"/>
    <s v="Jonathan"/>
    <s v="Wang"/>
    <s v="Female"/>
    <n v="48"/>
    <x v="5"/>
    <s v="Thailand"/>
    <s v="West Cody"/>
    <s v="ftaylor@miller.com"/>
    <s v="958.943.0264x16893"/>
    <d v="2025-05-03T00:00:00"/>
    <x v="0"/>
    <x v="9"/>
    <d v="2024-12-30T00:00:00"/>
    <n v="43"/>
    <n v="4624.92"/>
    <s v="No"/>
    <n v="1"/>
    <n v="107.56"/>
  </r>
  <r>
    <n v="479"/>
    <s v="Parker"/>
    <s v="Morgan"/>
    <s v="Female"/>
    <n v="62"/>
    <x v="0"/>
    <s v="Kyrgyz Republic"/>
    <s v="Shawnport"/>
    <s v="ambermorales@brown-buck.com"/>
    <s v="992.915.5242x1666"/>
    <d v="2024-03-22T00:00:00"/>
    <x v="1"/>
    <x v="3"/>
    <d v="2025-04-10T00:00:00"/>
    <n v="28"/>
    <n v="7765.96"/>
    <s v="Yes"/>
    <n v="3"/>
    <n v="277.36"/>
  </r>
  <r>
    <n v="480"/>
    <s v="Leah"/>
    <s v="Thomas"/>
    <s v="Male"/>
    <n v="68"/>
    <x v="2"/>
    <s v="Cook Islands"/>
    <s v="Murrayside"/>
    <s v="trussell@gmail.com"/>
    <s v="(417)173-0941x94369"/>
    <d v="2023-12-13T00:00:00"/>
    <x v="1"/>
    <x v="10"/>
    <d v="2025-05-21T00:00:00"/>
    <n v="4"/>
    <n v="9886.02"/>
    <s v="Yes"/>
    <n v="3"/>
    <n v="2471.5"/>
  </r>
  <r>
    <n v="481"/>
    <s v="Alexandria"/>
    <s v="Smith"/>
    <s v="Other"/>
    <n v="57"/>
    <x v="4"/>
    <s v="Seychelles"/>
    <s v="North Sabrinaville"/>
    <s v="yvincent@gmail.com"/>
    <s v="575.256.6744x8280"/>
    <d v="2023-09-29T00:00:00"/>
    <x v="0"/>
    <x v="6"/>
    <d v="2024-02-18T00:00:00"/>
    <n v="15"/>
    <n v="6001.17"/>
    <s v="Yes"/>
    <n v="5"/>
    <n v="400.08"/>
  </r>
  <r>
    <n v="482"/>
    <s v="Erica"/>
    <s v="Moon"/>
    <s v="Male"/>
    <n v="69"/>
    <x v="0"/>
    <s v="Iraq"/>
    <s v="South Laurentown"/>
    <s v="wwilliams@weeks.com"/>
    <s v="0571207142"/>
    <d v="2024-08-15T00:00:00"/>
    <x v="2"/>
    <x v="9"/>
    <d v="2023-12-28T00:00:00"/>
    <n v="46"/>
    <n v="4545.88"/>
    <s v="No"/>
    <n v="1"/>
    <n v="98.82"/>
  </r>
  <r>
    <n v="483"/>
    <s v="Allen"/>
    <s v="Walker"/>
    <s v="Male"/>
    <n v="58"/>
    <x v="4"/>
    <s v="Togo"/>
    <s v="Lake Robinstad"/>
    <s v="brittanyperez@hotmail.com"/>
    <s v="+1-022-494-5469x711"/>
    <d v="2023-04-26T00:00:00"/>
    <x v="0"/>
    <x v="9"/>
    <d v="2024-12-09T00:00:00"/>
    <n v="10"/>
    <n v="7179.03"/>
    <s v="Yes"/>
    <n v="3"/>
    <n v="717.9"/>
  </r>
  <r>
    <n v="484"/>
    <s v="Earl"/>
    <s v="Martinez"/>
    <s v="Male"/>
    <n v="31"/>
    <x v="0"/>
    <s v="Philippines"/>
    <s v="Amychester"/>
    <s v="ncarter@price-fuller.biz"/>
    <s v="854.635.1360"/>
    <d v="2024-09-03T00:00:00"/>
    <x v="1"/>
    <x v="11"/>
    <d v="2025-07-27T00:00:00"/>
    <n v="13"/>
    <n v="4311"/>
    <s v="Yes"/>
    <n v="5"/>
    <n v="331.62"/>
  </r>
  <r>
    <n v="485"/>
    <s v="Vanessa"/>
    <s v="Jones"/>
    <s v="Female"/>
    <n v="68"/>
    <x v="0"/>
    <s v="Haiti"/>
    <s v="New Mauricetown"/>
    <s v="norrisashley@yahoo.com"/>
    <s v="220-136-1176"/>
    <d v="2022-11-18T00:00:00"/>
    <x v="1"/>
    <x v="1"/>
    <d v="2025-06-30T00:00:00"/>
    <n v="4"/>
    <n v="1405.7"/>
    <s v="Yes"/>
    <n v="1"/>
    <n v="351.42"/>
  </r>
  <r>
    <n v="486"/>
    <s v="Shannon"/>
    <s v="Lopez"/>
    <s v="Male"/>
    <n v="36"/>
    <x v="4"/>
    <s v="United Arab Emirates"/>
    <s v="Hendricksburgh"/>
    <s v="james68@baker-russo.com"/>
    <s v="2957980708"/>
    <d v="2023-05-19T00:00:00"/>
    <x v="1"/>
    <x v="1"/>
    <d v="2025-06-28T00:00:00"/>
    <n v="48"/>
    <n v="9595.5499999999993"/>
    <s v="Yes"/>
    <n v="3"/>
    <n v="199.91"/>
  </r>
  <r>
    <n v="487"/>
    <s v="Angela"/>
    <s v="Jordan"/>
    <s v="Female"/>
    <n v="53"/>
    <x v="0"/>
    <s v="Kyrgyz Republic"/>
    <s v="West Jeffreychester"/>
    <s v="jeffreykelly@gmail.com"/>
    <s v="9672988380"/>
    <d v="2023-09-03T00:00:00"/>
    <x v="2"/>
    <x v="5"/>
    <d v="2023-11-25T00:00:00"/>
    <n v="14"/>
    <n v="9585.4699999999993"/>
    <s v="Yes"/>
    <n v="3"/>
    <n v="684.68"/>
  </r>
  <r>
    <n v="488"/>
    <s v="Benjamin"/>
    <s v="Watson"/>
    <s v="Female"/>
    <n v="38"/>
    <x v="3"/>
    <s v="Christmas Island"/>
    <s v="Lake Frederickville"/>
    <s v="gstephens@shannon.info"/>
    <s v="110.739.9012x289"/>
    <d v="2024-02-16T00:00:00"/>
    <x v="0"/>
    <x v="2"/>
    <d v="2024-09-06T00:00:00"/>
    <n v="19"/>
    <n v="8382.16"/>
    <s v="Yes"/>
    <n v="2"/>
    <n v="441.17"/>
  </r>
  <r>
    <n v="489"/>
    <s v="Sarah"/>
    <s v="Vargas"/>
    <s v="Female"/>
    <n v="56"/>
    <x v="2"/>
    <s v="Colombia"/>
    <s v="Jamesmouth"/>
    <s v="shawn87@cooper.net"/>
    <s v="+1-518-942-9225"/>
    <d v="2024-10-08T00:00:00"/>
    <x v="1"/>
    <x v="0"/>
    <d v="2025-08-04T00:00:00"/>
    <n v="20"/>
    <n v="7071.41"/>
    <s v="Yes"/>
    <n v="2"/>
    <n v="353.57"/>
  </r>
  <r>
    <n v="490"/>
    <s v="Ann"/>
    <s v="Perez"/>
    <s v="Female"/>
    <n v="72"/>
    <x v="0"/>
    <s v="Liberia"/>
    <s v="Danieltown"/>
    <s v="vincentwagner@walters.org"/>
    <s v="537-893-7393"/>
    <d v="2025-01-13T00:00:00"/>
    <x v="0"/>
    <x v="5"/>
    <d v="2024-11-02T00:00:00"/>
    <n v="12"/>
    <n v="5901.89"/>
    <s v="No"/>
    <n v="5"/>
    <n v="491.82"/>
  </r>
  <r>
    <n v="491"/>
    <s v="James"/>
    <s v="Singh"/>
    <s v="Male"/>
    <n v="68"/>
    <x v="0"/>
    <s v="Haiti"/>
    <s v="Lake John"/>
    <s v="anthonymiller@key-love.net"/>
    <s v="+1-209-628-1629"/>
    <d v="2023-06-14T00:00:00"/>
    <x v="0"/>
    <x v="5"/>
    <d v="2024-11-14T00:00:00"/>
    <n v="36"/>
    <n v="1870.58"/>
    <s v="Yes"/>
    <n v="2"/>
    <n v="51.96"/>
  </r>
  <r>
    <n v="492"/>
    <s v="Scott"/>
    <s v="Reyes"/>
    <s v="Female"/>
    <n v="39"/>
    <x v="0"/>
    <s v="Liberia"/>
    <s v="Jamesville"/>
    <s v="christina91@adams-richards.net"/>
    <s v="+1-609-169-4764x624"/>
    <d v="2023-09-20T00:00:00"/>
    <x v="1"/>
    <x v="6"/>
    <d v="2025-02-16T00:00:00"/>
    <n v="35"/>
    <n v="4664.5600000000004"/>
    <s v="Yes"/>
    <n v="4"/>
    <n v="133.27000000000001"/>
  </r>
  <r>
    <n v="493"/>
    <s v="William"/>
    <s v="Miller"/>
    <s v="Female"/>
    <n v="31"/>
    <x v="4"/>
    <s v="Pitcairn Islands"/>
    <s v="East April"/>
    <s v="richard64@smith-russell.info"/>
    <s v="074.413.3527x5790"/>
    <d v="2023-04-01T00:00:00"/>
    <x v="2"/>
    <x v="5"/>
    <d v="2023-11-11T00:00:00"/>
    <n v="49"/>
    <n v="7134.96"/>
    <s v="Yes"/>
    <n v="2"/>
    <n v="145.61000000000001"/>
  </r>
  <r>
    <n v="494"/>
    <s v="Eric"/>
    <s v="Diaz"/>
    <s v="Male"/>
    <n v="23"/>
    <x v="5"/>
    <s v="Falkland Islands (Malvinas)"/>
    <s v="Port Jillstad"/>
    <s v="vsmith@gmail.com"/>
    <s v="001-833-335-2433"/>
    <d v="2025-07-02T00:00:00"/>
    <x v="1"/>
    <x v="4"/>
    <d v="2025-03-15T00:00:00"/>
    <n v="14"/>
    <n v="3293.78"/>
    <s v="Yes"/>
    <n v="2"/>
    <n v="235.27"/>
  </r>
  <r>
    <n v="495"/>
    <s v="Robert"/>
    <s v="Rodriguez"/>
    <s v="Male"/>
    <n v="18"/>
    <x v="4"/>
    <s v="Cote d'Ivoire"/>
    <s v="East Jenniferburgh"/>
    <s v="sabrinagardner@moore.net"/>
    <s v="(171)415-9085x9588"/>
    <d v="2024-08-15T00:00:00"/>
    <x v="0"/>
    <x v="1"/>
    <d v="2024-06-07T00:00:00"/>
    <n v="23"/>
    <n v="218.32"/>
    <s v="Yes"/>
    <n v="5"/>
    <n v="9.49"/>
  </r>
  <r>
    <n v="496"/>
    <s v="Mary"/>
    <s v="Burton"/>
    <s v="Male"/>
    <n v="64"/>
    <x v="5"/>
    <s v="Turkey"/>
    <s v="Taylorborough"/>
    <s v="uschultz@moore.com"/>
    <s v="780.879.6007"/>
    <d v="2023-01-22T00:00:00"/>
    <x v="0"/>
    <x v="8"/>
    <d v="2024-01-16T00:00:00"/>
    <n v="5"/>
    <n v="3521.31"/>
    <s v="No"/>
    <n v="2"/>
    <n v="704.26"/>
  </r>
  <r>
    <n v="497"/>
    <s v="Emma"/>
    <s v="Garcia"/>
    <s v="Female"/>
    <n v="34"/>
    <x v="0"/>
    <s v="Peru"/>
    <s v="West Davidborough"/>
    <s v="angela91@hotmail.com"/>
    <s v="251-092-7795x9647"/>
    <d v="2025-06-02T00:00:00"/>
    <x v="0"/>
    <x v="5"/>
    <d v="2024-11-16T00:00:00"/>
    <n v="29"/>
    <n v="85.17"/>
    <s v="Yes"/>
    <n v="1"/>
    <n v="2.94"/>
  </r>
  <r>
    <n v="498"/>
    <s v="Joyce"/>
    <s v="Sparks"/>
    <s v="Male"/>
    <n v="37"/>
    <x v="2"/>
    <s v="Morocco"/>
    <s v="New Clintonfort"/>
    <s v="felicia90@hotmail.com"/>
    <s v="668.165.9733"/>
    <d v="2024-05-23T00:00:00"/>
    <x v="1"/>
    <x v="10"/>
    <d v="2025-05-06T00:00:00"/>
    <n v="25"/>
    <n v="3422.41"/>
    <s v="Yes"/>
    <n v="4"/>
    <n v="136.9"/>
  </r>
  <r>
    <n v="499"/>
    <s v="Daniel"/>
    <s v="Vazquez"/>
    <s v="Male"/>
    <n v="37"/>
    <x v="2"/>
    <s v="Tanzania"/>
    <s v="Krausechester"/>
    <s v="veronica40@hotmail.com"/>
    <s v="001-046-643-8744"/>
    <d v="2023-11-30T00:00:00"/>
    <x v="2"/>
    <x v="9"/>
    <d v="2023-12-20T00:00:00"/>
    <n v="19"/>
    <n v="5966.69"/>
    <s v="No"/>
    <n v="5"/>
    <n v="314.04000000000002"/>
  </r>
  <r>
    <n v="500"/>
    <s v="Katelyn"/>
    <s v="Burns"/>
    <s v="Female"/>
    <n v="66"/>
    <x v="0"/>
    <s v="Hong Kong"/>
    <s v="Sotoshire"/>
    <s v="joshua66@yahoo.com"/>
    <s v="001-493-113-7350"/>
    <d v="2023-05-24T00:00:00"/>
    <x v="0"/>
    <x v="9"/>
    <d v="2024-12-04T00:00:00"/>
    <n v="23"/>
    <n v="4393.47"/>
    <s v="No"/>
    <n v="3"/>
    <n v="191.02"/>
  </r>
  <r>
    <n v="501"/>
    <s v="Randy"/>
    <s v="Baldwin"/>
    <s v="Male"/>
    <n v="44"/>
    <x v="2"/>
    <s v="Cyprus"/>
    <s v="Terriside"/>
    <s v="laura27@schroeder.com"/>
    <s v="310.605.2147"/>
    <d v="2023-04-28T00:00:00"/>
    <x v="0"/>
    <x v="7"/>
    <d v="2024-10-10T00:00:00"/>
    <n v="13"/>
    <n v="8801.3700000000008"/>
    <s v="Yes"/>
    <n v="4"/>
    <n v="677.03"/>
  </r>
  <r>
    <n v="502"/>
    <s v="Amy"/>
    <s v="Hood"/>
    <s v="Female"/>
    <n v="37"/>
    <x v="0"/>
    <s v="Sierra Leone"/>
    <s v="New Dana"/>
    <s v="tiffanyelliott@garcia.info"/>
    <s v="001-563-166-1277x17178"/>
    <d v="2022-11-28T00:00:00"/>
    <x v="0"/>
    <x v="5"/>
    <d v="2024-11-18T00:00:00"/>
    <n v="14"/>
    <n v="6400.76"/>
    <s v="Yes"/>
    <n v="5"/>
    <n v="457.2"/>
  </r>
  <r>
    <n v="503"/>
    <s v="Brandon"/>
    <s v="Harper"/>
    <s v="Male"/>
    <n v="72"/>
    <x v="6"/>
    <s v="Botswana"/>
    <s v="New Alexaberg"/>
    <s v="sherry32@miller.com"/>
    <s v="+1-412-948-0862x4801"/>
    <d v="2025-01-24T00:00:00"/>
    <x v="1"/>
    <x v="3"/>
    <d v="2025-04-09T00:00:00"/>
    <n v="6"/>
    <n v="9562.08"/>
    <s v="Yes"/>
    <n v="5"/>
    <n v="1593.68"/>
  </r>
  <r>
    <n v="504"/>
    <s v="Michelle"/>
    <s v="Gonzalez"/>
    <s v="Male"/>
    <n v="43"/>
    <x v="4"/>
    <s v="Heard Island and McDonald Islands"/>
    <s v="Francisside"/>
    <s v="timothymoyer@brown.com"/>
    <s v="461-110-6542x4024"/>
    <d v="2025-10-27T00:00:00"/>
    <x v="0"/>
    <x v="11"/>
    <d v="2024-07-18T00:00:00"/>
    <n v="22"/>
    <n v="8385.17"/>
    <s v="Yes"/>
    <n v="3"/>
    <n v="381.14"/>
  </r>
  <r>
    <n v="505"/>
    <s v="Christy"/>
    <s v="Miller"/>
    <s v="Female"/>
    <n v="49"/>
    <x v="2"/>
    <s v="Estonia"/>
    <s v="East Thomasburgh"/>
    <s v="rmarshall@gmail.com"/>
    <s v="(854)825-7365x735"/>
    <d v="2024-11-19T00:00:00"/>
    <x v="0"/>
    <x v="3"/>
    <d v="2024-04-21T00:00:00"/>
    <n v="4"/>
    <n v="5198.12"/>
    <s v="No"/>
    <n v="4"/>
    <n v="1299.53"/>
  </r>
  <r>
    <n v="506"/>
    <s v="Sarah"/>
    <s v="Baker"/>
    <s v="Male"/>
    <n v="45"/>
    <x v="2"/>
    <s v="Slovenia"/>
    <s v="North Benjamin"/>
    <s v="phillipgardner@hotmail.com"/>
    <s v="(978)554-8448x60982"/>
    <d v="2025-02-16T00:00:00"/>
    <x v="1"/>
    <x v="7"/>
    <d v="2025-10-13T00:00:00"/>
    <n v="48"/>
    <n v="1845.3"/>
    <s v="No"/>
    <n v="2"/>
    <n v="38.44"/>
  </r>
  <r>
    <n v="507"/>
    <s v="Karen"/>
    <s v="Vance"/>
    <s v="Female"/>
    <n v="33"/>
    <x v="2"/>
    <s v="Reunion"/>
    <s v="Toddport"/>
    <s v="wrangel@benson.net"/>
    <s v="487.194.6406"/>
    <d v="2023-01-13T00:00:00"/>
    <x v="1"/>
    <x v="8"/>
    <d v="2025-01-25T00:00:00"/>
    <n v="35"/>
    <n v="4659.12"/>
    <s v="Yes"/>
    <n v="2"/>
    <n v="133.12"/>
  </r>
  <r>
    <n v="508"/>
    <s v="Alexandra"/>
    <s v="Warren"/>
    <s v="Female"/>
    <n v="27"/>
    <x v="4"/>
    <s v="Mali"/>
    <s v="Ryanton"/>
    <s v="jasonkim@gmail.com"/>
    <s v="9779294087"/>
    <d v="2025-08-09T00:00:00"/>
    <x v="1"/>
    <x v="10"/>
    <d v="2025-05-22T00:00:00"/>
    <n v="36"/>
    <n v="8105.21"/>
    <s v="No"/>
    <n v="1"/>
    <n v="225.14"/>
  </r>
  <r>
    <n v="509"/>
    <s v="Shawn"/>
    <s v="Peterson"/>
    <s v="Female"/>
    <n v="31"/>
    <x v="3"/>
    <s v="United Kingdom"/>
    <s v="Danielside"/>
    <s v="gardnerhunter@eaton.org"/>
    <s v="0912721661"/>
    <d v="2025-02-01T00:00:00"/>
    <x v="0"/>
    <x v="5"/>
    <d v="2024-11-18T00:00:00"/>
    <n v="41"/>
    <n v="5152.18"/>
    <s v="Yes"/>
    <n v="3"/>
    <n v="125.66"/>
  </r>
  <r>
    <n v="510"/>
    <s v="Amanda"/>
    <s v="Smith"/>
    <s v="Female"/>
    <n v="48"/>
    <x v="4"/>
    <s v="Denmark"/>
    <s v="West Samantha"/>
    <s v="ulloyd@walters-alexander.info"/>
    <s v="347-216-7900"/>
    <d v="2024-11-13T00:00:00"/>
    <x v="0"/>
    <x v="8"/>
    <d v="2024-01-31T00:00:00"/>
    <n v="4"/>
    <n v="3448.76"/>
    <s v="No"/>
    <n v="2"/>
    <n v="862.19"/>
  </r>
  <r>
    <n v="511"/>
    <s v="Brian"/>
    <s v="Carter"/>
    <s v="Female"/>
    <n v="41"/>
    <x v="1"/>
    <s v="Tuvalu"/>
    <s v="Port Helenmouth"/>
    <s v="brianromero@gmail.com"/>
    <s v="913.975.7415x9508"/>
    <d v="2022-11-03T00:00:00"/>
    <x v="0"/>
    <x v="3"/>
    <d v="2024-04-14T00:00:00"/>
    <n v="43"/>
    <n v="1078.28"/>
    <s v="Yes"/>
    <n v="3"/>
    <n v="25.08"/>
  </r>
  <r>
    <n v="512"/>
    <s v="Thomas"/>
    <s v="Sanford"/>
    <s v="Male"/>
    <n v="18"/>
    <x v="3"/>
    <s v="Palestinian Territory"/>
    <s v="North Kaitlyn"/>
    <s v="warrenbradley@norris.org"/>
    <s v="(856)560-7782"/>
    <d v="2023-02-02T00:00:00"/>
    <x v="1"/>
    <x v="2"/>
    <d v="2025-09-16T00:00:00"/>
    <n v="6"/>
    <n v="2962.09"/>
    <s v="Yes"/>
    <n v="5"/>
    <n v="493.68"/>
  </r>
  <r>
    <n v="513"/>
    <s v="Vernon"/>
    <s v="White"/>
    <s v="Female"/>
    <n v="60"/>
    <x v="4"/>
    <s v="Greece"/>
    <s v="East Mary"/>
    <s v="dsanchez@hotmail.com"/>
    <s v="001-966-720-4432"/>
    <d v="2024-07-10T00:00:00"/>
    <x v="0"/>
    <x v="4"/>
    <d v="2024-03-23T00:00:00"/>
    <n v="49"/>
    <n v="3692.12"/>
    <s v="Yes"/>
    <n v="5"/>
    <n v="75.349999999999994"/>
  </r>
  <r>
    <n v="514"/>
    <s v="Jeffrey"/>
    <s v="Goodman"/>
    <s v="Male"/>
    <n v="35"/>
    <x v="2"/>
    <s v="Russian Federation"/>
    <s v="South Kevintown"/>
    <s v="loretta32@hernandez.com"/>
    <s v="001-878-110-5972x89871"/>
    <d v="2024-10-06T00:00:00"/>
    <x v="0"/>
    <x v="5"/>
    <d v="2024-11-12T00:00:00"/>
    <n v="24"/>
    <n v="2749.69"/>
    <s v="Yes"/>
    <n v="1"/>
    <n v="114.57"/>
  </r>
  <r>
    <n v="515"/>
    <s v="Paul"/>
    <s v="Brown"/>
    <s v="Female"/>
    <n v="23"/>
    <x v="2"/>
    <s v="Canada"/>
    <s v="West Melissaberg"/>
    <s v="garysalas@good.biz"/>
    <s v="360-191-2544"/>
    <d v="2025-08-27T00:00:00"/>
    <x v="0"/>
    <x v="2"/>
    <d v="2024-09-25T00:00:00"/>
    <n v="48"/>
    <n v="3482.76"/>
    <s v="Yes"/>
    <n v="3"/>
    <n v="72.56"/>
  </r>
  <r>
    <n v="516"/>
    <s v="Olivia"/>
    <s v="Lopez"/>
    <s v="Female"/>
    <n v="52"/>
    <x v="2"/>
    <s v="French Polynesia"/>
    <s v="Torresfurt"/>
    <s v="gmartinez@hotmail.com"/>
    <s v="+1-430-937-0040x224"/>
    <d v="2025-01-02T00:00:00"/>
    <x v="0"/>
    <x v="2"/>
    <d v="2024-09-07T00:00:00"/>
    <n v="18"/>
    <n v="764.83"/>
    <s v="Yes"/>
    <n v="1"/>
    <n v="42.49"/>
  </r>
  <r>
    <n v="517"/>
    <s v="Andrew"/>
    <s v="Nelson"/>
    <s v="Male"/>
    <n v="68"/>
    <x v="0"/>
    <s v="Guam"/>
    <s v="Cesartown"/>
    <s v="lindahuffman@smith.com"/>
    <s v="984.952.7328"/>
    <d v="2024-05-11T00:00:00"/>
    <x v="1"/>
    <x v="0"/>
    <d v="2025-08-24T00:00:00"/>
    <n v="26"/>
    <n v="6882"/>
    <s v="No"/>
    <n v="5"/>
    <n v="264.69"/>
  </r>
  <r>
    <n v="518"/>
    <s v="Mercedes"/>
    <s v="Hall"/>
    <s v="Female"/>
    <n v="36"/>
    <x v="2"/>
    <s v="Cayman Islands"/>
    <s v="Foxchester"/>
    <s v="uwalton@yahoo.com"/>
    <s v="160.777.4834"/>
    <d v="2022-11-28T00:00:00"/>
    <x v="0"/>
    <x v="1"/>
    <d v="2024-06-26T00:00:00"/>
    <n v="23"/>
    <n v="8463.16"/>
    <s v="Yes"/>
    <n v="1"/>
    <n v="367.96"/>
  </r>
  <r>
    <n v="519"/>
    <s v="Penny"/>
    <s v="Paul"/>
    <s v="Female"/>
    <n v="74"/>
    <x v="4"/>
    <s v="Saint Helena"/>
    <s v="Pinedatown"/>
    <s v="lorilee@hotmail.com"/>
    <s v="200-676-6748x9116"/>
    <d v="2024-08-11T00:00:00"/>
    <x v="1"/>
    <x v="4"/>
    <d v="2025-03-04T00:00:00"/>
    <n v="40"/>
    <n v="1913.98"/>
    <s v="Yes"/>
    <n v="3"/>
    <n v="47.85"/>
  </r>
  <r>
    <n v="520"/>
    <s v="Teresa"/>
    <s v="Bailey"/>
    <s v="Male"/>
    <n v="36"/>
    <x v="5"/>
    <s v="France"/>
    <s v="Williamsberg"/>
    <s v="sarahallen@gmail.com"/>
    <s v="079-422-9598x37383"/>
    <d v="2025-01-30T00:00:00"/>
    <x v="0"/>
    <x v="2"/>
    <d v="2024-09-23T00:00:00"/>
    <n v="19"/>
    <n v="4231.24"/>
    <s v="No"/>
    <n v="5"/>
    <n v="222.7"/>
  </r>
  <r>
    <n v="521"/>
    <s v="John"/>
    <s v="Buck"/>
    <s v="Male"/>
    <n v="41"/>
    <x v="0"/>
    <s v="Uganda"/>
    <s v="Dalehaven"/>
    <s v="angela57@copeland.com"/>
    <s v="(179)377-1862"/>
    <d v="2024-04-25T00:00:00"/>
    <x v="0"/>
    <x v="6"/>
    <d v="2024-02-09T00:00:00"/>
    <n v="23"/>
    <n v="5819.56"/>
    <s v="Yes"/>
    <n v="5"/>
    <n v="253.02"/>
  </r>
  <r>
    <n v="522"/>
    <s v="Richard"/>
    <s v="Johnson"/>
    <s v="Male"/>
    <n v="51"/>
    <x v="2"/>
    <s v="Canada"/>
    <s v="New Christopher"/>
    <s v="katherine45@hale-watson.com"/>
    <s v="691.489.8921x02245"/>
    <d v="2023-01-04T00:00:00"/>
    <x v="1"/>
    <x v="4"/>
    <d v="2025-03-21T00:00:00"/>
    <n v="7"/>
    <n v="9209.9500000000007"/>
    <s v="No"/>
    <n v="3"/>
    <n v="1315.71"/>
  </r>
  <r>
    <n v="523"/>
    <s v="Carolyn"/>
    <s v="Stanley"/>
    <s v="Male"/>
    <n v="32"/>
    <x v="2"/>
    <s v="Malta"/>
    <s v="Comptonmouth"/>
    <s v="mark78@hotmail.com"/>
    <s v="+1-600-771-2945x134"/>
    <d v="2025-08-09T00:00:00"/>
    <x v="0"/>
    <x v="11"/>
    <d v="2024-07-15T00:00:00"/>
    <n v="48"/>
    <n v="6701.16"/>
    <s v="No"/>
    <n v="3"/>
    <n v="139.61000000000001"/>
  </r>
  <r>
    <n v="524"/>
    <s v="Chase"/>
    <s v="Guerra"/>
    <s v="Male"/>
    <n v="40"/>
    <x v="4"/>
    <s v="Saint Helena"/>
    <s v="Matthewside"/>
    <s v="strongbruce@fisher.org"/>
    <s v="903-467-1455x5023"/>
    <d v="2024-05-26T00:00:00"/>
    <x v="0"/>
    <x v="9"/>
    <d v="2024-12-26T00:00:00"/>
    <n v="32"/>
    <n v="7069.74"/>
    <s v="Yes"/>
    <n v="2"/>
    <n v="220.93"/>
  </r>
  <r>
    <n v="525"/>
    <s v="Megan"/>
    <s v="Douglas"/>
    <s v="Male"/>
    <n v="51"/>
    <x v="0"/>
    <s v="Namibia"/>
    <s v="Lake Patrick"/>
    <s v="sgray@thomas-shelton.com"/>
    <s v="160.067.4198x89422"/>
    <d v="2025-04-17T00:00:00"/>
    <x v="0"/>
    <x v="7"/>
    <d v="2024-10-21T00:00:00"/>
    <n v="26"/>
    <n v="7291.13"/>
    <s v="Yes"/>
    <n v="2"/>
    <n v="280.43"/>
  </r>
  <r>
    <n v="526"/>
    <s v="Christopher"/>
    <s v="Austin"/>
    <s v="Female"/>
    <n v="46"/>
    <x v="1"/>
    <s v="Korea"/>
    <s v="East Phillipstad"/>
    <s v="billy81@garcia.com"/>
    <s v="001-723-555-2830x1746"/>
    <d v="2025-02-15T00:00:00"/>
    <x v="1"/>
    <x v="1"/>
    <d v="2025-06-21T00:00:00"/>
    <n v="18"/>
    <n v="8583.14"/>
    <s v="No"/>
    <n v="2"/>
    <n v="476.84"/>
  </r>
  <r>
    <n v="527"/>
    <s v="Brad"/>
    <s v="Neal"/>
    <s v="Female"/>
    <n v="52"/>
    <x v="2"/>
    <s v="Andorra"/>
    <s v="Jamesside"/>
    <s v="markcollins@hotmail.com"/>
    <s v="(628)672-0334x7057"/>
    <d v="2023-02-18T00:00:00"/>
    <x v="0"/>
    <x v="8"/>
    <d v="2024-01-27T00:00:00"/>
    <n v="18"/>
    <n v="7230.5"/>
    <s v="Yes"/>
    <n v="5"/>
    <n v="401.69"/>
  </r>
  <r>
    <n v="528"/>
    <s v="John"/>
    <s v="Stewart"/>
    <s v="Female"/>
    <n v="44"/>
    <x v="2"/>
    <s v="Cook Islands"/>
    <s v="Rodriguezport"/>
    <s v="lharris@dawson-palmer.com"/>
    <s v="+1-982-032-8406x42053"/>
    <d v="2025-10-15T00:00:00"/>
    <x v="2"/>
    <x v="5"/>
    <d v="2023-11-28T00:00:00"/>
    <n v="7"/>
    <n v="6772.46"/>
    <s v="No"/>
    <n v="3"/>
    <n v="967.49"/>
  </r>
  <r>
    <n v="529"/>
    <s v="Brett"/>
    <s v="Townsend"/>
    <s v="Female"/>
    <n v="45"/>
    <x v="5"/>
    <s v="United States of America"/>
    <s v="New Javier"/>
    <s v="zwilcox@calhoun.com"/>
    <s v="503-751-6178x79102"/>
    <d v="2023-07-18T00:00:00"/>
    <x v="0"/>
    <x v="2"/>
    <d v="2024-09-19T00:00:00"/>
    <n v="4"/>
    <n v="968.03"/>
    <s v="No"/>
    <n v="1"/>
    <n v="242.01"/>
  </r>
  <r>
    <n v="530"/>
    <s v="Adam"/>
    <s v="Nunez"/>
    <s v="Male"/>
    <n v="38"/>
    <x v="1"/>
    <s v="Montserrat"/>
    <s v="Isabelton"/>
    <s v="sharon28@anderson-atkins.org"/>
    <s v="001-182-528-5175x66166"/>
    <d v="2023-02-24T00:00:00"/>
    <x v="1"/>
    <x v="8"/>
    <d v="2025-01-16T00:00:00"/>
    <n v="48"/>
    <n v="7534.31"/>
    <s v="Yes"/>
    <n v="4"/>
    <n v="156.96"/>
  </r>
  <r>
    <n v="531"/>
    <s v="Catherine"/>
    <s v="Schwartz"/>
    <s v="Female"/>
    <n v="37"/>
    <x v="2"/>
    <s v="Turkmenistan"/>
    <s v="North Crystalfort"/>
    <s v="cherylhayes@hotmail.com"/>
    <s v="176-085-2048x54621"/>
    <d v="2025-05-01T00:00:00"/>
    <x v="0"/>
    <x v="9"/>
    <d v="2024-12-29T00:00:00"/>
    <n v="38"/>
    <n v="5468.18"/>
    <s v="No"/>
    <n v="2"/>
    <n v="143.9"/>
  </r>
  <r>
    <n v="532"/>
    <s v="Patricia"/>
    <s v="Miller"/>
    <s v="Male"/>
    <n v="52"/>
    <x v="0"/>
    <s v="Uganda"/>
    <s v="Jordanland"/>
    <s v="nathan19@yahoo.com"/>
    <s v="690.187.3913x08508"/>
    <d v="2023-06-03T00:00:00"/>
    <x v="0"/>
    <x v="6"/>
    <d v="2024-02-28T00:00:00"/>
    <n v="29"/>
    <n v="3824.58"/>
    <s v="No"/>
    <n v="4"/>
    <n v="131.88"/>
  </r>
  <r>
    <n v="533"/>
    <s v="William"/>
    <s v="Lewis"/>
    <s v="Male"/>
    <n v="42"/>
    <x v="0"/>
    <s v="Liechtenstein"/>
    <s v="Phillipshire"/>
    <s v="wendystout@dickson.com"/>
    <s v="+1-420-183-1480"/>
    <d v="2024-02-09T00:00:00"/>
    <x v="1"/>
    <x v="7"/>
    <d v="2025-10-20T00:00:00"/>
    <n v="10"/>
    <n v="7166.86"/>
    <s v="Yes"/>
    <n v="1"/>
    <n v="716.69"/>
  </r>
  <r>
    <n v="534"/>
    <s v="Jesse"/>
    <s v="Malone"/>
    <s v="Male"/>
    <n v="32"/>
    <x v="1"/>
    <s v="Jersey"/>
    <s v="Roweburgh"/>
    <s v="thomaspace@davis.com"/>
    <s v="521.778.1558x32882"/>
    <d v="2023-01-05T00:00:00"/>
    <x v="0"/>
    <x v="5"/>
    <d v="2024-11-23T00:00:00"/>
    <n v="42"/>
    <n v="9004.9500000000007"/>
    <s v="No"/>
    <n v="4"/>
    <n v="214.4"/>
  </r>
  <r>
    <n v="535"/>
    <s v="Mary"/>
    <s v="Reid"/>
    <s v="Female"/>
    <n v="18"/>
    <x v="2"/>
    <s v="Egypt"/>
    <s v="New Andrew"/>
    <s v="crawfordchristopher@gmail.com"/>
    <s v="+1-433-529-4181"/>
    <d v="2024-06-11T00:00:00"/>
    <x v="0"/>
    <x v="11"/>
    <d v="2024-07-16T00:00:00"/>
    <n v="4"/>
    <n v="6418.51"/>
    <s v="Yes"/>
    <n v="3"/>
    <n v="1604.63"/>
  </r>
  <r>
    <n v="536"/>
    <s v="Cody"/>
    <s v="Edwards"/>
    <s v="Male"/>
    <n v="45"/>
    <x v="5"/>
    <s v="Norway"/>
    <s v="South Justinport"/>
    <s v="mmcintyre@brown.org"/>
    <s v="(432)930-9000x586"/>
    <d v="2023-02-23T00:00:00"/>
    <x v="0"/>
    <x v="4"/>
    <d v="2024-03-04T00:00:00"/>
    <n v="25"/>
    <n v="707.9"/>
    <s v="No"/>
    <n v="1"/>
    <n v="28.32"/>
  </r>
  <r>
    <n v="537"/>
    <s v="Dylan"/>
    <s v="Ellis"/>
    <s v="Male"/>
    <n v="68"/>
    <x v="5"/>
    <s v="Nigeria"/>
    <s v="Kristopherborough"/>
    <s v="zacharyjones@valencia.com"/>
    <s v="+1-389-829-5788"/>
    <d v="2023-08-28T00:00:00"/>
    <x v="1"/>
    <x v="2"/>
    <d v="2025-09-09T00:00:00"/>
    <n v="28"/>
    <n v="7421.22"/>
    <s v="Yes"/>
    <n v="3"/>
    <n v="265.04000000000002"/>
  </r>
  <r>
    <n v="538"/>
    <s v="Felicia"/>
    <s v="Burgess"/>
    <s v="Male"/>
    <n v="42"/>
    <x v="3"/>
    <s v="Christmas Island"/>
    <s v="West Michele"/>
    <s v="johnlong@gmail.com"/>
    <s v="001-687-571-3025x959"/>
    <d v="2024-06-13T00:00:00"/>
    <x v="0"/>
    <x v="2"/>
    <d v="2024-09-14T00:00:00"/>
    <n v="49"/>
    <n v="2944.84"/>
    <s v="Yes"/>
    <n v="5"/>
    <n v="60.1"/>
  </r>
  <r>
    <n v="539"/>
    <s v="Devon"/>
    <s v="Hughes"/>
    <s v="Female"/>
    <n v="59"/>
    <x v="0"/>
    <s v="Sao Tome and Principe"/>
    <s v="Trujillotown"/>
    <s v="vasquezjames@hotmail.com"/>
    <s v="906-133-8934"/>
    <d v="2024-06-25T00:00:00"/>
    <x v="0"/>
    <x v="9"/>
    <d v="2024-12-19T00:00:00"/>
    <n v="21"/>
    <n v="9858.11"/>
    <s v="No"/>
    <n v="4"/>
    <n v="469.43"/>
  </r>
  <r>
    <n v="540"/>
    <s v="Katherine"/>
    <s v="Anderson"/>
    <s v="Male"/>
    <n v="37"/>
    <x v="2"/>
    <s v="Burundi"/>
    <s v="Port Candice"/>
    <s v="melendezgary@gonzales-patterson.com"/>
    <s v="139-684-5075"/>
    <d v="2025-03-16T00:00:00"/>
    <x v="0"/>
    <x v="3"/>
    <d v="2024-04-05T00:00:00"/>
    <n v="15"/>
    <n v="6990.91"/>
    <s v="Yes"/>
    <n v="3"/>
    <n v="466.06"/>
  </r>
  <r>
    <n v="541"/>
    <s v="Hannah"/>
    <s v="Cobb"/>
    <s v="Female"/>
    <n v="50"/>
    <x v="2"/>
    <s v="Estonia"/>
    <s v="Vaughnfurt"/>
    <s v="loretta87@hotmail.com"/>
    <s v="001-547-635-3653x6886"/>
    <d v="2024-02-22T00:00:00"/>
    <x v="1"/>
    <x v="2"/>
    <d v="2025-09-04T00:00:00"/>
    <n v="13"/>
    <n v="6315.88"/>
    <s v="No"/>
    <n v="4"/>
    <n v="485.84"/>
  </r>
  <r>
    <n v="542"/>
    <s v="Shari"/>
    <s v="Barnes"/>
    <s v="Female"/>
    <n v="18"/>
    <x v="3"/>
    <s v="Papua New Guinea"/>
    <s v="Cynthiahaven"/>
    <s v="johnsonbrianna@hotmail.com"/>
    <s v="001-566-528-2638"/>
    <d v="2023-07-26T00:00:00"/>
    <x v="1"/>
    <x v="8"/>
    <d v="2025-01-09T00:00:00"/>
    <n v="22"/>
    <n v="2602.61"/>
    <s v="No"/>
    <n v="3"/>
    <n v="118.3"/>
  </r>
  <r>
    <n v="543"/>
    <s v="James"/>
    <s v="Bell"/>
    <s v="Male"/>
    <n v="62"/>
    <x v="1"/>
    <s v="Cape Verde"/>
    <s v="Millerview"/>
    <s v="burgessdavid@yahoo.com"/>
    <s v="+1-541-228-2488x449"/>
    <d v="2024-11-11T00:00:00"/>
    <x v="1"/>
    <x v="11"/>
    <d v="2025-07-15T00:00:00"/>
    <n v="49"/>
    <n v="2954.9"/>
    <s v="Yes"/>
    <n v="3"/>
    <n v="60.3"/>
  </r>
  <r>
    <n v="544"/>
    <s v="Jennifer"/>
    <s v="Rodriguez"/>
    <s v="Female"/>
    <n v="41"/>
    <x v="1"/>
    <s v="Japan"/>
    <s v="Matthewside"/>
    <s v="lnguyen@hines-perry.com"/>
    <s v="3542796711"/>
    <d v="2023-10-10T00:00:00"/>
    <x v="0"/>
    <x v="1"/>
    <d v="2024-06-13T00:00:00"/>
    <n v="11"/>
    <n v="1305.68"/>
    <s v="Yes"/>
    <n v="2"/>
    <n v="118.7"/>
  </r>
  <r>
    <n v="545"/>
    <s v="Devin"/>
    <s v="Saunders"/>
    <s v="Male"/>
    <n v="51"/>
    <x v="0"/>
    <s v="Saint Pierre and Miquelon"/>
    <s v="Brendaville"/>
    <s v="wendygarcia@hotmail.com"/>
    <s v="+1-759-324-1505x78157"/>
    <d v="2023-05-27T00:00:00"/>
    <x v="0"/>
    <x v="2"/>
    <d v="2024-09-09T00:00:00"/>
    <n v="4"/>
    <n v="944.83"/>
    <s v="Yes"/>
    <n v="3"/>
    <n v="236.21"/>
  </r>
  <r>
    <n v="546"/>
    <s v="Karla"/>
    <s v="Simmons"/>
    <s v="Male"/>
    <n v="36"/>
    <x v="0"/>
    <s v="Macao"/>
    <s v="Yangburgh"/>
    <s v="kaufmanjoanna@martin.net"/>
    <s v="913.988.8157x58359"/>
    <d v="2024-11-02T00:00:00"/>
    <x v="1"/>
    <x v="1"/>
    <d v="2025-06-08T00:00:00"/>
    <n v="14"/>
    <n v="1862.42"/>
    <s v="No"/>
    <n v="4"/>
    <n v="133.03"/>
  </r>
  <r>
    <n v="547"/>
    <s v="Donald"/>
    <s v="Gamble"/>
    <s v="Male"/>
    <n v="69"/>
    <x v="1"/>
    <s v="Samoa"/>
    <s v="West April"/>
    <s v="epayne@hogan.net"/>
    <s v="9715992894"/>
    <d v="2024-08-20T00:00:00"/>
    <x v="0"/>
    <x v="11"/>
    <d v="2024-07-24T00:00:00"/>
    <n v="13"/>
    <n v="4212.45"/>
    <s v="Yes"/>
    <n v="5"/>
    <n v="324.02999999999997"/>
  </r>
  <r>
    <n v="548"/>
    <s v="Terri"/>
    <s v="Lewis"/>
    <s v="Female"/>
    <n v="72"/>
    <x v="1"/>
    <s v="Vietnam"/>
    <s v="North Michellemouth"/>
    <s v="sherrygriffin@gmail.com"/>
    <s v="972.606.7023x3898"/>
    <d v="2025-10-30T00:00:00"/>
    <x v="0"/>
    <x v="2"/>
    <d v="2024-09-26T00:00:00"/>
    <n v="14"/>
    <n v="4311.9399999999996"/>
    <s v="No"/>
    <n v="4"/>
    <n v="308"/>
  </r>
  <r>
    <n v="549"/>
    <s v="Jacob"/>
    <s v="Long"/>
    <s v="Female"/>
    <n v="44"/>
    <x v="1"/>
    <s v="Serbia"/>
    <s v="West Gloria"/>
    <s v="dustinfloyd@gmail.com"/>
    <s v="920-026-9721x448"/>
    <d v="2022-12-08T00:00:00"/>
    <x v="0"/>
    <x v="7"/>
    <d v="2024-10-02T00:00:00"/>
    <n v="45"/>
    <n v="6019.23"/>
    <s v="Yes"/>
    <n v="2"/>
    <n v="133.76"/>
  </r>
  <r>
    <n v="550"/>
    <s v="Stephanie"/>
    <s v="Melton"/>
    <s v="Female"/>
    <n v="24"/>
    <x v="2"/>
    <s v="Burundi"/>
    <s v="Port Alexanderchester"/>
    <s v="herrerasara@prince.com"/>
    <s v="569-196-3284x116"/>
    <d v="2023-01-04T00:00:00"/>
    <x v="0"/>
    <x v="3"/>
    <d v="2024-04-15T00:00:00"/>
    <n v="33"/>
    <n v="5652.51"/>
    <s v="No"/>
    <n v="1"/>
    <n v="171.29"/>
  </r>
  <r>
    <n v="551"/>
    <s v="Jessica"/>
    <s v="Fox"/>
    <s v="Male"/>
    <n v="65"/>
    <x v="4"/>
    <s v="Cambodia"/>
    <s v="Port Laura"/>
    <s v="juliesantos@gmail.com"/>
    <s v="456-208-6965x126"/>
    <d v="2025-04-25T00:00:00"/>
    <x v="2"/>
    <x v="9"/>
    <d v="2023-12-19T00:00:00"/>
    <n v="44"/>
    <n v="4605.62"/>
    <s v="No"/>
    <n v="5"/>
    <n v="104.67"/>
  </r>
  <r>
    <n v="552"/>
    <s v="Daniel"/>
    <s v="Ponce"/>
    <s v="Male"/>
    <n v="33"/>
    <x v="0"/>
    <s v="Sri Lanka"/>
    <s v="Melissaside"/>
    <s v="moyertara@russell.net"/>
    <s v="343.469.9922x63344"/>
    <d v="2025-02-21T00:00:00"/>
    <x v="2"/>
    <x v="5"/>
    <d v="2023-11-16T00:00:00"/>
    <n v="32"/>
    <n v="6944"/>
    <s v="Yes"/>
    <n v="4"/>
    <n v="217"/>
  </r>
  <r>
    <n v="553"/>
    <s v="Janet"/>
    <s v="Bradford"/>
    <s v="Female"/>
    <n v="18"/>
    <x v="2"/>
    <s v="Lebanon"/>
    <s v="South Stephanie"/>
    <s v="danafinley@thompson-williams.org"/>
    <s v="034.937.6701x3162"/>
    <d v="2024-02-07T00:00:00"/>
    <x v="1"/>
    <x v="0"/>
    <d v="2025-08-08T00:00:00"/>
    <n v="29"/>
    <n v="6605.49"/>
    <s v="No"/>
    <n v="5"/>
    <n v="227.78"/>
  </r>
  <r>
    <n v="554"/>
    <s v="Sherry"/>
    <s v="Flores"/>
    <s v="Male"/>
    <n v="31"/>
    <x v="1"/>
    <s v="Switzerland"/>
    <s v="West Daniel"/>
    <s v="ostephens@mccoy.com"/>
    <s v="(636)965-9116"/>
    <d v="2024-06-12T00:00:00"/>
    <x v="1"/>
    <x v="3"/>
    <d v="2025-04-24T00:00:00"/>
    <n v="33"/>
    <n v="709.46"/>
    <s v="Yes"/>
    <n v="2"/>
    <n v="21.5"/>
  </r>
  <r>
    <n v="555"/>
    <s v="Jacob"/>
    <s v="Larson"/>
    <s v="Other"/>
    <n v="39"/>
    <x v="1"/>
    <s v="Micronesia"/>
    <s v="North Markfort"/>
    <s v="clayton90@gmail.com"/>
    <s v="(481)460-4844"/>
    <d v="2023-09-12T00:00:00"/>
    <x v="2"/>
    <x v="9"/>
    <d v="2023-12-11T00:00:00"/>
    <n v="12"/>
    <n v="2537.63"/>
    <s v="No"/>
    <n v="4"/>
    <n v="211.47"/>
  </r>
  <r>
    <n v="556"/>
    <s v="Brittney"/>
    <s v="Allen"/>
    <s v="Male"/>
    <n v="33"/>
    <x v="2"/>
    <s v="Tokelau"/>
    <s v="East Kaylaton"/>
    <s v="randerson@yahoo.com"/>
    <s v="6699181496"/>
    <d v="2024-11-04T00:00:00"/>
    <x v="0"/>
    <x v="5"/>
    <d v="2024-11-14T00:00:00"/>
    <n v="21"/>
    <n v="9636.1200000000008"/>
    <s v="Yes"/>
    <n v="2"/>
    <n v="458.86"/>
  </r>
  <r>
    <n v="557"/>
    <s v="Emily"/>
    <s v="Lester"/>
    <s v="Male"/>
    <n v="36"/>
    <x v="6"/>
    <s v="French Guiana"/>
    <s v="Elizabethberg"/>
    <s v="hfletcher@riddle.com"/>
    <s v="364.543.4410x882"/>
    <d v="2025-09-08T00:00:00"/>
    <x v="0"/>
    <x v="11"/>
    <d v="2024-07-05T00:00:00"/>
    <n v="44"/>
    <n v="3963.56"/>
    <s v="No"/>
    <n v="2"/>
    <n v="90.08"/>
  </r>
  <r>
    <n v="558"/>
    <s v="James"/>
    <s v="Holmes"/>
    <s v="Female"/>
    <n v="73"/>
    <x v="4"/>
    <s v="British Indian Ocean Territory (Chagos Archipelago)"/>
    <s v="South John"/>
    <s v="phillipperez@mayo.net"/>
    <s v="710-875-2579"/>
    <d v="2023-09-08T00:00:00"/>
    <x v="0"/>
    <x v="4"/>
    <d v="2024-03-05T00:00:00"/>
    <n v="6"/>
    <n v="6685.35"/>
    <s v="No"/>
    <n v="1"/>
    <n v="1114.23"/>
  </r>
  <r>
    <n v="559"/>
    <s v="Christine"/>
    <s v="Williams"/>
    <s v="Female"/>
    <n v="46"/>
    <x v="2"/>
    <s v="Portugal"/>
    <s v="West Lauramouth"/>
    <s v="danielcole@hotmail.com"/>
    <s v="(024)034-5725x83006"/>
    <d v="2022-12-08T00:00:00"/>
    <x v="0"/>
    <x v="0"/>
    <d v="2024-08-12T00:00:00"/>
    <n v="28"/>
    <n v="2694.23"/>
    <s v="Yes"/>
    <n v="1"/>
    <n v="96.22"/>
  </r>
  <r>
    <n v="560"/>
    <s v="John"/>
    <s v="Rosario"/>
    <s v="Male"/>
    <n v="48"/>
    <x v="0"/>
    <s v="Sudan"/>
    <s v="Whiteburgh"/>
    <s v="ericwang@rogers.info"/>
    <s v="+1-176-901-3449x20426"/>
    <d v="2023-10-18T00:00:00"/>
    <x v="1"/>
    <x v="6"/>
    <d v="2025-02-27T00:00:00"/>
    <n v="46"/>
    <n v="8729.7900000000009"/>
    <s v="No"/>
    <n v="2"/>
    <n v="189.78"/>
  </r>
  <r>
    <n v="561"/>
    <s v="James"/>
    <s v="Wilson"/>
    <s v="Female"/>
    <n v="61"/>
    <x v="5"/>
    <s v="Nauru"/>
    <s v="Stricklandborough"/>
    <s v="nharris@hotmail.com"/>
    <s v="600-586-5154x86454"/>
    <d v="2025-05-30T00:00:00"/>
    <x v="1"/>
    <x v="3"/>
    <d v="2025-04-23T00:00:00"/>
    <n v="33"/>
    <n v="1901.49"/>
    <s v="Yes"/>
    <n v="5"/>
    <n v="57.62"/>
  </r>
  <r>
    <n v="562"/>
    <s v="John"/>
    <s v="Murray"/>
    <s v="Female"/>
    <n v="39"/>
    <x v="4"/>
    <s v="Belgium"/>
    <s v="Lake Michelle"/>
    <s v="jeffreywall@thompson-elliott.com"/>
    <s v="+1-392-818-0376x20403"/>
    <d v="2024-03-11T00:00:00"/>
    <x v="0"/>
    <x v="6"/>
    <d v="2024-02-16T00:00:00"/>
    <n v="37"/>
    <n v="2428.1799999999998"/>
    <s v="Yes"/>
    <n v="1"/>
    <n v="65.63"/>
  </r>
  <r>
    <n v="563"/>
    <s v="Kathy"/>
    <s v="Munoz"/>
    <s v="Female"/>
    <n v="36"/>
    <x v="0"/>
    <s v="Sri Lanka"/>
    <s v="Alvarezside"/>
    <s v="veronicaburns@wright.com"/>
    <s v="(770)948-0749"/>
    <d v="2025-09-09T00:00:00"/>
    <x v="1"/>
    <x v="6"/>
    <d v="2025-02-13T00:00:00"/>
    <n v="41"/>
    <n v="4992.96"/>
    <s v="Yes"/>
    <n v="3"/>
    <n v="121.78"/>
  </r>
  <r>
    <n v="564"/>
    <s v="Nathan"/>
    <s v="Bray"/>
    <s v="Male"/>
    <n v="63"/>
    <x v="2"/>
    <s v="Estonia"/>
    <s v="New Kennethmouth"/>
    <s v="robinsonchristopher@lee.net"/>
    <s v="292.591.7062"/>
    <d v="2024-09-22T00:00:00"/>
    <x v="2"/>
    <x v="5"/>
    <d v="2023-11-03T00:00:00"/>
    <n v="27"/>
    <n v="5491.7"/>
    <s v="Yes"/>
    <n v="3"/>
    <n v="203.4"/>
  </r>
  <r>
    <n v="565"/>
    <s v="Allison"/>
    <s v="Collins"/>
    <s v="Female"/>
    <n v="44"/>
    <x v="4"/>
    <s v="Bangladesh"/>
    <s v="West Ryanshire"/>
    <s v="ddavis@hotmail.com"/>
    <s v="(240)110-9395x10715"/>
    <d v="2024-08-20T00:00:00"/>
    <x v="0"/>
    <x v="7"/>
    <d v="2024-10-08T00:00:00"/>
    <n v="25"/>
    <n v="9756.77"/>
    <s v="No"/>
    <n v="1"/>
    <n v="390.27"/>
  </r>
  <r>
    <n v="566"/>
    <s v="Rachel"/>
    <s v="Perez"/>
    <s v="Female"/>
    <n v="67"/>
    <x v="0"/>
    <s v="Sierra Leone"/>
    <s v="East Colleen"/>
    <s v="kevinstephens@taylor.net"/>
    <s v="9807846239"/>
    <d v="2024-12-29T00:00:00"/>
    <x v="0"/>
    <x v="2"/>
    <d v="2024-09-07T00:00:00"/>
    <n v="15"/>
    <n v="8108.16"/>
    <s v="Yes"/>
    <n v="1"/>
    <n v="540.54"/>
  </r>
  <r>
    <n v="567"/>
    <s v="Michael"/>
    <s v="Schultz"/>
    <s v="Male"/>
    <n v="74"/>
    <x v="5"/>
    <s v="Maldives"/>
    <s v="New Ryan"/>
    <s v="twoods@gmail.com"/>
    <s v="+1-081-450-2666x397"/>
    <d v="2025-04-30T00:00:00"/>
    <x v="1"/>
    <x v="8"/>
    <d v="2025-01-10T00:00:00"/>
    <n v="1"/>
    <n v="2920.97"/>
    <s v="Yes"/>
    <n v="2"/>
    <n v="2920.97"/>
  </r>
  <r>
    <n v="568"/>
    <s v="Martha"/>
    <s v="Martinez"/>
    <s v="Female"/>
    <n v="58"/>
    <x v="0"/>
    <s v="Saint Pierre and Miquelon"/>
    <s v="Port Kevinport"/>
    <s v="lauraalvarez@gaines.com"/>
    <s v="+1-731-261-0096"/>
    <d v="2025-04-26T00:00:00"/>
    <x v="1"/>
    <x v="4"/>
    <d v="2025-03-20T00:00:00"/>
    <n v="25"/>
    <n v="6792.05"/>
    <s v="Yes"/>
    <n v="3"/>
    <n v="271.68"/>
  </r>
  <r>
    <n v="569"/>
    <s v="Robin"/>
    <s v="Reed"/>
    <s v="Male"/>
    <n v="50"/>
    <x v="2"/>
    <s v="South Georgia and the South Sandwich Islands"/>
    <s v="Lake Jeremytown"/>
    <s v="melissahamilton@yahoo.com"/>
    <s v="268.088.0061x6222"/>
    <d v="2024-12-16T00:00:00"/>
    <x v="0"/>
    <x v="7"/>
    <d v="2024-10-30T00:00:00"/>
    <n v="12"/>
    <n v="9736.59"/>
    <s v="No"/>
    <n v="5"/>
    <n v="811.38"/>
  </r>
  <r>
    <n v="570"/>
    <s v="Adrian"/>
    <s v="Campbell"/>
    <s v="Male"/>
    <n v="36"/>
    <x v="3"/>
    <s v="Papua New Guinea"/>
    <s v="Port Ashleychester"/>
    <s v="lharrison@koch.net"/>
    <s v="794.307.4896x418"/>
    <d v="2025-02-17T00:00:00"/>
    <x v="1"/>
    <x v="4"/>
    <d v="2025-03-20T00:00:00"/>
    <n v="33"/>
    <n v="7567.83"/>
    <s v="Yes"/>
    <n v="1"/>
    <n v="229.33"/>
  </r>
  <r>
    <n v="571"/>
    <s v="Michael"/>
    <s v="Floyd"/>
    <s v="Male"/>
    <n v="71"/>
    <x v="1"/>
    <s v="Macedonia"/>
    <s v="Littleton"/>
    <s v="alishalogan@hunter-jackson.com"/>
    <s v="+1-977-876-8247x2268"/>
    <d v="2023-12-26T00:00:00"/>
    <x v="0"/>
    <x v="5"/>
    <d v="2024-11-01T00:00:00"/>
    <n v="29"/>
    <n v="7887.16"/>
    <s v="No"/>
    <n v="3"/>
    <n v="271.97000000000003"/>
  </r>
  <r>
    <n v="572"/>
    <s v="Daniel"/>
    <s v="Russell"/>
    <s v="Male"/>
    <n v="28"/>
    <x v="1"/>
    <s v="Northern Mariana Islands"/>
    <s v="West Joshua"/>
    <s v="romerokimberly@gmail.com"/>
    <s v="(577)645-5176x0122"/>
    <d v="2023-02-10T00:00:00"/>
    <x v="0"/>
    <x v="1"/>
    <d v="2024-06-16T00:00:00"/>
    <n v="40"/>
    <n v="6206.16"/>
    <s v="No"/>
    <n v="2"/>
    <n v="155.15"/>
  </r>
  <r>
    <n v="573"/>
    <s v="Mark"/>
    <s v="Vasquez"/>
    <s v="Male"/>
    <n v="65"/>
    <x v="0"/>
    <s v="Iraq"/>
    <s v="Curtisshire"/>
    <s v="andersonbrandon@sutton.com"/>
    <s v="001-859-560-7577x90370"/>
    <d v="2024-11-03T00:00:00"/>
    <x v="1"/>
    <x v="0"/>
    <d v="2025-08-19T00:00:00"/>
    <n v="39"/>
    <n v="2732.25"/>
    <s v="Yes"/>
    <n v="5"/>
    <n v="70.06"/>
  </r>
  <r>
    <n v="574"/>
    <s v="Cody"/>
    <s v="Garcia"/>
    <s v="Male"/>
    <n v="23"/>
    <x v="2"/>
    <s v="Guernsey"/>
    <s v="New Brent"/>
    <s v="tlucas@hicks-torres.com"/>
    <s v="7678191310"/>
    <d v="2024-04-01T00:00:00"/>
    <x v="1"/>
    <x v="7"/>
    <d v="2025-10-30T00:00:00"/>
    <n v="26"/>
    <n v="5729.23"/>
    <s v="Yes"/>
    <n v="1"/>
    <n v="220.36"/>
  </r>
  <r>
    <n v="575"/>
    <s v="Julie"/>
    <s v="Travis"/>
    <s v="Female"/>
    <n v="59"/>
    <x v="4"/>
    <s v="Cambodia"/>
    <s v="Lake Shelley"/>
    <s v="devinwilliams@delgado-black.com"/>
    <s v="850.213.1732x2681"/>
    <d v="2024-12-28T00:00:00"/>
    <x v="0"/>
    <x v="4"/>
    <d v="2024-03-14T00:00:00"/>
    <n v="6"/>
    <n v="1572.42"/>
    <s v="Yes"/>
    <n v="1"/>
    <n v="262.07"/>
  </r>
  <r>
    <n v="576"/>
    <s v="Jamie"/>
    <s v="Alvarez"/>
    <s v="Female"/>
    <n v="64"/>
    <x v="0"/>
    <s v="Uganda"/>
    <s v="South Cindyhaven"/>
    <s v="lincameron@yahoo.com"/>
    <s v="001-518-943-7493"/>
    <d v="2024-06-14T00:00:00"/>
    <x v="0"/>
    <x v="1"/>
    <d v="2024-06-30T00:00:00"/>
    <n v="40"/>
    <n v="3908.07"/>
    <s v="No"/>
    <n v="5"/>
    <n v="97.7"/>
  </r>
  <r>
    <n v="577"/>
    <s v="Julie"/>
    <s v="Brown"/>
    <s v="Female"/>
    <n v="61"/>
    <x v="5"/>
    <s v="Timor-Leste"/>
    <s v="Deborahfort"/>
    <s v="laurataylor@roberts-martin.com"/>
    <s v="001-974-489-9894x9440"/>
    <d v="2025-05-31T00:00:00"/>
    <x v="1"/>
    <x v="7"/>
    <d v="2025-10-22T00:00:00"/>
    <n v="31"/>
    <n v="9511.0300000000007"/>
    <s v="No"/>
    <n v="5"/>
    <n v="306.81"/>
  </r>
  <r>
    <n v="578"/>
    <s v="Tammy"/>
    <s v="Landry"/>
    <s v="Female"/>
    <n v="54"/>
    <x v="1"/>
    <s v="Bahamas"/>
    <s v="Pamelastad"/>
    <s v="gina72@gmail.com"/>
    <s v="854.336.9949"/>
    <d v="2025-07-05T00:00:00"/>
    <x v="2"/>
    <x v="9"/>
    <d v="2023-12-20T00:00:00"/>
    <n v="49"/>
    <n v="1264.97"/>
    <s v="No"/>
    <n v="1"/>
    <n v="25.82"/>
  </r>
  <r>
    <n v="579"/>
    <s v="Kristin"/>
    <s v="Schwartz"/>
    <s v="Other"/>
    <n v="33"/>
    <x v="3"/>
    <s v="Central African Republic"/>
    <s v="Lake Albert"/>
    <s v="jason36@hotmail.com"/>
    <s v="001-097-249-0615x915"/>
    <d v="2023-10-12T00:00:00"/>
    <x v="1"/>
    <x v="6"/>
    <d v="2025-02-22T00:00:00"/>
    <n v="33"/>
    <n v="2798.32"/>
    <s v="Yes"/>
    <n v="3"/>
    <n v="84.8"/>
  </r>
  <r>
    <n v="580"/>
    <s v="Justin"/>
    <s v="Young"/>
    <s v="Male"/>
    <n v="39"/>
    <x v="4"/>
    <s v="Gibraltar"/>
    <s v="Rhondachester"/>
    <s v="crich@nguyen.com"/>
    <s v="495.056.9244x63506"/>
    <d v="2024-01-26T00:00:00"/>
    <x v="0"/>
    <x v="2"/>
    <d v="2024-09-23T00:00:00"/>
    <n v="20"/>
    <n v="7710"/>
    <s v="No"/>
    <n v="3"/>
    <n v="385.5"/>
  </r>
  <r>
    <n v="581"/>
    <s v="Walter"/>
    <s v="Trujillo"/>
    <s v="Male"/>
    <n v="35"/>
    <x v="3"/>
    <s v="Palestinian Territory"/>
    <s v="Edwardsview"/>
    <s v="gjohnson@rodgers.info"/>
    <s v="(154)629-3170x3651"/>
    <d v="2023-01-23T00:00:00"/>
    <x v="1"/>
    <x v="0"/>
    <d v="2025-08-13T00:00:00"/>
    <n v="3"/>
    <n v="2368.96"/>
    <s v="No"/>
    <n v="2"/>
    <n v="789.65"/>
  </r>
  <r>
    <n v="582"/>
    <s v="Francisco"/>
    <s v="Dunlap"/>
    <s v="Female"/>
    <n v="24"/>
    <x v="0"/>
    <s v="Germany"/>
    <s v="Kennethport"/>
    <s v="betty75@hotmail.com"/>
    <s v="(418)845-6093"/>
    <d v="2023-08-22T00:00:00"/>
    <x v="0"/>
    <x v="8"/>
    <d v="2024-01-26T00:00:00"/>
    <n v="28"/>
    <n v="8645.42"/>
    <s v="Yes"/>
    <n v="2"/>
    <n v="308.76"/>
  </r>
  <r>
    <n v="583"/>
    <s v="Christopher"/>
    <s v="Garcia"/>
    <s v="Other"/>
    <n v="30"/>
    <x v="3"/>
    <s v="United Kingdom"/>
    <s v="Clarkmouth"/>
    <s v="jason90@hotmail.com"/>
    <s v="(912)063-5092"/>
    <d v="2022-12-08T00:00:00"/>
    <x v="0"/>
    <x v="7"/>
    <d v="2024-10-26T00:00:00"/>
    <n v="20"/>
    <n v="9637.85"/>
    <s v="Yes"/>
    <n v="3"/>
    <n v="481.89"/>
  </r>
  <r>
    <n v="584"/>
    <s v="Ruth"/>
    <s v="Bowman"/>
    <s v="Male"/>
    <n v="36"/>
    <x v="3"/>
    <s v="Dominica"/>
    <s v="East Shari"/>
    <s v="nweber@yahoo.com"/>
    <s v="+1-690-636-5530x0235"/>
    <d v="2024-04-24T00:00:00"/>
    <x v="0"/>
    <x v="5"/>
    <d v="2024-11-25T00:00:00"/>
    <n v="12"/>
    <n v="339.35"/>
    <s v="Yes"/>
    <n v="4"/>
    <n v="28.28"/>
  </r>
  <r>
    <n v="585"/>
    <s v="Brooke"/>
    <s v="Martin"/>
    <s v="Female"/>
    <n v="63"/>
    <x v="1"/>
    <s v="Switzerland"/>
    <s v="South Mary"/>
    <s v="martinlori@dunn.biz"/>
    <s v="(465)360-5056x75401"/>
    <d v="2025-03-17T00:00:00"/>
    <x v="0"/>
    <x v="1"/>
    <d v="2024-06-09T00:00:00"/>
    <n v="41"/>
    <n v="1395.95"/>
    <s v="Yes"/>
    <n v="4"/>
    <n v="34.049999999999997"/>
  </r>
  <r>
    <n v="586"/>
    <s v="Douglas"/>
    <s v="Berger"/>
    <s v="Male"/>
    <n v="59"/>
    <x v="2"/>
    <s v="Turkmenistan"/>
    <s v="Lake Jennifershire"/>
    <s v="amanda86@yahoo.com"/>
    <s v="9280990764"/>
    <d v="2024-08-03T00:00:00"/>
    <x v="0"/>
    <x v="4"/>
    <d v="2024-03-22T00:00:00"/>
    <n v="10"/>
    <n v="7299.46"/>
    <s v="Yes"/>
    <n v="3"/>
    <n v="729.95"/>
  </r>
  <r>
    <n v="587"/>
    <s v="Jennifer"/>
    <s v="Roberts"/>
    <s v="Female"/>
    <n v="42"/>
    <x v="1"/>
    <s v="Cuba"/>
    <s v="Lake Debra"/>
    <s v="finleystephen@hotmail.com"/>
    <s v="(606)446-0540x3830"/>
    <d v="2024-05-27T00:00:00"/>
    <x v="1"/>
    <x v="4"/>
    <d v="2025-03-07T00:00:00"/>
    <n v="14"/>
    <n v="1590.51"/>
    <s v="No"/>
    <n v="1"/>
    <n v="113.61"/>
  </r>
  <r>
    <n v="588"/>
    <s v="Lawrence"/>
    <s v="Payne"/>
    <s v="Female"/>
    <n v="69"/>
    <x v="1"/>
    <s v="Lithuania"/>
    <s v="Michaelland"/>
    <s v="ismith@gmail.com"/>
    <s v="845.190.2551x09081"/>
    <d v="2024-06-17T00:00:00"/>
    <x v="0"/>
    <x v="6"/>
    <d v="2024-02-01T00:00:00"/>
    <n v="24"/>
    <n v="436.48"/>
    <s v="No"/>
    <n v="5"/>
    <n v="18.190000000000001"/>
  </r>
  <r>
    <n v="589"/>
    <s v="Donna"/>
    <s v="Cooke"/>
    <s v="Female"/>
    <n v="60"/>
    <x v="1"/>
    <s v="Madagascar"/>
    <s v="North James"/>
    <s v="mikaylazamora@best.net"/>
    <s v="(700)647-4394"/>
    <d v="2024-07-31T00:00:00"/>
    <x v="0"/>
    <x v="2"/>
    <d v="2024-09-19T00:00:00"/>
    <n v="24"/>
    <n v="2138.2800000000002"/>
    <s v="No"/>
    <n v="4"/>
    <n v="89.1"/>
  </r>
  <r>
    <n v="590"/>
    <s v="Amanda"/>
    <s v="Hays"/>
    <s v="Male"/>
    <n v="25"/>
    <x v="4"/>
    <s v="Pakistan"/>
    <s v="Port Victoriaside"/>
    <s v="shirley32@yahoo.com"/>
    <s v="410.925.1540x0635"/>
    <d v="2023-05-31T00:00:00"/>
    <x v="1"/>
    <x v="0"/>
    <d v="2025-08-20T00:00:00"/>
    <n v="6"/>
    <n v="6176.22"/>
    <s v="Yes"/>
    <n v="4"/>
    <n v="1029.3699999999999"/>
  </r>
  <r>
    <n v="591"/>
    <s v="Timothy"/>
    <s v="Reynolds"/>
    <s v="Female"/>
    <n v="31"/>
    <x v="5"/>
    <s v="Falkland Islands (Malvinas)"/>
    <s v="Byrdside"/>
    <s v="alexanderhendrix@brooks-larson.com"/>
    <s v="(291)699-3576"/>
    <d v="2025-08-22T00:00:00"/>
    <x v="1"/>
    <x v="4"/>
    <d v="2025-03-24T00:00:00"/>
    <n v="33"/>
    <n v="8542.9500000000007"/>
    <s v="No"/>
    <n v="2"/>
    <n v="258.88"/>
  </r>
  <r>
    <n v="592"/>
    <s v="Kelly"/>
    <s v="Jones"/>
    <s v="Female"/>
    <n v="29"/>
    <x v="2"/>
    <s v="San Marino"/>
    <s v="Lake Johnmouth"/>
    <s v="jenniferscott@nixon.info"/>
    <s v="001-806-083-4323x22076"/>
    <d v="2023-12-23T00:00:00"/>
    <x v="0"/>
    <x v="5"/>
    <d v="2024-11-26T00:00:00"/>
    <n v="9"/>
    <n v="2644.45"/>
    <s v="Yes"/>
    <n v="4"/>
    <n v="293.83"/>
  </r>
  <r>
    <n v="593"/>
    <s v="Paul"/>
    <s v="Rivas"/>
    <s v="Male"/>
    <n v="31"/>
    <x v="1"/>
    <s v="Japan"/>
    <s v="West Peter"/>
    <s v="hpaul@yahoo.com"/>
    <s v="182-800-8220"/>
    <d v="2023-11-06T00:00:00"/>
    <x v="1"/>
    <x v="6"/>
    <d v="2025-02-17T00:00:00"/>
    <n v="3"/>
    <n v="951.35"/>
    <s v="Yes"/>
    <n v="1"/>
    <n v="317.12"/>
  </r>
  <r>
    <n v="594"/>
    <s v="Jennifer"/>
    <s v="Nguyen"/>
    <s v="Female"/>
    <n v="27"/>
    <x v="2"/>
    <s v="Albania"/>
    <s v="Collinsstad"/>
    <s v="andrew55@harrington.com"/>
    <s v="001-191-724-3287x4174"/>
    <d v="2023-04-05T00:00:00"/>
    <x v="1"/>
    <x v="7"/>
    <d v="2025-10-07T00:00:00"/>
    <n v="5"/>
    <n v="8393.2199999999993"/>
    <s v="Yes"/>
    <n v="4"/>
    <n v="1678.64"/>
  </r>
  <r>
    <n v="595"/>
    <s v="Michael"/>
    <s v="Howe"/>
    <s v="Female"/>
    <n v="58"/>
    <x v="1"/>
    <s v="Myanmar"/>
    <s v="Donnaside"/>
    <s v="hamiltonchristina@chang-wood.com"/>
    <s v="742-387-4678"/>
    <d v="2023-07-25T00:00:00"/>
    <x v="1"/>
    <x v="3"/>
    <d v="2025-04-03T00:00:00"/>
    <n v="29"/>
    <n v="7310.1"/>
    <s v="No"/>
    <n v="2"/>
    <n v="252.07"/>
  </r>
  <r>
    <n v="596"/>
    <s v="Erica"/>
    <s v="Crane"/>
    <s v="Female"/>
    <n v="36"/>
    <x v="2"/>
    <s v="Martinique"/>
    <s v="Port Renee"/>
    <s v="grosstaylor@hotmail.com"/>
    <s v="906-469-7373x25024"/>
    <d v="2023-10-19T00:00:00"/>
    <x v="2"/>
    <x v="9"/>
    <d v="2023-12-15T00:00:00"/>
    <n v="29"/>
    <n v="2920.32"/>
    <s v="No"/>
    <n v="2"/>
    <n v="100.7"/>
  </r>
  <r>
    <n v="597"/>
    <s v="Sydney"/>
    <s v="Meza"/>
    <s v="Female"/>
    <n v="24"/>
    <x v="4"/>
    <s v="Cambodia"/>
    <s v="Sarahbury"/>
    <s v="gainesjennifer@graham-ruiz.biz"/>
    <s v="(819)289-1607"/>
    <d v="2025-07-24T00:00:00"/>
    <x v="0"/>
    <x v="6"/>
    <d v="2024-02-24T00:00:00"/>
    <n v="12"/>
    <n v="671.41"/>
    <s v="No"/>
    <n v="2"/>
    <n v="55.95"/>
  </r>
  <r>
    <n v="598"/>
    <s v="Caitlyn"/>
    <s v="Allen"/>
    <s v="Female"/>
    <n v="38"/>
    <x v="5"/>
    <s v="Mauritius"/>
    <s v="Smithside"/>
    <s v="jeffreyjackson@hotmail.com"/>
    <s v="+1-920-954-6211x459"/>
    <d v="2024-11-03T00:00:00"/>
    <x v="0"/>
    <x v="7"/>
    <d v="2024-10-12T00:00:00"/>
    <n v="15"/>
    <n v="7935.95"/>
    <s v="Yes"/>
    <n v="1"/>
    <n v="529.05999999999995"/>
  </r>
  <r>
    <n v="599"/>
    <s v="Alan"/>
    <s v="Webster"/>
    <s v="Female"/>
    <n v="73"/>
    <x v="0"/>
    <s v="Mexico"/>
    <s v="Jamieside"/>
    <s v="adambrown@hughes.com"/>
    <s v="001-193-904-5485x39047"/>
    <d v="2023-12-09T00:00:00"/>
    <x v="2"/>
    <x v="9"/>
    <d v="2023-12-01T00:00:00"/>
    <n v="5"/>
    <n v="826.72"/>
    <s v="Yes"/>
    <n v="4"/>
    <n v="165.34"/>
  </r>
  <r>
    <n v="600"/>
    <s v="Jacob"/>
    <s v="Jones"/>
    <s v="Male"/>
    <n v="42"/>
    <x v="2"/>
    <s v="Uzbekistan"/>
    <s v="Gordonmouth"/>
    <s v="jenkinseric@norman.net"/>
    <s v="(497)257-3914x74111"/>
    <d v="2022-12-01T00:00:00"/>
    <x v="0"/>
    <x v="1"/>
    <d v="2024-06-12T00:00:00"/>
    <n v="17"/>
    <n v="9455.51"/>
    <s v="No"/>
    <n v="5"/>
    <n v="556.21"/>
  </r>
  <r>
    <n v="601"/>
    <s v="Michael"/>
    <s v="Miller"/>
    <s v="Male"/>
    <n v="43"/>
    <x v="5"/>
    <s v="Nepal"/>
    <s v="West Justin"/>
    <s v="beniteznatalie@hotmail.com"/>
    <s v="153.531.3359x0376"/>
    <d v="2025-06-18T00:00:00"/>
    <x v="0"/>
    <x v="11"/>
    <d v="2024-07-11T00:00:00"/>
    <n v="23"/>
    <n v="2844.05"/>
    <s v="No"/>
    <n v="5"/>
    <n v="123.65"/>
  </r>
  <r>
    <n v="602"/>
    <s v="John"/>
    <s v="Ewing"/>
    <s v="Female"/>
    <n v="66"/>
    <x v="4"/>
    <s v="Saint Kitts and Nevis"/>
    <s v="Port Ryanport"/>
    <s v="matthewsmith@dawson-clarke.com"/>
    <s v="001-739-657-7925x0453"/>
    <d v="2023-02-13T00:00:00"/>
    <x v="0"/>
    <x v="6"/>
    <d v="2024-02-27T00:00:00"/>
    <n v="45"/>
    <n v="4919.97"/>
    <s v="No"/>
    <n v="2"/>
    <n v="109.33"/>
  </r>
  <r>
    <n v="603"/>
    <s v="Christian"/>
    <s v="Hoffman"/>
    <s v="Female"/>
    <n v="21"/>
    <x v="2"/>
    <s v="Morocco"/>
    <s v="Petersentown"/>
    <s v="joejones@hotmail.com"/>
    <s v="716-465-4525"/>
    <d v="2024-04-16T00:00:00"/>
    <x v="0"/>
    <x v="1"/>
    <d v="2024-06-21T00:00:00"/>
    <n v="45"/>
    <n v="2051.25"/>
    <s v="No"/>
    <n v="3"/>
    <n v="45.58"/>
  </r>
  <r>
    <n v="604"/>
    <s v="Kyle"/>
    <s v="Zamora"/>
    <s v="Female"/>
    <n v="74"/>
    <x v="0"/>
    <s v="Belarus"/>
    <s v="Andrewside"/>
    <s v="brandonschwartz@smith.com"/>
    <s v="759.992.9806x6925"/>
    <d v="2022-11-01T00:00:00"/>
    <x v="1"/>
    <x v="6"/>
    <d v="2025-02-05T00:00:00"/>
    <n v="41"/>
    <n v="1850.86"/>
    <s v="No"/>
    <n v="3"/>
    <n v="45.14"/>
  </r>
  <r>
    <n v="605"/>
    <s v="Joshua"/>
    <s v="Miller"/>
    <s v="Other"/>
    <n v="72"/>
    <x v="2"/>
    <s v="Georgia"/>
    <s v="Aprilmouth"/>
    <s v="laurie46@cunningham.com"/>
    <s v="001-455-997-4588x467"/>
    <d v="2025-03-05T00:00:00"/>
    <x v="1"/>
    <x v="2"/>
    <d v="2025-09-09T00:00:00"/>
    <n v="25"/>
    <n v="1304.3900000000001"/>
    <s v="Yes"/>
    <n v="1"/>
    <n v="52.18"/>
  </r>
  <r>
    <n v="606"/>
    <s v="Jessica"/>
    <s v="Daniel"/>
    <s v="Male"/>
    <n v="48"/>
    <x v="4"/>
    <s v="Saint Lucia"/>
    <s v="Juliechester"/>
    <s v="annette81@yahoo.com"/>
    <s v="695-057-6132x6705"/>
    <d v="2024-03-10T00:00:00"/>
    <x v="1"/>
    <x v="11"/>
    <d v="2025-07-15T00:00:00"/>
    <n v="35"/>
    <n v="6600.17"/>
    <s v="No"/>
    <n v="4"/>
    <n v="188.58"/>
  </r>
  <r>
    <n v="607"/>
    <s v="John"/>
    <s v="Hall"/>
    <s v="Female"/>
    <n v="53"/>
    <x v="4"/>
    <s v="Pitcairn Islands"/>
    <s v="Williamsview"/>
    <s v="eodom@martin-rangel.com"/>
    <s v="033.306.4322"/>
    <d v="2023-08-19T00:00:00"/>
    <x v="0"/>
    <x v="10"/>
    <d v="2024-05-04T00:00:00"/>
    <n v="44"/>
    <n v="7352.76"/>
    <s v="Yes"/>
    <n v="4"/>
    <n v="167.11"/>
  </r>
  <r>
    <n v="608"/>
    <s v="Jeremiah"/>
    <s v="Garcia"/>
    <s v="Male"/>
    <n v="56"/>
    <x v="0"/>
    <s v="Australia"/>
    <s v="East Ryan"/>
    <s v="frobinson@kaiser-wilson.com"/>
    <s v="001-864-648-4007"/>
    <d v="2025-10-11T00:00:00"/>
    <x v="1"/>
    <x v="1"/>
    <d v="2025-06-26T00:00:00"/>
    <n v="24"/>
    <n v="1568.51"/>
    <s v="No"/>
    <n v="5"/>
    <n v="65.349999999999994"/>
  </r>
  <r>
    <n v="609"/>
    <s v="Tracie"/>
    <s v="Wright"/>
    <s v="Female"/>
    <n v="35"/>
    <x v="2"/>
    <s v="Luxembourg"/>
    <s v="Lake Tracychester"/>
    <s v="smithcheryl@rodriguez.info"/>
    <s v="001-530-798-7390x80435"/>
    <d v="2025-05-02T00:00:00"/>
    <x v="2"/>
    <x v="9"/>
    <d v="2023-12-08T00:00:00"/>
    <n v="9"/>
    <n v="7801"/>
    <s v="Yes"/>
    <n v="3"/>
    <n v="866.78"/>
  </r>
  <r>
    <n v="610"/>
    <s v="Bryan"/>
    <s v="Hernandez"/>
    <s v="Male"/>
    <n v="19"/>
    <x v="1"/>
    <s v="Kenya"/>
    <s v="West Dawn"/>
    <s v="aortiz@castillo-peters.com"/>
    <s v="073-292-8967"/>
    <d v="2022-11-18T00:00:00"/>
    <x v="1"/>
    <x v="1"/>
    <d v="2025-06-04T00:00:00"/>
    <n v="13"/>
    <n v="4191.82"/>
    <s v="Yes"/>
    <n v="4"/>
    <n v="322.45"/>
  </r>
  <r>
    <n v="611"/>
    <s v="Mitchell"/>
    <s v="Herman"/>
    <s v="Male"/>
    <n v="38"/>
    <x v="2"/>
    <s v="Lebanon"/>
    <s v="West Ashley"/>
    <s v="xrobinson@hotmail.com"/>
    <s v="090-678-4883x867"/>
    <d v="2023-04-07T00:00:00"/>
    <x v="0"/>
    <x v="7"/>
    <d v="2024-10-13T00:00:00"/>
    <n v="3"/>
    <n v="9527.69"/>
    <s v="No"/>
    <n v="3"/>
    <n v="3175.9"/>
  </r>
  <r>
    <n v="612"/>
    <s v="Robert"/>
    <s v="Hurst"/>
    <s v="Male"/>
    <n v="22"/>
    <x v="1"/>
    <s v="Chile"/>
    <s v="Vincentburgh"/>
    <s v="whitneyrobertson@gmail.com"/>
    <s v="866-376-6971x5237"/>
    <d v="2023-01-28T00:00:00"/>
    <x v="0"/>
    <x v="11"/>
    <d v="2024-07-28T00:00:00"/>
    <n v="25"/>
    <n v="5182.1400000000003"/>
    <s v="Yes"/>
    <n v="3"/>
    <n v="207.29"/>
  </r>
  <r>
    <n v="613"/>
    <s v="Lynn"/>
    <s v="Walker"/>
    <s v="Female"/>
    <n v="63"/>
    <x v="4"/>
    <s v="Armenia"/>
    <s v="North Anthony"/>
    <s v="christopher67@yahoo.com"/>
    <s v="432.356.4083x130"/>
    <d v="2025-05-01T00:00:00"/>
    <x v="2"/>
    <x v="9"/>
    <d v="2023-12-06T00:00:00"/>
    <n v="27"/>
    <n v="4393.5600000000004"/>
    <s v="No"/>
    <n v="3"/>
    <n v="162.72"/>
  </r>
  <r>
    <n v="614"/>
    <s v="Roger"/>
    <s v="Randall"/>
    <s v="Male"/>
    <n v="37"/>
    <x v="3"/>
    <s v="Spain"/>
    <s v="Booneville"/>
    <s v="corey98@willis-johnson.com"/>
    <s v="+1-088-391-4529x1179"/>
    <d v="2024-05-30T00:00:00"/>
    <x v="0"/>
    <x v="10"/>
    <d v="2024-05-16T00:00:00"/>
    <n v="24"/>
    <n v="7577.24"/>
    <s v="Yes"/>
    <n v="3"/>
    <n v="315.72000000000003"/>
  </r>
  <r>
    <n v="615"/>
    <s v="Kimberly"/>
    <s v="Taylor"/>
    <s v="Male"/>
    <n v="30"/>
    <x v="4"/>
    <s v="Antarctica (the territory South of 60 deg S)"/>
    <s v="Maryshire"/>
    <s v="bianca78@bolton.org"/>
    <s v="+1-048-196-0755"/>
    <d v="2024-07-02T00:00:00"/>
    <x v="1"/>
    <x v="8"/>
    <d v="2025-01-06T00:00:00"/>
    <n v="29"/>
    <n v="1360.96"/>
    <s v="Yes"/>
    <n v="4"/>
    <n v="46.93"/>
  </r>
  <r>
    <n v="616"/>
    <s v="James"/>
    <s v="Vargas"/>
    <s v="Female"/>
    <n v="36"/>
    <x v="2"/>
    <s v="Cyprus"/>
    <s v="Port Phillip"/>
    <s v="brett40@miller.info"/>
    <s v="+1-307-315-4507x31851"/>
    <d v="2023-07-12T00:00:00"/>
    <x v="1"/>
    <x v="8"/>
    <d v="2025-01-12T00:00:00"/>
    <n v="28"/>
    <n v="444.17"/>
    <s v="Yes"/>
    <n v="5"/>
    <n v="15.86"/>
  </r>
  <r>
    <n v="617"/>
    <s v="Joshua"/>
    <s v="George"/>
    <s v="Female"/>
    <n v="44"/>
    <x v="4"/>
    <s v="Congo"/>
    <s v="West Austin"/>
    <s v="debbiebell@hotmail.com"/>
    <s v="6774223654"/>
    <d v="2024-09-03T00:00:00"/>
    <x v="1"/>
    <x v="4"/>
    <d v="2025-03-13T00:00:00"/>
    <n v="13"/>
    <n v="9245.8700000000008"/>
    <s v="No"/>
    <n v="2"/>
    <n v="711.22"/>
  </r>
  <r>
    <n v="618"/>
    <s v="Kimberly"/>
    <s v="Jensen"/>
    <s v="Female"/>
    <n v="26"/>
    <x v="6"/>
    <s v="Guyana"/>
    <s v="Jeffersonborough"/>
    <s v="shannon39@davies.com"/>
    <s v="481.831.4654"/>
    <d v="2024-10-03T00:00:00"/>
    <x v="1"/>
    <x v="2"/>
    <d v="2025-09-17T00:00:00"/>
    <n v="40"/>
    <n v="1806.33"/>
    <s v="Yes"/>
    <n v="5"/>
    <n v="45.16"/>
  </r>
  <r>
    <n v="619"/>
    <s v="Gregory"/>
    <s v="Smith"/>
    <s v="Male"/>
    <n v="52"/>
    <x v="1"/>
    <s v="Oman"/>
    <s v="Mackenziehaven"/>
    <s v="jdaniels@patterson-schwartz.info"/>
    <s v="967.792.6553x458"/>
    <d v="2023-11-29T00:00:00"/>
    <x v="1"/>
    <x v="2"/>
    <d v="2025-09-17T00:00:00"/>
    <n v="7"/>
    <n v="1655.5"/>
    <s v="No"/>
    <n v="3"/>
    <n v="236.5"/>
  </r>
  <r>
    <n v="620"/>
    <s v="Justin"/>
    <s v="Edwards"/>
    <s v="Male"/>
    <n v="67"/>
    <x v="2"/>
    <s v="Slovakia (Slovak Republic)"/>
    <s v="South Patriciaside"/>
    <s v="marywright@yahoo.com"/>
    <s v="842.715.5698x756"/>
    <d v="2023-11-17T00:00:00"/>
    <x v="1"/>
    <x v="4"/>
    <d v="2025-03-21T00:00:00"/>
    <n v="36"/>
    <n v="9790.8799999999992"/>
    <s v="No"/>
    <n v="1"/>
    <n v="271.97000000000003"/>
  </r>
  <r>
    <n v="621"/>
    <s v="Patricia"/>
    <s v="Alexander"/>
    <s v="Male"/>
    <n v="53"/>
    <x v="0"/>
    <s v="Fiji"/>
    <s v="Weststad"/>
    <s v="mason03@hotmail.com"/>
    <s v="(953)415-6793x122"/>
    <d v="2024-01-23T00:00:00"/>
    <x v="0"/>
    <x v="3"/>
    <d v="2024-04-03T00:00:00"/>
    <n v="26"/>
    <n v="2389.0500000000002"/>
    <s v="Yes"/>
    <n v="4"/>
    <n v="91.89"/>
  </r>
  <r>
    <n v="622"/>
    <s v="Angela"/>
    <s v="Harris"/>
    <s v="Female"/>
    <n v="50"/>
    <x v="5"/>
    <s v="Mauritius"/>
    <s v="South Reginaborough"/>
    <s v="thomas59@brown.info"/>
    <s v="(558)597-4894x03863"/>
    <d v="2023-12-11T00:00:00"/>
    <x v="1"/>
    <x v="4"/>
    <d v="2025-03-02T00:00:00"/>
    <n v="16"/>
    <n v="6634.52"/>
    <s v="Yes"/>
    <n v="3"/>
    <n v="414.66"/>
  </r>
  <r>
    <n v="623"/>
    <s v="Janice"/>
    <s v="Walsh"/>
    <s v="Male"/>
    <n v="54"/>
    <x v="0"/>
    <s v="Moldova"/>
    <s v="East Amanda"/>
    <s v="mthompson@salazar-jackson.com"/>
    <s v="001-473-066-7514x637"/>
    <d v="2025-02-19T00:00:00"/>
    <x v="2"/>
    <x v="9"/>
    <d v="2023-12-09T00:00:00"/>
    <n v="43"/>
    <n v="8200.1200000000008"/>
    <s v="Yes"/>
    <n v="1"/>
    <n v="190.7"/>
  </r>
  <r>
    <n v="624"/>
    <s v="Maria"/>
    <s v="Little"/>
    <s v="Female"/>
    <n v="59"/>
    <x v="6"/>
    <s v="French Guiana"/>
    <s v="Alexandrabury"/>
    <s v="egarcia@gmail.com"/>
    <s v="+1-613-761-3235"/>
    <d v="2023-10-02T00:00:00"/>
    <x v="0"/>
    <x v="11"/>
    <d v="2024-07-02T00:00:00"/>
    <n v="11"/>
    <n v="1358.91"/>
    <s v="Yes"/>
    <n v="2"/>
    <n v="123.54"/>
  </r>
  <r>
    <n v="625"/>
    <s v="William"/>
    <s v="Colon"/>
    <s v="Female"/>
    <n v="24"/>
    <x v="2"/>
    <s v="Tokelau"/>
    <s v="West Sabrinaton"/>
    <s v="qdavis@hunt.com"/>
    <s v="136.280.6277x803"/>
    <d v="2024-03-28T00:00:00"/>
    <x v="1"/>
    <x v="8"/>
    <d v="2025-01-03T00:00:00"/>
    <n v="27"/>
    <n v="6830.66"/>
    <s v="No"/>
    <n v="4"/>
    <n v="252.99"/>
  </r>
  <r>
    <n v="626"/>
    <s v="Kaitlyn"/>
    <s v="Jones"/>
    <s v="Male"/>
    <n v="41"/>
    <x v="1"/>
    <s v="Korea"/>
    <s v="Villarrealview"/>
    <s v="cookjohn@watkins.info"/>
    <s v="+1-325-451-5014x7450"/>
    <d v="2025-03-18T00:00:00"/>
    <x v="0"/>
    <x v="2"/>
    <d v="2024-09-03T00:00:00"/>
    <n v="45"/>
    <n v="5305.91"/>
    <s v="Yes"/>
    <n v="4"/>
    <n v="117.91"/>
  </r>
  <r>
    <n v="627"/>
    <s v="Tiffany"/>
    <s v="Suarez"/>
    <s v="Female"/>
    <n v="27"/>
    <x v="4"/>
    <s v="Monaco"/>
    <s v="New Michael"/>
    <s v="fergusonjohnny@gmail.com"/>
    <s v="678.515.5398"/>
    <d v="2024-12-10T00:00:00"/>
    <x v="0"/>
    <x v="11"/>
    <d v="2024-07-20T00:00:00"/>
    <n v="44"/>
    <n v="7668.13"/>
    <s v="Yes"/>
    <n v="3"/>
    <n v="174.28"/>
  </r>
  <r>
    <n v="628"/>
    <s v="Aaron"/>
    <s v="Hall"/>
    <s v="Male"/>
    <n v="60"/>
    <x v="0"/>
    <s v="Saint Pierre and Miquelon"/>
    <s v="Allenville"/>
    <s v="cwalker@nelson.com"/>
    <s v="030.168.7121"/>
    <d v="2025-08-01T00:00:00"/>
    <x v="1"/>
    <x v="11"/>
    <d v="2025-07-28T00:00:00"/>
    <n v="10"/>
    <n v="9483.73"/>
    <s v="Yes"/>
    <n v="1"/>
    <n v="948.37"/>
  </r>
  <r>
    <n v="629"/>
    <s v="Tiffany"/>
    <s v="King"/>
    <s v="Male"/>
    <n v="70"/>
    <x v="0"/>
    <s v="Iran"/>
    <s v="North Alantown"/>
    <s v="smithashley@wong.org"/>
    <s v="+1-971-424-9881x4002"/>
    <d v="2023-10-24T00:00:00"/>
    <x v="1"/>
    <x v="0"/>
    <d v="2025-08-31T00:00:00"/>
    <n v="46"/>
    <n v="5756.87"/>
    <s v="Yes"/>
    <n v="2"/>
    <n v="125.15"/>
  </r>
  <r>
    <n v="630"/>
    <s v="Anthony"/>
    <s v="Sharp"/>
    <s v="Other"/>
    <n v="45"/>
    <x v="4"/>
    <s v="Saint Lucia"/>
    <s v="Port Pamelastad"/>
    <s v="shawn22@hotmail.com"/>
    <s v="715.172.2165"/>
    <d v="2023-03-10T00:00:00"/>
    <x v="1"/>
    <x v="3"/>
    <d v="2025-04-05T00:00:00"/>
    <n v="4"/>
    <n v="7570.56"/>
    <s v="Yes"/>
    <n v="5"/>
    <n v="1892.64"/>
  </r>
  <r>
    <n v="631"/>
    <s v="Katherine"/>
    <s v="Smith"/>
    <s v="Female"/>
    <n v="33"/>
    <x v="4"/>
    <s v="Israel"/>
    <s v="Lake Stacy"/>
    <s v="kennethrichardson@bonilla.com"/>
    <s v="+1-243-814-8394"/>
    <d v="2023-05-22T00:00:00"/>
    <x v="1"/>
    <x v="11"/>
    <d v="2025-07-02T00:00:00"/>
    <n v="26"/>
    <n v="8509.7099999999991"/>
    <s v="No"/>
    <n v="4"/>
    <n v="327.3"/>
  </r>
  <r>
    <n v="632"/>
    <s v="Darrell"/>
    <s v="Schroeder"/>
    <s v="Female"/>
    <n v="60"/>
    <x v="3"/>
    <s v="Spain"/>
    <s v="Sanchezburgh"/>
    <s v="gblack@jackson.com"/>
    <s v="001-275-796-1564x471"/>
    <d v="2025-08-15T00:00:00"/>
    <x v="0"/>
    <x v="3"/>
    <d v="2024-04-07T00:00:00"/>
    <n v="35"/>
    <n v="6306.65"/>
    <s v="No"/>
    <n v="1"/>
    <n v="180.19"/>
  </r>
  <r>
    <n v="633"/>
    <s v="Wendy"/>
    <s v="Gonzalez"/>
    <s v="Male"/>
    <n v="54"/>
    <x v="3"/>
    <s v="Bhutan"/>
    <s v="Millerland"/>
    <s v="zhangtracey@yahoo.com"/>
    <s v="001-580-444-3108x28542"/>
    <d v="2024-11-01T00:00:00"/>
    <x v="0"/>
    <x v="6"/>
    <d v="2024-02-04T00:00:00"/>
    <n v="29"/>
    <n v="1639.65"/>
    <s v="No"/>
    <n v="5"/>
    <n v="56.54"/>
  </r>
  <r>
    <n v="634"/>
    <s v="Laura"/>
    <s v="Gilbert"/>
    <s v="Male"/>
    <n v="18"/>
    <x v="2"/>
    <s v="Malawi"/>
    <s v="South Michelleport"/>
    <s v="vincentfowler@martin-crane.com"/>
    <s v="448-173-4274x002"/>
    <d v="2023-12-16T00:00:00"/>
    <x v="0"/>
    <x v="11"/>
    <d v="2024-07-25T00:00:00"/>
    <n v="14"/>
    <n v="1783.48"/>
    <s v="Yes"/>
    <n v="2"/>
    <n v="127.39"/>
  </r>
  <r>
    <n v="635"/>
    <s v="Nicole"/>
    <s v="Duffy"/>
    <s v="Male"/>
    <n v="68"/>
    <x v="0"/>
    <s v="Belarus"/>
    <s v="Pamelaberg"/>
    <s v="jenniferhansen@jensen.biz"/>
    <s v="+1-781-785-4269x87959"/>
    <d v="2024-01-27T00:00:00"/>
    <x v="1"/>
    <x v="6"/>
    <d v="2025-02-23T00:00:00"/>
    <n v="37"/>
    <n v="5311.31"/>
    <s v="Yes"/>
    <n v="5"/>
    <n v="143.55000000000001"/>
  </r>
  <r>
    <n v="636"/>
    <s v="David"/>
    <s v="Hall"/>
    <s v="Female"/>
    <n v="41"/>
    <x v="0"/>
    <s v="Iraq"/>
    <s v="Schmidtchester"/>
    <s v="jblake@short.info"/>
    <s v="(260)841-9688"/>
    <d v="2025-05-13T00:00:00"/>
    <x v="2"/>
    <x v="9"/>
    <d v="2023-12-10T00:00:00"/>
    <n v="36"/>
    <n v="4821.16"/>
    <s v="No"/>
    <n v="4"/>
    <n v="133.91999999999999"/>
  </r>
  <r>
    <n v="637"/>
    <s v="Jeffery"/>
    <s v="Allen"/>
    <s v="Other"/>
    <n v="30"/>
    <x v="2"/>
    <s v="Cayman Islands"/>
    <s v="New Arthurhaven"/>
    <s v="hjordan@hotmail.com"/>
    <s v="796-128-6918x8347"/>
    <d v="2024-08-09T00:00:00"/>
    <x v="0"/>
    <x v="8"/>
    <d v="2024-01-22T00:00:00"/>
    <n v="16"/>
    <n v="6680.4"/>
    <s v="No"/>
    <n v="5"/>
    <n v="417.52"/>
  </r>
  <r>
    <n v="638"/>
    <s v="Penny"/>
    <s v="Cooper"/>
    <s v="Male"/>
    <n v="50"/>
    <x v="1"/>
    <s v="Holy See (Vatican City State)"/>
    <s v="Lake Sheilaborough"/>
    <s v="kathyfletcher@yahoo.com"/>
    <s v="175.821.7820x727"/>
    <d v="2023-10-04T00:00:00"/>
    <x v="1"/>
    <x v="6"/>
    <d v="2025-02-14T00:00:00"/>
    <n v="8"/>
    <n v="1222.8699999999999"/>
    <s v="Yes"/>
    <n v="1"/>
    <n v="152.86000000000001"/>
  </r>
  <r>
    <n v="639"/>
    <s v="Melissa"/>
    <s v="Young"/>
    <s v="Male"/>
    <n v="32"/>
    <x v="2"/>
    <s v="Burundi"/>
    <s v="New Terri"/>
    <s v="colemanbrandon@yahoo.com"/>
    <s v="(775)598-2151x749"/>
    <d v="2024-10-25T00:00:00"/>
    <x v="1"/>
    <x v="8"/>
    <d v="2025-01-31T00:00:00"/>
    <n v="33"/>
    <n v="5616.73"/>
    <s v="Yes"/>
    <n v="2"/>
    <n v="170.2"/>
  </r>
  <r>
    <n v="640"/>
    <s v="Susan"/>
    <s v="Sanford"/>
    <s v="Male"/>
    <n v="47"/>
    <x v="4"/>
    <s v="Armenia"/>
    <s v="Clineberg"/>
    <s v="hinesronald@yahoo.com"/>
    <s v="(044)906-5851x6923"/>
    <d v="2024-12-29T00:00:00"/>
    <x v="0"/>
    <x v="1"/>
    <d v="2024-06-24T00:00:00"/>
    <n v="36"/>
    <n v="2381.85"/>
    <s v="No"/>
    <n v="2"/>
    <n v="66.16"/>
  </r>
  <r>
    <n v="641"/>
    <s v="Nicole"/>
    <s v="George"/>
    <s v="Female"/>
    <n v="71"/>
    <x v="4"/>
    <s v="Denmark"/>
    <s v="Jacquelinestad"/>
    <s v="fbray@gmail.com"/>
    <s v="024-838-6170"/>
    <d v="2025-04-25T00:00:00"/>
    <x v="1"/>
    <x v="4"/>
    <d v="2025-03-28T00:00:00"/>
    <n v="6"/>
    <n v="6669.71"/>
    <s v="Yes"/>
    <n v="1"/>
    <n v="1111.6199999999999"/>
  </r>
  <r>
    <n v="642"/>
    <s v="Robert"/>
    <s v="Evans"/>
    <s v="Female"/>
    <n v="18"/>
    <x v="1"/>
    <s v="Tajikistan"/>
    <s v="New Phillip"/>
    <s v="stevejones@yahoo.com"/>
    <s v="141.280.9487"/>
    <d v="2023-08-31T00:00:00"/>
    <x v="0"/>
    <x v="1"/>
    <d v="2024-06-04T00:00:00"/>
    <n v="2"/>
    <n v="8616.7199999999993"/>
    <s v="No"/>
    <n v="1"/>
    <n v="4308.3599999999997"/>
  </r>
  <r>
    <n v="643"/>
    <s v="Joseph"/>
    <s v="Soto"/>
    <s v="Male"/>
    <n v="63"/>
    <x v="0"/>
    <s v="Mexico"/>
    <s v="Port Jennifer"/>
    <s v="ublackwell@yahoo.com"/>
    <s v="190.602.0435x993"/>
    <d v="2025-04-22T00:00:00"/>
    <x v="2"/>
    <x v="9"/>
    <d v="2023-12-13T00:00:00"/>
    <n v="9"/>
    <n v="285.51"/>
    <s v="Yes"/>
    <n v="2"/>
    <n v="31.72"/>
  </r>
  <r>
    <n v="644"/>
    <s v="Ryan"/>
    <s v="Jones"/>
    <s v="Female"/>
    <n v="30"/>
    <x v="1"/>
    <s v="Gabon"/>
    <s v="South Catherineville"/>
    <s v="murraykelsey@olson.org"/>
    <s v="761.799.5320x740"/>
    <d v="2022-12-01T00:00:00"/>
    <x v="1"/>
    <x v="7"/>
    <d v="2025-10-05T00:00:00"/>
    <n v="24"/>
    <n v="8039.83"/>
    <s v="Yes"/>
    <n v="4"/>
    <n v="334.99"/>
  </r>
  <r>
    <n v="645"/>
    <s v="Jerry"/>
    <s v="Lang"/>
    <s v="Female"/>
    <n v="66"/>
    <x v="1"/>
    <s v="Argentina"/>
    <s v="South Kylestad"/>
    <s v="joycebradley@hotmail.com"/>
    <s v="266-892-2553"/>
    <d v="2024-11-26T00:00:00"/>
    <x v="0"/>
    <x v="4"/>
    <d v="2024-03-01T00:00:00"/>
    <n v="16"/>
    <n v="3996.62"/>
    <s v="Yes"/>
    <n v="3"/>
    <n v="249.79"/>
  </r>
  <r>
    <n v="646"/>
    <s v="Kayla"/>
    <s v="Garrett"/>
    <s v="Male"/>
    <n v="73"/>
    <x v="0"/>
    <s v="Liberia"/>
    <s v="Jenniferview"/>
    <s v="clarkjean@yahoo.com"/>
    <s v="475-244-0018"/>
    <d v="2025-02-19T00:00:00"/>
    <x v="1"/>
    <x v="7"/>
    <d v="2025-10-10T00:00:00"/>
    <n v="44"/>
    <n v="1616.75"/>
    <s v="Yes"/>
    <n v="5"/>
    <n v="36.74"/>
  </r>
  <r>
    <n v="647"/>
    <s v="Daniel"/>
    <s v="King"/>
    <s v="Male"/>
    <n v="23"/>
    <x v="4"/>
    <s v="Saint Barthelemy"/>
    <s v="Karenbury"/>
    <s v="samantha40@gmail.com"/>
    <s v="+1-109-742-0970x63362"/>
    <d v="2023-03-07T00:00:00"/>
    <x v="1"/>
    <x v="10"/>
    <d v="2025-05-01T00:00:00"/>
    <n v="38"/>
    <n v="5680.13"/>
    <s v="No"/>
    <n v="4"/>
    <n v="149.47999999999999"/>
  </r>
  <r>
    <n v="648"/>
    <s v="Martin"/>
    <s v="Martinez"/>
    <s v="Male"/>
    <n v="26"/>
    <x v="5"/>
    <s v="Nauru"/>
    <s v="West Jose"/>
    <s v="qjones@larsen.com"/>
    <s v="726-396-9283x748"/>
    <d v="2024-05-07T00:00:00"/>
    <x v="0"/>
    <x v="3"/>
    <d v="2024-04-28T00:00:00"/>
    <n v="18"/>
    <n v="129.21"/>
    <s v="No"/>
    <n v="3"/>
    <n v="7.18"/>
  </r>
  <r>
    <n v="649"/>
    <s v="Amanda"/>
    <s v="Rhodes"/>
    <s v="Other"/>
    <n v="58"/>
    <x v="4"/>
    <s v="Belgium"/>
    <s v="Justinmouth"/>
    <s v="carteramanda@hotmail.com"/>
    <s v="(400)585-6638x9263"/>
    <d v="2024-02-28T00:00:00"/>
    <x v="1"/>
    <x v="8"/>
    <d v="2025-01-31T00:00:00"/>
    <n v="6"/>
    <n v="1024.3499999999999"/>
    <s v="No"/>
    <n v="5"/>
    <n v="170.72"/>
  </r>
  <r>
    <n v="650"/>
    <s v="Anthony"/>
    <s v="Aguilar"/>
    <s v="Male"/>
    <n v="37"/>
    <x v="5"/>
    <s v="Thailand"/>
    <s v="New Jasmine"/>
    <s v="kingtricia@hotmail.com"/>
    <s v="366.168.3782"/>
    <d v="2024-03-11T00:00:00"/>
    <x v="1"/>
    <x v="2"/>
    <d v="2025-09-10T00:00:00"/>
    <n v="7"/>
    <n v="7805.84"/>
    <s v="Yes"/>
    <n v="5"/>
    <n v="1115.1199999999999"/>
  </r>
  <r>
    <n v="651"/>
    <s v="Melissa"/>
    <s v="Hull"/>
    <s v="Female"/>
    <n v="72"/>
    <x v="1"/>
    <s v="Chad"/>
    <s v="Davismouth"/>
    <s v="bowenmegan@yahoo.com"/>
    <s v="(155)514-7135"/>
    <d v="2023-07-07T00:00:00"/>
    <x v="0"/>
    <x v="11"/>
    <d v="2024-07-18T00:00:00"/>
    <n v="10"/>
    <n v="8266.57"/>
    <s v="No"/>
    <n v="2"/>
    <n v="826.66"/>
  </r>
  <r>
    <n v="652"/>
    <s v="Joel"/>
    <s v="Clark"/>
    <s v="Male"/>
    <n v="19"/>
    <x v="1"/>
    <s v="Oman"/>
    <s v="Kristinbury"/>
    <s v="juliablackwell@parker-wood.com"/>
    <s v="+1-126-126-0148x816"/>
    <d v="2025-01-07T00:00:00"/>
    <x v="2"/>
    <x v="5"/>
    <d v="2023-11-09T00:00:00"/>
    <n v="6"/>
    <n v="5292.83"/>
    <s v="Yes"/>
    <n v="4"/>
    <n v="882.14"/>
  </r>
  <r>
    <n v="653"/>
    <s v="Sabrina"/>
    <s v="Peterson"/>
    <s v="Male"/>
    <n v="68"/>
    <x v="3"/>
    <s v="Christmas Island"/>
    <s v="Andreshire"/>
    <s v="alijeff@soto-willis.net"/>
    <s v="532-125-5163x05452"/>
    <d v="2022-11-25T00:00:00"/>
    <x v="1"/>
    <x v="4"/>
    <d v="2025-03-11T00:00:00"/>
    <n v="45"/>
    <n v="3978.34"/>
    <s v="No"/>
    <n v="5"/>
    <n v="88.41"/>
  </r>
  <r>
    <n v="654"/>
    <s v="Joshua"/>
    <s v="Francis"/>
    <s v="Male"/>
    <n v="28"/>
    <x v="5"/>
    <s v="Nigeria"/>
    <s v="Schmidtborough"/>
    <s v="parkermegan@thompson.org"/>
    <s v="+1-817-704-0588x79480"/>
    <d v="2024-08-05T00:00:00"/>
    <x v="0"/>
    <x v="2"/>
    <d v="2024-09-02T00:00:00"/>
    <n v="11"/>
    <n v="5930.23"/>
    <s v="Yes"/>
    <n v="4"/>
    <n v="539.11"/>
  </r>
  <r>
    <n v="655"/>
    <s v="Alyssa"/>
    <s v="Jimenez"/>
    <s v="Female"/>
    <n v="21"/>
    <x v="0"/>
    <s v="Fiji"/>
    <s v="South Cynthiashire"/>
    <s v="brooke20@dennis.com"/>
    <s v="(970)207-2386x59759"/>
    <d v="2024-05-22T00:00:00"/>
    <x v="1"/>
    <x v="10"/>
    <d v="2025-05-13T00:00:00"/>
    <n v="31"/>
    <n v="4312.75"/>
    <s v="Yes"/>
    <n v="3"/>
    <n v="139.12"/>
  </r>
  <r>
    <n v="656"/>
    <s v="Christian"/>
    <s v="Roberts"/>
    <s v="Other"/>
    <n v="52"/>
    <x v="1"/>
    <s v="Gabon"/>
    <s v="Jeffreytown"/>
    <s v="tonyajordan@nguyen.com"/>
    <s v="001-443-669-5864"/>
    <d v="2023-07-07T00:00:00"/>
    <x v="0"/>
    <x v="4"/>
    <d v="2024-03-03T00:00:00"/>
    <n v="32"/>
    <n v="4241.67"/>
    <s v="Yes"/>
    <n v="2"/>
    <n v="132.55000000000001"/>
  </r>
  <r>
    <n v="657"/>
    <s v="Noah"/>
    <s v="Washington"/>
    <s v="Male"/>
    <n v="73"/>
    <x v="0"/>
    <s v="Fiji"/>
    <s v="Andreafurt"/>
    <s v="tammycarter@hotmail.com"/>
    <s v="+1-887-829-6264x0832"/>
    <d v="2024-10-18T00:00:00"/>
    <x v="2"/>
    <x v="9"/>
    <d v="2023-12-10T00:00:00"/>
    <n v="10"/>
    <n v="848.39"/>
    <s v="No"/>
    <n v="4"/>
    <n v="84.84"/>
  </r>
  <r>
    <n v="658"/>
    <s v="Kevin"/>
    <s v="Stone"/>
    <s v="Female"/>
    <n v="54"/>
    <x v="4"/>
    <s v="Saint Lucia"/>
    <s v="South Andrew"/>
    <s v="starkerik@wong.net"/>
    <s v="766.181.4557x28589"/>
    <d v="2025-10-25T00:00:00"/>
    <x v="1"/>
    <x v="7"/>
    <d v="2025-10-09T00:00:00"/>
    <n v="39"/>
    <n v="4781.92"/>
    <s v="No"/>
    <n v="1"/>
    <n v="122.61"/>
  </r>
  <r>
    <n v="659"/>
    <s v="Deborah"/>
    <s v="Cox"/>
    <s v="Male"/>
    <n v="73"/>
    <x v="3"/>
    <s v="Bhutan"/>
    <s v="Lake Sean"/>
    <s v="reginaparker@carter.com"/>
    <s v="7152215271"/>
    <d v="2025-03-30T00:00:00"/>
    <x v="1"/>
    <x v="0"/>
    <d v="2025-08-20T00:00:00"/>
    <n v="47"/>
    <n v="3642.6"/>
    <s v="No"/>
    <n v="1"/>
    <n v="77.5"/>
  </r>
  <r>
    <n v="660"/>
    <s v="Tina"/>
    <s v="Morton"/>
    <s v="Other"/>
    <n v="42"/>
    <x v="4"/>
    <s v="Togo"/>
    <s v="West Darlene"/>
    <s v="wmarshall@colon.com"/>
    <s v="001-985-518-1959x9993"/>
    <d v="2023-12-20T00:00:00"/>
    <x v="0"/>
    <x v="8"/>
    <d v="2024-01-25T00:00:00"/>
    <n v="48"/>
    <n v="5524.57"/>
    <s v="Yes"/>
    <n v="2"/>
    <n v="115.1"/>
  </r>
  <r>
    <n v="661"/>
    <s v="Melvin"/>
    <s v="Chan"/>
    <s v="Female"/>
    <n v="27"/>
    <x v="0"/>
    <s v="American Samoa"/>
    <s v="Timothyside"/>
    <s v="brittanywagner@hotmail.com"/>
    <s v="982.304.7991x39849"/>
    <d v="2024-03-30T00:00:00"/>
    <x v="2"/>
    <x v="5"/>
    <d v="2023-11-07T00:00:00"/>
    <n v="29"/>
    <n v="228.86"/>
    <s v="Yes"/>
    <n v="3"/>
    <n v="7.89"/>
  </r>
  <r>
    <n v="662"/>
    <s v="Brandi"/>
    <s v="Strickland"/>
    <s v="Female"/>
    <n v="69"/>
    <x v="0"/>
    <s v="Uganda"/>
    <s v="Jamesmouth"/>
    <s v="jennifer53@yahoo.com"/>
    <s v="001-925-133-7698"/>
    <d v="2023-06-13T00:00:00"/>
    <x v="0"/>
    <x v="8"/>
    <d v="2024-01-25T00:00:00"/>
    <n v="43"/>
    <n v="9504.69"/>
    <s v="Yes"/>
    <n v="5"/>
    <n v="221.04"/>
  </r>
  <r>
    <n v="663"/>
    <s v="Ashley"/>
    <s v="Jackson"/>
    <s v="Female"/>
    <n v="61"/>
    <x v="5"/>
    <s v="Falkland Islands (Malvinas)"/>
    <s v="Port Rhondaberg"/>
    <s v="rothjustin@hotmail.com"/>
    <s v="984.600.4528x2065"/>
    <d v="2025-07-03T00:00:00"/>
    <x v="0"/>
    <x v="7"/>
    <d v="2024-10-08T00:00:00"/>
    <n v="27"/>
    <n v="148.13"/>
    <s v="Yes"/>
    <n v="5"/>
    <n v="5.49"/>
  </r>
  <r>
    <n v="664"/>
    <s v="Shane"/>
    <s v="Stevenson"/>
    <s v="Female"/>
    <n v="38"/>
    <x v="4"/>
    <s v="Heard Island and McDonald Islands"/>
    <s v="Parkerburgh"/>
    <s v="daniel37@gmail.com"/>
    <s v="001-034-388-4797x02198"/>
    <d v="2023-01-24T00:00:00"/>
    <x v="1"/>
    <x v="4"/>
    <d v="2025-03-23T00:00:00"/>
    <n v="48"/>
    <n v="1688.85"/>
    <s v="Yes"/>
    <n v="3"/>
    <n v="35.18"/>
  </r>
  <r>
    <n v="665"/>
    <s v="Leslie"/>
    <s v="Myers"/>
    <s v="Male"/>
    <n v="52"/>
    <x v="2"/>
    <s v="Luxembourg"/>
    <s v="Kimmouth"/>
    <s v="ffisher@yahoo.com"/>
    <s v="523-163-6558"/>
    <d v="2024-10-07T00:00:00"/>
    <x v="1"/>
    <x v="0"/>
    <d v="2025-08-17T00:00:00"/>
    <n v="10"/>
    <n v="1926.84"/>
    <s v="Yes"/>
    <n v="4"/>
    <n v="192.68"/>
  </r>
  <r>
    <n v="666"/>
    <s v="Megan"/>
    <s v="Marks"/>
    <s v="Female"/>
    <n v="65"/>
    <x v="1"/>
    <s v="Tonga"/>
    <s v="Nathanfort"/>
    <s v="jonathanreynolds@moore-blake.org"/>
    <s v="957.385.4587x179"/>
    <d v="2022-12-26T00:00:00"/>
    <x v="1"/>
    <x v="7"/>
    <d v="2025-10-21T00:00:00"/>
    <n v="22"/>
    <n v="892.33"/>
    <s v="Yes"/>
    <n v="3"/>
    <n v="40.56"/>
  </r>
  <r>
    <n v="667"/>
    <s v="Taylor"/>
    <s v="Fox"/>
    <s v="Female"/>
    <n v="57"/>
    <x v="2"/>
    <s v="San Marino"/>
    <s v="Carlosfurt"/>
    <s v="patrickmcbride@hotmail.com"/>
    <s v="5265341026"/>
    <d v="2024-11-03T00:00:00"/>
    <x v="1"/>
    <x v="8"/>
    <d v="2025-01-09T00:00:00"/>
    <n v="44"/>
    <n v="9737.0300000000007"/>
    <s v="Yes"/>
    <n v="4"/>
    <n v="221.3"/>
  </r>
  <r>
    <n v="668"/>
    <s v="Lisa"/>
    <s v="Shah"/>
    <s v="Male"/>
    <n v="49"/>
    <x v="0"/>
    <s v="Bolivia"/>
    <s v="Markfurt"/>
    <s v="cruzkathleen@lopez.com"/>
    <s v="100-214-9102x30541"/>
    <d v="2023-07-10T00:00:00"/>
    <x v="1"/>
    <x v="10"/>
    <d v="2025-05-08T00:00:00"/>
    <n v="33"/>
    <n v="9130.57"/>
    <s v="No"/>
    <n v="1"/>
    <n v="276.68"/>
  </r>
  <r>
    <n v="669"/>
    <s v="Bill"/>
    <s v="Adams"/>
    <s v="Male"/>
    <n v="60"/>
    <x v="1"/>
    <s v="Samoa"/>
    <s v="West Andrew"/>
    <s v="john01@yahoo.com"/>
    <s v="+1-690-672-7516x28888"/>
    <d v="2024-04-27T00:00:00"/>
    <x v="1"/>
    <x v="0"/>
    <d v="2025-08-13T00:00:00"/>
    <n v="4"/>
    <n v="7426.89"/>
    <s v="No"/>
    <n v="4"/>
    <n v="1856.72"/>
  </r>
  <r>
    <n v="670"/>
    <s v="Erik"/>
    <s v="Gutierrez"/>
    <s v="Male"/>
    <n v="69"/>
    <x v="1"/>
    <s v="Indonesia"/>
    <s v="Tylershire"/>
    <s v="hutchinsonbrian@ray.org"/>
    <s v="168.765.9534"/>
    <d v="2025-03-28T00:00:00"/>
    <x v="1"/>
    <x v="3"/>
    <d v="2025-04-06T00:00:00"/>
    <n v="22"/>
    <n v="4790.76"/>
    <s v="No"/>
    <n v="1"/>
    <n v="217.76"/>
  </r>
  <r>
    <n v="671"/>
    <s v="Peggy"/>
    <s v="Bridges"/>
    <s v="Female"/>
    <n v="20"/>
    <x v="2"/>
    <s v="Guernsey"/>
    <s v="Camposberg"/>
    <s v="zsmith@hotmail.com"/>
    <s v="+1-153-677-9318x8306"/>
    <d v="2024-01-16T00:00:00"/>
    <x v="1"/>
    <x v="3"/>
    <d v="2025-04-15T00:00:00"/>
    <n v="6"/>
    <n v="8019.63"/>
    <s v="Yes"/>
    <n v="2"/>
    <n v="1336.6"/>
  </r>
  <r>
    <n v="672"/>
    <s v="Chelsea"/>
    <s v="Nolan"/>
    <s v="Male"/>
    <n v="39"/>
    <x v="0"/>
    <s v="Haiti"/>
    <s v="Port Michael"/>
    <s v="lawsonjoshua@richardson.biz"/>
    <s v="729.859.1722x0236"/>
    <d v="2024-07-14T00:00:00"/>
    <x v="0"/>
    <x v="4"/>
    <d v="2024-03-25T00:00:00"/>
    <n v="11"/>
    <n v="4119.59"/>
    <s v="Yes"/>
    <n v="5"/>
    <n v="374.51"/>
  </r>
  <r>
    <n v="673"/>
    <s v="Anthony"/>
    <s v="Miller"/>
    <s v="Female"/>
    <n v="53"/>
    <x v="2"/>
    <s v="Bosnia and Herzegovina"/>
    <s v="West Jamesbury"/>
    <s v="robert96@mitchell.com"/>
    <s v="+1-006-405-9910x9035"/>
    <d v="2024-09-10T00:00:00"/>
    <x v="1"/>
    <x v="0"/>
    <d v="2025-08-31T00:00:00"/>
    <n v="15"/>
    <n v="267.58"/>
    <s v="No"/>
    <n v="5"/>
    <n v="17.84"/>
  </r>
  <r>
    <n v="674"/>
    <s v="Taylor"/>
    <s v="Cobb"/>
    <s v="Male"/>
    <n v="63"/>
    <x v="6"/>
    <s v="Anguilla"/>
    <s v="Lake Ryan"/>
    <s v="campbellapril@johnston.net"/>
    <s v="+1-998-561-2061x745"/>
    <d v="2023-03-11T00:00:00"/>
    <x v="1"/>
    <x v="2"/>
    <d v="2025-09-27T00:00:00"/>
    <n v="30"/>
    <n v="4346.03"/>
    <s v="No"/>
    <n v="5"/>
    <n v="144.87"/>
  </r>
  <r>
    <n v="675"/>
    <s v="Natalie"/>
    <s v="Cummings"/>
    <s v="Female"/>
    <n v="53"/>
    <x v="2"/>
    <s v="Malta"/>
    <s v="Cassandraport"/>
    <s v="marcus66@booth-holland.com"/>
    <s v="(969)141-9799x119"/>
    <d v="2023-01-17T00:00:00"/>
    <x v="1"/>
    <x v="8"/>
    <d v="2025-01-11T00:00:00"/>
    <n v="8"/>
    <n v="5292.62"/>
    <s v="Yes"/>
    <n v="2"/>
    <n v="661.58"/>
  </r>
  <r>
    <n v="676"/>
    <s v="Rebecca"/>
    <s v="Ford"/>
    <s v="Female"/>
    <n v="43"/>
    <x v="3"/>
    <s v="Guinea-Bissau"/>
    <s v="Hodgeport"/>
    <s v="wayne45@prince.org"/>
    <s v="834.990.1864x4612"/>
    <d v="2023-07-03T00:00:00"/>
    <x v="0"/>
    <x v="3"/>
    <d v="2024-04-15T00:00:00"/>
    <n v="38"/>
    <n v="8710.24"/>
    <s v="Yes"/>
    <n v="5"/>
    <n v="229.22"/>
  </r>
  <r>
    <n v="677"/>
    <s v="Elizabeth"/>
    <s v="Snow"/>
    <s v="Male"/>
    <n v="56"/>
    <x v="2"/>
    <s v="Guatemala"/>
    <s v="Robinbury"/>
    <s v="joneskristina@moore-mccormick.org"/>
    <s v="4691993968"/>
    <d v="2025-10-17T00:00:00"/>
    <x v="1"/>
    <x v="2"/>
    <d v="2025-09-08T00:00:00"/>
    <n v="47"/>
    <n v="2479.59"/>
    <s v="No"/>
    <n v="3"/>
    <n v="52.76"/>
  </r>
  <r>
    <n v="678"/>
    <s v="Scott"/>
    <s v="Schneider"/>
    <s v="Male"/>
    <n v="40"/>
    <x v="4"/>
    <s v="Gibraltar"/>
    <s v="Lake Thomasstad"/>
    <s v="heatherpaul@gmail.com"/>
    <s v="524-837-1294"/>
    <d v="2024-11-07T00:00:00"/>
    <x v="2"/>
    <x v="9"/>
    <d v="2023-12-11T00:00:00"/>
    <n v="32"/>
    <n v="7439.92"/>
    <s v="No"/>
    <n v="3"/>
    <n v="232.5"/>
  </r>
  <r>
    <n v="679"/>
    <s v="Lisa"/>
    <s v="Bartlett"/>
    <s v="Female"/>
    <n v="59"/>
    <x v="5"/>
    <s v="Nauru"/>
    <s v="Jimenezville"/>
    <s v="jamiejones@smith-evans.com"/>
    <s v="+1-216-460-0737"/>
    <d v="2023-01-04T00:00:00"/>
    <x v="1"/>
    <x v="4"/>
    <d v="2025-03-08T00:00:00"/>
    <n v="41"/>
    <n v="1339.2"/>
    <s v="No"/>
    <n v="4"/>
    <n v="32.659999999999997"/>
  </r>
  <r>
    <n v="680"/>
    <s v="Jonathan"/>
    <s v="Johnson"/>
    <s v="Female"/>
    <n v="74"/>
    <x v="2"/>
    <s v="Belize"/>
    <s v="South Katelyn"/>
    <s v="traceypark@gmail.com"/>
    <s v="462-133-2896x15434"/>
    <d v="2025-05-27T00:00:00"/>
    <x v="0"/>
    <x v="10"/>
    <d v="2024-05-12T00:00:00"/>
    <n v="1"/>
    <n v="9941.0400000000009"/>
    <s v="Yes"/>
    <n v="2"/>
    <n v="9941.0400000000009"/>
  </r>
  <r>
    <n v="681"/>
    <s v="Stephen"/>
    <s v="Montoya"/>
    <s v="Female"/>
    <n v="52"/>
    <x v="1"/>
    <s v="Kenya"/>
    <s v="Mooreport"/>
    <s v="charlesmaria@flores.com"/>
    <s v="+1-701-154-5779x5482"/>
    <d v="2025-04-17T00:00:00"/>
    <x v="0"/>
    <x v="6"/>
    <d v="2024-02-03T00:00:00"/>
    <n v="10"/>
    <n v="766.72"/>
    <s v="Yes"/>
    <n v="5"/>
    <n v="76.67"/>
  </r>
  <r>
    <n v="682"/>
    <s v="Jason"/>
    <s v="Black"/>
    <s v="Male"/>
    <n v="39"/>
    <x v="5"/>
    <s v="Kazakhstan"/>
    <s v="South Cathyport"/>
    <s v="ashley00@gutierrez-schneider.com"/>
    <s v="681-136-0815x491"/>
    <d v="2024-06-27T00:00:00"/>
    <x v="1"/>
    <x v="10"/>
    <d v="2025-05-01T00:00:00"/>
    <n v="9"/>
    <n v="8356.7099999999991"/>
    <s v="Yes"/>
    <n v="1"/>
    <n v="928.52"/>
  </r>
  <r>
    <n v="683"/>
    <s v="Erin"/>
    <s v="Robinson"/>
    <s v="Female"/>
    <n v="63"/>
    <x v="2"/>
    <s v="South Georgia and the South Sandwich Islands"/>
    <s v="Hoganview"/>
    <s v="ivasquez@yahoo.com"/>
    <s v="279.808.8941"/>
    <d v="2023-08-14T00:00:00"/>
    <x v="2"/>
    <x v="5"/>
    <d v="2023-11-24T00:00:00"/>
    <n v="20"/>
    <n v="1150.44"/>
    <s v="Yes"/>
    <n v="4"/>
    <n v="57.52"/>
  </r>
  <r>
    <n v="684"/>
    <s v="Jillian"/>
    <s v="Bernard"/>
    <s v="Male"/>
    <n v="67"/>
    <x v="5"/>
    <s v="Maldives"/>
    <s v="Fergusonville"/>
    <s v="amy01@gmail.com"/>
    <s v="001-534-069-5938x4311"/>
    <d v="2023-08-16T00:00:00"/>
    <x v="0"/>
    <x v="4"/>
    <d v="2024-03-24T00:00:00"/>
    <n v="4"/>
    <n v="2614.8200000000002"/>
    <s v="Yes"/>
    <n v="4"/>
    <n v="653.71"/>
  </r>
  <r>
    <n v="685"/>
    <s v="Jeffrey"/>
    <s v="Jenkins"/>
    <s v="Other"/>
    <n v="29"/>
    <x v="2"/>
    <s v="New Caledonia"/>
    <s v="Leeburgh"/>
    <s v="awilliams@hotmail.com"/>
    <s v="371-168-1579x2027"/>
    <d v="2025-05-02T00:00:00"/>
    <x v="0"/>
    <x v="11"/>
    <d v="2024-07-03T00:00:00"/>
    <n v="29"/>
    <n v="1507.59"/>
    <s v="Yes"/>
    <n v="5"/>
    <n v="51.99"/>
  </r>
  <r>
    <n v="686"/>
    <s v="Jennifer"/>
    <s v="Rios"/>
    <s v="Male"/>
    <n v="25"/>
    <x v="5"/>
    <s v="Mauritius"/>
    <s v="East Angelaborough"/>
    <s v="ronaldcannon@yahoo.com"/>
    <s v="001-620-214-2479x2001"/>
    <d v="2023-09-26T00:00:00"/>
    <x v="0"/>
    <x v="9"/>
    <d v="2024-12-23T00:00:00"/>
    <n v="23"/>
    <n v="3245.25"/>
    <s v="No"/>
    <n v="4"/>
    <n v="141.1"/>
  </r>
  <r>
    <n v="687"/>
    <s v="Dennis"/>
    <s v="Jones"/>
    <s v="Female"/>
    <n v="31"/>
    <x v="5"/>
    <s v="Mozambique"/>
    <s v="West Ashley"/>
    <s v="frankricardo@hopkins-melton.com"/>
    <s v="(056)688-5066x025"/>
    <d v="2023-06-09T00:00:00"/>
    <x v="1"/>
    <x v="8"/>
    <d v="2025-01-04T00:00:00"/>
    <n v="28"/>
    <n v="9982.4599999999991"/>
    <s v="Yes"/>
    <n v="3"/>
    <n v="356.52"/>
  </r>
  <r>
    <n v="688"/>
    <s v="Brandon"/>
    <s v="Mercado"/>
    <s v="Male"/>
    <n v="50"/>
    <x v="2"/>
    <s v="Cook Islands"/>
    <s v="New Marybury"/>
    <s v="scottlaurie@white.com"/>
    <s v="001-621-746-0089x1906"/>
    <d v="2025-03-24T00:00:00"/>
    <x v="0"/>
    <x v="0"/>
    <d v="2024-08-31T00:00:00"/>
    <n v="45"/>
    <n v="2817.45"/>
    <s v="No"/>
    <n v="5"/>
    <n v="62.61"/>
  </r>
  <r>
    <n v="689"/>
    <s v="James"/>
    <s v="Garcia"/>
    <s v="Other"/>
    <n v="64"/>
    <x v="4"/>
    <s v="Pakistan"/>
    <s v="Hollandland"/>
    <s v="ryanwilson@hernandez-stevens.com"/>
    <s v="+1-407-356-3739x1017"/>
    <d v="2023-04-28T00:00:00"/>
    <x v="1"/>
    <x v="2"/>
    <d v="2025-09-14T00:00:00"/>
    <n v="28"/>
    <n v="608.08000000000004"/>
    <s v="Yes"/>
    <n v="4"/>
    <n v="21.72"/>
  </r>
  <r>
    <n v="690"/>
    <s v="Teresa"/>
    <s v="Ortiz"/>
    <s v="Female"/>
    <n v="30"/>
    <x v="4"/>
    <s v="Cote d'Ivoire"/>
    <s v="Payneberg"/>
    <s v="chelseamay@garcia-walton.com"/>
    <s v="692.808.3971"/>
    <d v="2025-08-09T00:00:00"/>
    <x v="1"/>
    <x v="4"/>
    <d v="2025-03-02T00:00:00"/>
    <n v="33"/>
    <n v="1764.67"/>
    <s v="Yes"/>
    <n v="3"/>
    <n v="53.47"/>
  </r>
  <r>
    <n v="691"/>
    <s v="Robert"/>
    <s v="Campbell"/>
    <s v="Male"/>
    <n v="21"/>
    <x v="2"/>
    <s v="Martinique"/>
    <s v="South Jorgeton"/>
    <s v="dianarhodes@smith.com"/>
    <s v="+1-800-983-2842x1418"/>
    <d v="2023-12-02T00:00:00"/>
    <x v="0"/>
    <x v="9"/>
    <d v="2024-12-30T00:00:00"/>
    <n v="17"/>
    <n v="6153.76"/>
    <s v="No"/>
    <n v="5"/>
    <n v="361.99"/>
  </r>
  <r>
    <n v="692"/>
    <s v="Stephanie"/>
    <s v="Parks"/>
    <s v="Male"/>
    <n v="62"/>
    <x v="2"/>
    <s v="Bulgaria"/>
    <s v="Aaronborough"/>
    <s v="courtney06@pope.com"/>
    <s v="343.480.1745x40178"/>
    <d v="2023-06-22T00:00:00"/>
    <x v="2"/>
    <x v="5"/>
    <d v="2023-11-25T00:00:00"/>
    <n v="3"/>
    <n v="8912.1"/>
    <s v="Yes"/>
    <n v="2"/>
    <n v="2970.7"/>
  </r>
  <r>
    <n v="693"/>
    <s v="David"/>
    <s v="Reeves"/>
    <s v="Female"/>
    <n v="37"/>
    <x v="1"/>
    <s v="Romania"/>
    <s v="Powellshire"/>
    <s v="markweaver@gmail.com"/>
    <s v="301-829-2405x5699"/>
    <d v="2023-03-19T00:00:00"/>
    <x v="1"/>
    <x v="7"/>
    <d v="2025-10-03T00:00:00"/>
    <n v="22"/>
    <n v="5324.5"/>
    <s v="Yes"/>
    <n v="5"/>
    <n v="242.02"/>
  </r>
  <r>
    <n v="694"/>
    <s v="Calvin"/>
    <s v="Rios"/>
    <s v="Male"/>
    <n v="42"/>
    <x v="2"/>
    <s v="French Polynesia"/>
    <s v="Brandontown"/>
    <s v="andrew65@yahoo.com"/>
    <s v="113-712-4624"/>
    <d v="2023-02-10T00:00:00"/>
    <x v="1"/>
    <x v="10"/>
    <d v="2025-05-08T00:00:00"/>
    <n v="21"/>
    <n v="9055.8700000000008"/>
    <s v="Yes"/>
    <n v="4"/>
    <n v="431.23"/>
  </r>
  <r>
    <n v="695"/>
    <s v="Dawn"/>
    <s v="Robinson"/>
    <s v="Female"/>
    <n v="35"/>
    <x v="0"/>
    <s v="Belarus"/>
    <s v="South Jocelyn"/>
    <s v="mcdonaldbrian@gmail.com"/>
    <s v="008.271.0509x91887"/>
    <d v="2022-11-20T00:00:00"/>
    <x v="1"/>
    <x v="10"/>
    <d v="2025-05-18T00:00:00"/>
    <n v="49"/>
    <n v="9386.2099999999991"/>
    <s v="Yes"/>
    <n v="3"/>
    <n v="191.56"/>
  </r>
  <r>
    <n v="696"/>
    <s v="Mary"/>
    <s v="Woodward"/>
    <s v="Female"/>
    <n v="39"/>
    <x v="0"/>
    <s v="Qatar"/>
    <s v="Riceport"/>
    <s v="todd64@johnson.com"/>
    <s v="(325)132-4599x0494"/>
    <d v="2023-03-04T00:00:00"/>
    <x v="1"/>
    <x v="0"/>
    <d v="2025-08-22T00:00:00"/>
    <n v="22"/>
    <n v="3120.1"/>
    <s v="No"/>
    <n v="5"/>
    <n v="141.82"/>
  </r>
  <r>
    <n v="697"/>
    <s v="Morgan"/>
    <s v="Bailey"/>
    <s v="Male"/>
    <n v="47"/>
    <x v="4"/>
    <s v="Congo"/>
    <s v="South Amandamouth"/>
    <s v="joshuamarks@murray.com"/>
    <s v="489.505.8107x248"/>
    <d v="2022-12-20T00:00:00"/>
    <x v="0"/>
    <x v="7"/>
    <d v="2024-10-08T00:00:00"/>
    <n v="26"/>
    <n v="1341.41"/>
    <s v="Yes"/>
    <n v="1"/>
    <n v="51.59"/>
  </r>
  <r>
    <n v="698"/>
    <s v="Kristen"/>
    <s v="Mendez"/>
    <s v="Female"/>
    <n v="57"/>
    <x v="2"/>
    <s v="Turkmenistan"/>
    <s v="South Maryhaven"/>
    <s v="tgomez@gmail.com"/>
    <s v="+1-106-786-5395x366"/>
    <d v="2024-04-19T00:00:00"/>
    <x v="1"/>
    <x v="4"/>
    <d v="2025-03-23T00:00:00"/>
    <n v="26"/>
    <n v="7750.55"/>
    <s v="No"/>
    <n v="5"/>
    <n v="298.10000000000002"/>
  </r>
  <r>
    <n v="699"/>
    <s v="Teresa"/>
    <s v="Sharp"/>
    <s v="Male"/>
    <n v="38"/>
    <x v="5"/>
    <s v="Aruba"/>
    <s v="Romeromouth"/>
    <s v="michael04@gmail.com"/>
    <s v="(112)023-9268x30838"/>
    <d v="2025-06-13T00:00:00"/>
    <x v="0"/>
    <x v="0"/>
    <d v="2024-08-31T00:00:00"/>
    <n v="14"/>
    <n v="1309.3"/>
    <s v="No"/>
    <n v="2"/>
    <n v="93.52"/>
  </r>
  <r>
    <n v="700"/>
    <s v="Jeanette"/>
    <s v="Riggs"/>
    <s v="Male"/>
    <n v="29"/>
    <x v="2"/>
    <s v="Cook Islands"/>
    <s v="Wilsonbury"/>
    <s v="pmiller@jones.com"/>
    <s v="(149)446-7739x587"/>
    <d v="2023-07-04T00:00:00"/>
    <x v="1"/>
    <x v="2"/>
    <d v="2025-09-12T00:00:00"/>
    <n v="34"/>
    <n v="610.88"/>
    <s v="Yes"/>
    <n v="3"/>
    <n v="17.97"/>
  </r>
  <r>
    <n v="701"/>
    <s v="Martin"/>
    <s v="Garrett"/>
    <s v="Male"/>
    <n v="35"/>
    <x v="4"/>
    <s v="Belgium"/>
    <s v="Lake Karen"/>
    <s v="washingtontheresa@yahoo.com"/>
    <s v="729-204-0691"/>
    <d v="2022-12-19T00:00:00"/>
    <x v="1"/>
    <x v="2"/>
    <d v="2025-09-01T00:00:00"/>
    <n v="13"/>
    <n v="3997.1"/>
    <s v="Yes"/>
    <n v="1"/>
    <n v="307.47000000000003"/>
  </r>
  <r>
    <n v="702"/>
    <s v="Susan"/>
    <s v="Conway"/>
    <s v="Female"/>
    <n v="59"/>
    <x v="1"/>
    <s v="United States Minor Outlying Islands"/>
    <s v="West Crystalview"/>
    <s v="john65@ellis.info"/>
    <s v="6905641189"/>
    <d v="2024-05-06T00:00:00"/>
    <x v="2"/>
    <x v="5"/>
    <d v="2023-11-11T00:00:00"/>
    <n v="18"/>
    <n v="1394.62"/>
    <s v="Yes"/>
    <n v="2"/>
    <n v="77.48"/>
  </r>
  <r>
    <n v="703"/>
    <s v="Matthew"/>
    <s v="Eaton"/>
    <s v="Male"/>
    <n v="68"/>
    <x v="0"/>
    <s v="Qatar"/>
    <s v="Cherylport"/>
    <s v="newmancrystal@gmail.com"/>
    <s v="774.405.1134"/>
    <d v="2023-06-25T00:00:00"/>
    <x v="1"/>
    <x v="8"/>
    <d v="2025-01-31T00:00:00"/>
    <n v="3"/>
    <n v="3168.9"/>
    <s v="Yes"/>
    <n v="3"/>
    <n v="1056.3"/>
  </r>
  <r>
    <n v="704"/>
    <s v="Laura"/>
    <s v="Yates"/>
    <s v="Female"/>
    <n v="33"/>
    <x v="1"/>
    <s v="Cape Verde"/>
    <s v="Smithland"/>
    <s v="newtonmaria@solomon.net"/>
    <s v="(208)713-3724x4611"/>
    <d v="2023-03-18T00:00:00"/>
    <x v="1"/>
    <x v="0"/>
    <d v="2025-08-08T00:00:00"/>
    <n v="8"/>
    <n v="278.95"/>
    <s v="Yes"/>
    <n v="3"/>
    <n v="34.869999999999997"/>
  </r>
  <r>
    <n v="705"/>
    <s v="Crystal"/>
    <s v="Hooper"/>
    <s v="Male"/>
    <n v="42"/>
    <x v="6"/>
    <s v="Anguilla"/>
    <s v="Lake Tina"/>
    <s v="nixonkristen@blevins.com"/>
    <s v="(895)309-2516x8122"/>
    <d v="2025-06-28T00:00:00"/>
    <x v="1"/>
    <x v="0"/>
    <d v="2025-08-21T00:00:00"/>
    <n v="28"/>
    <n v="8971.08"/>
    <s v="Yes"/>
    <n v="4"/>
    <n v="320.39999999999998"/>
  </r>
  <r>
    <n v="706"/>
    <s v="John"/>
    <s v="Williams"/>
    <s v="Female"/>
    <n v="54"/>
    <x v="4"/>
    <s v="Somalia"/>
    <s v="Lake Kathryn"/>
    <s v="rodriguezlawrence@gmail.com"/>
    <s v="0622430633"/>
    <d v="2024-02-09T00:00:00"/>
    <x v="1"/>
    <x v="10"/>
    <d v="2025-05-31T00:00:00"/>
    <n v="43"/>
    <n v="5449.06"/>
    <s v="No"/>
    <n v="2"/>
    <n v="126.72"/>
  </r>
  <r>
    <n v="707"/>
    <s v="Matthew"/>
    <s v="Martinez"/>
    <s v="Male"/>
    <n v="37"/>
    <x v="5"/>
    <s v="Comoros"/>
    <s v="Jacobland"/>
    <s v="jennifermcdonald@hotmail.com"/>
    <s v="455-609-1818x52972"/>
    <d v="2023-10-13T00:00:00"/>
    <x v="0"/>
    <x v="9"/>
    <d v="2024-12-24T00:00:00"/>
    <n v="46"/>
    <n v="2511.7600000000002"/>
    <s v="No"/>
    <n v="3"/>
    <n v="54.6"/>
  </r>
  <r>
    <n v="708"/>
    <s v="Amber"/>
    <s v="Leach"/>
    <s v="Female"/>
    <n v="41"/>
    <x v="1"/>
    <s v="Korea"/>
    <s v="East Jon"/>
    <s v="austinbailey@fletcher-murphy.com"/>
    <s v="496-065-1056x465"/>
    <d v="2024-05-13T00:00:00"/>
    <x v="1"/>
    <x v="10"/>
    <d v="2025-05-07T00:00:00"/>
    <n v="17"/>
    <n v="8399.5"/>
    <s v="No"/>
    <n v="5"/>
    <n v="494.09"/>
  </r>
  <r>
    <n v="709"/>
    <s v="Christian"/>
    <s v="Velasquez"/>
    <s v="Female"/>
    <n v="64"/>
    <x v="1"/>
    <s v="Bahamas"/>
    <s v="Murrayshire"/>
    <s v="michelle92@richards.info"/>
    <s v="411-145-9682x52164"/>
    <d v="2025-08-01T00:00:00"/>
    <x v="0"/>
    <x v="10"/>
    <d v="2024-05-10T00:00:00"/>
    <n v="2"/>
    <n v="3048.35"/>
    <s v="Yes"/>
    <n v="4"/>
    <n v="1524.18"/>
  </r>
  <r>
    <n v="710"/>
    <s v="Eric"/>
    <s v="Levy"/>
    <s v="Female"/>
    <n v="51"/>
    <x v="4"/>
    <s v="United Arab Emirates"/>
    <s v="Jonesshire"/>
    <s v="melissa27@weaver-kirk.com"/>
    <s v="001-225-577-4231x937"/>
    <d v="2024-07-03T00:00:00"/>
    <x v="1"/>
    <x v="1"/>
    <d v="2025-06-05T00:00:00"/>
    <n v="1"/>
    <n v="6998.63"/>
    <s v="Yes"/>
    <n v="5"/>
    <n v="6998.63"/>
  </r>
  <r>
    <n v="711"/>
    <s v="Rebecca"/>
    <s v="Simpson"/>
    <s v="Male"/>
    <n v="48"/>
    <x v="2"/>
    <s v="Jordan"/>
    <s v="West Jennifer"/>
    <s v="ballkelly@gmail.com"/>
    <s v="8988823048"/>
    <d v="2024-09-03T00:00:00"/>
    <x v="0"/>
    <x v="4"/>
    <d v="2024-03-17T00:00:00"/>
    <n v="10"/>
    <n v="5194.45"/>
    <s v="Yes"/>
    <n v="4"/>
    <n v="519.44000000000005"/>
  </r>
  <r>
    <n v="712"/>
    <s v="Nicole"/>
    <s v="Wheeler"/>
    <s v="Female"/>
    <n v="31"/>
    <x v="2"/>
    <s v="Wallis and Futuna"/>
    <s v="Foleyhaven"/>
    <s v="bboyd@burnett.info"/>
    <s v="407-590-5840x09216"/>
    <d v="2024-08-27T00:00:00"/>
    <x v="0"/>
    <x v="5"/>
    <d v="2024-11-02T00:00:00"/>
    <n v="19"/>
    <n v="3921.32"/>
    <s v="Yes"/>
    <n v="5"/>
    <n v="206.39"/>
  </r>
  <r>
    <n v="713"/>
    <s v="Andrea"/>
    <s v="Marshall"/>
    <s v="Female"/>
    <n v="69"/>
    <x v="1"/>
    <s v="Bahrain"/>
    <s v="Johnland"/>
    <s v="jessicapalmer@patel.biz"/>
    <s v="970.487.9932x3979"/>
    <d v="2023-02-21T00:00:00"/>
    <x v="0"/>
    <x v="2"/>
    <d v="2024-09-05T00:00:00"/>
    <n v="21"/>
    <n v="793.82"/>
    <s v="Yes"/>
    <n v="4"/>
    <n v="37.799999999999997"/>
  </r>
  <r>
    <n v="714"/>
    <s v="Laura"/>
    <s v="Gray"/>
    <s v="Male"/>
    <n v="44"/>
    <x v="0"/>
    <s v="South Africa"/>
    <s v="Freemanhaven"/>
    <s v="murphymichael@chambers-dougherty.org"/>
    <s v="(581)236-2580x360"/>
    <d v="2025-01-12T00:00:00"/>
    <x v="1"/>
    <x v="1"/>
    <d v="2025-06-29T00:00:00"/>
    <n v="10"/>
    <n v="6639.71"/>
    <s v="No"/>
    <n v="4"/>
    <n v="663.97"/>
  </r>
  <r>
    <n v="715"/>
    <s v="Leslie"/>
    <s v="Rollins"/>
    <s v="Male"/>
    <n v="34"/>
    <x v="1"/>
    <s v="Kuwait"/>
    <s v="Hobury"/>
    <s v="vmeyer@rowe-ferrell.com"/>
    <s v="+1-681-247-0663"/>
    <d v="2024-03-29T00:00:00"/>
    <x v="0"/>
    <x v="4"/>
    <d v="2024-03-03T00:00:00"/>
    <n v="5"/>
    <n v="5169.22"/>
    <s v="No"/>
    <n v="5"/>
    <n v="1033.8399999999999"/>
  </r>
  <r>
    <n v="716"/>
    <s v="Keith"/>
    <s v="Cunningham"/>
    <s v="Male"/>
    <n v="46"/>
    <x v="4"/>
    <s v="Greece"/>
    <s v="Ramoschester"/>
    <s v="qoliver@gmail.com"/>
    <s v="869-889-2455x18298"/>
    <d v="2023-05-14T00:00:00"/>
    <x v="1"/>
    <x v="3"/>
    <d v="2025-04-30T00:00:00"/>
    <n v="41"/>
    <n v="7351.21"/>
    <s v="No"/>
    <n v="3"/>
    <n v="179.3"/>
  </r>
  <r>
    <n v="717"/>
    <s v="Jennifer"/>
    <s v="Everett"/>
    <s v="Male"/>
    <n v="55"/>
    <x v="5"/>
    <s v="Norway"/>
    <s v="West Jenniferport"/>
    <s v="edwardduncan@schmidt.net"/>
    <s v="001-612-719-9986x346"/>
    <d v="2023-01-16T00:00:00"/>
    <x v="0"/>
    <x v="0"/>
    <d v="2024-08-27T00:00:00"/>
    <n v="42"/>
    <n v="940.91"/>
    <s v="Yes"/>
    <n v="2"/>
    <n v="22.4"/>
  </r>
  <r>
    <n v="718"/>
    <s v="Michael"/>
    <s v="Wells"/>
    <s v="Male"/>
    <n v="18"/>
    <x v="2"/>
    <s v="Bulgaria"/>
    <s v="Harrisstad"/>
    <s v="valeriejones@smith.com"/>
    <s v="+1-312-708-4582x682"/>
    <d v="2023-02-01T00:00:00"/>
    <x v="1"/>
    <x v="2"/>
    <d v="2025-09-22T00:00:00"/>
    <n v="35"/>
    <n v="5955.57"/>
    <s v="No"/>
    <n v="2"/>
    <n v="170.16"/>
  </r>
  <r>
    <n v="719"/>
    <s v="Christopher"/>
    <s v="Juarez"/>
    <s v="Female"/>
    <n v="32"/>
    <x v="1"/>
    <s v="Macedonia"/>
    <s v="Johnsonland"/>
    <s v="gwendolynmiller@gmail.com"/>
    <s v="(669)764-0183"/>
    <d v="2023-03-06T00:00:00"/>
    <x v="2"/>
    <x v="9"/>
    <d v="2023-12-04T00:00:00"/>
    <n v="49"/>
    <n v="580.44000000000005"/>
    <s v="Yes"/>
    <n v="2"/>
    <n v="11.85"/>
  </r>
  <r>
    <n v="720"/>
    <s v="Angela"/>
    <s v="Martinez"/>
    <s v="Female"/>
    <n v="67"/>
    <x v="3"/>
    <s v="Spain"/>
    <s v="Williamsfort"/>
    <s v="hughesjames@vaughn-burnett.info"/>
    <s v="626-423-5010x245"/>
    <d v="2025-08-24T00:00:00"/>
    <x v="0"/>
    <x v="7"/>
    <d v="2024-10-17T00:00:00"/>
    <n v="10"/>
    <n v="3499.42"/>
    <s v="No"/>
    <n v="2"/>
    <n v="349.94"/>
  </r>
  <r>
    <n v="721"/>
    <s v="Timothy"/>
    <s v="Newton"/>
    <s v="Female"/>
    <n v="61"/>
    <x v="2"/>
    <s v="South Georgia and the South Sandwich Islands"/>
    <s v="New Jerome"/>
    <s v="pstrong@yahoo.com"/>
    <s v="(597)066-7075x061"/>
    <d v="2023-07-25T00:00:00"/>
    <x v="0"/>
    <x v="7"/>
    <d v="2024-10-28T00:00:00"/>
    <n v="24"/>
    <n v="6859.62"/>
    <s v="Yes"/>
    <n v="4"/>
    <n v="285.82"/>
  </r>
  <r>
    <n v="722"/>
    <s v="Elizabeth"/>
    <s v="Carroll"/>
    <s v="Male"/>
    <n v="47"/>
    <x v="1"/>
    <s v="Svalbard &amp; Jan Mayen Islands"/>
    <s v="Port Douglas"/>
    <s v="vaughnbrent@holmes-bruce.com"/>
    <s v="+1-553-328-2492x374"/>
    <d v="2023-08-31T00:00:00"/>
    <x v="0"/>
    <x v="5"/>
    <d v="2024-11-29T00:00:00"/>
    <n v="8"/>
    <n v="2636.43"/>
    <s v="No"/>
    <n v="3"/>
    <n v="329.55"/>
  </r>
  <r>
    <n v="723"/>
    <s v="Pamela"/>
    <s v="Duarte"/>
    <s v="Male"/>
    <n v="35"/>
    <x v="3"/>
    <s v="Dominican Republic"/>
    <s v="Phyllisville"/>
    <s v="jodihoover@yahoo.com"/>
    <s v="987.855.5552x5912"/>
    <d v="2024-07-20T00:00:00"/>
    <x v="1"/>
    <x v="0"/>
    <d v="2025-08-31T00:00:00"/>
    <n v="32"/>
    <n v="5178.84"/>
    <s v="Yes"/>
    <n v="5"/>
    <n v="161.84"/>
  </r>
  <r>
    <n v="724"/>
    <s v="Jesse"/>
    <s v="Gardner"/>
    <s v="Female"/>
    <n v="34"/>
    <x v="2"/>
    <s v="Reunion"/>
    <s v="Kristophershire"/>
    <s v="beanrobert@gmail.com"/>
    <s v="029.218.5556x343"/>
    <d v="2025-01-31T00:00:00"/>
    <x v="0"/>
    <x v="9"/>
    <d v="2024-12-25T00:00:00"/>
    <n v="46"/>
    <n v="9279.27"/>
    <s v="Yes"/>
    <n v="4"/>
    <n v="201.72"/>
  </r>
  <r>
    <n v="725"/>
    <s v="Bradley"/>
    <s v="Shea"/>
    <s v="Female"/>
    <n v="40"/>
    <x v="2"/>
    <s v="Albania"/>
    <s v="Aaronfurt"/>
    <s v="larsondale@khan.com"/>
    <s v="001-343-053-1791x9406"/>
    <d v="2025-03-28T00:00:00"/>
    <x v="0"/>
    <x v="11"/>
    <d v="2024-07-17T00:00:00"/>
    <n v="2"/>
    <n v="9731.32"/>
    <s v="Yes"/>
    <n v="5"/>
    <n v="4865.66"/>
  </r>
  <r>
    <n v="726"/>
    <s v="Jo"/>
    <s v="Randolph"/>
    <s v="Female"/>
    <n v="23"/>
    <x v="2"/>
    <s v="Martinique"/>
    <s v="East Olivia"/>
    <s v="robertsrichard@hotmail.com"/>
    <s v="833-240-2446x736"/>
    <d v="2024-05-24T00:00:00"/>
    <x v="1"/>
    <x v="8"/>
    <d v="2025-01-03T00:00:00"/>
    <n v="37"/>
    <n v="800.84"/>
    <s v="No"/>
    <n v="5"/>
    <n v="21.64"/>
  </r>
  <r>
    <n v="727"/>
    <s v="Tyler"/>
    <s v="Walter"/>
    <s v="Female"/>
    <n v="42"/>
    <x v="3"/>
    <s v="Dominican Republic"/>
    <s v="Lake Vanessaton"/>
    <s v="mooredawn@gmail.com"/>
    <s v="1381259824"/>
    <d v="2023-01-24T00:00:00"/>
    <x v="1"/>
    <x v="3"/>
    <d v="2025-04-07T00:00:00"/>
    <n v="6"/>
    <n v="3659.14"/>
    <s v="Yes"/>
    <n v="1"/>
    <n v="609.86"/>
  </r>
  <r>
    <n v="728"/>
    <s v="Carl"/>
    <s v="Johnson"/>
    <s v="Female"/>
    <n v="21"/>
    <x v="4"/>
    <s v="Heard Island and McDonald Islands"/>
    <s v="Kurtland"/>
    <s v="sara54@rios-turner.com"/>
    <s v="5434778304"/>
    <d v="2025-04-01T00:00:00"/>
    <x v="0"/>
    <x v="5"/>
    <d v="2024-11-21T00:00:00"/>
    <n v="19"/>
    <n v="2733.3"/>
    <s v="Yes"/>
    <n v="3"/>
    <n v="143.86000000000001"/>
  </r>
  <r>
    <n v="729"/>
    <s v="Megan"/>
    <s v="Lewis"/>
    <s v="Female"/>
    <n v="66"/>
    <x v="1"/>
    <s v="Kiribati"/>
    <s v="South Jamesmouth"/>
    <s v="phillip26@yahoo.com"/>
    <s v="543.273.2159x793"/>
    <d v="2025-10-11T00:00:00"/>
    <x v="1"/>
    <x v="10"/>
    <d v="2025-05-13T00:00:00"/>
    <n v="17"/>
    <n v="6189.61"/>
    <s v="Yes"/>
    <n v="4"/>
    <n v="364.09"/>
  </r>
  <r>
    <n v="730"/>
    <s v="John"/>
    <s v="Owens"/>
    <s v="Female"/>
    <n v="25"/>
    <x v="2"/>
    <s v="Uzbekistan"/>
    <s v="Clarkland"/>
    <s v="jacob05@hotmail.com"/>
    <s v="705-064-7817x8604"/>
    <d v="2023-06-25T00:00:00"/>
    <x v="2"/>
    <x v="9"/>
    <d v="2023-12-16T00:00:00"/>
    <n v="29"/>
    <n v="4188.7299999999996"/>
    <s v="Yes"/>
    <n v="3"/>
    <n v="144.44"/>
  </r>
  <r>
    <n v="731"/>
    <s v="Erika"/>
    <s v="Gonzalez"/>
    <s v="Male"/>
    <n v="58"/>
    <x v="2"/>
    <s v="Lebanon"/>
    <s v="North Scottstad"/>
    <s v="amber89@long-keith.net"/>
    <s v="(879)679-0341x29890"/>
    <d v="2025-06-18T00:00:00"/>
    <x v="1"/>
    <x v="7"/>
    <d v="2025-10-08T00:00:00"/>
    <n v="26"/>
    <n v="100.09"/>
    <s v="No"/>
    <n v="3"/>
    <n v="3.85"/>
  </r>
  <r>
    <n v="732"/>
    <s v="Emily"/>
    <s v="Andrade"/>
    <s v="Male"/>
    <n v="66"/>
    <x v="6"/>
    <s v="Solomon Islands"/>
    <s v="Port Annberg"/>
    <s v="dawnrichardson@gmail.com"/>
    <s v="+1-202-125-1337x870"/>
    <d v="2024-03-17T00:00:00"/>
    <x v="1"/>
    <x v="7"/>
    <d v="2025-10-17T00:00:00"/>
    <n v="23"/>
    <n v="2391.9499999999998"/>
    <s v="Yes"/>
    <n v="1"/>
    <n v="104"/>
  </r>
  <r>
    <n v="733"/>
    <s v="Joshua"/>
    <s v="Proctor"/>
    <s v="Male"/>
    <n v="41"/>
    <x v="1"/>
    <s v="Gabon"/>
    <s v="South Teresa"/>
    <s v="qrobbins@gmail.com"/>
    <s v="940.231.8076x3841"/>
    <d v="2024-04-03T00:00:00"/>
    <x v="0"/>
    <x v="8"/>
    <d v="2024-01-15T00:00:00"/>
    <n v="19"/>
    <n v="6434.07"/>
    <s v="No"/>
    <n v="5"/>
    <n v="338.64"/>
  </r>
  <r>
    <n v="734"/>
    <s v="Kevin"/>
    <s v="Scott"/>
    <s v="Male"/>
    <n v="71"/>
    <x v="6"/>
    <s v="French Guiana"/>
    <s v="Thomastown"/>
    <s v="wandawilson@williams.biz"/>
    <s v="(186)345-6666"/>
    <d v="2023-09-25T00:00:00"/>
    <x v="1"/>
    <x v="7"/>
    <d v="2025-10-23T00:00:00"/>
    <n v="36"/>
    <n v="1306.71"/>
    <s v="No"/>
    <n v="4"/>
    <n v="36.299999999999997"/>
  </r>
  <r>
    <n v="735"/>
    <s v="Chelsey"/>
    <s v="Novak"/>
    <s v="Female"/>
    <n v="53"/>
    <x v="5"/>
    <s v="Grenada"/>
    <s v="South Debrashire"/>
    <s v="farias@ferguson.biz"/>
    <s v="296.857.4236"/>
    <d v="2025-08-10T00:00:00"/>
    <x v="1"/>
    <x v="7"/>
    <d v="2025-10-01T00:00:00"/>
    <n v="12"/>
    <n v="4655.8599999999997"/>
    <s v="Yes"/>
    <n v="3"/>
    <n v="387.99"/>
  </r>
  <r>
    <n v="736"/>
    <s v="Diana"/>
    <s v="Nichols"/>
    <s v="Female"/>
    <n v="51"/>
    <x v="1"/>
    <s v="Samoa"/>
    <s v="South Tamaraville"/>
    <s v="aguirrekaren@gmail.com"/>
    <s v="(869)176-3275"/>
    <d v="2024-04-09T00:00:00"/>
    <x v="1"/>
    <x v="8"/>
    <d v="2025-01-27T00:00:00"/>
    <n v="32"/>
    <n v="3004.02"/>
    <s v="No"/>
    <n v="4"/>
    <n v="93.88"/>
  </r>
  <r>
    <n v="737"/>
    <s v="George"/>
    <s v="Fuentes"/>
    <s v="Female"/>
    <n v="27"/>
    <x v="3"/>
    <s v="Bhutan"/>
    <s v="Mayport"/>
    <s v="johngomez@yahoo.com"/>
    <s v="874-167-5738x766"/>
    <d v="2024-05-01T00:00:00"/>
    <x v="1"/>
    <x v="8"/>
    <d v="2025-01-29T00:00:00"/>
    <n v="7"/>
    <n v="9352.82"/>
    <s v="No"/>
    <n v="4"/>
    <n v="1336.12"/>
  </r>
  <r>
    <n v="738"/>
    <s v="Morgan"/>
    <s v="Martinez"/>
    <s v="Female"/>
    <n v="46"/>
    <x v="4"/>
    <s v="Bangladesh"/>
    <s v="Lisafort"/>
    <s v="mendezjames@baker.org"/>
    <s v="(799)921-2046"/>
    <d v="2024-11-02T00:00:00"/>
    <x v="0"/>
    <x v="7"/>
    <d v="2024-10-18T00:00:00"/>
    <n v="49"/>
    <n v="256.01"/>
    <s v="Yes"/>
    <n v="4"/>
    <n v="5.22"/>
  </r>
  <r>
    <n v="739"/>
    <s v="Daniel"/>
    <s v="Hobbs"/>
    <s v="Female"/>
    <n v="57"/>
    <x v="2"/>
    <s v="Marshall Islands"/>
    <s v="Christophertown"/>
    <s v="gerald96@hall.com"/>
    <s v="001-273-596-6654x439"/>
    <d v="2023-02-24T00:00:00"/>
    <x v="1"/>
    <x v="0"/>
    <d v="2025-08-05T00:00:00"/>
    <n v="10"/>
    <n v="4322.1400000000003"/>
    <s v="Yes"/>
    <n v="1"/>
    <n v="432.21"/>
  </r>
  <r>
    <n v="740"/>
    <s v="Jennifer"/>
    <s v="Jackson"/>
    <s v="Male"/>
    <n v="41"/>
    <x v="1"/>
    <s v="British Virgin Islands"/>
    <s v="New Hunterbury"/>
    <s v="landerson@hotmail.com"/>
    <s v="+1-324-958-0396"/>
    <d v="2022-12-25T00:00:00"/>
    <x v="0"/>
    <x v="1"/>
    <d v="2024-06-18T00:00:00"/>
    <n v="23"/>
    <n v="1491.7"/>
    <s v="Yes"/>
    <n v="3"/>
    <n v="64.86"/>
  </r>
  <r>
    <n v="741"/>
    <s v="Jared"/>
    <s v="Ingram"/>
    <s v="Female"/>
    <n v="24"/>
    <x v="4"/>
    <s v="Monaco"/>
    <s v="Arellanomouth"/>
    <s v="nealsara@gmail.com"/>
    <s v="1929235164"/>
    <d v="2024-05-02T00:00:00"/>
    <x v="1"/>
    <x v="0"/>
    <d v="2025-08-15T00:00:00"/>
    <n v="37"/>
    <n v="872.82"/>
    <s v="Yes"/>
    <n v="3"/>
    <n v="23.59"/>
  </r>
  <r>
    <n v="742"/>
    <s v="Jill"/>
    <s v="Wells"/>
    <s v="Male"/>
    <n v="27"/>
    <x v="1"/>
    <s v="Romania"/>
    <s v="Laurabury"/>
    <s v="amanda37@perez-schneider.com"/>
    <s v="353-615-5709"/>
    <d v="2025-07-03T00:00:00"/>
    <x v="1"/>
    <x v="11"/>
    <d v="2025-07-02T00:00:00"/>
    <n v="26"/>
    <n v="2374.3000000000002"/>
    <s v="No"/>
    <n v="4"/>
    <n v="91.32"/>
  </r>
  <r>
    <n v="743"/>
    <s v="Colleen"/>
    <s v="Alvarado"/>
    <s v="Female"/>
    <n v="61"/>
    <x v="4"/>
    <s v="Benin"/>
    <s v="Randyshire"/>
    <s v="dianemoore@mcdonald.info"/>
    <s v="346-814-0099x0001"/>
    <d v="2025-10-03T00:00:00"/>
    <x v="1"/>
    <x v="3"/>
    <d v="2025-04-12T00:00:00"/>
    <n v="10"/>
    <n v="5301.95"/>
    <s v="No"/>
    <n v="1"/>
    <n v="530.19000000000005"/>
  </r>
  <r>
    <n v="744"/>
    <s v="Caitlin"/>
    <s v="Foster"/>
    <s v="Male"/>
    <n v="57"/>
    <x v="0"/>
    <s v="Germany"/>
    <s v="New Michaelafurt"/>
    <s v="kathleen18@gmail.com"/>
    <s v="0657587368"/>
    <d v="2024-08-22T00:00:00"/>
    <x v="0"/>
    <x v="7"/>
    <d v="2024-10-23T00:00:00"/>
    <n v="39"/>
    <n v="2202.29"/>
    <s v="No"/>
    <n v="2"/>
    <n v="56.47"/>
  </r>
  <r>
    <n v="745"/>
    <s v="Timothy"/>
    <s v="Marshall"/>
    <s v="Male"/>
    <n v="61"/>
    <x v="5"/>
    <s v="Grenada"/>
    <s v="Robertsonville"/>
    <s v="jennywallace@yahoo.com"/>
    <s v="(033)359-6715x17805"/>
    <d v="2023-09-19T00:00:00"/>
    <x v="1"/>
    <x v="1"/>
    <d v="2025-06-15T00:00:00"/>
    <n v="29"/>
    <n v="5359.28"/>
    <s v="Yes"/>
    <n v="2"/>
    <n v="184.8"/>
  </r>
  <r>
    <n v="746"/>
    <s v="Brian"/>
    <s v="Cummings"/>
    <s v="Male"/>
    <n v="63"/>
    <x v="2"/>
    <s v="Eritrea"/>
    <s v="Michellefurt"/>
    <s v="emily12@gmail.com"/>
    <s v="+1-285-470-5935x270"/>
    <d v="2023-11-07T00:00:00"/>
    <x v="1"/>
    <x v="11"/>
    <d v="2025-07-23T00:00:00"/>
    <n v="15"/>
    <n v="2843.22"/>
    <s v="Yes"/>
    <n v="4"/>
    <n v="189.55"/>
  </r>
  <r>
    <n v="747"/>
    <s v="Rebecca"/>
    <s v="Clark"/>
    <s v="Male"/>
    <n v="39"/>
    <x v="4"/>
    <s v="Saint Lucia"/>
    <s v="Simpsonhaven"/>
    <s v="abigail43@gray.com"/>
    <s v="(204)048-1108x223"/>
    <d v="2024-04-24T00:00:00"/>
    <x v="0"/>
    <x v="3"/>
    <d v="2024-04-02T00:00:00"/>
    <n v="15"/>
    <n v="1516.01"/>
    <s v="Yes"/>
    <n v="3"/>
    <n v="101.07"/>
  </r>
  <r>
    <n v="748"/>
    <s v="Courtney"/>
    <s v="Miller"/>
    <s v="Male"/>
    <n v="57"/>
    <x v="2"/>
    <s v="Senegal"/>
    <s v="Alecchester"/>
    <s v="charles04@hotmail.com"/>
    <s v="413-641-7101"/>
    <d v="2023-06-26T00:00:00"/>
    <x v="2"/>
    <x v="5"/>
    <d v="2023-11-26T00:00:00"/>
    <n v="7"/>
    <n v="7423.28"/>
    <s v="No"/>
    <n v="3"/>
    <n v="1060.47"/>
  </r>
  <r>
    <n v="749"/>
    <s v="Tina"/>
    <s v="Norman"/>
    <s v="Female"/>
    <n v="47"/>
    <x v="5"/>
    <s v="Turkey"/>
    <s v="East Tina"/>
    <s v="jasonmoore@hotmail.com"/>
    <s v="625.300.5185"/>
    <d v="2023-05-26T00:00:00"/>
    <x v="0"/>
    <x v="5"/>
    <d v="2024-11-08T00:00:00"/>
    <n v="27"/>
    <n v="1359.23"/>
    <s v="Yes"/>
    <n v="3"/>
    <n v="50.34"/>
  </r>
  <r>
    <n v="750"/>
    <s v="Randy"/>
    <s v="Ryan"/>
    <s v="Female"/>
    <n v="52"/>
    <x v="1"/>
    <s v="Samoa"/>
    <s v="Amandaport"/>
    <s v="ashleyhansen@hotmail.com"/>
    <s v="(450)328-9844"/>
    <d v="2024-08-01T00:00:00"/>
    <x v="0"/>
    <x v="11"/>
    <d v="2024-07-02T00:00:00"/>
    <n v="12"/>
    <n v="7658.32"/>
    <s v="Yes"/>
    <n v="3"/>
    <n v="638.19000000000005"/>
  </r>
  <r>
    <n v="751"/>
    <s v="Timothy"/>
    <s v="Johnson"/>
    <s v="Female"/>
    <n v="54"/>
    <x v="0"/>
    <s v="Afghanistan"/>
    <s v="South David"/>
    <s v="newtonleslie@smith.com"/>
    <s v="023.095.1690"/>
    <d v="2023-01-09T00:00:00"/>
    <x v="0"/>
    <x v="5"/>
    <d v="2024-11-03T00:00:00"/>
    <n v="15"/>
    <n v="8180.31"/>
    <s v="No"/>
    <n v="4"/>
    <n v="545.35"/>
  </r>
  <r>
    <n v="752"/>
    <s v="Kimberly"/>
    <s v="Gordon"/>
    <s v="Female"/>
    <n v="58"/>
    <x v="0"/>
    <s v="Czech Republic"/>
    <s v="Fordhaven"/>
    <s v="michael70@ray.com"/>
    <s v="016-871-9031x63083"/>
    <d v="2025-02-21T00:00:00"/>
    <x v="0"/>
    <x v="1"/>
    <d v="2024-06-18T00:00:00"/>
    <n v="2"/>
    <n v="9723.61"/>
    <s v="Yes"/>
    <n v="2"/>
    <n v="4861.8"/>
  </r>
  <r>
    <n v="753"/>
    <s v="Douglas"/>
    <s v="Blake"/>
    <s v="Male"/>
    <n v="69"/>
    <x v="1"/>
    <s v="Svalbard &amp; Jan Mayen Islands"/>
    <s v="North Michellehaven"/>
    <s v="paul28@spence-smith.info"/>
    <s v="694.438.0630x739"/>
    <d v="2024-09-07T00:00:00"/>
    <x v="0"/>
    <x v="3"/>
    <d v="2024-04-17T00:00:00"/>
    <n v="3"/>
    <n v="2163.1799999999998"/>
    <s v="Yes"/>
    <n v="5"/>
    <n v="721.06"/>
  </r>
  <r>
    <n v="754"/>
    <s v="Robin"/>
    <s v="Kelley"/>
    <s v="Female"/>
    <n v="65"/>
    <x v="1"/>
    <s v="India"/>
    <s v="Haleyside"/>
    <s v="laurafischer@sanchez-webster.com"/>
    <s v="(520)827-6599x333"/>
    <d v="2023-11-02T00:00:00"/>
    <x v="1"/>
    <x v="3"/>
    <d v="2025-04-12T00:00:00"/>
    <n v="27"/>
    <n v="6947.73"/>
    <s v="No"/>
    <n v="2"/>
    <n v="257.32"/>
  </r>
  <r>
    <n v="755"/>
    <s v="Ryan"/>
    <s v="Walker"/>
    <s v="Female"/>
    <n v="46"/>
    <x v="2"/>
    <s v="Canada"/>
    <s v="Kimberlybury"/>
    <s v="joconnell@singh.net"/>
    <s v="+1-683-887-7399x10909"/>
    <d v="2024-12-27T00:00:00"/>
    <x v="1"/>
    <x v="10"/>
    <d v="2025-05-23T00:00:00"/>
    <n v="15"/>
    <n v="80.81"/>
    <s v="No"/>
    <n v="1"/>
    <n v="5.39"/>
  </r>
  <r>
    <n v="756"/>
    <s v="Anna"/>
    <s v="Wade"/>
    <s v="Male"/>
    <n v="21"/>
    <x v="5"/>
    <s v="Palau"/>
    <s v="Mcguireberg"/>
    <s v="ufletcher@garcia.com"/>
    <s v="142.768.4970"/>
    <d v="2024-12-21T00:00:00"/>
    <x v="1"/>
    <x v="10"/>
    <d v="2025-05-21T00:00:00"/>
    <n v="17"/>
    <n v="6915.76"/>
    <s v="No"/>
    <n v="4"/>
    <n v="406.81"/>
  </r>
  <r>
    <n v="757"/>
    <s v="Ryan"/>
    <s v="Good"/>
    <s v="Male"/>
    <n v="51"/>
    <x v="2"/>
    <s v="New Zealand"/>
    <s v="West Jonathan"/>
    <s v="brianna27@hotmail.com"/>
    <s v="241-958-1536"/>
    <d v="2023-02-12T00:00:00"/>
    <x v="1"/>
    <x v="2"/>
    <d v="2025-09-26T00:00:00"/>
    <n v="18"/>
    <n v="4674.8999999999996"/>
    <s v="No"/>
    <n v="1"/>
    <n v="259.72000000000003"/>
  </r>
  <r>
    <n v="758"/>
    <s v="Jonathan"/>
    <s v="Fernandez"/>
    <s v="Female"/>
    <n v="34"/>
    <x v="4"/>
    <s v="Belgium"/>
    <s v="West Ellen"/>
    <s v="arthursullivan@hotmail.com"/>
    <s v="001-713-845-6705x4451"/>
    <d v="2024-01-30T00:00:00"/>
    <x v="0"/>
    <x v="3"/>
    <d v="2024-04-17T00:00:00"/>
    <n v="10"/>
    <n v="2145.06"/>
    <s v="Yes"/>
    <n v="4"/>
    <n v="214.51"/>
  </r>
  <r>
    <n v="759"/>
    <s v="Joel"/>
    <s v="Fisher"/>
    <s v="Male"/>
    <n v="40"/>
    <x v="5"/>
    <s v="Maldives"/>
    <s v="West Michelle"/>
    <s v="nwashington@gmail.com"/>
    <s v="(745)892-7532"/>
    <d v="2025-01-11T00:00:00"/>
    <x v="1"/>
    <x v="7"/>
    <d v="2025-10-13T00:00:00"/>
    <n v="35"/>
    <n v="2456.13"/>
    <s v="No"/>
    <n v="1"/>
    <n v="70.180000000000007"/>
  </r>
  <r>
    <n v="760"/>
    <s v="Victoria"/>
    <s v="Garcia"/>
    <s v="Male"/>
    <n v="29"/>
    <x v="3"/>
    <s v="Guinea-Bissau"/>
    <s v="Taraborough"/>
    <s v="rhonda67@yahoo.com"/>
    <s v="387.915.8730x4802"/>
    <d v="2023-09-11T00:00:00"/>
    <x v="1"/>
    <x v="10"/>
    <d v="2025-05-08T00:00:00"/>
    <n v="24"/>
    <n v="3252.89"/>
    <s v="Yes"/>
    <n v="5"/>
    <n v="135.54"/>
  </r>
  <r>
    <n v="761"/>
    <s v="Michael"/>
    <s v="Castillo"/>
    <s v="Male"/>
    <n v="20"/>
    <x v="0"/>
    <s v="Australia"/>
    <s v="Karenborough"/>
    <s v="stephaniewilson@yahoo.com"/>
    <s v="+1-933-784-1928x960"/>
    <d v="2023-05-28T00:00:00"/>
    <x v="2"/>
    <x v="5"/>
    <d v="2023-11-13T00:00:00"/>
    <n v="16"/>
    <n v="7220.94"/>
    <s v="Yes"/>
    <n v="3"/>
    <n v="451.31"/>
  </r>
  <r>
    <n v="762"/>
    <s v="Amy"/>
    <s v="Moore"/>
    <s v="Male"/>
    <n v="45"/>
    <x v="1"/>
    <s v="Kenya"/>
    <s v="Danielshire"/>
    <s v="jmccullough@clark-simmons.com"/>
    <s v="+1-199-361-8827x594"/>
    <d v="2024-07-30T00:00:00"/>
    <x v="0"/>
    <x v="6"/>
    <d v="2024-02-22T00:00:00"/>
    <n v="15"/>
    <n v="6787.68"/>
    <s v="Yes"/>
    <n v="1"/>
    <n v="452.51"/>
  </r>
  <r>
    <n v="763"/>
    <s v="Maxwell"/>
    <s v="Pittman"/>
    <s v="Male"/>
    <n v="39"/>
    <x v="1"/>
    <s v="United States Minor Outlying Islands"/>
    <s v="Collinsville"/>
    <s v="robertsrichard@hotmail.com"/>
    <s v="001-941-823-4501x529"/>
    <d v="2025-02-07T00:00:00"/>
    <x v="1"/>
    <x v="6"/>
    <d v="2025-02-10T00:00:00"/>
    <n v="4"/>
    <n v="6754.49"/>
    <s v="No"/>
    <n v="1"/>
    <n v="1688.62"/>
  </r>
  <r>
    <n v="764"/>
    <s v="Megan"/>
    <s v="Holt"/>
    <s v="Male"/>
    <n v="52"/>
    <x v="0"/>
    <s v="Peru"/>
    <s v="Floreston"/>
    <s v="brodriguez@gmail.com"/>
    <s v="+1-529-425-7565x1461"/>
    <d v="2024-12-02T00:00:00"/>
    <x v="0"/>
    <x v="6"/>
    <d v="2024-02-07T00:00:00"/>
    <n v="4"/>
    <n v="3540.82"/>
    <s v="Yes"/>
    <n v="2"/>
    <n v="885.2"/>
  </r>
  <r>
    <n v="765"/>
    <s v="Jessica"/>
    <s v="Jones"/>
    <s v="Male"/>
    <n v="52"/>
    <x v="5"/>
    <s v="Nigeria"/>
    <s v="Lake Cynthiaton"/>
    <s v="jennifergardner@powell-anderson.org"/>
    <s v="001-995-018-8136x19626"/>
    <d v="2023-06-11T00:00:00"/>
    <x v="1"/>
    <x v="6"/>
    <d v="2025-02-21T00:00:00"/>
    <n v="36"/>
    <n v="7969.72"/>
    <s v="No"/>
    <n v="4"/>
    <n v="221.38"/>
  </r>
  <r>
    <n v="766"/>
    <s v="Kathleen"/>
    <s v="Alexander"/>
    <s v="Male"/>
    <n v="20"/>
    <x v="2"/>
    <s v="Wallis and Futuna"/>
    <s v="New Carla"/>
    <s v="baileywillis@smith.com"/>
    <s v="+1-844-186-7503"/>
    <d v="2024-11-08T00:00:00"/>
    <x v="0"/>
    <x v="10"/>
    <d v="2024-05-13T00:00:00"/>
    <n v="44"/>
    <n v="8772.25"/>
    <s v="No"/>
    <n v="1"/>
    <n v="199.37"/>
  </r>
  <r>
    <n v="767"/>
    <s v="Jessica"/>
    <s v="Watson"/>
    <s v="Male"/>
    <n v="68"/>
    <x v="1"/>
    <s v="Tonga"/>
    <s v="South Davidmouth"/>
    <s v="matthew93@jackson.com"/>
    <s v="995.170.5436x7928"/>
    <d v="2025-06-22T00:00:00"/>
    <x v="0"/>
    <x v="11"/>
    <d v="2024-07-17T00:00:00"/>
    <n v="26"/>
    <n v="9399.9500000000007"/>
    <s v="No"/>
    <n v="3"/>
    <n v="361.54"/>
  </r>
  <r>
    <n v="768"/>
    <s v="John"/>
    <s v="Avery"/>
    <s v="Male"/>
    <n v="46"/>
    <x v="5"/>
    <s v="Algeria"/>
    <s v="Eugeneborough"/>
    <s v="smitherin@hamilton.com"/>
    <s v="+1-970-486-8273"/>
    <d v="2023-11-20T00:00:00"/>
    <x v="0"/>
    <x v="11"/>
    <d v="2024-07-09T00:00:00"/>
    <n v="2"/>
    <n v="5076.83"/>
    <s v="Yes"/>
    <n v="3"/>
    <n v="2538.42"/>
  </r>
  <r>
    <n v="769"/>
    <s v="Dominique"/>
    <s v="Harding"/>
    <s v="Female"/>
    <n v="44"/>
    <x v="2"/>
    <s v="Saint Vincent and the Grenadines"/>
    <s v="Suarezchester"/>
    <s v="epotter@green-garcia.com"/>
    <s v="(024)336-4324"/>
    <d v="2024-11-05T00:00:00"/>
    <x v="0"/>
    <x v="8"/>
    <d v="2024-01-24T00:00:00"/>
    <n v="25"/>
    <n v="7323.84"/>
    <s v="Yes"/>
    <n v="4"/>
    <n v="292.95"/>
  </r>
  <r>
    <n v="770"/>
    <s v="Deborah"/>
    <s v="Hernandez"/>
    <s v="Male"/>
    <n v="64"/>
    <x v="5"/>
    <s v="Nicaragua"/>
    <s v="North Thomasmouth"/>
    <s v="phillipsjason@hotmail.com"/>
    <s v="718-638-5510"/>
    <d v="2023-02-27T00:00:00"/>
    <x v="0"/>
    <x v="0"/>
    <d v="2024-08-05T00:00:00"/>
    <n v="48"/>
    <n v="78.48"/>
    <s v="Yes"/>
    <n v="4"/>
    <n v="1.64"/>
  </r>
  <r>
    <n v="771"/>
    <s v="Jennifer"/>
    <s v="Campos"/>
    <s v="Male"/>
    <n v="29"/>
    <x v="0"/>
    <s v="Gambia"/>
    <s v="Marytown"/>
    <s v="douglasperry@tanner.com"/>
    <s v="+1-595-076-6816x4692"/>
    <d v="2025-01-16T00:00:00"/>
    <x v="0"/>
    <x v="2"/>
    <d v="2024-09-03T00:00:00"/>
    <n v="6"/>
    <n v="8712"/>
    <s v="Yes"/>
    <n v="5"/>
    <n v="1452"/>
  </r>
  <r>
    <n v="772"/>
    <s v="Nicole"/>
    <s v="Brown"/>
    <s v="Female"/>
    <n v="73"/>
    <x v="5"/>
    <s v="Turkey"/>
    <s v="South Heathershire"/>
    <s v="silvamatthew@hotmail.com"/>
    <s v="001-875-843-9145x5915"/>
    <d v="2025-04-23T00:00:00"/>
    <x v="2"/>
    <x v="5"/>
    <d v="2023-11-10T00:00:00"/>
    <n v="47"/>
    <n v="9906.15"/>
    <s v="No"/>
    <n v="1"/>
    <n v="210.77"/>
  </r>
  <r>
    <n v="773"/>
    <s v="Mark"/>
    <s v="Howard"/>
    <s v="Female"/>
    <n v="38"/>
    <x v="3"/>
    <s v="Christmas Island"/>
    <s v="North Benjaminfurt"/>
    <s v="xpark@patrick-robinson.com"/>
    <s v="001-421-051-3330"/>
    <d v="2025-04-07T00:00:00"/>
    <x v="2"/>
    <x v="5"/>
    <d v="2023-11-24T00:00:00"/>
    <n v="44"/>
    <n v="9737.86"/>
    <s v="No"/>
    <n v="2"/>
    <n v="221.32"/>
  </r>
  <r>
    <n v="774"/>
    <s v="Joshua"/>
    <s v="Ray"/>
    <s v="Male"/>
    <n v="18"/>
    <x v="3"/>
    <s v="Dominican Republic"/>
    <s v="Ayalaton"/>
    <s v="matthewjones@yahoo.com"/>
    <s v="(428)553-0833"/>
    <d v="2024-01-12T00:00:00"/>
    <x v="1"/>
    <x v="10"/>
    <d v="2025-05-29T00:00:00"/>
    <n v="41"/>
    <n v="263.33"/>
    <s v="No"/>
    <n v="1"/>
    <n v="6.42"/>
  </r>
  <r>
    <n v="775"/>
    <s v="Paula"/>
    <s v="Payne"/>
    <s v="Female"/>
    <n v="59"/>
    <x v="4"/>
    <s v="United Arab Emirates"/>
    <s v="Port Jasonberg"/>
    <s v="smithmelanie@coleman-bryant.com"/>
    <s v="001-975-527-6847x11550"/>
    <d v="2023-02-23T00:00:00"/>
    <x v="1"/>
    <x v="11"/>
    <d v="2025-07-21T00:00:00"/>
    <n v="22"/>
    <n v="1165.1500000000001"/>
    <s v="No"/>
    <n v="5"/>
    <n v="52.96"/>
  </r>
  <r>
    <n v="776"/>
    <s v="Aaron"/>
    <s v="Rodriguez"/>
    <s v="Female"/>
    <n v="25"/>
    <x v="4"/>
    <s v="Saint Lucia"/>
    <s v="Schwartzstad"/>
    <s v="esparzacatherine@andrews.com"/>
    <s v="+1-698-454-5290x260"/>
    <d v="2023-04-29T00:00:00"/>
    <x v="0"/>
    <x v="7"/>
    <d v="2024-10-26T00:00:00"/>
    <n v="33"/>
    <n v="8340.7800000000007"/>
    <s v="Yes"/>
    <n v="1"/>
    <n v="252.75"/>
  </r>
  <r>
    <n v="777"/>
    <s v="Amy"/>
    <s v="Gordon"/>
    <s v="Male"/>
    <n v="63"/>
    <x v="2"/>
    <s v="Estonia"/>
    <s v="North Eric"/>
    <s v="gmorrison@perkins.com"/>
    <s v="001-091-613-7327x62012"/>
    <d v="2023-03-31T00:00:00"/>
    <x v="1"/>
    <x v="3"/>
    <d v="2025-04-12T00:00:00"/>
    <n v="1"/>
    <n v="4625.79"/>
    <s v="Yes"/>
    <n v="1"/>
    <n v="4625.79"/>
  </r>
  <r>
    <n v="778"/>
    <s v="Victor"/>
    <s v="Hamilton"/>
    <s v="Female"/>
    <n v="64"/>
    <x v="5"/>
    <s v="France"/>
    <s v="New Andrew"/>
    <s v="natasha84@yahoo.com"/>
    <s v="(979)816-6105x8274"/>
    <d v="2024-11-20T00:00:00"/>
    <x v="0"/>
    <x v="0"/>
    <d v="2024-08-07T00:00:00"/>
    <n v="20"/>
    <n v="6988.91"/>
    <s v="No"/>
    <n v="1"/>
    <n v="349.45"/>
  </r>
  <r>
    <n v="779"/>
    <s v="Laura"/>
    <s v="Johnston"/>
    <s v="Female"/>
    <n v="37"/>
    <x v="4"/>
    <s v="Ecuador"/>
    <s v="Bryanfort"/>
    <s v="rachel90@dixon.com"/>
    <s v="(082)079-8630x43250"/>
    <d v="2025-08-12T00:00:00"/>
    <x v="2"/>
    <x v="9"/>
    <d v="2023-12-31T00:00:00"/>
    <n v="31"/>
    <n v="9027.15"/>
    <s v="No"/>
    <n v="1"/>
    <n v="291.2"/>
  </r>
  <r>
    <n v="780"/>
    <s v="Sharon"/>
    <s v="Lopez"/>
    <s v="Male"/>
    <n v="29"/>
    <x v="1"/>
    <s v="China"/>
    <s v="Robinsonland"/>
    <s v="pmoore@banks-neal.com"/>
    <s v="+1-782-835-2397x2656"/>
    <d v="2024-02-22T00:00:00"/>
    <x v="1"/>
    <x v="10"/>
    <d v="2025-05-22T00:00:00"/>
    <n v="47"/>
    <n v="6903.72"/>
    <s v="Yes"/>
    <n v="4"/>
    <n v="146.88999999999999"/>
  </r>
  <r>
    <n v="781"/>
    <s v="Matthew"/>
    <s v="Robinson"/>
    <s v="Female"/>
    <n v="28"/>
    <x v="2"/>
    <s v="Uzbekistan"/>
    <s v="Leebury"/>
    <s v="nathanmathis@cruz-rice.info"/>
    <s v="001-271-356-9478x0070"/>
    <d v="2024-06-15T00:00:00"/>
    <x v="0"/>
    <x v="1"/>
    <d v="2024-06-19T00:00:00"/>
    <n v="4"/>
    <n v="3115.56"/>
    <s v="Yes"/>
    <n v="1"/>
    <n v="778.89"/>
  </r>
  <r>
    <n v="782"/>
    <s v="Janet"/>
    <s v="Garcia"/>
    <s v="Male"/>
    <n v="29"/>
    <x v="1"/>
    <s v="Kiribati"/>
    <s v="Michaelstad"/>
    <s v="sheila11@yahoo.com"/>
    <s v="565-411-4833x297"/>
    <d v="2025-04-24T00:00:00"/>
    <x v="0"/>
    <x v="10"/>
    <d v="2024-05-03T00:00:00"/>
    <n v="36"/>
    <n v="2585.48"/>
    <s v="No"/>
    <n v="2"/>
    <n v="71.819999999999993"/>
  </r>
  <r>
    <n v="783"/>
    <s v="Rachel"/>
    <s v="Hancock"/>
    <s v="Male"/>
    <n v="37"/>
    <x v="4"/>
    <s v="Cambodia"/>
    <s v="Riverafort"/>
    <s v="rharper@hotmail.com"/>
    <s v="(356)191-4740"/>
    <d v="2023-11-20T00:00:00"/>
    <x v="0"/>
    <x v="6"/>
    <d v="2024-02-25T00:00:00"/>
    <n v="20"/>
    <n v="6376.86"/>
    <s v="No"/>
    <n v="5"/>
    <n v="318.83999999999997"/>
  </r>
  <r>
    <n v="784"/>
    <s v="Alex"/>
    <s v="Cruz"/>
    <s v="Male"/>
    <n v="35"/>
    <x v="0"/>
    <s v="Kyrgyz Republic"/>
    <s v="Lake Alexandra"/>
    <s v="janet38@yahoo.com"/>
    <s v="001-092-386-6683x716"/>
    <d v="2025-08-11T00:00:00"/>
    <x v="0"/>
    <x v="11"/>
    <d v="2024-07-06T00:00:00"/>
    <n v="16"/>
    <n v="4566.53"/>
    <s v="No"/>
    <n v="4"/>
    <n v="285.41000000000003"/>
  </r>
  <r>
    <n v="785"/>
    <s v="Taylor"/>
    <s v="Robertson"/>
    <s v="Male"/>
    <n v="28"/>
    <x v="1"/>
    <s v="Tajikistan"/>
    <s v="Sandraborough"/>
    <s v="timothywilson@lee.com"/>
    <s v="001-367-716-5629x21113"/>
    <d v="2023-04-25T00:00:00"/>
    <x v="1"/>
    <x v="0"/>
    <d v="2025-08-15T00:00:00"/>
    <n v="7"/>
    <n v="7765.65"/>
    <s v="No"/>
    <n v="2"/>
    <n v="1109.3800000000001"/>
  </r>
  <r>
    <n v="786"/>
    <s v="Tonya"/>
    <s v="White"/>
    <s v="Male"/>
    <n v="36"/>
    <x v="2"/>
    <s v="Colombia"/>
    <s v="Kristinehaven"/>
    <s v="gibsonpeter@owens.info"/>
    <s v="001-691-242-3741x5484"/>
    <d v="2025-02-16T00:00:00"/>
    <x v="0"/>
    <x v="9"/>
    <d v="2024-12-08T00:00:00"/>
    <n v="29"/>
    <n v="2286.0700000000002"/>
    <s v="No"/>
    <n v="3"/>
    <n v="78.83"/>
  </r>
  <r>
    <n v="787"/>
    <s v="Jerry"/>
    <s v="Nicholson"/>
    <s v="Male"/>
    <n v="49"/>
    <x v="2"/>
    <s v="Eritrea"/>
    <s v="North Richard"/>
    <s v="cooperdonald@cunningham.info"/>
    <s v="001-288-139-1342x5125"/>
    <d v="2025-04-20T00:00:00"/>
    <x v="0"/>
    <x v="3"/>
    <d v="2024-04-10T00:00:00"/>
    <n v="31"/>
    <n v="6559.18"/>
    <s v="No"/>
    <n v="4"/>
    <n v="211.59"/>
  </r>
  <r>
    <n v="788"/>
    <s v="William"/>
    <s v="Watts"/>
    <s v="Male"/>
    <n v="66"/>
    <x v="2"/>
    <s v="Tokelau"/>
    <s v="Michaelburgh"/>
    <s v="uortiz@yahoo.com"/>
    <s v="+1-182-203-5607x45415"/>
    <d v="2024-01-20T00:00:00"/>
    <x v="1"/>
    <x v="4"/>
    <d v="2025-03-07T00:00:00"/>
    <n v="44"/>
    <n v="8893.49"/>
    <s v="No"/>
    <n v="4"/>
    <n v="202.12"/>
  </r>
  <r>
    <n v="789"/>
    <s v="Emily"/>
    <s v="Erickson"/>
    <s v="Male"/>
    <n v="63"/>
    <x v="4"/>
    <s v="Ecuador"/>
    <s v="South Shelley"/>
    <s v="cblair@sharp.net"/>
    <s v="001-891-709-4344x7397"/>
    <d v="2023-01-17T00:00:00"/>
    <x v="0"/>
    <x v="10"/>
    <d v="2024-05-28T00:00:00"/>
    <n v="27"/>
    <n v="2505.75"/>
    <s v="No"/>
    <n v="3"/>
    <n v="92.81"/>
  </r>
  <r>
    <n v="790"/>
    <s v="Cesar"/>
    <s v="Erickson"/>
    <s v="Other"/>
    <n v="74"/>
    <x v="1"/>
    <s v="Tonga"/>
    <s v="Joshuaberg"/>
    <s v="johnsonsharon@brock.com"/>
    <s v="001-057-921-8185"/>
    <d v="2024-03-18T00:00:00"/>
    <x v="1"/>
    <x v="10"/>
    <d v="2025-05-13T00:00:00"/>
    <n v="34"/>
    <n v="4853.7"/>
    <s v="No"/>
    <n v="1"/>
    <n v="142.76"/>
  </r>
  <r>
    <n v="791"/>
    <s v="Edward"/>
    <s v="Fields"/>
    <s v="Other"/>
    <n v="46"/>
    <x v="1"/>
    <s v="Switzerland"/>
    <s v="Port Frankville"/>
    <s v="cruzcynthia@gmail.com"/>
    <s v="(530)325-1617"/>
    <d v="2024-04-03T00:00:00"/>
    <x v="0"/>
    <x v="0"/>
    <d v="2024-08-07T00:00:00"/>
    <n v="48"/>
    <n v="2079.52"/>
    <s v="Yes"/>
    <n v="4"/>
    <n v="43.32"/>
  </r>
  <r>
    <n v="792"/>
    <s v="Christopher"/>
    <s v="Hernandez"/>
    <s v="Male"/>
    <n v="35"/>
    <x v="0"/>
    <s v="Liechtenstein"/>
    <s v="Christopherborough"/>
    <s v="daniellereid@gmail.com"/>
    <s v="+1-510-246-1734"/>
    <d v="2023-01-03T00:00:00"/>
    <x v="0"/>
    <x v="5"/>
    <d v="2024-11-16T00:00:00"/>
    <n v="22"/>
    <n v="8531.5499999999993"/>
    <s v="No"/>
    <n v="1"/>
    <n v="387.8"/>
  </r>
  <r>
    <n v="793"/>
    <s v="Lynn"/>
    <s v="Bullock"/>
    <s v="Other"/>
    <n v="23"/>
    <x v="5"/>
    <s v="Nicaragua"/>
    <s v="South Carla"/>
    <s v="wdawson@alexander-mills.com"/>
    <s v="+1-751-577-8888x764"/>
    <d v="2023-10-31T00:00:00"/>
    <x v="1"/>
    <x v="2"/>
    <d v="2025-09-26T00:00:00"/>
    <n v="40"/>
    <n v="4011.12"/>
    <s v="No"/>
    <n v="5"/>
    <n v="100.28"/>
  </r>
  <r>
    <n v="794"/>
    <s v="Anthony"/>
    <s v="Jones"/>
    <s v="Female"/>
    <n v="61"/>
    <x v="1"/>
    <s v="United States Minor Outlying Islands"/>
    <s v="Lake Ashley"/>
    <s v="williamallen@yahoo.com"/>
    <s v="001-906-189-9527"/>
    <d v="2025-05-20T00:00:00"/>
    <x v="0"/>
    <x v="8"/>
    <d v="2024-01-28T00:00:00"/>
    <n v="36"/>
    <n v="8306.83"/>
    <s v="No"/>
    <n v="3"/>
    <n v="230.75"/>
  </r>
  <r>
    <n v="795"/>
    <s v="Brittany"/>
    <s v="Brennan"/>
    <s v="Female"/>
    <n v="24"/>
    <x v="2"/>
    <s v="Cook Islands"/>
    <s v="East Leah"/>
    <s v="adamslee@gmail.com"/>
    <s v="075.830.6997x77202"/>
    <d v="2023-01-31T00:00:00"/>
    <x v="1"/>
    <x v="4"/>
    <d v="2025-03-15T00:00:00"/>
    <n v="32"/>
    <n v="7275.39"/>
    <s v="No"/>
    <n v="3"/>
    <n v="227.36"/>
  </r>
  <r>
    <n v="796"/>
    <s v="Tina"/>
    <s v="Bowen"/>
    <s v="Female"/>
    <n v="37"/>
    <x v="1"/>
    <s v="Brazil"/>
    <s v="Lake Jason"/>
    <s v="porterronald@hotmail.com"/>
    <s v="001-931-309-4508x5109"/>
    <d v="2025-03-12T00:00:00"/>
    <x v="0"/>
    <x v="10"/>
    <d v="2024-05-14T00:00:00"/>
    <n v="38"/>
    <n v="9599.25"/>
    <s v="No"/>
    <n v="4"/>
    <n v="252.61"/>
  </r>
  <r>
    <n v="797"/>
    <s v="Sarah"/>
    <s v="Powell"/>
    <s v="Female"/>
    <n v="20"/>
    <x v="2"/>
    <s v="Luxembourg"/>
    <s v="New Diana"/>
    <s v="christopher86@yahoo.com"/>
    <s v="(601)249-6420"/>
    <d v="2023-08-01T00:00:00"/>
    <x v="0"/>
    <x v="5"/>
    <d v="2024-11-11T00:00:00"/>
    <n v="15"/>
    <n v="438.42"/>
    <s v="No"/>
    <n v="1"/>
    <n v="29.23"/>
  </r>
  <r>
    <n v="798"/>
    <s v="Brian"/>
    <s v="Martinez"/>
    <s v="Male"/>
    <n v="22"/>
    <x v="5"/>
    <s v="Saint Martin"/>
    <s v="Breannamouth"/>
    <s v="danielle41@hotmail.com"/>
    <s v="(234)804-6474x6512"/>
    <d v="2025-05-10T00:00:00"/>
    <x v="0"/>
    <x v="8"/>
    <d v="2024-01-12T00:00:00"/>
    <n v="20"/>
    <n v="8431.39"/>
    <s v="Yes"/>
    <n v="5"/>
    <n v="421.57"/>
  </r>
  <r>
    <n v="799"/>
    <s v="Isabella"/>
    <s v="Montgomery"/>
    <s v="Male"/>
    <n v="63"/>
    <x v="1"/>
    <s v="Sweden"/>
    <s v="Brandontown"/>
    <s v="cgonzalez@hotmail.com"/>
    <s v="762.411.4714"/>
    <d v="2023-07-14T00:00:00"/>
    <x v="0"/>
    <x v="11"/>
    <d v="2024-07-02T00:00:00"/>
    <n v="11"/>
    <n v="7967.34"/>
    <s v="Yes"/>
    <n v="1"/>
    <n v="724.3"/>
  </r>
  <r>
    <n v="800"/>
    <s v="Michael"/>
    <s v="Barr"/>
    <s v="Male"/>
    <n v="63"/>
    <x v="1"/>
    <s v="Madagascar"/>
    <s v="West Margarethaven"/>
    <s v="robert40@yahoo.com"/>
    <s v="345-368-4465"/>
    <d v="2025-10-12T00:00:00"/>
    <x v="0"/>
    <x v="8"/>
    <d v="2024-01-06T00:00:00"/>
    <n v="29"/>
    <n v="9059.6299999999992"/>
    <s v="Yes"/>
    <n v="3"/>
    <n v="312.39999999999998"/>
  </r>
  <r>
    <n v="801"/>
    <s v="Lori"/>
    <s v="Jones"/>
    <s v="Female"/>
    <n v="29"/>
    <x v="4"/>
    <s v="Denmark"/>
    <s v="West Emily"/>
    <s v="ashley51@nichols-gibson.info"/>
    <s v="106.961.3337"/>
    <d v="2025-05-06T00:00:00"/>
    <x v="2"/>
    <x v="9"/>
    <d v="2023-12-03T00:00:00"/>
    <n v="19"/>
    <n v="9618.76"/>
    <s v="No"/>
    <n v="3"/>
    <n v="506.25"/>
  </r>
  <r>
    <n v="802"/>
    <s v="Scott"/>
    <s v="Adams"/>
    <s v="Female"/>
    <n v="23"/>
    <x v="2"/>
    <s v="Cayman Islands"/>
    <s v="South Elizabeth"/>
    <s v="careykristina@yahoo.com"/>
    <s v="+1-570-478-0529x2984"/>
    <d v="2025-05-03T00:00:00"/>
    <x v="0"/>
    <x v="6"/>
    <d v="2024-02-09T00:00:00"/>
    <n v="16"/>
    <n v="4942.95"/>
    <s v="Yes"/>
    <n v="4"/>
    <n v="308.93"/>
  </r>
  <r>
    <n v="803"/>
    <s v="Shannon"/>
    <s v="Hicks"/>
    <s v="Male"/>
    <n v="26"/>
    <x v="1"/>
    <s v="Madagascar"/>
    <s v="New Jessicabury"/>
    <s v="cunninghammaurice@hotmail.com"/>
    <s v="(767)843-6118"/>
    <d v="2023-03-29T00:00:00"/>
    <x v="1"/>
    <x v="10"/>
    <d v="2025-05-07T00:00:00"/>
    <n v="5"/>
    <n v="3685.11"/>
    <s v="No"/>
    <n v="4"/>
    <n v="737.02"/>
  </r>
  <r>
    <n v="804"/>
    <s v="Nicole"/>
    <s v="Gonzales"/>
    <s v="Female"/>
    <n v="28"/>
    <x v="4"/>
    <s v="Benin"/>
    <s v="Fullerport"/>
    <s v="anthonyhart@ortiz-sanchez.com"/>
    <s v="511.622.4205"/>
    <d v="2024-07-14T00:00:00"/>
    <x v="0"/>
    <x v="6"/>
    <d v="2024-02-24T00:00:00"/>
    <n v="32"/>
    <n v="1297.5"/>
    <s v="Yes"/>
    <n v="5"/>
    <n v="40.549999999999997"/>
  </r>
  <r>
    <n v="806"/>
    <s v="Jaime"/>
    <s v="Walter"/>
    <s v="Male"/>
    <n v="25"/>
    <x v="0"/>
    <s v="Liechtenstein"/>
    <s v="Lake Stephen"/>
    <s v="stewartjulia@gmail.com"/>
    <s v="(752)768-2796x2143"/>
    <d v="2024-03-27T00:00:00"/>
    <x v="0"/>
    <x v="2"/>
    <d v="2024-09-11T00:00:00"/>
    <n v="49"/>
    <n v="759.06"/>
    <s v="Yes"/>
    <n v="5"/>
    <n v="15.49"/>
  </r>
  <r>
    <n v="807"/>
    <s v="Suzanne"/>
    <s v="Cole"/>
    <s v="Female"/>
    <n v="37"/>
    <x v="5"/>
    <s v="Niue"/>
    <s v="West Amber"/>
    <s v="roger82@mills-jones.com"/>
    <s v="555.552.9295x70193"/>
    <d v="2024-04-16T00:00:00"/>
    <x v="1"/>
    <x v="8"/>
    <d v="2025-01-27T00:00:00"/>
    <n v="39"/>
    <n v="2232.63"/>
    <s v="Yes"/>
    <n v="1"/>
    <n v="57.25"/>
  </r>
  <r>
    <n v="808"/>
    <s v="John"/>
    <s v="Reese"/>
    <s v="Male"/>
    <n v="63"/>
    <x v="2"/>
    <s v="Guatemala"/>
    <s v="Jasonbury"/>
    <s v="ptaylor@gmail.com"/>
    <s v="001-895-825-9298x457"/>
    <d v="2024-07-15T00:00:00"/>
    <x v="2"/>
    <x v="5"/>
    <d v="2023-11-17T00:00:00"/>
    <n v="32"/>
    <n v="4940.6899999999996"/>
    <s v="Yes"/>
    <n v="5"/>
    <n v="154.4"/>
  </r>
  <r>
    <n v="809"/>
    <s v="Jonathan"/>
    <s v="York"/>
    <s v="Male"/>
    <n v="51"/>
    <x v="1"/>
    <s v="Tuvalu"/>
    <s v="Port Alexisshire"/>
    <s v="castropatty@hotmail.com"/>
    <s v="001-553-188-3892"/>
    <d v="2025-06-20T00:00:00"/>
    <x v="0"/>
    <x v="6"/>
    <d v="2024-02-01T00:00:00"/>
    <n v="5"/>
    <n v="3598.45"/>
    <s v="No"/>
    <n v="1"/>
    <n v="719.69"/>
  </r>
  <r>
    <n v="810"/>
    <s v="Carolyn"/>
    <s v="Wilson"/>
    <s v="Male"/>
    <n v="18"/>
    <x v="3"/>
    <s v="Spain"/>
    <s v="Rasmussenport"/>
    <s v="danielle97@yahoo.com"/>
    <s v="568.875.4385x8088"/>
    <d v="2025-05-19T00:00:00"/>
    <x v="0"/>
    <x v="3"/>
    <d v="2024-04-28T00:00:00"/>
    <n v="11"/>
    <n v="5108.3999999999996"/>
    <s v="Yes"/>
    <n v="5"/>
    <n v="464.4"/>
  </r>
  <r>
    <n v="811"/>
    <s v="Kaitlyn"/>
    <s v="Santana"/>
    <s v="Male"/>
    <n v="59"/>
    <x v="4"/>
    <s v="British Indian Ocean Territory (Chagos Archipelago)"/>
    <s v="Pamelatown"/>
    <s v="hugheskayla@lopez-harper.org"/>
    <s v="(796)687-4574"/>
    <d v="2023-09-09T00:00:00"/>
    <x v="1"/>
    <x v="2"/>
    <d v="2025-09-16T00:00:00"/>
    <n v="27"/>
    <n v="7945.06"/>
    <s v="Yes"/>
    <n v="5"/>
    <n v="294.26"/>
  </r>
  <r>
    <n v="812"/>
    <s v="Deborah"/>
    <s v="Roberts"/>
    <s v="Male"/>
    <n v="45"/>
    <x v="4"/>
    <s v="Guadeloupe"/>
    <s v="West Richardville"/>
    <s v="grahammichelle@yahoo.com"/>
    <s v="754-257-5119x34144"/>
    <d v="2024-10-01T00:00:00"/>
    <x v="0"/>
    <x v="2"/>
    <d v="2024-09-02T00:00:00"/>
    <n v="13"/>
    <n v="1144.3900000000001"/>
    <s v="No"/>
    <n v="1"/>
    <n v="88.03"/>
  </r>
  <r>
    <n v="813"/>
    <s v="Jessica"/>
    <s v="Green"/>
    <s v="Male"/>
    <n v="63"/>
    <x v="4"/>
    <s v="Pitcairn Islands"/>
    <s v="Rhondafort"/>
    <s v="williamspatricia@gmail.com"/>
    <s v="6531047374"/>
    <d v="2024-05-01T00:00:00"/>
    <x v="1"/>
    <x v="8"/>
    <d v="2025-01-18T00:00:00"/>
    <n v="23"/>
    <n v="5840.84"/>
    <s v="No"/>
    <n v="5"/>
    <n v="253.95"/>
  </r>
  <r>
    <n v="814"/>
    <s v="Allen"/>
    <s v="Rogers"/>
    <s v="Female"/>
    <n v="34"/>
    <x v="0"/>
    <s v="Haiti"/>
    <s v="West Christopher"/>
    <s v="amy23@yahoo.com"/>
    <s v="+1-139-629-4406x805"/>
    <d v="2024-06-07T00:00:00"/>
    <x v="1"/>
    <x v="6"/>
    <d v="2025-02-21T00:00:00"/>
    <n v="1"/>
    <n v="2714.5"/>
    <s v="No"/>
    <n v="5"/>
    <n v="2714.5"/>
  </r>
  <r>
    <n v="815"/>
    <s v="Melanie"/>
    <s v="Powell"/>
    <s v="Other"/>
    <n v="67"/>
    <x v="3"/>
    <s v="Papua New Guinea"/>
    <s v="East Cynthiaton"/>
    <s v="dmontoya@yahoo.com"/>
    <s v="896-645-0032"/>
    <d v="2025-01-04T00:00:00"/>
    <x v="0"/>
    <x v="7"/>
    <d v="2024-10-19T00:00:00"/>
    <n v="42"/>
    <n v="5096.57"/>
    <s v="Yes"/>
    <n v="3"/>
    <n v="121.35"/>
  </r>
  <r>
    <n v="816"/>
    <s v="Shannon"/>
    <s v="Vasquez"/>
    <s v="Male"/>
    <n v="57"/>
    <x v="0"/>
    <s v="Germany"/>
    <s v="Ronaldshire"/>
    <s v="shannon36@stanley-robinson.com"/>
    <s v="001-248-578-1526x04965"/>
    <d v="2025-04-15T00:00:00"/>
    <x v="0"/>
    <x v="0"/>
    <d v="2024-08-27T00:00:00"/>
    <n v="13"/>
    <n v="2969.15"/>
    <s v="No"/>
    <n v="4"/>
    <n v="228.4"/>
  </r>
  <r>
    <n v="817"/>
    <s v="Nicholas"/>
    <s v="Olson"/>
    <s v="Female"/>
    <n v="42"/>
    <x v="0"/>
    <s v="Philippines"/>
    <s v="East Robert"/>
    <s v="michaelhanson@yahoo.com"/>
    <s v="0916800373"/>
    <d v="2023-06-21T00:00:00"/>
    <x v="0"/>
    <x v="0"/>
    <d v="2024-08-24T00:00:00"/>
    <n v="41"/>
    <n v="1403.49"/>
    <s v="Yes"/>
    <n v="4"/>
    <n v="34.229999999999997"/>
  </r>
  <r>
    <n v="818"/>
    <s v="Amanda"/>
    <s v="Kramer"/>
    <s v="Female"/>
    <n v="34"/>
    <x v="3"/>
    <s v="Guinea"/>
    <s v="Port Billyside"/>
    <s v="canderson@gmail.com"/>
    <s v="2408332411"/>
    <d v="2023-06-22T00:00:00"/>
    <x v="1"/>
    <x v="3"/>
    <d v="2025-04-09T00:00:00"/>
    <n v="36"/>
    <n v="5833.02"/>
    <s v="Yes"/>
    <n v="2"/>
    <n v="162.03"/>
  </r>
  <r>
    <n v="819"/>
    <s v="Susan"/>
    <s v="Fuller"/>
    <s v="Female"/>
    <n v="61"/>
    <x v="0"/>
    <s v="Malaysia"/>
    <s v="Justinborough"/>
    <s v="sheilabrennan@hotmail.com"/>
    <s v="001-792-943-1346"/>
    <d v="2023-11-27T00:00:00"/>
    <x v="0"/>
    <x v="1"/>
    <d v="2024-06-08T00:00:00"/>
    <n v="10"/>
    <n v="3149.16"/>
    <s v="Yes"/>
    <n v="5"/>
    <n v="314.92"/>
  </r>
  <r>
    <n v="820"/>
    <s v="Ryan"/>
    <s v="Becker"/>
    <s v="Male"/>
    <n v="72"/>
    <x v="2"/>
    <s v="Senegal"/>
    <s v="New Rhonda"/>
    <s v="rickpatrick@hotmail.com"/>
    <s v="872.786.2336"/>
    <d v="2022-12-30T00:00:00"/>
    <x v="1"/>
    <x v="7"/>
    <d v="2025-10-23T00:00:00"/>
    <n v="47"/>
    <n v="5280.69"/>
    <s v="No"/>
    <n v="2"/>
    <n v="112.36"/>
  </r>
  <r>
    <n v="821"/>
    <s v="Deanna"/>
    <s v="Young"/>
    <s v="Female"/>
    <n v="21"/>
    <x v="0"/>
    <s v="Puerto Rico"/>
    <s v="North Staceychester"/>
    <s v="richmonddillon@gmail.com"/>
    <s v="848.896.5537"/>
    <d v="2025-10-24T00:00:00"/>
    <x v="0"/>
    <x v="6"/>
    <d v="2024-02-07T00:00:00"/>
    <n v="23"/>
    <n v="5474.46"/>
    <s v="Yes"/>
    <n v="2"/>
    <n v="238.02"/>
  </r>
  <r>
    <n v="822"/>
    <s v="Savannah"/>
    <s v="Mccarthy"/>
    <s v="Female"/>
    <n v="47"/>
    <x v="4"/>
    <s v="Greenland"/>
    <s v="Wilsonberg"/>
    <s v="davisrichard@gmail.com"/>
    <s v="001-960-167-4036x82614"/>
    <d v="2025-08-28T00:00:00"/>
    <x v="1"/>
    <x v="8"/>
    <d v="2025-01-07T00:00:00"/>
    <n v="13"/>
    <n v="3770.56"/>
    <s v="No"/>
    <n v="1"/>
    <n v="290.04000000000002"/>
  </r>
  <r>
    <n v="823"/>
    <s v="Steven"/>
    <s v="Richards"/>
    <s v="Male"/>
    <n v="43"/>
    <x v="1"/>
    <s v="Poland"/>
    <s v="East John"/>
    <s v="lyang@yahoo.com"/>
    <s v="001-899-763-6220x53268"/>
    <d v="2023-04-07T00:00:00"/>
    <x v="1"/>
    <x v="4"/>
    <d v="2025-03-13T00:00:00"/>
    <n v="42"/>
    <n v="1114.9000000000001"/>
    <s v="Yes"/>
    <n v="5"/>
    <n v="26.55"/>
  </r>
  <r>
    <n v="824"/>
    <s v="Samuel"/>
    <s v="Mckay"/>
    <s v="Female"/>
    <n v="70"/>
    <x v="1"/>
    <s v="Micronesia"/>
    <s v="Danielbury"/>
    <s v="benjamin97@price-reyes.org"/>
    <s v="001-847-690-2973x895"/>
    <d v="2023-05-17T00:00:00"/>
    <x v="2"/>
    <x v="9"/>
    <d v="2023-12-26T00:00:00"/>
    <n v="7"/>
    <n v="2376.9699999999998"/>
    <s v="Yes"/>
    <n v="2"/>
    <n v="339.57"/>
  </r>
  <r>
    <n v="825"/>
    <s v="Stephanie"/>
    <s v="Allen"/>
    <s v="Male"/>
    <n v="64"/>
    <x v="4"/>
    <s v="Israel"/>
    <s v="Vasquezview"/>
    <s v="littlemelissa@hotmail.com"/>
    <s v="001-231-957-1919x0644"/>
    <d v="2023-04-12T00:00:00"/>
    <x v="1"/>
    <x v="2"/>
    <d v="2025-09-04T00:00:00"/>
    <n v="15"/>
    <n v="8681.25"/>
    <s v="No"/>
    <n v="4"/>
    <n v="578.75"/>
  </r>
  <r>
    <n v="826"/>
    <s v="Gary"/>
    <s v="Moore"/>
    <s v="Male"/>
    <n v="48"/>
    <x v="5"/>
    <s v="Falkland Islands (Malvinas)"/>
    <s v="New Michelle"/>
    <s v="adam07@reed.com"/>
    <s v="347.803.2328"/>
    <d v="2024-02-15T00:00:00"/>
    <x v="0"/>
    <x v="0"/>
    <d v="2024-08-11T00:00:00"/>
    <n v="31"/>
    <n v="7821.06"/>
    <s v="Yes"/>
    <n v="3"/>
    <n v="252.29"/>
  </r>
  <r>
    <n v="827"/>
    <s v="Mark"/>
    <s v="Chavez"/>
    <s v="Male"/>
    <n v="74"/>
    <x v="0"/>
    <s v="Uganda"/>
    <s v="Port Vanessa"/>
    <s v="waltermatthew@hotmail.com"/>
    <s v="981-847-7646x7302"/>
    <d v="2023-09-17T00:00:00"/>
    <x v="0"/>
    <x v="1"/>
    <d v="2024-06-21T00:00:00"/>
    <n v="22"/>
    <n v="2700.7"/>
    <s v="Yes"/>
    <n v="5"/>
    <n v="122.76"/>
  </r>
  <r>
    <n v="828"/>
    <s v="Anne"/>
    <s v="Robinson"/>
    <s v="Female"/>
    <n v="21"/>
    <x v="4"/>
    <s v="Guadeloupe"/>
    <s v="Medinahaven"/>
    <s v="manningaustin@gmail.com"/>
    <s v="001-379-185-0461"/>
    <d v="2023-05-10T00:00:00"/>
    <x v="1"/>
    <x v="8"/>
    <d v="2025-01-13T00:00:00"/>
    <n v="29"/>
    <n v="1972.1"/>
    <s v="No"/>
    <n v="1"/>
    <n v="68"/>
  </r>
  <r>
    <n v="829"/>
    <s v="Tyler"/>
    <s v="Pugh"/>
    <s v="Female"/>
    <n v="55"/>
    <x v="1"/>
    <s v="Trinidad and Tobago"/>
    <s v="Wagnerhaven"/>
    <s v="youngbrian@yahoo.com"/>
    <s v="+1-371-995-3431x023"/>
    <d v="2024-07-30T00:00:00"/>
    <x v="1"/>
    <x v="4"/>
    <d v="2025-03-31T00:00:00"/>
    <n v="14"/>
    <n v="247.06"/>
    <s v="Yes"/>
    <n v="1"/>
    <n v="17.649999999999999"/>
  </r>
  <r>
    <n v="830"/>
    <s v="Nicholas"/>
    <s v="Caldwell"/>
    <s v="Male"/>
    <n v="28"/>
    <x v="0"/>
    <s v="Czech Republic"/>
    <s v="Byrdberg"/>
    <s v="matthewchavez@yahoo.com"/>
    <s v="117.651.9658x8728"/>
    <d v="2024-12-11T00:00:00"/>
    <x v="0"/>
    <x v="11"/>
    <d v="2024-07-05T00:00:00"/>
    <n v="24"/>
    <n v="7174.59"/>
    <s v="No"/>
    <n v="2"/>
    <n v="298.94"/>
  </r>
  <r>
    <n v="831"/>
    <s v="Eric"/>
    <s v="Jordan"/>
    <s v="Male"/>
    <n v="33"/>
    <x v="2"/>
    <s v="South Georgia and the South Sandwich Islands"/>
    <s v="West Timside"/>
    <s v="uwebb@hotmail.com"/>
    <s v="+1-181-114-4252x8872"/>
    <d v="2023-06-23T00:00:00"/>
    <x v="0"/>
    <x v="0"/>
    <d v="2024-08-29T00:00:00"/>
    <n v="6"/>
    <n v="4658.84"/>
    <s v="Yes"/>
    <n v="2"/>
    <n v="776.47"/>
  </r>
  <r>
    <n v="832"/>
    <s v="Suzanne"/>
    <s v="Chandler"/>
    <s v="Female"/>
    <n v="39"/>
    <x v="2"/>
    <s v="Zimbabwe"/>
    <s v="Michellemouth"/>
    <s v="ujones@hotmail.com"/>
    <s v="970-978-8593x25460"/>
    <d v="2022-11-29T00:00:00"/>
    <x v="0"/>
    <x v="8"/>
    <d v="2024-01-18T00:00:00"/>
    <n v="18"/>
    <n v="5510.72"/>
    <s v="No"/>
    <n v="3"/>
    <n v="306.14999999999998"/>
  </r>
  <r>
    <n v="833"/>
    <s v="Christopher"/>
    <s v="Lozano"/>
    <s v="Male"/>
    <n v="53"/>
    <x v="6"/>
    <s v="French Guiana"/>
    <s v="Wrightbury"/>
    <s v="williamsluke@yahoo.com"/>
    <s v="9632518301"/>
    <d v="2024-10-26T00:00:00"/>
    <x v="1"/>
    <x v="0"/>
    <d v="2025-08-09T00:00:00"/>
    <n v="37"/>
    <n v="4939.05"/>
    <s v="Yes"/>
    <n v="1"/>
    <n v="133.49"/>
  </r>
  <r>
    <n v="834"/>
    <s v="Meredith"/>
    <s v="Dean"/>
    <s v="Female"/>
    <n v="21"/>
    <x v="0"/>
    <s v="Jamaica"/>
    <s v="Owenschester"/>
    <s v="adam00@yahoo.com"/>
    <s v="(469)956-1115"/>
    <d v="2023-07-16T00:00:00"/>
    <x v="2"/>
    <x v="5"/>
    <d v="2023-11-19T00:00:00"/>
    <n v="33"/>
    <n v="7515.86"/>
    <s v="Yes"/>
    <n v="2"/>
    <n v="227.75"/>
  </r>
  <r>
    <n v="835"/>
    <s v="Barry"/>
    <s v="Mcclain"/>
    <s v="Male"/>
    <n v="30"/>
    <x v="1"/>
    <s v="Iceland"/>
    <s v="New Rebecca"/>
    <s v="jenkinsjames@moreno.com"/>
    <s v="(820)742-5030x14849"/>
    <d v="2023-09-04T00:00:00"/>
    <x v="2"/>
    <x v="5"/>
    <d v="2023-11-27T00:00:00"/>
    <n v="38"/>
    <n v="3611.97"/>
    <s v="Yes"/>
    <n v="2"/>
    <n v="95.05"/>
  </r>
  <r>
    <n v="836"/>
    <s v="Jeremy"/>
    <s v="Hall"/>
    <s v="Male"/>
    <n v="38"/>
    <x v="1"/>
    <s v="Myanmar"/>
    <s v="East Shelleyville"/>
    <s v="rgarcia@hotmail.com"/>
    <s v="+1-681-350-7650x1398"/>
    <d v="2024-09-15T00:00:00"/>
    <x v="0"/>
    <x v="1"/>
    <d v="2024-06-30T00:00:00"/>
    <n v="26"/>
    <n v="3062.6"/>
    <s v="Yes"/>
    <n v="4"/>
    <n v="117.79"/>
  </r>
  <r>
    <n v="837"/>
    <s v="Kevin"/>
    <s v="Clark"/>
    <s v="Female"/>
    <n v="56"/>
    <x v="0"/>
    <s v="Philippines"/>
    <s v="South Patrick"/>
    <s v="lozanostephen@yahoo.com"/>
    <s v="+1-859-229-3431x3330"/>
    <d v="2024-05-11T00:00:00"/>
    <x v="0"/>
    <x v="3"/>
    <d v="2024-04-23T00:00:00"/>
    <n v="21"/>
    <n v="9833.9500000000007"/>
    <s v="Yes"/>
    <n v="5"/>
    <n v="468.28"/>
  </r>
  <r>
    <n v="838"/>
    <s v="Kimberly"/>
    <s v="Brewer"/>
    <s v="Male"/>
    <n v="52"/>
    <x v="0"/>
    <s v="Malaysia"/>
    <s v="Davidfurt"/>
    <s v="carsonashley@gmail.com"/>
    <s v="444.495.7268"/>
    <d v="2025-10-08T00:00:00"/>
    <x v="0"/>
    <x v="3"/>
    <d v="2024-04-19T00:00:00"/>
    <n v="5"/>
    <n v="7742.51"/>
    <s v="No"/>
    <n v="4"/>
    <n v="1548.5"/>
  </r>
  <r>
    <n v="839"/>
    <s v="Travis"/>
    <s v="Conley"/>
    <s v="Male"/>
    <n v="53"/>
    <x v="2"/>
    <s v="Lesotho"/>
    <s v="Lake Jeremy"/>
    <s v="wilsonheather@ball.com"/>
    <s v="+1-863-523-3975x69884"/>
    <d v="2025-01-17T00:00:00"/>
    <x v="0"/>
    <x v="0"/>
    <d v="2024-08-31T00:00:00"/>
    <n v="17"/>
    <n v="5625.35"/>
    <s v="Yes"/>
    <n v="5"/>
    <n v="330.9"/>
  </r>
  <r>
    <n v="840"/>
    <s v="Clayton"/>
    <s v="Carter"/>
    <s v="Male"/>
    <n v="56"/>
    <x v="2"/>
    <s v="Latvia"/>
    <s v="Lake Aliciaburgh"/>
    <s v="djohnson@little.com"/>
    <s v="008-307-2975x7012"/>
    <d v="2024-01-09T00:00:00"/>
    <x v="0"/>
    <x v="8"/>
    <d v="2024-01-10T00:00:00"/>
    <n v="25"/>
    <n v="2916.44"/>
    <s v="Yes"/>
    <n v="1"/>
    <n v="116.66"/>
  </r>
  <r>
    <n v="841"/>
    <s v="Drew"/>
    <s v="Obrien"/>
    <s v="Male"/>
    <n v="49"/>
    <x v="2"/>
    <s v="Luxembourg"/>
    <s v="Port Jacquelineside"/>
    <s v="harrisonkimberly@gmail.com"/>
    <s v="596-646-9859x29974"/>
    <d v="2024-12-05T00:00:00"/>
    <x v="1"/>
    <x v="8"/>
    <d v="2025-01-28T00:00:00"/>
    <n v="46"/>
    <n v="2532.98"/>
    <s v="No"/>
    <n v="2"/>
    <n v="55.06"/>
  </r>
  <r>
    <n v="842"/>
    <s v="Russell"/>
    <s v="Carlson"/>
    <s v="Female"/>
    <n v="50"/>
    <x v="0"/>
    <s v="South Africa"/>
    <s v="West Jeremyborough"/>
    <s v="alvindavis@gmail.com"/>
    <s v="518-146-9315"/>
    <d v="2024-12-10T00:00:00"/>
    <x v="0"/>
    <x v="1"/>
    <d v="2024-06-05T00:00:00"/>
    <n v="17"/>
    <n v="7826.48"/>
    <s v="Yes"/>
    <n v="1"/>
    <n v="460.38"/>
  </r>
  <r>
    <n v="843"/>
    <s v="Mathew"/>
    <s v="Carter"/>
    <s v="Female"/>
    <n v="38"/>
    <x v="2"/>
    <s v="Estonia"/>
    <s v="North Jillside"/>
    <s v="marygarcia@yahoo.com"/>
    <s v="(294)165-6268"/>
    <d v="2024-01-20T00:00:00"/>
    <x v="0"/>
    <x v="3"/>
    <d v="2024-04-26T00:00:00"/>
    <n v="19"/>
    <n v="6352.13"/>
    <s v="No"/>
    <n v="2"/>
    <n v="334.32"/>
  </r>
  <r>
    <n v="844"/>
    <s v="Scott"/>
    <s v="Carrillo"/>
    <s v="Female"/>
    <n v="69"/>
    <x v="2"/>
    <s v="Portugal"/>
    <s v="Jasmineville"/>
    <s v="hurstmichelle@benjamin.com"/>
    <s v="110.558.6345x0921"/>
    <d v="2024-05-26T00:00:00"/>
    <x v="0"/>
    <x v="5"/>
    <d v="2024-11-08T00:00:00"/>
    <n v="5"/>
    <n v="5611.07"/>
    <s v="No"/>
    <n v="4"/>
    <n v="1122.21"/>
  </r>
  <r>
    <n v="845"/>
    <s v="Regina"/>
    <s v="Parsons"/>
    <s v="Female"/>
    <n v="30"/>
    <x v="4"/>
    <s v="British Indian Ocean Territory (Chagos Archipelago)"/>
    <s v="Jensenstad"/>
    <s v="tyler51@gmail.com"/>
    <s v="554-393-2897x303"/>
    <d v="2024-01-22T00:00:00"/>
    <x v="0"/>
    <x v="10"/>
    <d v="2024-05-05T00:00:00"/>
    <n v="14"/>
    <n v="3179.62"/>
    <s v="No"/>
    <n v="2"/>
    <n v="227.12"/>
  </r>
  <r>
    <n v="846"/>
    <s v="Bridget"/>
    <s v="Gonzalez"/>
    <s v="Male"/>
    <n v="28"/>
    <x v="0"/>
    <s v="Fiji"/>
    <s v="South David"/>
    <s v="harringtontodd@yahoo.com"/>
    <s v="6682975784"/>
    <d v="2024-01-18T00:00:00"/>
    <x v="2"/>
    <x v="9"/>
    <d v="2023-12-17T00:00:00"/>
    <n v="16"/>
    <n v="7677.22"/>
    <s v="Yes"/>
    <n v="3"/>
    <n v="479.83"/>
  </r>
  <r>
    <n v="847"/>
    <s v="Robert"/>
    <s v="Morales"/>
    <s v="Male"/>
    <n v="49"/>
    <x v="1"/>
    <s v="Cape Verde"/>
    <s v="East Luke"/>
    <s v="xhernandez@gmail.com"/>
    <s v="+1-846-416-8208x2633"/>
    <d v="2025-02-24T00:00:00"/>
    <x v="1"/>
    <x v="11"/>
    <d v="2025-07-03T00:00:00"/>
    <n v="8"/>
    <n v="2399.65"/>
    <s v="No"/>
    <n v="3"/>
    <n v="299.95999999999998"/>
  </r>
  <r>
    <n v="848"/>
    <s v="James"/>
    <s v="Hernandez"/>
    <s v="Female"/>
    <n v="32"/>
    <x v="2"/>
    <s v="Egypt"/>
    <s v="South Kimberly"/>
    <s v="perezchristy@silva-carey.com"/>
    <s v="001-648-296-1211x62835"/>
    <d v="2025-07-27T00:00:00"/>
    <x v="1"/>
    <x v="3"/>
    <d v="2025-04-11T00:00:00"/>
    <n v="45"/>
    <n v="1059.54"/>
    <s v="No"/>
    <n v="2"/>
    <n v="23.55"/>
  </r>
  <r>
    <n v="849"/>
    <s v="Isaac"/>
    <s v="Carpenter"/>
    <s v="Female"/>
    <n v="43"/>
    <x v="2"/>
    <s v="Malta"/>
    <s v="Rebeccaborough"/>
    <s v="qvaldez@hotmail.com"/>
    <s v="(537)514-9704"/>
    <d v="2023-05-26T00:00:00"/>
    <x v="0"/>
    <x v="5"/>
    <d v="2024-11-22T00:00:00"/>
    <n v="17"/>
    <n v="8666.26"/>
    <s v="Yes"/>
    <n v="2"/>
    <n v="509.78"/>
  </r>
  <r>
    <n v="850"/>
    <s v="Angelica"/>
    <s v="Smith"/>
    <s v="Female"/>
    <n v="68"/>
    <x v="0"/>
    <s v="Macao"/>
    <s v="Johnstad"/>
    <s v="loribailey@phillips.com"/>
    <s v="(615)335-1623"/>
    <d v="2025-07-01T00:00:00"/>
    <x v="0"/>
    <x v="1"/>
    <d v="2024-06-06T00:00:00"/>
    <n v="40"/>
    <n v="6782.86"/>
    <s v="Yes"/>
    <n v="4"/>
    <n v="169.57"/>
  </r>
  <r>
    <n v="851"/>
    <s v="Jose"/>
    <s v="Johnson"/>
    <s v="Other"/>
    <n v="46"/>
    <x v="0"/>
    <s v="South Africa"/>
    <s v="South Jacob"/>
    <s v="william62@ramos.info"/>
    <s v="(781)307-1057"/>
    <d v="2023-01-26T00:00:00"/>
    <x v="0"/>
    <x v="7"/>
    <d v="2024-10-12T00:00:00"/>
    <n v="36"/>
    <n v="6118.06"/>
    <s v="No"/>
    <n v="5"/>
    <n v="169.95"/>
  </r>
  <r>
    <n v="852"/>
    <s v="Justin"/>
    <s v="Espinoza"/>
    <s v="Female"/>
    <n v="58"/>
    <x v="1"/>
    <s v="Chile"/>
    <s v="Port Mason"/>
    <s v="williamthomas@schroeder.com"/>
    <s v="001-474-001-2270x10643"/>
    <d v="2023-07-07T00:00:00"/>
    <x v="0"/>
    <x v="6"/>
    <d v="2024-02-01T00:00:00"/>
    <n v="6"/>
    <n v="4050.9"/>
    <s v="No"/>
    <n v="3"/>
    <n v="675.15"/>
  </r>
  <r>
    <n v="853"/>
    <s v="Lydia"/>
    <s v="Campbell"/>
    <s v="Female"/>
    <n v="73"/>
    <x v="5"/>
    <s v="Nigeria"/>
    <s v="Harpershire"/>
    <s v="marcushanson@yahoo.com"/>
    <s v="442-743-9042x756"/>
    <d v="2024-10-08T00:00:00"/>
    <x v="0"/>
    <x v="4"/>
    <d v="2024-03-13T00:00:00"/>
    <n v="21"/>
    <n v="6458.6"/>
    <s v="Yes"/>
    <n v="4"/>
    <n v="307.55"/>
  </r>
  <r>
    <n v="854"/>
    <s v="Albert"/>
    <s v="Walter"/>
    <s v="Female"/>
    <n v="43"/>
    <x v="2"/>
    <s v="Saint Vincent and the Grenadines"/>
    <s v="Timothyport"/>
    <s v="edgarmcknight@yahoo.com"/>
    <s v="449.432.8852"/>
    <d v="2025-06-06T00:00:00"/>
    <x v="1"/>
    <x v="10"/>
    <d v="2025-05-24T00:00:00"/>
    <n v="12"/>
    <n v="951.97"/>
    <s v="Yes"/>
    <n v="3"/>
    <n v="79.33"/>
  </r>
  <r>
    <n v="855"/>
    <s v="David"/>
    <s v="Morris"/>
    <s v="Male"/>
    <n v="63"/>
    <x v="2"/>
    <s v="Tokelau"/>
    <s v="Colinfurt"/>
    <s v="aaron56@yahoo.com"/>
    <s v="(212)949-9373"/>
    <d v="2025-01-18T00:00:00"/>
    <x v="1"/>
    <x v="10"/>
    <d v="2025-05-04T00:00:00"/>
    <n v="10"/>
    <n v="6327.98"/>
    <s v="No"/>
    <n v="3"/>
    <n v="632.79999999999995"/>
  </r>
  <r>
    <n v="856"/>
    <s v="Courtney"/>
    <s v="Todd"/>
    <s v="Male"/>
    <n v="66"/>
    <x v="4"/>
    <s v="Congo"/>
    <s v="West Mariechester"/>
    <s v="monroewendy@yahoo.com"/>
    <s v="(070)347-4034x043"/>
    <d v="2024-05-11T00:00:00"/>
    <x v="1"/>
    <x v="0"/>
    <d v="2025-08-18T00:00:00"/>
    <n v="3"/>
    <n v="491.35"/>
    <s v="Yes"/>
    <n v="4"/>
    <n v="163.78"/>
  </r>
  <r>
    <n v="857"/>
    <s v="Benjamin"/>
    <s v="Trujillo"/>
    <s v="Female"/>
    <n v="70"/>
    <x v="2"/>
    <s v="French Southern Territories"/>
    <s v="Lewisfort"/>
    <s v="tiffany52@wright-fernandez.com"/>
    <s v="458.708.5915"/>
    <d v="2024-08-27T00:00:00"/>
    <x v="0"/>
    <x v="5"/>
    <d v="2024-11-10T00:00:00"/>
    <n v="19"/>
    <n v="4317.33"/>
    <s v="Yes"/>
    <n v="5"/>
    <n v="227.23"/>
  </r>
  <r>
    <n v="858"/>
    <s v="Michaela"/>
    <s v="Larsen"/>
    <s v="Female"/>
    <n v="71"/>
    <x v="2"/>
    <s v="South Georgia and the South Sandwich Islands"/>
    <s v="Powellfort"/>
    <s v="angela01@cruz.com"/>
    <s v="034-141-0368"/>
    <d v="2025-08-23T00:00:00"/>
    <x v="2"/>
    <x v="9"/>
    <d v="2023-12-25T00:00:00"/>
    <n v="6"/>
    <n v="4894.74"/>
    <s v="Yes"/>
    <n v="4"/>
    <n v="815.79"/>
  </r>
  <r>
    <n v="859"/>
    <s v="Frank"/>
    <s v="Campos"/>
    <s v="Female"/>
    <n v="66"/>
    <x v="0"/>
    <s v="Qatar"/>
    <s v="Heatherport"/>
    <s v="kcuevas@gmail.com"/>
    <s v="616.604.3528"/>
    <d v="2024-07-06T00:00:00"/>
    <x v="0"/>
    <x v="0"/>
    <d v="2024-08-13T00:00:00"/>
    <n v="34"/>
    <n v="6233.4"/>
    <s v="No"/>
    <n v="4"/>
    <n v="183.34"/>
  </r>
  <r>
    <n v="860"/>
    <s v="Anita"/>
    <s v="Rice"/>
    <s v="Other"/>
    <n v="39"/>
    <x v="1"/>
    <s v="Indonesia"/>
    <s v="Lake Karenburgh"/>
    <s v="qblake@kelley-jefferson.com"/>
    <s v="901.011.1775"/>
    <d v="2024-10-20T00:00:00"/>
    <x v="0"/>
    <x v="4"/>
    <d v="2024-03-27T00:00:00"/>
    <n v="43"/>
    <n v="1849.82"/>
    <s v="Yes"/>
    <n v="4"/>
    <n v="43.02"/>
  </r>
  <r>
    <n v="861"/>
    <s v="Timothy"/>
    <s v="Lowery"/>
    <s v="Female"/>
    <n v="18"/>
    <x v="2"/>
    <s v="Wallis and Futuna"/>
    <s v="Lindseyhaven"/>
    <s v="ahull@hotmail.com"/>
    <s v="1110591645"/>
    <d v="2023-10-28T00:00:00"/>
    <x v="1"/>
    <x v="7"/>
    <d v="2025-10-23T00:00:00"/>
    <n v="15"/>
    <n v="7987.85"/>
    <s v="No"/>
    <n v="3"/>
    <n v="532.52"/>
  </r>
  <r>
    <n v="862"/>
    <s v="Justin"/>
    <s v="Alvarez"/>
    <s v="Male"/>
    <n v="70"/>
    <x v="3"/>
    <s v="Dominica"/>
    <s v="Harringtonhaven"/>
    <s v="wesley67@hernandez.com"/>
    <s v="(462)351-3387x0825"/>
    <d v="2024-06-16T00:00:00"/>
    <x v="0"/>
    <x v="1"/>
    <d v="2024-06-23T00:00:00"/>
    <n v="46"/>
    <n v="85.13"/>
    <s v="No"/>
    <n v="2"/>
    <n v="1.85"/>
  </r>
  <r>
    <n v="863"/>
    <s v="Shawn"/>
    <s v="Downs"/>
    <s v="Female"/>
    <n v="27"/>
    <x v="5"/>
    <s v="Nicaragua"/>
    <s v="Rachelport"/>
    <s v="joshua12@hotmail.com"/>
    <s v="892.750.8993x47715"/>
    <d v="2023-12-18T00:00:00"/>
    <x v="1"/>
    <x v="4"/>
    <d v="2025-03-21T00:00:00"/>
    <n v="35"/>
    <n v="1418.16"/>
    <s v="No"/>
    <n v="3"/>
    <n v="40.520000000000003"/>
  </r>
  <r>
    <n v="864"/>
    <s v="Jason"/>
    <s v="Payne"/>
    <s v="Female"/>
    <n v="57"/>
    <x v="1"/>
    <s v="Korea"/>
    <s v="North Dylan"/>
    <s v="lisa71@west.org"/>
    <s v="(716)191-8222x7527"/>
    <d v="2023-06-02T00:00:00"/>
    <x v="0"/>
    <x v="1"/>
    <d v="2024-06-01T00:00:00"/>
    <n v="16"/>
    <n v="2779.63"/>
    <s v="Yes"/>
    <n v="5"/>
    <n v="173.73"/>
  </r>
  <r>
    <n v="865"/>
    <s v="Roger"/>
    <s v="Spencer"/>
    <s v="Male"/>
    <n v="73"/>
    <x v="2"/>
    <s v="Malawi"/>
    <s v="South Lauren"/>
    <s v="eharrison@cummings.org"/>
    <s v="002-799-5073x86952"/>
    <d v="2023-02-23T00:00:00"/>
    <x v="0"/>
    <x v="5"/>
    <d v="2024-11-19T00:00:00"/>
    <n v="28"/>
    <n v="8743.82"/>
    <s v="No"/>
    <n v="3"/>
    <n v="312.27999999999997"/>
  </r>
  <r>
    <n v="866"/>
    <s v="Richard"/>
    <s v="Lopez"/>
    <s v="Male"/>
    <n v="23"/>
    <x v="2"/>
    <s v="Senegal"/>
    <s v="Ginaville"/>
    <s v="susan09@yahoo.com"/>
    <s v="(872)893-2010x5077"/>
    <d v="2023-02-06T00:00:00"/>
    <x v="0"/>
    <x v="4"/>
    <d v="2024-03-17T00:00:00"/>
    <n v="16"/>
    <n v="9816.2199999999993"/>
    <s v="Yes"/>
    <n v="4"/>
    <n v="613.51"/>
  </r>
  <r>
    <n v="867"/>
    <s v="Deborah"/>
    <s v="Baker"/>
    <s v="Female"/>
    <n v="35"/>
    <x v="0"/>
    <s v="Haiti"/>
    <s v="North Anthony"/>
    <s v="summerstephens@jimenez-graham.com"/>
    <s v="448-211-1220"/>
    <d v="2025-08-14T00:00:00"/>
    <x v="0"/>
    <x v="11"/>
    <d v="2024-07-19T00:00:00"/>
    <n v="42"/>
    <n v="9213.59"/>
    <s v="Yes"/>
    <n v="4"/>
    <n v="219.37"/>
  </r>
  <r>
    <n v="868"/>
    <s v="Stacey"/>
    <s v="Miller"/>
    <s v="Female"/>
    <n v="21"/>
    <x v="6"/>
    <s v="Anguilla"/>
    <s v="Robinburgh"/>
    <s v="glennkimberly@butler.com"/>
    <s v="+1-870-208-7486x853"/>
    <d v="2022-11-12T00:00:00"/>
    <x v="1"/>
    <x v="11"/>
    <d v="2025-07-16T00:00:00"/>
    <n v="43"/>
    <n v="8210.73"/>
    <s v="Yes"/>
    <n v="1"/>
    <n v="190.95"/>
  </r>
  <r>
    <n v="869"/>
    <s v="Anthony"/>
    <s v="Gonzales"/>
    <s v="Female"/>
    <n v="60"/>
    <x v="5"/>
    <s v="Thailand"/>
    <s v="Cameronport"/>
    <s v="fbrown@yahoo.com"/>
    <s v="024-945-0177x0538"/>
    <d v="2025-10-15T00:00:00"/>
    <x v="0"/>
    <x v="6"/>
    <d v="2024-02-22T00:00:00"/>
    <n v="25"/>
    <n v="4594.37"/>
    <s v="Yes"/>
    <n v="3"/>
    <n v="183.77"/>
  </r>
  <r>
    <n v="870"/>
    <s v="Matthew"/>
    <s v="Meyer"/>
    <s v="Male"/>
    <n v="19"/>
    <x v="0"/>
    <s v="Namibia"/>
    <s v="Eatonmouth"/>
    <s v="michael93@flores.com"/>
    <s v="+1-121-105-2710x055"/>
    <d v="2025-05-29T00:00:00"/>
    <x v="0"/>
    <x v="9"/>
    <d v="2024-12-09T00:00:00"/>
    <n v="39"/>
    <n v="785.52"/>
    <s v="Yes"/>
    <n v="5"/>
    <n v="20.14"/>
  </r>
  <r>
    <n v="871"/>
    <s v="Jessica"/>
    <s v="Soto"/>
    <s v="Female"/>
    <n v="28"/>
    <x v="4"/>
    <s v="Ecuador"/>
    <s v="Mckenziemouth"/>
    <s v="joshuajames@schultz.com"/>
    <s v="4647069698"/>
    <d v="2023-09-10T00:00:00"/>
    <x v="0"/>
    <x v="8"/>
    <d v="2024-01-27T00:00:00"/>
    <n v="7"/>
    <n v="1175.44"/>
    <s v="Yes"/>
    <n v="3"/>
    <n v="167.92"/>
  </r>
  <r>
    <n v="872"/>
    <s v="April"/>
    <s v="Ortiz"/>
    <s v="Female"/>
    <n v="53"/>
    <x v="2"/>
    <s v="Canada"/>
    <s v="New Kevin"/>
    <s v="hescobar@hotmail.com"/>
    <s v="9260709723"/>
    <d v="2024-09-12T00:00:00"/>
    <x v="2"/>
    <x v="5"/>
    <d v="2023-11-17T00:00:00"/>
    <n v="49"/>
    <n v="4238.96"/>
    <s v="No"/>
    <n v="3"/>
    <n v="86.51"/>
  </r>
  <r>
    <n v="873"/>
    <s v="Daniel"/>
    <s v="Lawson"/>
    <s v="Female"/>
    <n v="40"/>
    <x v="1"/>
    <s v="Svalbard &amp; Jan Mayen Islands"/>
    <s v="East Kristinaside"/>
    <s v="jonathanmartin@riley.net"/>
    <s v="001-623-676-0474x157"/>
    <d v="2025-07-03T00:00:00"/>
    <x v="1"/>
    <x v="3"/>
    <d v="2025-04-03T00:00:00"/>
    <n v="21"/>
    <n v="9317.1"/>
    <s v="Yes"/>
    <n v="4"/>
    <n v="443.67"/>
  </r>
  <r>
    <n v="874"/>
    <s v="Caroline"/>
    <s v="Mueller"/>
    <s v="Male"/>
    <n v="58"/>
    <x v="1"/>
    <s v="Indonesia"/>
    <s v="South Aaronton"/>
    <s v="laura48@gmail.com"/>
    <s v="219.714.1792x875"/>
    <d v="2024-06-19T00:00:00"/>
    <x v="0"/>
    <x v="10"/>
    <d v="2024-05-22T00:00:00"/>
    <n v="1"/>
    <n v="3432.09"/>
    <s v="Yes"/>
    <n v="2"/>
    <n v="3432.09"/>
  </r>
  <r>
    <n v="875"/>
    <s v="Mario"/>
    <s v="Sullivan"/>
    <s v="Female"/>
    <n v="72"/>
    <x v="0"/>
    <s v="Gambia"/>
    <s v="Lake Danielville"/>
    <s v="fishersteven@stevens.com"/>
    <s v="(850)658-7963x868"/>
    <d v="2023-04-11T00:00:00"/>
    <x v="0"/>
    <x v="11"/>
    <d v="2024-07-31T00:00:00"/>
    <n v="37"/>
    <n v="5360.08"/>
    <s v="Yes"/>
    <n v="1"/>
    <n v="144.87"/>
  </r>
  <r>
    <n v="876"/>
    <s v="Ann"/>
    <s v="Padilla"/>
    <s v="Male"/>
    <n v="55"/>
    <x v="2"/>
    <s v="Belize"/>
    <s v="North William"/>
    <s v="phillip50@allen.info"/>
    <s v="028-595-6326"/>
    <d v="2025-01-20T00:00:00"/>
    <x v="1"/>
    <x v="10"/>
    <d v="2025-05-28T00:00:00"/>
    <n v="38"/>
    <n v="2351"/>
    <s v="Yes"/>
    <n v="5"/>
    <n v="61.87"/>
  </r>
  <r>
    <n v="877"/>
    <s v="Mark"/>
    <s v="Moss"/>
    <s v="Female"/>
    <n v="52"/>
    <x v="1"/>
    <s v="Italy"/>
    <s v="Adamsview"/>
    <s v="elizabeth62@hotmail.com"/>
    <s v="(263)449-7917x821"/>
    <d v="2024-07-26T00:00:00"/>
    <x v="0"/>
    <x v="1"/>
    <d v="2024-06-16T00:00:00"/>
    <n v="1"/>
    <n v="5982.21"/>
    <s v="Yes"/>
    <n v="4"/>
    <n v="5982.21"/>
  </r>
  <r>
    <n v="878"/>
    <s v="Jennifer"/>
    <s v="Tran"/>
    <s v="Male"/>
    <n v="43"/>
    <x v="1"/>
    <s v="Chad"/>
    <s v="New Richard"/>
    <s v="timothy19@yahoo.com"/>
    <s v="8136775603"/>
    <d v="2024-09-29T00:00:00"/>
    <x v="0"/>
    <x v="8"/>
    <d v="2024-01-23T00:00:00"/>
    <n v="17"/>
    <n v="1547.43"/>
    <s v="Yes"/>
    <n v="1"/>
    <n v="91.03"/>
  </r>
  <r>
    <n v="879"/>
    <s v="Veronica"/>
    <s v="Hayes"/>
    <s v="Female"/>
    <n v="36"/>
    <x v="3"/>
    <s v="United Kingdom"/>
    <s v="Lake Brian"/>
    <s v="cynthiastevenson@hotmail.com"/>
    <s v="001-352-716-5871x1493"/>
    <d v="2024-10-25T00:00:00"/>
    <x v="0"/>
    <x v="5"/>
    <d v="2024-11-28T00:00:00"/>
    <n v="17"/>
    <n v="8694.44"/>
    <s v="Yes"/>
    <n v="3"/>
    <n v="511.44"/>
  </r>
  <r>
    <n v="880"/>
    <s v="Eric"/>
    <s v="Taylor"/>
    <s v="Male"/>
    <n v="42"/>
    <x v="5"/>
    <s v="Mauritius"/>
    <s v="West Melissamouth"/>
    <s v="henry36@gmail.com"/>
    <s v="+1-998-357-5250x35495"/>
    <d v="2023-08-06T00:00:00"/>
    <x v="1"/>
    <x v="0"/>
    <d v="2025-08-14T00:00:00"/>
    <n v="33"/>
    <n v="5502.43"/>
    <s v="No"/>
    <n v="5"/>
    <n v="166.74"/>
  </r>
  <r>
    <n v="881"/>
    <s v="Mary"/>
    <s v="Cantrell"/>
    <s v="Male"/>
    <n v="70"/>
    <x v="2"/>
    <s v="Tanzania"/>
    <s v="Nguyenside"/>
    <s v="wgonzalez@hotmail.com"/>
    <s v="0894138518"/>
    <d v="2025-06-25T00:00:00"/>
    <x v="1"/>
    <x v="7"/>
    <d v="2025-10-08T00:00:00"/>
    <n v="43"/>
    <n v="2635.13"/>
    <s v="Yes"/>
    <n v="2"/>
    <n v="61.28"/>
  </r>
  <r>
    <n v="882"/>
    <s v="Lindsay"/>
    <s v="Edwards"/>
    <s v="Male"/>
    <n v="71"/>
    <x v="0"/>
    <s v="Qatar"/>
    <s v="Laurenberg"/>
    <s v="isaiahmanning@bell.com"/>
    <s v="001-135-026-1279x29569"/>
    <d v="2025-02-09T00:00:00"/>
    <x v="1"/>
    <x v="4"/>
    <d v="2025-03-04T00:00:00"/>
    <n v="16"/>
    <n v="7482.23"/>
    <s v="Yes"/>
    <n v="2"/>
    <n v="467.64"/>
  </r>
  <r>
    <n v="883"/>
    <s v="Jacqueline"/>
    <s v="Schmidt"/>
    <s v="Male"/>
    <n v="31"/>
    <x v="5"/>
    <s v="Aruba"/>
    <s v="Port Mark"/>
    <s v="tiffanyrobinson@pierce.info"/>
    <s v="001-674-683-1467x144"/>
    <d v="2023-02-22T00:00:00"/>
    <x v="1"/>
    <x v="11"/>
    <d v="2025-07-23T00:00:00"/>
    <n v="3"/>
    <n v="9170.34"/>
    <s v="Yes"/>
    <n v="1"/>
    <n v="3056.78"/>
  </r>
  <r>
    <n v="884"/>
    <s v="Ivan"/>
    <s v="Hicks"/>
    <s v="Male"/>
    <n v="72"/>
    <x v="1"/>
    <s v="Poland"/>
    <s v="East Parker"/>
    <s v="thompsonmonica@yahoo.com"/>
    <s v="+1-328-052-0853x4240"/>
    <d v="2025-02-21T00:00:00"/>
    <x v="1"/>
    <x v="11"/>
    <d v="2025-07-16T00:00:00"/>
    <n v="34"/>
    <n v="6522.46"/>
    <s v="No"/>
    <n v="2"/>
    <n v="191.84"/>
  </r>
  <r>
    <n v="885"/>
    <s v="Chad"/>
    <s v="Davidson"/>
    <s v="Male"/>
    <n v="20"/>
    <x v="4"/>
    <s v="Mauritania"/>
    <s v="Michaelshire"/>
    <s v="tiffanymartinez@phillips-burke.com"/>
    <s v="(187)433-5290"/>
    <d v="2023-05-18T00:00:00"/>
    <x v="1"/>
    <x v="7"/>
    <d v="2025-10-04T00:00:00"/>
    <n v="4"/>
    <n v="5956.67"/>
    <s v="Yes"/>
    <n v="3"/>
    <n v="1489.17"/>
  </r>
  <r>
    <n v="886"/>
    <s v="Jeff"/>
    <s v="Glover"/>
    <s v="Male"/>
    <n v="21"/>
    <x v="0"/>
    <s v="Isle of Man"/>
    <s v="Williamschester"/>
    <s v="ncole@hotmail.com"/>
    <s v="001-620-939-9102"/>
    <d v="2025-05-17T00:00:00"/>
    <x v="0"/>
    <x v="4"/>
    <d v="2024-03-11T00:00:00"/>
    <n v="36"/>
    <n v="3181.76"/>
    <s v="Yes"/>
    <n v="2"/>
    <n v="88.38"/>
  </r>
  <r>
    <n v="887"/>
    <s v="Roger"/>
    <s v="Acosta"/>
    <s v="Male"/>
    <n v="73"/>
    <x v="0"/>
    <s v="Sri Lanka"/>
    <s v="Port Justinhaven"/>
    <s v="floydcheryl@gmail.com"/>
    <s v="043-243-7573"/>
    <d v="2022-12-10T00:00:00"/>
    <x v="0"/>
    <x v="1"/>
    <d v="2024-06-29T00:00:00"/>
    <n v="40"/>
    <n v="5782.99"/>
    <s v="Yes"/>
    <n v="1"/>
    <n v="144.57"/>
  </r>
  <r>
    <n v="888"/>
    <s v="Stephanie"/>
    <s v="Lucas"/>
    <s v="Other"/>
    <n v="59"/>
    <x v="4"/>
    <s v="Belgium"/>
    <s v="West Brandon"/>
    <s v="lynnwagner@dickerson-guerrero.org"/>
    <s v="(995)162-3695x483"/>
    <d v="2025-08-22T00:00:00"/>
    <x v="1"/>
    <x v="10"/>
    <d v="2025-05-02T00:00:00"/>
    <n v="39"/>
    <n v="8380.7999999999993"/>
    <s v="No"/>
    <n v="3"/>
    <n v="214.89"/>
  </r>
  <r>
    <n v="889"/>
    <s v="Marcus"/>
    <s v="Thomas"/>
    <s v="Male"/>
    <n v="70"/>
    <x v="0"/>
    <s v="Honduras"/>
    <s v="Williamsberg"/>
    <s v="khowe@figueroa.org"/>
    <s v="+1-916-394-0113"/>
    <d v="2023-03-07T00:00:00"/>
    <x v="1"/>
    <x v="10"/>
    <d v="2025-05-30T00:00:00"/>
    <n v="17"/>
    <n v="222.24"/>
    <s v="No"/>
    <n v="3"/>
    <n v="13.07"/>
  </r>
  <r>
    <n v="890"/>
    <s v="Andrew"/>
    <s v="Valdez"/>
    <s v="Female"/>
    <n v="62"/>
    <x v="1"/>
    <s v="Kenya"/>
    <s v="North Davidborough"/>
    <s v="anthony49@hotmail.com"/>
    <s v="(362)829-9298x6110"/>
    <d v="2024-12-03T00:00:00"/>
    <x v="1"/>
    <x v="6"/>
    <d v="2025-02-24T00:00:00"/>
    <n v="16"/>
    <n v="8161.08"/>
    <s v="Yes"/>
    <n v="1"/>
    <n v="510.07"/>
  </r>
  <r>
    <n v="891"/>
    <s v="Frank"/>
    <s v="Miller"/>
    <s v="Female"/>
    <n v="22"/>
    <x v="0"/>
    <s v="Saint Pierre and Miquelon"/>
    <s v="Jadefort"/>
    <s v="jasmineray@gmail.com"/>
    <s v="063-061-4240x1923"/>
    <d v="2025-02-08T00:00:00"/>
    <x v="1"/>
    <x v="10"/>
    <d v="2025-05-17T00:00:00"/>
    <n v="35"/>
    <n v="8132.67"/>
    <s v="Yes"/>
    <n v="1"/>
    <n v="232.36"/>
  </r>
  <r>
    <n v="892"/>
    <s v="Leslie"/>
    <s v="Tucker"/>
    <s v="Female"/>
    <n v="35"/>
    <x v="0"/>
    <s v="Suriname"/>
    <s v="North Catherineside"/>
    <s v="cookzachary@hotmail.com"/>
    <s v="425.529.1556x62570"/>
    <d v="2024-03-18T00:00:00"/>
    <x v="0"/>
    <x v="11"/>
    <d v="2024-07-26T00:00:00"/>
    <n v="3"/>
    <n v="1013.96"/>
    <s v="Yes"/>
    <n v="1"/>
    <n v="337.99"/>
  </r>
  <r>
    <n v="893"/>
    <s v="Valerie"/>
    <s v="Mcguire"/>
    <s v="Male"/>
    <n v="43"/>
    <x v="0"/>
    <s v="Sri Lanka"/>
    <s v="South Heather"/>
    <s v="vadams@gmail.com"/>
    <s v="628-248-6750x5819"/>
    <d v="2024-07-16T00:00:00"/>
    <x v="0"/>
    <x v="7"/>
    <d v="2024-10-03T00:00:00"/>
    <n v="37"/>
    <n v="9349.9699999999993"/>
    <s v="Yes"/>
    <n v="4"/>
    <n v="252.7"/>
  </r>
  <r>
    <n v="894"/>
    <s v="Phillip"/>
    <s v="Mcintyre"/>
    <s v="Male"/>
    <n v="38"/>
    <x v="5"/>
    <s v="Falkland Islands (Malvinas)"/>
    <s v="East Stefanieville"/>
    <s v="cainryan@figueroa.net"/>
    <s v="990.919.8579x7653"/>
    <d v="2024-10-20T00:00:00"/>
    <x v="0"/>
    <x v="3"/>
    <d v="2024-04-06T00:00:00"/>
    <n v="5"/>
    <n v="6971.59"/>
    <s v="No"/>
    <n v="4"/>
    <n v="1394.32"/>
  </r>
  <r>
    <n v="895"/>
    <s v="Elizabeth"/>
    <s v="Carpenter"/>
    <s v="Male"/>
    <n v="48"/>
    <x v="2"/>
    <s v="Belize"/>
    <s v="Stoneton"/>
    <s v="daniellewilson@hall-martin.net"/>
    <s v="001-194-279-7580"/>
    <d v="2024-07-29T00:00:00"/>
    <x v="0"/>
    <x v="7"/>
    <d v="2024-10-10T00:00:00"/>
    <n v="31"/>
    <n v="1702.89"/>
    <s v="Yes"/>
    <n v="3"/>
    <n v="54.93"/>
  </r>
  <r>
    <n v="896"/>
    <s v="Scott"/>
    <s v="Mullen"/>
    <s v="Male"/>
    <n v="29"/>
    <x v="4"/>
    <s v="Greece"/>
    <s v="North Joseberg"/>
    <s v="natasha92@gmail.com"/>
    <s v="+1-449-761-8283x284"/>
    <d v="2024-06-20T00:00:00"/>
    <x v="0"/>
    <x v="0"/>
    <d v="2024-08-13T00:00:00"/>
    <n v="25"/>
    <n v="1834.37"/>
    <s v="Yes"/>
    <n v="4"/>
    <n v="73.37"/>
  </r>
  <r>
    <n v="897"/>
    <s v="Benjamin"/>
    <s v="Marsh"/>
    <s v="Male"/>
    <n v="38"/>
    <x v="4"/>
    <s v="Greenland"/>
    <s v="East Melissa"/>
    <s v="pmata@haley-contreras.com"/>
    <s v="383.620.0959x933"/>
    <d v="2024-11-21T00:00:00"/>
    <x v="0"/>
    <x v="1"/>
    <d v="2024-06-20T00:00:00"/>
    <n v="8"/>
    <n v="2021.08"/>
    <s v="Yes"/>
    <n v="5"/>
    <n v="252.64"/>
  </r>
  <r>
    <n v="898"/>
    <s v="Jesse"/>
    <s v="Keller"/>
    <s v="Female"/>
    <n v="58"/>
    <x v="4"/>
    <s v="Mauritania"/>
    <s v="South Brandonbury"/>
    <s v="christopher10@johnson.com"/>
    <s v="+1-143-453-1588"/>
    <d v="2024-07-18T00:00:00"/>
    <x v="0"/>
    <x v="6"/>
    <d v="2024-02-05T00:00:00"/>
    <n v="39"/>
    <n v="7969.78"/>
    <s v="Yes"/>
    <n v="4"/>
    <n v="204.35"/>
  </r>
  <r>
    <n v="899"/>
    <s v="Amber"/>
    <s v="Williams"/>
    <s v="Female"/>
    <n v="44"/>
    <x v="0"/>
    <s v="Peru"/>
    <s v="Susanmouth"/>
    <s v="vanderson@gmail.com"/>
    <s v="037.580.0152x843"/>
    <d v="2025-04-26T00:00:00"/>
    <x v="1"/>
    <x v="4"/>
    <d v="2025-03-10T00:00:00"/>
    <n v="28"/>
    <n v="2306.6799999999998"/>
    <s v="No"/>
    <n v="1"/>
    <n v="82.38"/>
  </r>
  <r>
    <n v="900"/>
    <s v="John"/>
    <s v="Brown"/>
    <s v="Male"/>
    <n v="41"/>
    <x v="2"/>
    <s v="Montenegro"/>
    <s v="East Lisashire"/>
    <s v="wilsonbrandy@orozco.com"/>
    <s v="9327443076"/>
    <d v="2024-10-18T00:00:00"/>
    <x v="1"/>
    <x v="8"/>
    <d v="2025-01-06T00:00:00"/>
    <n v="15"/>
    <n v="3433.59"/>
    <s v="Yes"/>
    <n v="5"/>
    <n v="228.91"/>
  </r>
  <r>
    <n v="901"/>
    <s v="Ryan"/>
    <s v="Potter"/>
    <s v="Female"/>
    <n v="43"/>
    <x v="4"/>
    <s v="Congo"/>
    <s v="East Philip"/>
    <s v="kirktiffany@gmail.com"/>
    <s v="046.379.2208"/>
    <d v="2024-03-19T00:00:00"/>
    <x v="1"/>
    <x v="10"/>
    <d v="2025-05-10T00:00:00"/>
    <n v="48"/>
    <n v="8911.08"/>
    <s v="No"/>
    <n v="4"/>
    <n v="185.65"/>
  </r>
  <r>
    <n v="902"/>
    <s v="William"/>
    <s v="Jones"/>
    <s v="Male"/>
    <n v="57"/>
    <x v="1"/>
    <s v="Japan"/>
    <s v="North Melissa"/>
    <s v="zjackson@yahoo.com"/>
    <s v="929-906-7564x49251"/>
    <d v="2024-12-31T00:00:00"/>
    <x v="0"/>
    <x v="11"/>
    <d v="2024-07-10T00:00:00"/>
    <n v="11"/>
    <n v="4953.34"/>
    <s v="Yes"/>
    <n v="2"/>
    <n v="450.3"/>
  </r>
  <r>
    <n v="903"/>
    <s v="Thomas"/>
    <s v="Brown"/>
    <s v="Male"/>
    <n v="32"/>
    <x v="0"/>
    <s v="Puerto Rico"/>
    <s v="Haleland"/>
    <s v="shannon79@gmail.com"/>
    <s v="(642)192-4682x5338"/>
    <d v="2024-10-25T00:00:00"/>
    <x v="1"/>
    <x v="2"/>
    <d v="2025-09-19T00:00:00"/>
    <n v="39"/>
    <n v="7971.02"/>
    <s v="Yes"/>
    <n v="4"/>
    <n v="204.39"/>
  </r>
  <r>
    <n v="904"/>
    <s v="Raymond"/>
    <s v="Riggs"/>
    <s v="Male"/>
    <n v="39"/>
    <x v="3"/>
    <s v="Guinea-Bissau"/>
    <s v="West Ericstad"/>
    <s v="christopher54@hotmail.com"/>
    <s v="823-044-4245"/>
    <d v="2023-02-04T00:00:00"/>
    <x v="0"/>
    <x v="11"/>
    <d v="2024-07-15T00:00:00"/>
    <n v="44"/>
    <n v="990.92"/>
    <s v="Yes"/>
    <n v="4"/>
    <n v="22.52"/>
  </r>
  <r>
    <n v="905"/>
    <s v="Joyce"/>
    <s v="Simmons"/>
    <s v="Male"/>
    <n v="58"/>
    <x v="4"/>
    <s v="Belgium"/>
    <s v="Brayville"/>
    <s v="kevinknapp@marsh.com"/>
    <s v="001-868-576-9635x07800"/>
    <d v="2023-09-07T00:00:00"/>
    <x v="0"/>
    <x v="11"/>
    <d v="2024-07-01T00:00:00"/>
    <n v="21"/>
    <n v="7954.23"/>
    <s v="No"/>
    <n v="4"/>
    <n v="378.77"/>
  </r>
  <r>
    <n v="906"/>
    <s v="Alfred"/>
    <s v="Warren"/>
    <s v="Female"/>
    <n v="24"/>
    <x v="1"/>
    <s v="Kiribati"/>
    <s v="West Anthonyfurt"/>
    <s v="figueroarichard@yahoo.com"/>
    <s v="822.380.2302"/>
    <d v="2024-05-27T00:00:00"/>
    <x v="0"/>
    <x v="2"/>
    <d v="2024-09-29T00:00:00"/>
    <n v="34"/>
    <n v="5961.47"/>
    <s v="No"/>
    <n v="1"/>
    <n v="175.34"/>
  </r>
  <r>
    <n v="907"/>
    <s v="Joseph"/>
    <s v="Morgan"/>
    <s v="Female"/>
    <n v="28"/>
    <x v="6"/>
    <s v="Guyana"/>
    <s v="New Sheilamouth"/>
    <s v="brandon34@yahoo.com"/>
    <s v="719.438.4498x09093"/>
    <d v="2024-08-06T00:00:00"/>
    <x v="0"/>
    <x v="0"/>
    <d v="2024-08-26T00:00:00"/>
    <n v="29"/>
    <n v="2684.9"/>
    <s v="Yes"/>
    <n v="4"/>
    <n v="92.58"/>
  </r>
  <r>
    <n v="908"/>
    <s v="Alexander"/>
    <s v="Lopez"/>
    <s v="Female"/>
    <n v="54"/>
    <x v="2"/>
    <s v="French Southern Territories"/>
    <s v="Christinemouth"/>
    <s v="garciastephen@robinson.org"/>
    <s v="472-374-0961x531"/>
    <d v="2022-11-05T00:00:00"/>
    <x v="1"/>
    <x v="8"/>
    <d v="2025-01-07T00:00:00"/>
    <n v="43"/>
    <n v="8903.8799999999992"/>
    <s v="Yes"/>
    <n v="4"/>
    <n v="207.07"/>
  </r>
  <r>
    <n v="909"/>
    <s v="Alan"/>
    <s v="Allen"/>
    <s v="Male"/>
    <n v="65"/>
    <x v="3"/>
    <s v="Dominica"/>
    <s v="North Annaberg"/>
    <s v="alfred23@gmail.com"/>
    <s v="(483)824-8768"/>
    <d v="2024-04-01T00:00:00"/>
    <x v="1"/>
    <x v="7"/>
    <d v="2025-10-23T00:00:00"/>
    <n v="28"/>
    <n v="3091.97"/>
    <s v="Yes"/>
    <n v="2"/>
    <n v="110.43"/>
  </r>
  <r>
    <n v="910"/>
    <s v="Mariah"/>
    <s v="Morris"/>
    <s v="Female"/>
    <n v="29"/>
    <x v="2"/>
    <s v="Lebanon"/>
    <s v="Suttonfort"/>
    <s v="hpatterson@sanders.org"/>
    <s v="+1-904-529-7253x035"/>
    <d v="2024-02-24T00:00:00"/>
    <x v="1"/>
    <x v="3"/>
    <d v="2025-04-24T00:00:00"/>
    <n v="47"/>
    <n v="2708.44"/>
    <s v="Yes"/>
    <n v="4"/>
    <n v="57.63"/>
  </r>
  <r>
    <n v="911"/>
    <s v="Robert"/>
    <s v="Ware"/>
    <s v="Female"/>
    <n v="39"/>
    <x v="3"/>
    <s v="Bhutan"/>
    <s v="Port Jeffreyville"/>
    <s v="gramirez@reid.com"/>
    <s v="001-692-783-9881"/>
    <d v="2024-12-21T00:00:00"/>
    <x v="0"/>
    <x v="8"/>
    <d v="2024-01-08T00:00:00"/>
    <n v="24"/>
    <n v="6000.47"/>
    <s v="No"/>
    <n v="5"/>
    <n v="250.02"/>
  </r>
  <r>
    <n v="912"/>
    <s v="Michelle"/>
    <s v="Miller"/>
    <s v="Other"/>
    <n v="37"/>
    <x v="5"/>
    <s v="Saint Martin"/>
    <s v="Careyhaven"/>
    <s v="arogers@yahoo.com"/>
    <s v="001-603-870-1967"/>
    <d v="2022-11-05T00:00:00"/>
    <x v="0"/>
    <x v="0"/>
    <d v="2024-08-08T00:00:00"/>
    <n v="44"/>
    <n v="3164.93"/>
    <s v="Yes"/>
    <n v="2"/>
    <n v="71.930000000000007"/>
  </r>
  <r>
    <n v="913"/>
    <s v="Brian"/>
    <s v="Hughes"/>
    <s v="Female"/>
    <n v="53"/>
    <x v="2"/>
    <s v="Saudi Arabia"/>
    <s v="Port Daniel"/>
    <s v="johnprice@yahoo.com"/>
    <s v="628-511-0038x510"/>
    <d v="2025-07-12T00:00:00"/>
    <x v="0"/>
    <x v="8"/>
    <d v="2024-01-16T00:00:00"/>
    <n v="17"/>
    <n v="3314.78"/>
    <s v="Yes"/>
    <n v="1"/>
    <n v="194.99"/>
  </r>
  <r>
    <n v="914"/>
    <s v="Paul"/>
    <s v="Preston"/>
    <s v="Male"/>
    <n v="67"/>
    <x v="0"/>
    <s v="Ethiopia"/>
    <s v="East Josechester"/>
    <s v="robert61@porter-costa.com"/>
    <s v="001-874-338-9169x6987"/>
    <d v="2023-02-14T00:00:00"/>
    <x v="0"/>
    <x v="10"/>
    <d v="2024-05-03T00:00:00"/>
    <n v="3"/>
    <n v="962.26"/>
    <s v="Yes"/>
    <n v="2"/>
    <n v="320.75"/>
  </r>
  <r>
    <n v="915"/>
    <s v="Traci"/>
    <s v="Green"/>
    <s v="Male"/>
    <n v="27"/>
    <x v="2"/>
    <s v="Bulgaria"/>
    <s v="Port Jason"/>
    <s v="hwilson@yahoo.com"/>
    <s v="(838)661-9296"/>
    <d v="2025-01-29T00:00:00"/>
    <x v="1"/>
    <x v="10"/>
    <d v="2025-05-27T00:00:00"/>
    <n v="15"/>
    <n v="1693.1"/>
    <s v="Yes"/>
    <n v="4"/>
    <n v="112.87"/>
  </r>
  <r>
    <n v="917"/>
    <s v="Brett"/>
    <s v="Hill"/>
    <s v="Female"/>
    <n v="62"/>
    <x v="2"/>
    <s v="Saudi Arabia"/>
    <s v="Lake Elizabeth"/>
    <s v="john97@hotmail.com"/>
    <s v="(276)001-2905x13302"/>
    <d v="2023-06-30T00:00:00"/>
    <x v="0"/>
    <x v="6"/>
    <d v="2024-02-01T00:00:00"/>
    <n v="42"/>
    <n v="716.43"/>
    <s v="Yes"/>
    <n v="2"/>
    <n v="17.059999999999999"/>
  </r>
  <r>
    <n v="918"/>
    <s v="Brian"/>
    <s v="Elliott"/>
    <s v="Male"/>
    <n v="18"/>
    <x v="5"/>
    <s v="Palau"/>
    <s v="New Ashleystad"/>
    <s v="matthewtaylor@brown-williams.info"/>
    <s v="(049)469-0385x56096"/>
    <d v="2022-12-07T00:00:00"/>
    <x v="1"/>
    <x v="8"/>
    <d v="2025-01-06T00:00:00"/>
    <n v="1"/>
    <n v="3022.41"/>
    <s v="No"/>
    <n v="5"/>
    <n v="3022.41"/>
  </r>
  <r>
    <n v="919"/>
    <s v="Matthew"/>
    <s v="Beck"/>
    <s v="Male"/>
    <n v="60"/>
    <x v="2"/>
    <s v="Colombia"/>
    <s v="Millerburgh"/>
    <s v="brittany57@clarke-johnson.org"/>
    <s v="+1-232-634-5612"/>
    <d v="2024-09-20T00:00:00"/>
    <x v="0"/>
    <x v="9"/>
    <d v="2024-12-23T00:00:00"/>
    <n v="36"/>
    <n v="8407.68"/>
    <s v="No"/>
    <n v="5"/>
    <n v="233.55"/>
  </r>
  <r>
    <n v="920"/>
    <s v="Samantha"/>
    <s v="Wright"/>
    <s v="Male"/>
    <n v="65"/>
    <x v="1"/>
    <s v="British Virgin Islands"/>
    <s v="Roseland"/>
    <s v="christianlopez@washington.biz"/>
    <s v="638-640-4233x4379"/>
    <d v="2025-02-23T00:00:00"/>
    <x v="1"/>
    <x v="0"/>
    <d v="2025-08-24T00:00:00"/>
    <n v="14"/>
    <n v="3383.58"/>
    <s v="Yes"/>
    <n v="1"/>
    <n v="241.68"/>
  </r>
  <r>
    <n v="921"/>
    <s v="Christopher"/>
    <s v="Thompson"/>
    <s v="Female"/>
    <n v="57"/>
    <x v="5"/>
    <s v="Nicaragua"/>
    <s v="Lake Angela"/>
    <s v="qphillips@hotmail.com"/>
    <s v="2593452732"/>
    <d v="2025-01-02T00:00:00"/>
    <x v="1"/>
    <x v="7"/>
    <d v="2025-10-25T00:00:00"/>
    <n v="15"/>
    <n v="5211.8500000000004"/>
    <s v="Yes"/>
    <n v="3"/>
    <n v="347.46"/>
  </r>
  <r>
    <n v="922"/>
    <s v="Chelsea"/>
    <s v="Huang"/>
    <s v="Female"/>
    <n v="54"/>
    <x v="0"/>
    <s v="Honduras"/>
    <s v="West Edward"/>
    <s v="zgonzalez@yahoo.com"/>
    <s v="+1-394-522-5101x946"/>
    <d v="2022-12-25T00:00:00"/>
    <x v="1"/>
    <x v="0"/>
    <d v="2025-08-31T00:00:00"/>
    <n v="29"/>
    <n v="3151.46"/>
    <s v="No"/>
    <n v="3"/>
    <n v="108.67"/>
  </r>
  <r>
    <n v="923"/>
    <s v="Christy"/>
    <s v="Hull"/>
    <s v="Male"/>
    <n v="40"/>
    <x v="2"/>
    <s v="Saudi Arabia"/>
    <s v="South Brianmouth"/>
    <s v="mary43@yahoo.com"/>
    <s v="001-837-098-3610x5374"/>
    <d v="2025-07-23T00:00:00"/>
    <x v="0"/>
    <x v="3"/>
    <d v="2024-04-03T00:00:00"/>
    <n v="26"/>
    <n v="7015.23"/>
    <s v="No"/>
    <n v="3"/>
    <n v="269.82"/>
  </r>
  <r>
    <n v="924"/>
    <s v="Nicholas"/>
    <s v="Davis"/>
    <s v="Female"/>
    <n v="28"/>
    <x v="3"/>
    <s v="Dominica"/>
    <s v="Barbaraburgh"/>
    <s v="cjohnson@lee.com"/>
    <s v="0358982041"/>
    <d v="2023-06-04T00:00:00"/>
    <x v="1"/>
    <x v="11"/>
    <d v="2025-07-18T00:00:00"/>
    <n v="33"/>
    <n v="1667.84"/>
    <s v="Yes"/>
    <n v="2"/>
    <n v="50.54"/>
  </r>
  <r>
    <n v="925"/>
    <s v="Megan"/>
    <s v="Schultz"/>
    <s v="Female"/>
    <n v="36"/>
    <x v="2"/>
    <s v="Lesotho"/>
    <s v="Dixonshire"/>
    <s v="ana92@gmail.com"/>
    <s v="492.005.8534x00257"/>
    <d v="2025-09-26T00:00:00"/>
    <x v="0"/>
    <x v="8"/>
    <d v="2024-01-08T00:00:00"/>
    <n v="18"/>
    <n v="8037.69"/>
    <s v="Yes"/>
    <n v="4"/>
    <n v="446.54"/>
  </r>
  <r>
    <n v="926"/>
    <s v="Brenda"/>
    <s v="Murphy"/>
    <s v="Male"/>
    <n v="25"/>
    <x v="0"/>
    <s v="Czech Republic"/>
    <s v="Port Evan"/>
    <s v="jennifer53@hotmail.com"/>
    <s v="001-377-239-6397"/>
    <d v="2024-06-26T00:00:00"/>
    <x v="2"/>
    <x v="5"/>
    <d v="2023-11-02T00:00:00"/>
    <n v="2"/>
    <n v="5533.33"/>
    <s v="Yes"/>
    <n v="4"/>
    <n v="2766.66"/>
  </r>
  <r>
    <n v="927"/>
    <s v="Andrew"/>
    <s v="Johnson"/>
    <s v="Female"/>
    <n v="38"/>
    <x v="2"/>
    <s v="El Salvador"/>
    <s v="New Randyland"/>
    <s v="jcastaneda@kirk-wise.org"/>
    <s v="155.003.9171x70040"/>
    <d v="2025-01-05T00:00:00"/>
    <x v="0"/>
    <x v="1"/>
    <d v="2024-06-07T00:00:00"/>
    <n v="21"/>
    <n v="9333.67"/>
    <s v="Yes"/>
    <n v="2"/>
    <n v="444.46"/>
  </r>
  <r>
    <n v="928"/>
    <s v="Rebecca"/>
    <s v="Sutton"/>
    <s v="Male"/>
    <n v="66"/>
    <x v="2"/>
    <s v="Estonia"/>
    <s v="Owensside"/>
    <s v="bowens@frazier.com"/>
    <s v="001-471-844-1493x209"/>
    <d v="2023-03-05T00:00:00"/>
    <x v="1"/>
    <x v="10"/>
    <d v="2025-05-29T00:00:00"/>
    <n v="5"/>
    <n v="7491.41"/>
    <s v="Yes"/>
    <n v="3"/>
    <n v="1498.28"/>
  </r>
  <r>
    <n v="929"/>
    <s v="Zachary"/>
    <s v="Garcia"/>
    <s v="Female"/>
    <n v="22"/>
    <x v="0"/>
    <s v="Faroe Islands"/>
    <s v="South Karentown"/>
    <s v="dawn39@chandler.info"/>
    <s v="+1-635-024-1093x7616"/>
    <d v="2023-10-25T00:00:00"/>
    <x v="1"/>
    <x v="1"/>
    <d v="2025-06-23T00:00:00"/>
    <n v="9"/>
    <n v="5481.17"/>
    <s v="Yes"/>
    <n v="3"/>
    <n v="609.02"/>
  </r>
  <r>
    <n v="930"/>
    <s v="Troy"/>
    <s v="Goodwin"/>
    <s v="Male"/>
    <n v="70"/>
    <x v="0"/>
    <s v="Iran"/>
    <s v="West Brooke"/>
    <s v="angela09@yahoo.com"/>
    <s v="409.013.6140"/>
    <d v="2024-11-18T00:00:00"/>
    <x v="1"/>
    <x v="1"/>
    <d v="2025-06-12T00:00:00"/>
    <n v="21"/>
    <n v="8177.85"/>
    <s v="No"/>
    <n v="3"/>
    <n v="389.42"/>
  </r>
  <r>
    <n v="931"/>
    <s v="Jeff"/>
    <s v="Martin"/>
    <s v="Female"/>
    <n v="50"/>
    <x v="1"/>
    <s v="Holy See (Vatican City State)"/>
    <s v="North Sarah"/>
    <s v="mitchellaudrey@smith.org"/>
    <s v="942.873.9141x5231"/>
    <d v="2025-04-20T00:00:00"/>
    <x v="0"/>
    <x v="4"/>
    <d v="2024-03-28T00:00:00"/>
    <n v="48"/>
    <n v="1840.88"/>
    <s v="No"/>
    <n v="4"/>
    <n v="38.35"/>
  </r>
  <r>
    <n v="932"/>
    <s v="Tiffany"/>
    <s v="Wright"/>
    <s v="Male"/>
    <n v="65"/>
    <x v="4"/>
    <s v="Tunisia"/>
    <s v="West Summer"/>
    <s v="barrysmith@gmail.com"/>
    <s v="822.970.9731x905"/>
    <d v="2024-06-04T00:00:00"/>
    <x v="0"/>
    <x v="1"/>
    <d v="2024-06-03T00:00:00"/>
    <n v="15"/>
    <n v="8601.59"/>
    <s v="Yes"/>
    <n v="4"/>
    <n v="573.44000000000005"/>
  </r>
  <r>
    <n v="933"/>
    <s v="Dylan"/>
    <s v="Phelps"/>
    <s v="Female"/>
    <n v="41"/>
    <x v="3"/>
    <s v="Bouvet Island (Bouvetoya)"/>
    <s v="Brendaview"/>
    <s v="weaverjustin@smith.com"/>
    <s v="+1-429-296-8803"/>
    <d v="2024-07-06T00:00:00"/>
    <x v="1"/>
    <x v="8"/>
    <d v="2025-01-14T00:00:00"/>
    <n v="32"/>
    <n v="9069.5"/>
    <s v="No"/>
    <n v="1"/>
    <n v="283.42"/>
  </r>
  <r>
    <n v="934"/>
    <s v="Larry"/>
    <s v="Parker"/>
    <s v="Male"/>
    <n v="46"/>
    <x v="0"/>
    <s v="Equatorial Guinea"/>
    <s v="Lisaview"/>
    <s v="fmills@gmail.com"/>
    <s v="7567774437"/>
    <d v="2023-11-03T00:00:00"/>
    <x v="1"/>
    <x v="0"/>
    <d v="2025-08-25T00:00:00"/>
    <n v="17"/>
    <n v="482.76"/>
    <s v="Yes"/>
    <n v="3"/>
    <n v="28.4"/>
  </r>
  <r>
    <n v="935"/>
    <s v="Eric"/>
    <s v="Hayes"/>
    <s v="Male"/>
    <n v="73"/>
    <x v="1"/>
    <s v="Vanuatu"/>
    <s v="Dylanberg"/>
    <s v="benjamin25@yahoo.com"/>
    <s v="001-102-038-9355x814"/>
    <d v="2025-04-03T00:00:00"/>
    <x v="1"/>
    <x v="7"/>
    <d v="2025-10-08T00:00:00"/>
    <n v="2"/>
    <n v="2697.15"/>
    <s v="No"/>
    <n v="5"/>
    <n v="1348.58"/>
  </r>
  <r>
    <n v="936"/>
    <s v="Kim"/>
    <s v="Miller"/>
    <s v="Female"/>
    <n v="49"/>
    <x v="1"/>
    <s v="Romania"/>
    <s v="Roblesborough"/>
    <s v="hobbsbetty@hotmail.com"/>
    <s v="001-672-797-5137"/>
    <d v="2024-03-04T00:00:00"/>
    <x v="1"/>
    <x v="4"/>
    <d v="2025-03-27T00:00:00"/>
    <n v="32"/>
    <n v="3685.05"/>
    <s v="Yes"/>
    <n v="4"/>
    <n v="115.16"/>
  </r>
  <r>
    <n v="937"/>
    <s v="Nichole"/>
    <s v="Perry"/>
    <s v="Female"/>
    <n v="41"/>
    <x v="5"/>
    <s v="Nauru"/>
    <s v="West Raymondton"/>
    <s v="turnergina@yahoo.com"/>
    <s v="(592)080-5737"/>
    <d v="2024-08-05T00:00:00"/>
    <x v="1"/>
    <x v="10"/>
    <d v="2025-05-21T00:00:00"/>
    <n v="45"/>
    <n v="7262.43"/>
    <s v="Yes"/>
    <n v="1"/>
    <n v="161.38999999999999"/>
  </r>
  <r>
    <n v="938"/>
    <s v="Crystal"/>
    <s v="Mcmahon"/>
    <s v="Female"/>
    <n v="56"/>
    <x v="4"/>
    <s v="Togo"/>
    <s v="Burkefurt"/>
    <s v="davisanthony@barton.com"/>
    <s v="001-607-585-0959x647"/>
    <d v="2025-01-31T00:00:00"/>
    <x v="0"/>
    <x v="3"/>
    <d v="2024-04-11T00:00:00"/>
    <n v="13"/>
    <n v="4887.2299999999996"/>
    <s v="No"/>
    <n v="5"/>
    <n v="375.94"/>
  </r>
  <r>
    <n v="939"/>
    <s v="Christine"/>
    <s v="Braun"/>
    <s v="Male"/>
    <n v="52"/>
    <x v="2"/>
    <s v="Marshall Islands"/>
    <s v="Nelsonton"/>
    <s v="jasmine78@gmail.com"/>
    <s v="606-285-2940x0525"/>
    <d v="2025-06-22T00:00:00"/>
    <x v="0"/>
    <x v="5"/>
    <d v="2024-11-30T00:00:00"/>
    <n v="14"/>
    <n v="6402.43"/>
    <s v="No"/>
    <n v="2"/>
    <n v="457.32"/>
  </r>
  <r>
    <n v="940"/>
    <s v="Diane"/>
    <s v="Mcdaniel"/>
    <s v="Female"/>
    <n v="34"/>
    <x v="1"/>
    <s v="Macedonia"/>
    <s v="Lake Jenny"/>
    <s v="elliottamber@rivas.info"/>
    <s v="(281)919-9839x802"/>
    <d v="2023-03-04T00:00:00"/>
    <x v="0"/>
    <x v="11"/>
    <d v="2024-07-11T00:00:00"/>
    <n v="49"/>
    <n v="4391.3500000000004"/>
    <s v="Yes"/>
    <n v="4"/>
    <n v="89.62"/>
  </r>
  <r>
    <n v="941"/>
    <s v="John"/>
    <s v="Cannon"/>
    <s v="Female"/>
    <n v="32"/>
    <x v="4"/>
    <s v="Angola"/>
    <s v="North Paulton"/>
    <s v="frodriguez@johnston.com"/>
    <s v="416-283-4598"/>
    <d v="2025-09-12T00:00:00"/>
    <x v="1"/>
    <x v="3"/>
    <d v="2025-04-21T00:00:00"/>
    <n v="16"/>
    <n v="7238.01"/>
    <s v="No"/>
    <n v="5"/>
    <n v="452.38"/>
  </r>
  <r>
    <n v="942"/>
    <s v="Brady"/>
    <s v="Houston"/>
    <s v="Male"/>
    <n v="43"/>
    <x v="5"/>
    <s v="Ukraine"/>
    <s v="Robertport"/>
    <s v="romerosamuel@singh.biz"/>
    <s v="(772)999-9873x383"/>
    <d v="2025-05-25T00:00:00"/>
    <x v="1"/>
    <x v="11"/>
    <d v="2025-07-18T00:00:00"/>
    <n v="2"/>
    <n v="5717.75"/>
    <s v="Yes"/>
    <n v="3"/>
    <n v="2858.88"/>
  </r>
  <r>
    <n v="943"/>
    <s v="Micheal"/>
    <s v="Adams"/>
    <s v="Male"/>
    <n v="22"/>
    <x v="2"/>
    <s v="El Salvador"/>
    <s v="South Tiffanymouth"/>
    <s v="brownjessica@gentry.com"/>
    <s v="165.225.2584x211"/>
    <d v="2025-05-24T00:00:00"/>
    <x v="1"/>
    <x v="4"/>
    <d v="2025-03-09T00:00:00"/>
    <n v="48"/>
    <n v="1851.29"/>
    <s v="Yes"/>
    <n v="2"/>
    <n v="38.57"/>
  </r>
  <r>
    <n v="944"/>
    <s v="John"/>
    <s v="Robbins"/>
    <s v="Male"/>
    <n v="67"/>
    <x v="0"/>
    <s v="American Samoa"/>
    <s v="Frenchmouth"/>
    <s v="craighill@hall.biz"/>
    <s v="065-178-3457"/>
    <d v="2023-08-16T00:00:00"/>
    <x v="2"/>
    <x v="5"/>
    <d v="2023-11-27T00:00:00"/>
    <n v="37"/>
    <n v="7260.26"/>
    <s v="No"/>
    <n v="1"/>
    <n v="196.22"/>
  </r>
  <r>
    <n v="945"/>
    <s v="Andrew"/>
    <s v="Rowland"/>
    <s v="Male"/>
    <n v="36"/>
    <x v="2"/>
    <s v="Uzbekistan"/>
    <s v="Port Robertbury"/>
    <s v="rgrimes@gmail.com"/>
    <s v="(758)601-7871"/>
    <d v="2025-06-25T00:00:00"/>
    <x v="0"/>
    <x v="0"/>
    <d v="2024-08-14T00:00:00"/>
    <n v="6"/>
    <n v="2402.4299999999998"/>
    <s v="No"/>
    <n v="5"/>
    <n v="400.4"/>
  </r>
  <r>
    <n v="946"/>
    <s v="Sheri"/>
    <s v="Harris"/>
    <s v="Male"/>
    <n v="32"/>
    <x v="5"/>
    <s v="Norway"/>
    <s v="North Ryan"/>
    <s v="mariareese@thomas.com"/>
    <s v="001-476-915-0646"/>
    <d v="2023-09-22T00:00:00"/>
    <x v="1"/>
    <x v="11"/>
    <d v="2025-07-28T00:00:00"/>
    <n v="16"/>
    <n v="1644.24"/>
    <s v="No"/>
    <n v="4"/>
    <n v="102.76"/>
  </r>
  <r>
    <n v="947"/>
    <s v="Kevin"/>
    <s v="Rios"/>
    <s v="Female"/>
    <n v="20"/>
    <x v="1"/>
    <s v="Vietnam"/>
    <s v="North Veronicatown"/>
    <s v="coxvictor@hotmail.com"/>
    <s v="601-319-7494"/>
    <d v="2024-11-20T00:00:00"/>
    <x v="1"/>
    <x v="2"/>
    <d v="2025-09-03T00:00:00"/>
    <n v="4"/>
    <n v="6689.27"/>
    <s v="No"/>
    <n v="3"/>
    <n v="1672.32"/>
  </r>
  <r>
    <n v="948"/>
    <s v="Stephen"/>
    <s v="Ferguson"/>
    <s v="Male"/>
    <n v="61"/>
    <x v="1"/>
    <s v="Jersey"/>
    <s v="Cortezton"/>
    <s v="jeanne38@yahoo.com"/>
    <s v="001-090-367-5918"/>
    <d v="2023-12-10T00:00:00"/>
    <x v="1"/>
    <x v="3"/>
    <d v="2025-04-09T00:00:00"/>
    <n v="35"/>
    <n v="843.4"/>
    <s v="No"/>
    <n v="3"/>
    <n v="24.1"/>
  </r>
  <r>
    <n v="949"/>
    <s v="Brooke"/>
    <s v="Fischer"/>
    <s v="Male"/>
    <n v="57"/>
    <x v="2"/>
    <s v="Luxembourg"/>
    <s v="North Erica"/>
    <s v="david12@mcdowell.info"/>
    <s v="+1-258-856-2731x1123"/>
    <d v="2024-09-21T00:00:00"/>
    <x v="0"/>
    <x v="10"/>
    <d v="2024-05-10T00:00:00"/>
    <n v="34"/>
    <n v="6597"/>
    <s v="Yes"/>
    <n v="5"/>
    <n v="194.03"/>
  </r>
  <r>
    <n v="950"/>
    <s v="Steven"/>
    <s v="Lee"/>
    <s v="Male"/>
    <n v="43"/>
    <x v="4"/>
    <s v="Tunisia"/>
    <s v="East Haley"/>
    <s v="brandon56@hotmail.com"/>
    <s v="001-671-237-4517x162"/>
    <d v="2025-02-14T00:00:00"/>
    <x v="0"/>
    <x v="2"/>
    <d v="2024-09-14T00:00:00"/>
    <n v="34"/>
    <n v="1269.92"/>
    <s v="No"/>
    <n v="1"/>
    <n v="37.35"/>
  </r>
  <r>
    <n v="951"/>
    <s v="David"/>
    <s v="Davis"/>
    <s v="Female"/>
    <n v="22"/>
    <x v="1"/>
    <s v="Trinidad and Tobago"/>
    <s v="North Bruceshire"/>
    <s v="whall@hotmail.com"/>
    <s v="(582)271-7818x69036"/>
    <d v="2023-06-07T00:00:00"/>
    <x v="1"/>
    <x v="0"/>
    <d v="2025-08-13T00:00:00"/>
    <n v="27"/>
    <n v="1514.41"/>
    <s v="No"/>
    <n v="3"/>
    <n v="56.09"/>
  </r>
  <r>
    <n v="952"/>
    <s v="Rachel"/>
    <s v="Macdonald"/>
    <s v="Female"/>
    <n v="35"/>
    <x v="0"/>
    <s v="Honduras"/>
    <s v="Port Victoriaburgh"/>
    <s v="ulewis@yahoo.com"/>
    <s v="+1-554-414-5427x57912"/>
    <d v="2025-06-08T00:00:00"/>
    <x v="1"/>
    <x v="7"/>
    <d v="2025-10-22T00:00:00"/>
    <n v="38"/>
    <n v="1447.35"/>
    <s v="Yes"/>
    <n v="3"/>
    <n v="38.090000000000003"/>
  </r>
  <r>
    <n v="953"/>
    <s v="Jacob"/>
    <s v="Reed"/>
    <s v="Female"/>
    <n v="72"/>
    <x v="4"/>
    <s v="Guadeloupe"/>
    <s v="Hollystad"/>
    <s v="christymorris@hotmail.com"/>
    <s v="551-306-6431"/>
    <d v="2025-01-27T00:00:00"/>
    <x v="1"/>
    <x v="0"/>
    <d v="2025-08-31T00:00:00"/>
    <n v="28"/>
    <n v="5174.04"/>
    <s v="Yes"/>
    <n v="3"/>
    <n v="184.79"/>
  </r>
  <r>
    <n v="954"/>
    <s v="Lisa"/>
    <s v="Obrien"/>
    <s v="Male"/>
    <n v="27"/>
    <x v="1"/>
    <s v="Kiribati"/>
    <s v="Angelastad"/>
    <s v="tapiatheresa@aguilar-juarez.biz"/>
    <s v="(992)997-8068x3537"/>
    <d v="2023-06-05T00:00:00"/>
    <x v="1"/>
    <x v="6"/>
    <d v="2025-02-16T00:00:00"/>
    <n v="20"/>
    <n v="7565.34"/>
    <s v="Yes"/>
    <n v="5"/>
    <n v="378.27"/>
  </r>
  <r>
    <n v="955"/>
    <s v="Brandi"/>
    <s v="Mathews"/>
    <s v="Female"/>
    <n v="43"/>
    <x v="0"/>
    <s v="Hong Kong"/>
    <s v="Danielstad"/>
    <s v="transamantha@rodriguez.com"/>
    <s v="(383)791-3268"/>
    <d v="2025-02-21T00:00:00"/>
    <x v="1"/>
    <x v="6"/>
    <d v="2025-02-10T00:00:00"/>
    <n v="32"/>
    <n v="9931.59"/>
    <s v="Yes"/>
    <n v="2"/>
    <n v="310.36"/>
  </r>
  <r>
    <n v="956"/>
    <s v="Ronald"/>
    <s v="Smith"/>
    <s v="Female"/>
    <n v="57"/>
    <x v="6"/>
    <s v="Guyana"/>
    <s v="Perkinsmouth"/>
    <s v="leekeith@hotmail.com"/>
    <s v="413.674.2073x5124"/>
    <d v="2025-02-02T00:00:00"/>
    <x v="1"/>
    <x v="6"/>
    <d v="2025-02-19T00:00:00"/>
    <n v="37"/>
    <n v="5033.99"/>
    <s v="Yes"/>
    <n v="2"/>
    <n v="136.05000000000001"/>
  </r>
  <r>
    <n v="957"/>
    <s v="Russell"/>
    <s v="Phillips"/>
    <s v="Female"/>
    <n v="19"/>
    <x v="1"/>
    <s v="Madagascar"/>
    <s v="New David"/>
    <s v="travisweber@hotmail.com"/>
    <s v="090-523-5801x8605"/>
    <d v="2023-02-23T00:00:00"/>
    <x v="0"/>
    <x v="3"/>
    <d v="2024-04-06T00:00:00"/>
    <n v="37"/>
    <n v="9400.09"/>
    <s v="Yes"/>
    <n v="1"/>
    <n v="254.06"/>
  </r>
  <r>
    <n v="958"/>
    <s v="Daniel"/>
    <s v="Gregory"/>
    <s v="Male"/>
    <n v="35"/>
    <x v="4"/>
    <s v="Pitcairn Islands"/>
    <s v="Anthonyton"/>
    <s v="allenbailey@blanchard-mann.biz"/>
    <s v="808.435.3732x355"/>
    <d v="2023-07-23T00:00:00"/>
    <x v="0"/>
    <x v="3"/>
    <d v="2024-04-11T00:00:00"/>
    <n v="23"/>
    <n v="4737.76"/>
    <s v="No"/>
    <n v="1"/>
    <n v="205.99"/>
  </r>
  <r>
    <n v="959"/>
    <s v="Joseph"/>
    <s v="Oconnor"/>
    <s v="Male"/>
    <n v="18"/>
    <x v="4"/>
    <s v="Mali"/>
    <s v="Deanshire"/>
    <s v="briancobb@romero-gonzalez.com"/>
    <s v="001-150-079-7048x73700"/>
    <d v="2023-11-26T00:00:00"/>
    <x v="0"/>
    <x v="7"/>
    <d v="2024-10-05T00:00:00"/>
    <n v="23"/>
    <n v="8547.7800000000007"/>
    <s v="Yes"/>
    <n v="2"/>
    <n v="371.64"/>
  </r>
  <r>
    <n v="960"/>
    <s v="Jacob"/>
    <s v="Pineda"/>
    <s v="Female"/>
    <n v="33"/>
    <x v="2"/>
    <s v="New Zealand"/>
    <s v="Bondshire"/>
    <s v="michaelmartin@yahoo.com"/>
    <s v="823-890-8734"/>
    <d v="2023-01-31T00:00:00"/>
    <x v="1"/>
    <x v="6"/>
    <d v="2025-02-20T00:00:00"/>
    <n v="10"/>
    <n v="3782.06"/>
    <s v="Yes"/>
    <n v="1"/>
    <n v="378.21"/>
  </r>
  <r>
    <n v="961"/>
    <s v="Cindy"/>
    <s v="Herrera"/>
    <s v="Male"/>
    <n v="47"/>
    <x v="1"/>
    <s v="Samoa"/>
    <s v="West Amberport"/>
    <s v="hwhite@cordova.info"/>
    <s v="5147191593"/>
    <d v="2022-12-24T00:00:00"/>
    <x v="1"/>
    <x v="1"/>
    <d v="2025-06-03T00:00:00"/>
    <n v="9"/>
    <n v="4126.42"/>
    <s v="Yes"/>
    <n v="1"/>
    <n v="458.49"/>
  </r>
  <r>
    <n v="962"/>
    <s v="Ryan"/>
    <s v="Rogers"/>
    <s v="Male"/>
    <n v="71"/>
    <x v="2"/>
    <s v="Reunion"/>
    <s v="Blankenshipshire"/>
    <s v="ichase@stout.com"/>
    <s v="883.867.4657"/>
    <d v="2024-06-25T00:00:00"/>
    <x v="1"/>
    <x v="6"/>
    <d v="2025-02-22T00:00:00"/>
    <n v="38"/>
    <n v="8846.83"/>
    <s v="Yes"/>
    <n v="1"/>
    <n v="232.81"/>
  </r>
  <r>
    <n v="963"/>
    <s v="Robin"/>
    <s v="Morales"/>
    <s v="Female"/>
    <n v="24"/>
    <x v="3"/>
    <s v="Bouvet Island (Bouvetoya)"/>
    <s v="North Nancychester"/>
    <s v="kingdavid@yahoo.com"/>
    <s v="+1-001-324-6467"/>
    <d v="2024-06-27T00:00:00"/>
    <x v="1"/>
    <x v="1"/>
    <d v="2025-06-11T00:00:00"/>
    <n v="31"/>
    <n v="6607.81"/>
    <s v="Yes"/>
    <n v="1"/>
    <n v="213.16"/>
  </r>
  <r>
    <n v="964"/>
    <s v="Jason"/>
    <s v="Fuller"/>
    <s v="Female"/>
    <n v="52"/>
    <x v="2"/>
    <s v="Egypt"/>
    <s v="West Anthonyberg"/>
    <s v="weeksmandy@barnes.com"/>
    <s v="001-834-075-3617x0534"/>
    <d v="2023-07-23T00:00:00"/>
    <x v="0"/>
    <x v="7"/>
    <d v="2024-10-17T00:00:00"/>
    <n v="7"/>
    <n v="8759.43"/>
    <s v="No"/>
    <n v="4"/>
    <n v="1251.3499999999999"/>
  </r>
  <r>
    <n v="965"/>
    <s v="Jessica"/>
    <s v="Figueroa"/>
    <s v="Male"/>
    <n v="36"/>
    <x v="0"/>
    <s v="Equatorial Guinea"/>
    <s v="Wendymouth"/>
    <s v="elizabeth94@deleon-coffey.org"/>
    <s v="(863)113-6988x232"/>
    <d v="2024-07-08T00:00:00"/>
    <x v="1"/>
    <x v="7"/>
    <d v="2025-10-23T00:00:00"/>
    <n v="12"/>
    <n v="4179.4399999999996"/>
    <s v="No"/>
    <n v="5"/>
    <n v="348.29"/>
  </r>
  <r>
    <n v="966"/>
    <s v="Benjamin"/>
    <s v="Miller"/>
    <s v="Female"/>
    <n v="39"/>
    <x v="4"/>
    <s v="Heard Island and McDonald Islands"/>
    <s v="East Jason"/>
    <s v="paigeholland@yahoo.com"/>
    <s v="001-714-946-2333"/>
    <d v="2023-09-04T00:00:00"/>
    <x v="0"/>
    <x v="3"/>
    <d v="2024-04-19T00:00:00"/>
    <n v="47"/>
    <n v="1075.78"/>
    <s v="Yes"/>
    <n v="2"/>
    <n v="22.89"/>
  </r>
  <r>
    <n v="967"/>
    <s v="Amanda"/>
    <s v="Johnson"/>
    <s v="Male"/>
    <n v="45"/>
    <x v="0"/>
    <s v="Uganda"/>
    <s v="Joshuaton"/>
    <s v="ebright@ramos.com"/>
    <s v="436.946.7676x89890"/>
    <d v="2023-08-11T00:00:00"/>
    <x v="1"/>
    <x v="4"/>
    <d v="2025-03-12T00:00:00"/>
    <n v="48"/>
    <n v="6742.69"/>
    <s v="Yes"/>
    <n v="1"/>
    <n v="140.47"/>
  </r>
  <r>
    <n v="968"/>
    <s v="Jacqueline"/>
    <s v="Fry"/>
    <s v="Female"/>
    <n v="59"/>
    <x v="4"/>
    <s v="Greenland"/>
    <s v="South Katie"/>
    <s v="fvargas@campbell.biz"/>
    <s v="(361)276-5576x490"/>
    <d v="2023-06-11T00:00:00"/>
    <x v="2"/>
    <x v="9"/>
    <d v="2023-12-23T00:00:00"/>
    <n v="15"/>
    <n v="6920.88"/>
    <s v="Yes"/>
    <n v="1"/>
    <n v="461.39"/>
  </r>
  <r>
    <n v="969"/>
    <s v="Michael"/>
    <s v="Chen"/>
    <s v="Male"/>
    <n v="55"/>
    <x v="4"/>
    <s v="Saint Lucia"/>
    <s v="Lake Karenbury"/>
    <s v="morrisaaron@valdez-hunt.com"/>
    <s v="877-208-9692x4067"/>
    <d v="2024-01-21T00:00:00"/>
    <x v="0"/>
    <x v="0"/>
    <d v="2024-08-21T00:00:00"/>
    <n v="16"/>
    <n v="2781.85"/>
    <s v="Yes"/>
    <n v="4"/>
    <n v="173.87"/>
  </r>
  <r>
    <n v="970"/>
    <s v="Jennifer"/>
    <s v="Kane"/>
    <s v="Female"/>
    <n v="66"/>
    <x v="2"/>
    <s v="South Georgia and the South Sandwich Islands"/>
    <s v="Valeriefort"/>
    <s v="jmay@hotmail.com"/>
    <s v="779-937-7333"/>
    <d v="2023-10-01T00:00:00"/>
    <x v="1"/>
    <x v="6"/>
    <d v="2025-02-06T00:00:00"/>
    <n v="39"/>
    <n v="491.77"/>
    <s v="No"/>
    <n v="1"/>
    <n v="12.61"/>
  </r>
  <r>
    <n v="971"/>
    <s v="Jose"/>
    <s v="Whitehead"/>
    <s v="Other"/>
    <n v="65"/>
    <x v="2"/>
    <s v="Guernsey"/>
    <s v="West Brookemouth"/>
    <s v="garciajustin@hotmail.com"/>
    <s v="(301)954-9662x9860"/>
    <d v="2025-01-28T00:00:00"/>
    <x v="1"/>
    <x v="2"/>
    <d v="2025-09-10T00:00:00"/>
    <n v="10"/>
    <n v="7183.36"/>
    <s v="Yes"/>
    <n v="3"/>
    <n v="718.34"/>
  </r>
  <r>
    <n v="972"/>
    <s v="Kristine"/>
    <s v="Higgins"/>
    <s v="Female"/>
    <n v="46"/>
    <x v="1"/>
    <s v="Oman"/>
    <s v="Sydneyborough"/>
    <s v="wbass@yahoo.com"/>
    <s v="+1-920-099-7882x9592"/>
    <d v="2024-07-22T00:00:00"/>
    <x v="0"/>
    <x v="5"/>
    <d v="2024-11-16T00:00:00"/>
    <n v="22"/>
    <n v="3833.92"/>
    <s v="Yes"/>
    <n v="5"/>
    <n v="174.27"/>
  </r>
  <r>
    <n v="973"/>
    <s v="Kenneth"/>
    <s v="Garrett"/>
    <s v="Female"/>
    <n v="46"/>
    <x v="5"/>
    <s v="Mozambique"/>
    <s v="New Kristina"/>
    <s v="sarasmith@yahoo.com"/>
    <s v="001-781-066-3072"/>
    <d v="2025-04-22T00:00:00"/>
    <x v="0"/>
    <x v="10"/>
    <d v="2024-05-10T00:00:00"/>
    <n v="28"/>
    <n v="3595.81"/>
    <s v="Yes"/>
    <n v="1"/>
    <n v="128.41999999999999"/>
  </r>
  <r>
    <n v="974"/>
    <s v="Jonathan"/>
    <s v="Johnson"/>
    <s v="Female"/>
    <n v="45"/>
    <x v="4"/>
    <s v="Netherlands Antilles"/>
    <s v="Floreschester"/>
    <s v="showard@mills.com"/>
    <s v="001-561-647-3214"/>
    <d v="2024-11-16T00:00:00"/>
    <x v="2"/>
    <x v="5"/>
    <d v="2023-11-11T00:00:00"/>
    <n v="34"/>
    <n v="4284.62"/>
    <s v="No"/>
    <n v="5"/>
    <n v="126.02"/>
  </r>
  <r>
    <n v="975"/>
    <s v="Virginia"/>
    <s v="Liu"/>
    <s v="Male"/>
    <n v="20"/>
    <x v="2"/>
    <s v="Bulgaria"/>
    <s v="Roberthaven"/>
    <s v="stevensglen@gmail.com"/>
    <s v="371.894.1530x7125"/>
    <d v="2023-03-13T00:00:00"/>
    <x v="0"/>
    <x v="3"/>
    <d v="2024-04-10T00:00:00"/>
    <n v="10"/>
    <n v="2182.84"/>
    <s v="No"/>
    <n v="2"/>
    <n v="218.28"/>
  </r>
  <r>
    <n v="976"/>
    <s v="David"/>
    <s v="Hebert"/>
    <s v="Female"/>
    <n v="27"/>
    <x v="4"/>
    <s v="Netherlands Antilles"/>
    <s v="Camposmouth"/>
    <s v="chadnoble@ryan-singleton.net"/>
    <s v="341-039-6221"/>
    <d v="2025-07-18T00:00:00"/>
    <x v="0"/>
    <x v="8"/>
    <d v="2024-01-11T00:00:00"/>
    <n v="16"/>
    <n v="2560.02"/>
    <s v="Yes"/>
    <n v="3"/>
    <n v="160"/>
  </r>
  <r>
    <n v="977"/>
    <s v="Michael"/>
    <s v="Alvarez"/>
    <s v="Female"/>
    <n v="74"/>
    <x v="1"/>
    <s v="Oman"/>
    <s v="New Melodyburgh"/>
    <s v="kelly29@yahoo.com"/>
    <s v="+1-691-292-0723x378"/>
    <d v="2024-03-16T00:00:00"/>
    <x v="1"/>
    <x v="7"/>
    <d v="2025-10-09T00:00:00"/>
    <n v="7"/>
    <n v="9016.0499999999993"/>
    <s v="Yes"/>
    <n v="2"/>
    <n v="1288.01"/>
  </r>
  <r>
    <n v="978"/>
    <s v="Michael"/>
    <s v="Marquez"/>
    <s v="Male"/>
    <n v="53"/>
    <x v="1"/>
    <s v="Svalbard &amp; Jan Mayen Islands"/>
    <s v="Amymouth"/>
    <s v="randylyons@rodriguez.com"/>
    <s v="(064)854-3429"/>
    <d v="2023-04-28T00:00:00"/>
    <x v="0"/>
    <x v="10"/>
    <d v="2024-05-13T00:00:00"/>
    <n v="15"/>
    <n v="8996.43"/>
    <s v="No"/>
    <n v="4"/>
    <n v="599.76"/>
  </r>
  <r>
    <n v="979"/>
    <s v="Glenda"/>
    <s v="Glass"/>
    <s v="Female"/>
    <n v="36"/>
    <x v="5"/>
    <s v="Timor-Leste"/>
    <s v="Wilsonhaven"/>
    <s v="cunninghamsteven@pearson-ryan.biz"/>
    <s v="001-385-698-0731"/>
    <d v="2024-02-23T00:00:00"/>
    <x v="1"/>
    <x v="2"/>
    <d v="2025-09-06T00:00:00"/>
    <n v="35"/>
    <n v="8578.8799999999992"/>
    <s v="No"/>
    <n v="3"/>
    <n v="245.11"/>
  </r>
  <r>
    <n v="980"/>
    <s v="Jessica"/>
    <s v="Brown"/>
    <s v="Other"/>
    <n v="59"/>
    <x v="3"/>
    <s v="Panama"/>
    <s v="Williamsonhaven"/>
    <s v="stonebrittany@yahoo.com"/>
    <s v="+1-784-996-6634x4019"/>
    <d v="2025-04-06T00:00:00"/>
    <x v="1"/>
    <x v="11"/>
    <d v="2025-07-24T00:00:00"/>
    <n v="43"/>
    <n v="1039.3699999999999"/>
    <s v="Yes"/>
    <n v="2"/>
    <n v="24.17"/>
  </r>
  <r>
    <n v="981"/>
    <s v="Julie"/>
    <s v="Lowe"/>
    <s v="Male"/>
    <n v="27"/>
    <x v="3"/>
    <s v="Bhutan"/>
    <s v="Port Juliatown"/>
    <s v="hillshannon@gmail.com"/>
    <s v="+1-186-233-5985x1677"/>
    <d v="2023-06-26T00:00:00"/>
    <x v="0"/>
    <x v="10"/>
    <d v="2024-05-21T00:00:00"/>
    <n v="45"/>
    <n v="3203.25"/>
    <s v="Yes"/>
    <n v="1"/>
    <n v="71.180000000000007"/>
  </r>
  <r>
    <n v="982"/>
    <s v="Rebecca"/>
    <s v="Ruiz"/>
    <s v="Female"/>
    <n v="33"/>
    <x v="2"/>
    <s v="Eritrea"/>
    <s v="Alexanderport"/>
    <s v="sharon37@yahoo.com"/>
    <s v="(351)370-6997x713"/>
    <d v="2024-09-10T00:00:00"/>
    <x v="1"/>
    <x v="7"/>
    <d v="2025-10-24T00:00:00"/>
    <n v="13"/>
    <n v="6477.42"/>
    <s v="No"/>
    <n v="1"/>
    <n v="498.26"/>
  </r>
  <r>
    <n v="983"/>
    <s v="Michael"/>
    <s v="Richards"/>
    <s v="Male"/>
    <n v="52"/>
    <x v="0"/>
    <s v="Suriname"/>
    <s v="Rosalesberg"/>
    <s v="whitematthew@daniels-oneal.com"/>
    <s v="(543)023-5181"/>
    <d v="2025-01-12T00:00:00"/>
    <x v="0"/>
    <x v="8"/>
    <d v="2024-01-27T00:00:00"/>
    <n v="29"/>
    <n v="1570.42"/>
    <s v="Yes"/>
    <n v="4"/>
    <n v="54.15"/>
  </r>
  <r>
    <n v="984"/>
    <s v="Angela"/>
    <s v="David"/>
    <s v="Female"/>
    <n v="74"/>
    <x v="0"/>
    <s v="Uganda"/>
    <s v="Lopezchester"/>
    <s v="ewilson@yahoo.com"/>
    <s v="(444)030-8838x1548"/>
    <d v="2024-04-03T00:00:00"/>
    <x v="0"/>
    <x v="10"/>
    <d v="2024-05-17T00:00:00"/>
    <n v="17"/>
    <n v="5847.73"/>
    <s v="No"/>
    <n v="2"/>
    <n v="343.98"/>
  </r>
  <r>
    <n v="985"/>
    <s v="Christopher"/>
    <s v="Mckinney"/>
    <s v="Male"/>
    <n v="58"/>
    <x v="0"/>
    <s v="Belarus"/>
    <s v="Carlosbury"/>
    <s v="rogersrichard@gmail.com"/>
    <s v="1336857821"/>
    <d v="2025-04-17T00:00:00"/>
    <x v="1"/>
    <x v="2"/>
    <d v="2025-09-17T00:00:00"/>
    <n v="46"/>
    <n v="1844.67"/>
    <s v="No"/>
    <n v="5"/>
    <n v="40.1"/>
  </r>
  <r>
    <n v="986"/>
    <s v="Cynthia"/>
    <s v="Shepard"/>
    <s v="Male"/>
    <n v="36"/>
    <x v="2"/>
    <s v="Eritrea"/>
    <s v="Shelbyville"/>
    <s v="carolyn80@gray.net"/>
    <s v="(690)246-5873x7289"/>
    <d v="2022-12-10T00:00:00"/>
    <x v="1"/>
    <x v="2"/>
    <d v="2025-09-15T00:00:00"/>
    <n v="45"/>
    <n v="6160.45"/>
    <s v="No"/>
    <n v="2"/>
    <n v="136.9"/>
  </r>
  <r>
    <n v="987"/>
    <s v="Pam"/>
    <s v="Wright"/>
    <s v="Female"/>
    <n v="31"/>
    <x v="0"/>
    <s v="Fiji"/>
    <s v="East Rodneyside"/>
    <s v="nicole26@hotmail.com"/>
    <s v="8525408069"/>
    <d v="2023-03-04T00:00:00"/>
    <x v="2"/>
    <x v="9"/>
    <d v="2023-12-27T00:00:00"/>
    <n v="2"/>
    <n v="553.41"/>
    <s v="Yes"/>
    <n v="2"/>
    <n v="276.7"/>
  </r>
  <r>
    <n v="988"/>
    <s v="Zachary"/>
    <s v="Moore"/>
    <s v="Male"/>
    <n v="36"/>
    <x v="2"/>
    <s v="Senegal"/>
    <s v="Diamondport"/>
    <s v="davisdebbie@sparks-gonzalez.info"/>
    <s v="405-439-9488"/>
    <d v="2023-04-23T00:00:00"/>
    <x v="0"/>
    <x v="4"/>
    <d v="2024-03-16T00:00:00"/>
    <n v="2"/>
    <n v="704.59"/>
    <s v="No"/>
    <n v="2"/>
    <n v="352.3"/>
  </r>
  <r>
    <n v="989"/>
    <s v="Megan"/>
    <s v="Hines"/>
    <s v="Female"/>
    <n v="46"/>
    <x v="1"/>
    <s v="Cuba"/>
    <s v="Lake Crystalburgh"/>
    <s v="bcarson@hamilton-cantu.com"/>
    <s v="+1-738-949-1479x9630"/>
    <d v="2024-08-16T00:00:00"/>
    <x v="1"/>
    <x v="2"/>
    <d v="2025-09-05T00:00:00"/>
    <n v="35"/>
    <n v="67.099999999999994"/>
    <s v="No"/>
    <n v="4"/>
    <n v="1.92"/>
  </r>
  <r>
    <n v="990"/>
    <s v="Bethany"/>
    <s v="Rodriguez"/>
    <s v="Male"/>
    <n v="39"/>
    <x v="5"/>
    <s v="United States of America"/>
    <s v="Joseborough"/>
    <s v="cynthiaburton@curtis.com"/>
    <s v="001-551-048-6219x841"/>
    <d v="2024-12-14T00:00:00"/>
    <x v="2"/>
    <x v="5"/>
    <d v="2023-11-03T00:00:00"/>
    <n v="2"/>
    <n v="1374.17"/>
    <s v="No"/>
    <n v="3"/>
    <n v="687.08"/>
  </r>
  <r>
    <n v="991"/>
    <s v="Karen"/>
    <s v="Gallegos"/>
    <s v="Female"/>
    <n v="41"/>
    <x v="5"/>
    <s v="Mauritius"/>
    <s v="East Justin"/>
    <s v="charlenefox@gmail.com"/>
    <s v="0784119862"/>
    <d v="2024-01-30T00:00:00"/>
    <x v="1"/>
    <x v="8"/>
    <d v="2025-01-02T00:00:00"/>
    <n v="9"/>
    <n v="3043.54"/>
    <s v="Yes"/>
    <n v="5"/>
    <n v="338.17"/>
  </r>
  <r>
    <n v="992"/>
    <s v="Kathy"/>
    <s v="Rodriguez"/>
    <s v="Male"/>
    <n v="66"/>
    <x v="5"/>
    <s v="Turkey"/>
    <s v="Jamesmouth"/>
    <s v="kim07@yahoo.com"/>
    <s v="712.303.0382"/>
    <d v="2025-09-22T00:00:00"/>
    <x v="0"/>
    <x v="0"/>
    <d v="2024-08-17T00:00:00"/>
    <n v="40"/>
    <n v="3444.39"/>
    <s v="No"/>
    <n v="5"/>
    <n v="86.11"/>
  </r>
  <r>
    <n v="993"/>
    <s v="Christian"/>
    <s v="Anthony"/>
    <s v="Female"/>
    <n v="23"/>
    <x v="1"/>
    <s v="Iceland"/>
    <s v="New Justin"/>
    <s v="jaimesharp@yahoo.com"/>
    <s v="890-150-7759x638"/>
    <d v="2023-01-14T00:00:00"/>
    <x v="0"/>
    <x v="7"/>
    <d v="2024-10-04T00:00:00"/>
    <n v="42"/>
    <n v="2096.2199999999998"/>
    <s v="Yes"/>
    <n v="1"/>
    <n v="49.91"/>
  </r>
  <r>
    <n v="994"/>
    <s v="Steven"/>
    <s v="Shaffer"/>
    <s v="Female"/>
    <n v="69"/>
    <x v="0"/>
    <s v="Philippines"/>
    <s v="South Jillmouth"/>
    <s v="johnmarsh@moran.biz"/>
    <s v="001-813-665-5372"/>
    <d v="2024-05-25T00:00:00"/>
    <x v="1"/>
    <x v="7"/>
    <d v="2025-10-20T00:00:00"/>
    <n v="29"/>
    <n v="2396.92"/>
    <s v="No"/>
    <n v="4"/>
    <n v="82.65"/>
  </r>
  <r>
    <n v="995"/>
    <s v="Ashley"/>
    <s v="Glover"/>
    <s v="Female"/>
    <n v="70"/>
    <x v="1"/>
    <s v="Korea"/>
    <s v="North Sheri"/>
    <s v="kayla12@hotmail.com"/>
    <s v="(435)001-3838"/>
    <d v="2024-06-12T00:00:00"/>
    <x v="1"/>
    <x v="10"/>
    <d v="2025-05-04T00:00:00"/>
    <n v="37"/>
    <n v="2101.33"/>
    <s v="No"/>
    <n v="5"/>
    <n v="56.79"/>
  </r>
  <r>
    <n v="996"/>
    <s v="Ryan"/>
    <s v="Roberts"/>
    <s v="Male"/>
    <n v="25"/>
    <x v="2"/>
    <s v="Cocos (Keeling) Islands"/>
    <s v="Port Jose"/>
    <s v="derrickbryan@williams.org"/>
    <s v="203.826.7494x6052"/>
    <d v="2023-09-02T00:00:00"/>
    <x v="0"/>
    <x v="1"/>
    <d v="2024-06-25T00:00:00"/>
    <n v="43"/>
    <n v="6725.06"/>
    <s v="No"/>
    <n v="3"/>
    <n v="156.4"/>
  </r>
  <r>
    <n v="997"/>
    <s v="Bryan"/>
    <s v="Davis"/>
    <s v="Female"/>
    <n v="57"/>
    <x v="1"/>
    <s v="Switzerland"/>
    <s v="Rosalesshire"/>
    <s v="brett94@yahoo.com"/>
    <s v="+1-186-516-8648x523"/>
    <d v="2024-07-13T00:00:00"/>
    <x v="1"/>
    <x v="8"/>
    <d v="2025-01-21T00:00:00"/>
    <n v="46"/>
    <n v="1314.89"/>
    <s v="Yes"/>
    <n v="1"/>
    <n v="28.58"/>
  </r>
  <r>
    <n v="998"/>
    <s v="Allen"/>
    <s v="Fields"/>
    <s v="Male"/>
    <n v="33"/>
    <x v="4"/>
    <s v="Cote d'Ivoire"/>
    <s v="Mckinneyfort"/>
    <s v="nicole59@gmail.com"/>
    <s v="001-479-092-9866x12375"/>
    <d v="2022-12-25T00:00:00"/>
    <x v="1"/>
    <x v="3"/>
    <d v="2025-04-20T00:00:00"/>
    <n v="7"/>
    <n v="693.69"/>
    <s v="Yes"/>
    <n v="1"/>
    <n v="99.1"/>
  </r>
  <r>
    <n v="999"/>
    <s v="Christine"/>
    <s v="Elliott"/>
    <s v="Male"/>
    <n v="35"/>
    <x v="2"/>
    <s v="Cayman Islands"/>
    <s v="North Katie"/>
    <s v="juliewebb@miller.org"/>
    <s v="(789)756-6386x34761"/>
    <d v="2025-05-08T00:00:00"/>
    <x v="0"/>
    <x v="2"/>
    <d v="2024-09-10T00:00:00"/>
    <n v="29"/>
    <n v="8674.27"/>
    <s v="Yes"/>
    <n v="5"/>
    <n v="299.11"/>
  </r>
  <r>
    <n v="1000"/>
    <s v="Rebecca"/>
    <s v="Wong"/>
    <s v="Male"/>
    <n v="45"/>
    <x v="4"/>
    <s v="Monaco"/>
    <s v="New Jenniferfort"/>
    <s v="lpayne@hotmail.com"/>
    <s v="001-904-515-2205x9297"/>
    <d v="2025-04-05T00:00:00"/>
    <x v="2"/>
    <x v="5"/>
    <d v="2023-11-22T00:00:00"/>
    <n v="42"/>
    <n v="8489.02"/>
    <s v="No"/>
    <n v="4"/>
    <n v="202.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855A42-5073-4FFA-A422-2816DA6F68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s">
  <location ref="D2:E10" firstHeaderRow="1" firstDataRow="1" firstDataCol="1"/>
  <pivotFields count="19">
    <pivotField showAll="0"/>
    <pivotField showAll="0"/>
    <pivotField showAll="0"/>
    <pivotField showAll="0"/>
    <pivotField showAll="0"/>
    <pivotField axis="axisRow" showAll="0">
      <items count="9">
        <item x="2"/>
        <item x="1"/>
        <item x="0"/>
        <item x="4"/>
        <item x="5"/>
        <item x="3"/>
        <item x="6"/>
        <item m="1" x="7"/>
        <item t="default"/>
      </items>
    </pivotField>
    <pivotField showAll="0"/>
    <pivotField showAll="0"/>
    <pivotField showAll="0"/>
    <pivotField showAll="0"/>
    <pivotField numFmtId="164" showAll="0"/>
    <pivotField showAll="0"/>
    <pivotField showAll="0"/>
    <pivotField numFmtId="164" showAll="0"/>
    <pivotField showAll="0"/>
    <pivotField dataField="1" numFmtId="165" showAll="0"/>
    <pivotField showAll="0"/>
    <pivotField showAll="0"/>
    <pivotField showAll="0"/>
  </pivotFields>
  <rowFields count="1">
    <field x="5"/>
  </rowFields>
  <rowItems count="8">
    <i>
      <x/>
    </i>
    <i>
      <x v="1"/>
    </i>
    <i>
      <x v="2"/>
    </i>
    <i>
      <x v="3"/>
    </i>
    <i>
      <x v="4"/>
    </i>
    <i>
      <x v="5"/>
    </i>
    <i>
      <x v="6"/>
    </i>
    <i t="grand">
      <x/>
    </i>
  </rowItems>
  <colItems count="1">
    <i/>
  </colItems>
  <dataFields count="1">
    <dataField name="Purchase" fld="15" baseField="0" baseItem="0" numFmtId="165"/>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6"/>
          </reference>
        </references>
      </pivotArea>
    </chartFormat>
    <chartFormat chart="1" format="2">
      <pivotArea type="data" outline="0" fieldPosition="0">
        <references count="2">
          <reference field="4294967294" count="1" selected="0">
            <x v="0"/>
          </reference>
          <reference field="5" count="1" selected="0">
            <x v="4"/>
          </reference>
        </references>
      </pivotArea>
    </chartFormat>
    <chartFormat chart="1" format="3">
      <pivotArea type="data" outline="0" fieldPosition="0">
        <references count="2">
          <reference field="4294967294" count="1" selected="0">
            <x v="0"/>
          </reference>
          <reference field="5" count="1" selected="0">
            <x v="3"/>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1"/>
          </reference>
        </references>
      </pivotArea>
    </chartFormat>
    <chartFormat chart="1"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BE54D-1667-4DDF-B43E-34F508A269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rowHeaderCaption="Regions">
  <location ref="A2:B10" firstHeaderRow="1" firstDataRow="1" firstDataCol="1"/>
  <pivotFields count="19">
    <pivotField showAll="0"/>
    <pivotField showAll="0"/>
    <pivotField showAll="0"/>
    <pivotField showAll="0"/>
    <pivotField showAll="0"/>
    <pivotField axis="axisRow" showAll="0">
      <items count="9">
        <item x="2"/>
        <item x="1"/>
        <item x="0"/>
        <item x="4"/>
        <item x="5"/>
        <item x="3"/>
        <item m="1" x="7"/>
        <item x="6"/>
        <item t="default"/>
      </items>
    </pivotField>
    <pivotField showAll="0"/>
    <pivotField showAll="0"/>
    <pivotField showAll="0"/>
    <pivotField showAll="0"/>
    <pivotField numFmtId="164" showAll="0"/>
    <pivotField showAll="0"/>
    <pivotField showAll="0"/>
    <pivotField numFmtId="164" showAll="0"/>
    <pivotField dataField="1" showAll="0"/>
    <pivotField numFmtId="165" showAll="0"/>
    <pivotField showAll="0"/>
    <pivotField showAll="0"/>
    <pivotField showAll="0"/>
  </pivotFields>
  <rowFields count="1">
    <field x="5"/>
  </rowFields>
  <rowItems count="8">
    <i>
      <x/>
    </i>
    <i>
      <x v="1"/>
    </i>
    <i>
      <x v="2"/>
    </i>
    <i>
      <x v="3"/>
    </i>
    <i>
      <x v="4"/>
    </i>
    <i>
      <x v="5"/>
    </i>
    <i>
      <x v="7"/>
    </i>
    <i t="grand">
      <x/>
    </i>
  </rowItems>
  <colItems count="1">
    <i/>
  </colItems>
  <dataFields count="1">
    <dataField name="Orders" fld="14" baseField="0" baseItem="0"/>
  </dataFields>
  <formats count="2">
    <format dxfId="3">
      <pivotArea collapsedLevelsAreSubtotals="1" fieldPosition="0">
        <references count="1">
          <reference field="5" count="0"/>
        </references>
      </pivotArea>
    </format>
    <format dxfId="2">
      <pivotArea grandRow="1" outline="0" collapsedLevelsAreSubtotals="1" fieldPosition="0"/>
    </format>
  </formats>
  <chartFormats count="7">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5" count="1" selected="0">
            <x v="7"/>
          </reference>
        </references>
      </pivotArea>
    </chartFormat>
    <chartFormat chart="28" format="2">
      <pivotArea type="data" outline="0" fieldPosition="0">
        <references count="2">
          <reference field="4294967294" count="1" selected="0">
            <x v="0"/>
          </reference>
          <reference field="5" count="1" selected="0">
            <x v="4"/>
          </reference>
        </references>
      </pivotArea>
    </chartFormat>
    <chartFormat chart="28" format="3">
      <pivotArea type="data" outline="0" fieldPosition="0">
        <references count="2">
          <reference field="4294967294" count="1" selected="0">
            <x v="0"/>
          </reference>
          <reference field="5" count="1" selected="0">
            <x v="3"/>
          </reference>
        </references>
      </pivotArea>
    </chartFormat>
    <chartFormat chart="28" format="4">
      <pivotArea type="data" outline="0" fieldPosition="0">
        <references count="2">
          <reference field="4294967294" count="1" selected="0">
            <x v="0"/>
          </reference>
          <reference field="5" count="1" selected="0">
            <x v="2"/>
          </reference>
        </references>
      </pivotArea>
    </chartFormat>
    <chartFormat chart="28" format="5">
      <pivotArea type="data" outline="0" fieldPosition="0">
        <references count="2">
          <reference field="4294967294" count="1" selected="0">
            <x v="0"/>
          </reference>
          <reference field="5" count="1" selected="0">
            <x v="1"/>
          </reference>
        </references>
      </pivotArea>
    </chartFormat>
    <chartFormat chart="28"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E0BE69-1527-4F11-8A16-B8E4ACDE31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Month">
  <location ref="A13:B38" firstHeaderRow="1" firstDataRow="1" firstDataCol="1"/>
  <pivotFields count="19">
    <pivotField showAll="0"/>
    <pivotField showAll="0"/>
    <pivotField showAll="0"/>
    <pivotField showAll="0"/>
    <pivotField showAll="0"/>
    <pivotField showAll="0"/>
    <pivotField showAll="0"/>
    <pivotField showAll="0"/>
    <pivotField showAll="0"/>
    <pivotField showAll="0"/>
    <pivotField numFmtId="164" showAll="0"/>
    <pivotField axis="axisRow" showAll="0">
      <items count="4">
        <item h="1" x="2"/>
        <item x="0"/>
        <item x="1"/>
        <item t="default"/>
      </items>
    </pivotField>
    <pivotField axis="axisRow" showAll="0">
      <items count="13">
        <item x="8"/>
        <item x="6"/>
        <item x="4"/>
        <item x="3"/>
        <item x="10"/>
        <item x="1"/>
        <item x="11"/>
        <item x="0"/>
        <item x="2"/>
        <item x="7"/>
        <item x="5"/>
        <item x="9"/>
        <item t="default"/>
      </items>
    </pivotField>
    <pivotField numFmtId="164" showAll="0"/>
    <pivotField dataField="1" showAll="0"/>
    <pivotField numFmtId="165" showAll="0"/>
    <pivotField showAll="0"/>
    <pivotField showAll="0"/>
    <pivotField showAll="0"/>
  </pivotFields>
  <rowFields count="2">
    <field x="11"/>
    <field x="12"/>
  </rowFields>
  <rowItems count="25">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t="grand">
      <x/>
    </i>
  </rowItems>
  <colItems count="1">
    <i/>
  </colItems>
  <dataFields count="1">
    <dataField name="Orders" fld="14" baseField="10" baseItem="0" numFmtId="166"/>
  </dataFields>
  <formats count="1">
    <format dxfId="4">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F43E9-6F18-4C82-B535-0B94F4E12C5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Regions">
  <location ref="G2:H9" firstHeaderRow="1" firstDataRow="1" firstDataCol="1"/>
  <pivotFields count="19">
    <pivotField showAll="0"/>
    <pivotField showAll="0"/>
    <pivotField showAll="0"/>
    <pivotField showAll="0"/>
    <pivotField showAll="0"/>
    <pivotField axis="axisRow" showAll="0">
      <items count="9">
        <item x="2"/>
        <item x="1"/>
        <item x="0"/>
        <item x="4"/>
        <item x="5"/>
        <item x="3"/>
        <item x="6"/>
        <item m="1" x="7"/>
        <item t="default"/>
      </items>
    </pivotField>
    <pivotField showAll="0"/>
    <pivotField showAll="0"/>
    <pivotField showAll="0"/>
    <pivotField showAll="0"/>
    <pivotField numFmtId="164" showAll="0"/>
    <pivotField showAll="0"/>
    <pivotField showAll="0"/>
    <pivotField numFmtId="164" showAll="0"/>
    <pivotField showAll="0"/>
    <pivotField numFmtId="165" showAll="0"/>
    <pivotField showAll="0"/>
    <pivotField dataField="1" showAll="0"/>
    <pivotField showAll="0"/>
  </pivotFields>
  <rowFields count="1">
    <field x="5"/>
  </rowFields>
  <rowItems count="7">
    <i>
      <x/>
    </i>
    <i>
      <x v="1"/>
    </i>
    <i>
      <x v="2"/>
    </i>
    <i>
      <x v="3"/>
    </i>
    <i>
      <x v="4"/>
    </i>
    <i>
      <x v="5"/>
    </i>
    <i>
      <x v="6"/>
    </i>
  </rowItems>
  <colItems count="1">
    <i/>
  </colItems>
  <dataFields count="1">
    <dataField name="Average Feedback Score" fld="17" subtotal="average" baseField="5" baseItem="0" numFmtId="2"/>
  </dataFields>
  <formats count="1">
    <format dxfId="5">
      <pivotArea outline="0" collapsedLevelsAreSubtotals="1" fieldPosition="0"/>
    </format>
  </formats>
  <chartFormats count="7">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5" count="1" selected="0">
            <x v="6"/>
          </reference>
        </references>
      </pivotArea>
    </chartFormat>
    <chartFormat chart="11" format="2">
      <pivotArea type="data" outline="0" fieldPosition="0">
        <references count="2">
          <reference field="4294967294" count="1" selected="0">
            <x v="0"/>
          </reference>
          <reference field="5" count="1" selected="0">
            <x v="4"/>
          </reference>
        </references>
      </pivotArea>
    </chartFormat>
    <chartFormat chart="11" format="3">
      <pivotArea type="data" outline="0" fieldPosition="0">
        <references count="2">
          <reference field="4294967294" count="1" selected="0">
            <x v="0"/>
          </reference>
          <reference field="5" count="1" selected="0">
            <x v="3"/>
          </reference>
        </references>
      </pivotArea>
    </chartFormat>
    <chartFormat chart="11" format="4">
      <pivotArea type="data" outline="0" fieldPosition="0">
        <references count="2">
          <reference field="4294967294" count="1" selected="0">
            <x v="0"/>
          </reference>
          <reference field="5" count="1" selected="0">
            <x v="2"/>
          </reference>
        </references>
      </pivotArea>
    </chartFormat>
    <chartFormat chart="11" format="5">
      <pivotArea type="data" outline="0" fieldPosition="0">
        <references count="2">
          <reference field="4294967294" count="1" selected="0">
            <x v="0"/>
          </reference>
          <reference field="5" count="1" selected="0">
            <x v="1"/>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8BD2772-362A-436E-992E-132C73BFFAD1}" sourceName="Year">
  <pivotTables>
    <pivotTable tabId="2" name="PivotTable4"/>
  </pivotTables>
  <data>
    <tabular pivotCacheId="1248585256">
      <items count="3">
        <i x="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6A8CD0F-A907-4B74-AF62-488179CF71A2}" cache="Slicer_Year" caption="Year" columnCount="3"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1FB49-59E2-4BEA-A9CB-FE1A7D954EA3}" name="Customer_Data" displayName="Customer_Data" ref="A1:S994" totalsRowShown="0" headerRowDxfId="14" headerRowBorderDxfId="13" tableBorderDxfId="12">
  <autoFilter ref="A1:S994" xr:uid="{ABE1FB49-59E2-4BEA-A9CB-FE1A7D954EA3}"/>
  <tableColumns count="19">
    <tableColumn id="1" xr3:uid="{30B1FE10-DFB5-4AAE-98C5-0F545B284699}" name="CustomerID"/>
    <tableColumn id="2" xr3:uid="{56C79E53-E555-4935-8266-E274B1749FBF}" name="FirstName"/>
    <tableColumn id="3" xr3:uid="{2EF689F1-2FCB-400F-ABEB-BA53E1820D64}" name="LastName"/>
    <tableColumn id="4" xr3:uid="{07FB66D1-D6C1-472C-B4E7-DEF0E9A03BDD}" name="Gender"/>
    <tableColumn id="5" xr3:uid="{D677435D-55CC-4A03-AB1A-54E8D0D20A36}" name="Age"/>
    <tableColumn id="18" xr3:uid="{C1E839C6-9559-49D3-A6BF-A8D8FF63463B}" name="Region" dataDxfId="11">
      <calculatedColumnFormula array="1">INDEX(Country!$B$3:$B$250, MATCH(TRUE, ISNUMBER(SEARCH(Country!$A$2:$A$509, Customer_Data[[#This Row],[Country]])),0 ))</calculatedColumnFormula>
    </tableColumn>
    <tableColumn id="6" xr3:uid="{5F4093A6-6BDA-4A44-8004-51F1590A8DD5}" name="Country"/>
    <tableColumn id="7" xr3:uid="{6204D6D5-C509-42EA-A9B3-3F860AC352DA}" name="City"/>
    <tableColumn id="8" xr3:uid="{FC3C29A5-BAEA-4A52-9368-1E7A29701697}" name="Email"/>
    <tableColumn id="9" xr3:uid="{3536261E-DD64-4A52-8ED3-517E96BCD0E3}" name="PhoneNumber"/>
    <tableColumn id="10" xr3:uid="{DE6F78F8-A9A4-47AA-9141-6260BC0EC6A9}" name="SignupDate" dataDxfId="10"/>
    <tableColumn id="17" xr3:uid="{C7433E5A-9946-49B3-B593-08F4B25281F3}" name="Year" dataDxfId="9">
      <calculatedColumnFormula>YEAR(Customer_Data[[#This Row],[LastPurchaseDate]])</calculatedColumnFormula>
    </tableColumn>
    <tableColumn id="20" xr3:uid="{A642EE5B-17DF-4ABB-8561-99113C4AED44}" name="Month" dataDxfId="8">
      <calculatedColumnFormula>MONTH(Customer_Data[[#This Row],[LastPurchaseDate]])</calculatedColumnFormula>
    </tableColumn>
    <tableColumn id="11" xr3:uid="{56FD56D3-0464-47FC-9389-C64E72E224A4}" name="LastPurchaseDate" dataDxfId="7"/>
    <tableColumn id="12" xr3:uid="{CC8C920F-0EF9-4474-B87F-828778588040}" name="TotalOrders"/>
    <tableColumn id="13" xr3:uid="{A24F467B-8C80-498A-9A5F-881418E74820}" name="TotalSpent" dataDxfId="6"/>
    <tableColumn id="14" xr3:uid="{8362029D-89DF-4B66-A745-87FDE0202F33}" name="LoyaltyMember"/>
    <tableColumn id="15" xr3:uid="{6EA131CB-41DC-4207-BCEA-FE486EDEDA7D}" name="FeedbackScore"/>
    <tableColumn id="16" xr3:uid="{C4513227-DA15-4115-BBA3-5973B5943EE3}" name="AvgOrderValue"/>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97A0-B86D-44F4-A807-6C97C69A150F}">
  <dimension ref="A1:B249"/>
  <sheetViews>
    <sheetView topLeftCell="A100" workbookViewId="0">
      <selection activeCell="A134" sqref="A134"/>
    </sheetView>
    <sheetView workbookViewId="1"/>
  </sheetViews>
  <sheetFormatPr defaultRowHeight="15" x14ac:dyDescent="0.25"/>
  <cols>
    <col min="1" max="1" width="44.7109375" customWidth="1"/>
    <col min="2" max="2" width="32.7109375" customWidth="1"/>
  </cols>
  <sheetData>
    <row r="1" spans="1:2" x14ac:dyDescent="0.25">
      <c r="A1" t="s">
        <v>5</v>
      </c>
      <c r="B1" t="s">
        <v>4055</v>
      </c>
    </row>
    <row r="2" spans="1:2" x14ac:dyDescent="0.25">
      <c r="A2" t="s">
        <v>919</v>
      </c>
      <c r="B2" t="s">
        <v>4043</v>
      </c>
    </row>
    <row r="3" spans="1:2" x14ac:dyDescent="0.25">
      <c r="A3" t="s">
        <v>973</v>
      </c>
      <c r="B3" t="s">
        <v>4045</v>
      </c>
    </row>
    <row r="4" spans="1:2" x14ac:dyDescent="0.25">
      <c r="A4" t="s">
        <v>1012</v>
      </c>
      <c r="B4" t="s">
        <v>4042</v>
      </c>
    </row>
    <row r="5" spans="1:2" x14ac:dyDescent="0.25">
      <c r="A5" t="s">
        <v>892</v>
      </c>
      <c r="B5" t="s">
        <v>4046</v>
      </c>
    </row>
    <row r="6" spans="1:2" x14ac:dyDescent="0.25">
      <c r="A6" t="s">
        <v>1046</v>
      </c>
      <c r="B6" t="s">
        <v>4045</v>
      </c>
    </row>
    <row r="7" spans="1:2" x14ac:dyDescent="0.25">
      <c r="A7" t="s">
        <v>1005</v>
      </c>
      <c r="B7" t="s">
        <v>4042</v>
      </c>
    </row>
    <row r="8" spans="1:2" x14ac:dyDescent="0.25">
      <c r="A8" t="s">
        <v>986</v>
      </c>
      <c r="B8" t="s">
        <v>4047</v>
      </c>
    </row>
    <row r="9" spans="1:2" x14ac:dyDescent="0.25">
      <c r="A9" t="s">
        <v>4056</v>
      </c>
      <c r="B9" t="s">
        <v>4056</v>
      </c>
    </row>
    <row r="10" spans="1:2" x14ac:dyDescent="0.25">
      <c r="A10" t="s">
        <v>884</v>
      </c>
      <c r="B10" t="s">
        <v>4047</v>
      </c>
    </row>
    <row r="11" spans="1:2" x14ac:dyDescent="0.25">
      <c r="A11" t="s">
        <v>1079</v>
      </c>
      <c r="B11" t="s">
        <v>4044</v>
      </c>
    </row>
    <row r="12" spans="1:2" x14ac:dyDescent="0.25">
      <c r="A12" t="s">
        <v>1076</v>
      </c>
      <c r="B12" t="s">
        <v>4043</v>
      </c>
    </row>
    <row r="13" spans="1:2" x14ac:dyDescent="0.25">
      <c r="A13" t="s">
        <v>1048</v>
      </c>
      <c r="B13" t="s">
        <v>4047</v>
      </c>
    </row>
    <row r="14" spans="1:2" x14ac:dyDescent="0.25">
      <c r="A14" t="s">
        <v>953</v>
      </c>
      <c r="B14" t="s">
        <v>4046</v>
      </c>
    </row>
    <row r="15" spans="1:2" x14ac:dyDescent="0.25">
      <c r="A15" t="s">
        <v>943</v>
      </c>
      <c r="B15" t="s">
        <v>4045</v>
      </c>
    </row>
    <row r="16" spans="1:2" x14ac:dyDescent="0.25">
      <c r="A16" t="s">
        <v>987</v>
      </c>
      <c r="B16" t="s">
        <v>4043</v>
      </c>
    </row>
    <row r="17" spans="1:2" x14ac:dyDescent="0.25">
      <c r="A17" t="s">
        <v>1071</v>
      </c>
      <c r="B17" t="s">
        <v>4047</v>
      </c>
    </row>
    <row r="18" spans="1:2" x14ac:dyDescent="0.25">
      <c r="A18" t="s">
        <v>985</v>
      </c>
      <c r="B18" t="s">
        <v>4043</v>
      </c>
    </row>
    <row r="19" spans="1:2" x14ac:dyDescent="0.25">
      <c r="A19" t="s">
        <v>947</v>
      </c>
      <c r="B19" t="s">
        <v>4043</v>
      </c>
    </row>
    <row r="20" spans="1:2" x14ac:dyDescent="0.25">
      <c r="A20" t="s">
        <v>1024</v>
      </c>
      <c r="B20" t="s">
        <v>4047</v>
      </c>
    </row>
    <row r="21" spans="1:2" x14ac:dyDescent="0.25">
      <c r="A21" t="s">
        <v>1072</v>
      </c>
      <c r="B21" t="s">
        <v>4045</v>
      </c>
    </row>
    <row r="22" spans="1:2" x14ac:dyDescent="0.25">
      <c r="A22" t="s">
        <v>1001</v>
      </c>
      <c r="B22" t="s">
        <v>4045</v>
      </c>
    </row>
    <row r="23" spans="1:2" x14ac:dyDescent="0.25">
      <c r="A23" t="s">
        <v>967</v>
      </c>
      <c r="B23" t="s">
        <v>4047</v>
      </c>
    </row>
    <row r="24" spans="1:2" x14ac:dyDescent="0.25">
      <c r="A24" t="s">
        <v>1084</v>
      </c>
      <c r="B24" t="s">
        <v>4042</v>
      </c>
    </row>
    <row r="25" spans="1:2" x14ac:dyDescent="0.25">
      <c r="A25" t="s">
        <v>902</v>
      </c>
      <c r="B25" t="s">
        <v>4047</v>
      </c>
    </row>
    <row r="26" spans="1:2" x14ac:dyDescent="0.25">
      <c r="A26" t="s">
        <v>1078</v>
      </c>
      <c r="B26" t="s">
        <v>4043</v>
      </c>
    </row>
    <row r="27" spans="1:2" x14ac:dyDescent="0.25">
      <c r="A27" t="s">
        <v>996</v>
      </c>
      <c r="B27" t="s">
        <v>4044</v>
      </c>
    </row>
    <row r="28" spans="1:2" x14ac:dyDescent="0.25">
      <c r="A28" t="s">
        <v>1014</v>
      </c>
      <c r="B28" t="s">
        <v>4045</v>
      </c>
    </row>
    <row r="29" spans="1:2" x14ac:dyDescent="0.25">
      <c r="A29" t="s">
        <v>979</v>
      </c>
      <c r="B29" t="s">
        <v>4042</v>
      </c>
    </row>
    <row r="30" spans="1:2" x14ac:dyDescent="0.25">
      <c r="A30" t="s">
        <v>4058</v>
      </c>
      <c r="B30" t="s">
        <v>4056</v>
      </c>
    </row>
    <row r="31" spans="1:2" x14ac:dyDescent="0.25">
      <c r="A31" t="s">
        <v>956</v>
      </c>
      <c r="B31" t="s">
        <v>4044</v>
      </c>
    </row>
    <row r="32" spans="1:2" x14ac:dyDescent="0.25">
      <c r="A32" t="s">
        <v>4061</v>
      </c>
      <c r="B32" t="s">
        <v>4043</v>
      </c>
    </row>
    <row r="33" spans="1:2" x14ac:dyDescent="0.25">
      <c r="A33" t="s">
        <v>963</v>
      </c>
      <c r="B33" t="s">
        <v>4047</v>
      </c>
    </row>
    <row r="34" spans="1:2" x14ac:dyDescent="0.25">
      <c r="A34" t="s">
        <v>880</v>
      </c>
      <c r="B34" t="s">
        <v>4043</v>
      </c>
    </row>
    <row r="35" spans="1:2" x14ac:dyDescent="0.25">
      <c r="A35" t="s">
        <v>867</v>
      </c>
      <c r="B35" t="s">
        <v>4045</v>
      </c>
    </row>
    <row r="36" spans="1:2" x14ac:dyDescent="0.25">
      <c r="A36" t="s">
        <v>1017</v>
      </c>
      <c r="B36" t="s">
        <v>4042</v>
      </c>
    </row>
    <row r="37" spans="1:2" x14ac:dyDescent="0.25">
      <c r="A37" t="s">
        <v>1016</v>
      </c>
      <c r="B37" t="s">
        <v>4042</v>
      </c>
    </row>
    <row r="38" spans="1:2" x14ac:dyDescent="0.25">
      <c r="A38" t="s">
        <v>909</v>
      </c>
      <c r="B38" t="s">
        <v>4042</v>
      </c>
    </row>
    <row r="39" spans="1:2" x14ac:dyDescent="0.25">
      <c r="A39" t="s">
        <v>4063</v>
      </c>
      <c r="B39" t="s">
        <v>4043</v>
      </c>
    </row>
    <row r="40" spans="1:2" x14ac:dyDescent="0.25">
      <c r="A40" t="s">
        <v>920</v>
      </c>
      <c r="B40" t="s">
        <v>4042</v>
      </c>
    </row>
    <row r="41" spans="1:2" x14ac:dyDescent="0.25">
      <c r="A41" t="s">
        <v>863</v>
      </c>
      <c r="B41" t="s">
        <v>4047</v>
      </c>
    </row>
    <row r="42" spans="1:2" x14ac:dyDescent="0.25">
      <c r="A42" t="s">
        <v>957</v>
      </c>
      <c r="B42" t="s">
        <v>4047</v>
      </c>
    </row>
    <row r="43" spans="1:2" x14ac:dyDescent="0.25">
      <c r="A43" t="s">
        <v>980</v>
      </c>
      <c r="B43" t="s">
        <v>4042</v>
      </c>
    </row>
    <row r="44" spans="1:2" x14ac:dyDescent="0.25">
      <c r="A44" t="s">
        <v>972</v>
      </c>
      <c r="B44" t="s">
        <v>4042</v>
      </c>
    </row>
    <row r="45" spans="1:2" x14ac:dyDescent="0.25">
      <c r="A45" t="s">
        <v>159</v>
      </c>
      <c r="B45" t="s">
        <v>4044</v>
      </c>
    </row>
    <row r="46" spans="1:2" x14ac:dyDescent="0.25">
      <c r="A46" t="s">
        <v>1054</v>
      </c>
      <c r="B46" t="s">
        <v>4043</v>
      </c>
    </row>
    <row r="47" spans="1:2" x14ac:dyDescent="0.25">
      <c r="A47" t="s">
        <v>1086</v>
      </c>
      <c r="B47" t="s">
        <v>4043</v>
      </c>
    </row>
    <row r="48" spans="1:2" x14ac:dyDescent="0.25">
      <c r="A48" t="s">
        <v>873</v>
      </c>
      <c r="B48" t="s">
        <v>4043</v>
      </c>
    </row>
    <row r="49" spans="1:2" x14ac:dyDescent="0.25">
      <c r="A49" t="s">
        <v>995</v>
      </c>
      <c r="B49" t="s">
        <v>4044</v>
      </c>
    </row>
    <row r="50" spans="1:2" x14ac:dyDescent="0.25">
      <c r="A50" t="s">
        <v>948</v>
      </c>
      <c r="B50" t="s">
        <v>4042</v>
      </c>
    </row>
    <row r="51" spans="1:2" x14ac:dyDescent="0.25">
      <c r="A51" t="s">
        <v>1081</v>
      </c>
      <c r="B51" t="s">
        <v>4042</v>
      </c>
    </row>
    <row r="52" spans="1:2" x14ac:dyDescent="0.25">
      <c r="A52" t="s">
        <v>976</v>
      </c>
      <c r="B52" t="s">
        <v>4046</v>
      </c>
    </row>
    <row r="53" spans="1:2" x14ac:dyDescent="0.25">
      <c r="A53" t="s">
        <v>1057</v>
      </c>
      <c r="B53" t="s">
        <v>4047</v>
      </c>
    </row>
    <row r="54" spans="1:2" x14ac:dyDescent="0.25">
      <c r="A54" t="s">
        <v>911</v>
      </c>
      <c r="B54" t="s">
        <v>4042</v>
      </c>
    </row>
    <row r="55" spans="1:2" x14ac:dyDescent="0.25">
      <c r="A55" t="s">
        <v>921</v>
      </c>
      <c r="B55" t="s">
        <v>4045</v>
      </c>
    </row>
    <row r="56" spans="1:2" x14ac:dyDescent="0.25">
      <c r="A56" t="s">
        <v>904</v>
      </c>
      <c r="B56" t="s">
        <v>4047</v>
      </c>
    </row>
    <row r="57" spans="1:2" x14ac:dyDescent="0.25">
      <c r="A57" t="s">
        <v>898</v>
      </c>
      <c r="B57" t="s">
        <v>4047</v>
      </c>
    </row>
    <row r="58" spans="1:2" x14ac:dyDescent="0.25">
      <c r="A58" t="s">
        <v>4057</v>
      </c>
      <c r="B58" t="s">
        <v>4043</v>
      </c>
    </row>
    <row r="59" spans="1:2" x14ac:dyDescent="0.25">
      <c r="A59" t="s">
        <v>1050</v>
      </c>
      <c r="B59" t="s">
        <v>4045</v>
      </c>
    </row>
    <row r="60" spans="1:2" x14ac:dyDescent="0.25">
      <c r="A60" t="s">
        <v>1030</v>
      </c>
      <c r="B60" t="s">
        <v>4042</v>
      </c>
    </row>
    <row r="61" spans="1:2" x14ac:dyDescent="0.25">
      <c r="A61" t="s">
        <v>4060</v>
      </c>
      <c r="B61" t="s">
        <v>4045</v>
      </c>
    </row>
    <row r="62" spans="1:2" x14ac:dyDescent="0.25">
      <c r="A62" t="s">
        <v>1062</v>
      </c>
      <c r="B62" t="s">
        <v>4042</v>
      </c>
    </row>
    <row r="63" spans="1:2" x14ac:dyDescent="0.25">
      <c r="A63" t="s">
        <v>991</v>
      </c>
      <c r="B63" t="s">
        <v>4047</v>
      </c>
    </row>
    <row r="64" spans="1:2" x14ac:dyDescent="0.25">
      <c r="A64" t="s">
        <v>1047</v>
      </c>
      <c r="B64" t="s">
        <v>4047</v>
      </c>
    </row>
    <row r="65" spans="1:2" x14ac:dyDescent="0.25">
      <c r="A65" t="s">
        <v>1034</v>
      </c>
      <c r="B65" t="s">
        <v>4044</v>
      </c>
    </row>
    <row r="66" spans="1:2" x14ac:dyDescent="0.25">
      <c r="A66" t="s">
        <v>1026</v>
      </c>
      <c r="B66" t="s">
        <v>4042</v>
      </c>
    </row>
    <row r="67" spans="1:2" x14ac:dyDescent="0.25">
      <c r="A67" t="s">
        <v>1008</v>
      </c>
      <c r="B67" t="s">
        <v>4047</v>
      </c>
    </row>
    <row r="68" spans="1:2" x14ac:dyDescent="0.25">
      <c r="A68" t="s">
        <v>886</v>
      </c>
      <c r="B68" t="s">
        <v>4042</v>
      </c>
    </row>
    <row r="69" spans="1:2" x14ac:dyDescent="0.25">
      <c r="A69" t="s">
        <v>965</v>
      </c>
      <c r="B69" t="s">
        <v>4042</v>
      </c>
    </row>
    <row r="70" spans="1:2" x14ac:dyDescent="0.25">
      <c r="A70" t="s">
        <v>1059</v>
      </c>
      <c r="B70" t="s">
        <v>4045</v>
      </c>
    </row>
    <row r="71" spans="1:2" x14ac:dyDescent="0.25">
      <c r="A71" t="s">
        <v>856</v>
      </c>
      <c r="B71" t="s">
        <v>4042</v>
      </c>
    </row>
    <row r="72" spans="1:2" x14ac:dyDescent="0.25">
      <c r="A72" t="s">
        <v>4054</v>
      </c>
      <c r="B72" t="s">
        <v>4042</v>
      </c>
    </row>
    <row r="73" spans="1:2" x14ac:dyDescent="0.25">
      <c r="A73" t="s">
        <v>1025</v>
      </c>
      <c r="B73" t="s">
        <v>4044</v>
      </c>
    </row>
    <row r="74" spans="1:2" x14ac:dyDescent="0.25">
      <c r="A74" t="s">
        <v>932</v>
      </c>
      <c r="B74" t="s">
        <v>4045</v>
      </c>
    </row>
    <row r="75" spans="1:2" x14ac:dyDescent="0.25">
      <c r="A75" t="s">
        <v>1087</v>
      </c>
      <c r="B75" t="s">
        <v>4046</v>
      </c>
    </row>
    <row r="76" spans="1:2" x14ac:dyDescent="0.25">
      <c r="A76" t="s">
        <v>1029</v>
      </c>
      <c r="B76" t="s">
        <v>4045</v>
      </c>
    </row>
    <row r="77" spans="1:2" x14ac:dyDescent="0.25">
      <c r="A77" t="s">
        <v>1045</v>
      </c>
      <c r="B77" t="s">
        <v>4045</v>
      </c>
    </row>
    <row r="78" spans="1:2" x14ac:dyDescent="0.25">
      <c r="A78" t="s">
        <v>916</v>
      </c>
      <c r="B78" t="s">
        <v>4044</v>
      </c>
    </row>
    <row r="79" spans="1:2" x14ac:dyDescent="0.25">
      <c r="A79" t="s">
        <v>1011</v>
      </c>
      <c r="B79" t="s">
        <v>4046</v>
      </c>
    </row>
    <row r="80" spans="1:2" x14ac:dyDescent="0.25">
      <c r="A80" t="s">
        <v>999</v>
      </c>
      <c r="B80" t="s">
        <v>4056</v>
      </c>
    </row>
    <row r="81" spans="1:2" x14ac:dyDescent="0.25">
      <c r="A81" t="s">
        <v>950</v>
      </c>
      <c r="B81" t="s">
        <v>4042</v>
      </c>
    </row>
    <row r="82" spans="1:2" x14ac:dyDescent="0.25">
      <c r="A82" t="s">
        <v>1018</v>
      </c>
      <c r="B82" t="s">
        <v>4042</v>
      </c>
    </row>
    <row r="83" spans="1:2" x14ac:dyDescent="0.25">
      <c r="A83" t="s">
        <v>912</v>
      </c>
      <c r="B83" t="s">
        <v>4043</v>
      </c>
    </row>
    <row r="84" spans="1:2" x14ac:dyDescent="0.25">
      <c r="A84" t="s">
        <v>1037</v>
      </c>
      <c r="B84" t="s">
        <v>4045</v>
      </c>
    </row>
    <row r="85" spans="1:2" x14ac:dyDescent="0.25">
      <c r="A85" t="s">
        <v>899</v>
      </c>
      <c r="B85" t="s">
        <v>4042</v>
      </c>
    </row>
    <row r="86" spans="1:2" x14ac:dyDescent="0.25">
      <c r="A86" t="s">
        <v>859</v>
      </c>
      <c r="B86" t="s">
        <v>4045</v>
      </c>
    </row>
    <row r="87" spans="1:2" x14ac:dyDescent="0.25">
      <c r="A87" t="s">
        <v>954</v>
      </c>
      <c r="B87" t="s">
        <v>4045</v>
      </c>
    </row>
    <row r="88" spans="1:2" x14ac:dyDescent="0.25">
      <c r="A88" t="s">
        <v>878</v>
      </c>
      <c r="B88" t="s">
        <v>4047</v>
      </c>
    </row>
    <row r="89" spans="1:2" x14ac:dyDescent="0.25">
      <c r="A89" t="s">
        <v>969</v>
      </c>
      <c r="B89" t="s">
        <v>4047</v>
      </c>
    </row>
    <row r="90" spans="1:2" x14ac:dyDescent="0.25">
      <c r="A90" t="s">
        <v>862</v>
      </c>
      <c r="B90" t="s">
        <v>4047</v>
      </c>
    </row>
    <row r="91" spans="1:2" x14ac:dyDescent="0.25">
      <c r="A91" t="s">
        <v>1027</v>
      </c>
      <c r="B91" t="s">
        <v>4046</v>
      </c>
    </row>
    <row r="92" spans="1:2" x14ac:dyDescent="0.25">
      <c r="A92" t="s">
        <v>1063</v>
      </c>
      <c r="B92" t="s">
        <v>4047</v>
      </c>
    </row>
    <row r="93" spans="1:2" x14ac:dyDescent="0.25">
      <c r="A93" t="s">
        <v>887</v>
      </c>
      <c r="B93" t="s">
        <v>4045</v>
      </c>
    </row>
    <row r="94" spans="1:2" x14ac:dyDescent="0.25">
      <c r="A94" t="s">
        <v>944</v>
      </c>
      <c r="B94" t="s">
        <v>4042</v>
      </c>
    </row>
    <row r="95" spans="1:2" x14ac:dyDescent="0.25">
      <c r="A95" t="s">
        <v>974</v>
      </c>
      <c r="B95" t="s">
        <v>4042</v>
      </c>
    </row>
    <row r="96" spans="1:2" x14ac:dyDescent="0.25">
      <c r="A96" t="s">
        <v>858</v>
      </c>
      <c r="B96" t="s">
        <v>4044</v>
      </c>
    </row>
    <row r="97" spans="1:2" x14ac:dyDescent="0.25">
      <c r="A97" t="s">
        <v>1077</v>
      </c>
      <c r="B97" t="s">
        <v>4047</v>
      </c>
    </row>
    <row r="98" spans="1:2" x14ac:dyDescent="0.25">
      <c r="A98" t="s">
        <v>960</v>
      </c>
      <c r="B98" t="s">
        <v>4056</v>
      </c>
    </row>
    <row r="99" spans="1:2" x14ac:dyDescent="0.25">
      <c r="A99" t="s">
        <v>993</v>
      </c>
      <c r="B99" t="s">
        <v>4045</v>
      </c>
    </row>
    <row r="100" spans="1:2" x14ac:dyDescent="0.25">
      <c r="A100" t="s">
        <v>888</v>
      </c>
      <c r="B100" t="s">
        <v>4047</v>
      </c>
    </row>
    <row r="101" spans="1:2" x14ac:dyDescent="0.25">
      <c r="A101" t="s">
        <v>1055</v>
      </c>
      <c r="B101" t="s">
        <v>4043</v>
      </c>
    </row>
    <row r="102" spans="1:2" x14ac:dyDescent="0.25">
      <c r="A102" t="s">
        <v>1023</v>
      </c>
      <c r="B102" t="s">
        <v>4045</v>
      </c>
    </row>
    <row r="103" spans="1:2" x14ac:dyDescent="0.25">
      <c r="A103" t="s">
        <v>4053</v>
      </c>
      <c r="B103" t="s">
        <v>4045</v>
      </c>
    </row>
    <row r="104" spans="1:2" x14ac:dyDescent="0.25">
      <c r="A104" t="s">
        <v>1003</v>
      </c>
      <c r="B104" t="s">
        <v>4043</v>
      </c>
    </row>
    <row r="105" spans="1:2" x14ac:dyDescent="0.25">
      <c r="A105" t="s">
        <v>939</v>
      </c>
      <c r="B105" t="s">
        <v>4043</v>
      </c>
    </row>
    <row r="106" spans="1:2" x14ac:dyDescent="0.25">
      <c r="A106" t="s">
        <v>1080</v>
      </c>
      <c r="B106" t="s">
        <v>4043</v>
      </c>
    </row>
    <row r="107" spans="1:2" x14ac:dyDescent="0.25">
      <c r="A107" t="s">
        <v>982</v>
      </c>
      <c r="B107" t="s">
        <v>4043</v>
      </c>
    </row>
    <row r="108" spans="1:2" x14ac:dyDescent="0.25">
      <c r="A108" t="s">
        <v>879</v>
      </c>
      <c r="B108" t="s">
        <v>4045</v>
      </c>
    </row>
    <row r="109" spans="1:2" x14ac:dyDescent="0.25">
      <c r="A109" t="s">
        <v>1033</v>
      </c>
      <c r="B109" t="s">
        <v>4045</v>
      </c>
    </row>
    <row r="110" spans="1:2" x14ac:dyDescent="0.25">
      <c r="A110" t="s">
        <v>1032</v>
      </c>
      <c r="B110" t="s">
        <v>4043</v>
      </c>
    </row>
    <row r="111" spans="1:2" x14ac:dyDescent="0.25">
      <c r="A111" t="s">
        <v>928</v>
      </c>
      <c r="B111" t="s">
        <v>4045</v>
      </c>
    </row>
    <row r="112" spans="1:2" x14ac:dyDescent="0.25">
      <c r="A112" t="s">
        <v>913</v>
      </c>
      <c r="B112" t="s">
        <v>4047</v>
      </c>
    </row>
    <row r="113" spans="1:2" x14ac:dyDescent="0.25">
      <c r="A113" t="s">
        <v>923</v>
      </c>
      <c r="B113" t="s">
        <v>4043</v>
      </c>
    </row>
    <row r="114" spans="1:2" x14ac:dyDescent="0.25">
      <c r="A114" t="s">
        <v>1066</v>
      </c>
      <c r="B114" t="s">
        <v>4045</v>
      </c>
    </row>
    <row r="115" spans="1:2" x14ac:dyDescent="0.25">
      <c r="A115" t="s">
        <v>861</v>
      </c>
      <c r="B115" t="s">
        <v>4043</v>
      </c>
    </row>
    <row r="116" spans="1:2" x14ac:dyDescent="0.25">
      <c r="A116" t="s">
        <v>81</v>
      </c>
      <c r="B116" t="s">
        <v>4043</v>
      </c>
    </row>
    <row r="117" spans="1:2" x14ac:dyDescent="0.25">
      <c r="A117" t="s">
        <v>1044</v>
      </c>
      <c r="B117" t="s">
        <v>4042</v>
      </c>
    </row>
    <row r="118" spans="1:2" x14ac:dyDescent="0.25">
      <c r="A118" t="s">
        <v>1075</v>
      </c>
      <c r="B118" t="s">
        <v>4046</v>
      </c>
    </row>
    <row r="119" spans="1:2" x14ac:dyDescent="0.25">
      <c r="A119" t="s">
        <v>975</v>
      </c>
      <c r="B119" t="s">
        <v>4043</v>
      </c>
    </row>
    <row r="120" spans="1:2" x14ac:dyDescent="0.25">
      <c r="A120" t="s">
        <v>893</v>
      </c>
      <c r="B120" t="s">
        <v>4043</v>
      </c>
    </row>
    <row r="121" spans="1:2" x14ac:dyDescent="0.25">
      <c r="A121" t="s">
        <v>959</v>
      </c>
      <c r="B121" t="s">
        <v>4043</v>
      </c>
    </row>
    <row r="122" spans="1:2" x14ac:dyDescent="0.25">
      <c r="A122" t="s">
        <v>929</v>
      </c>
      <c r="B122" t="s">
        <v>4043</v>
      </c>
    </row>
    <row r="123" spans="1:2" x14ac:dyDescent="0.25">
      <c r="A123" t="s">
        <v>994</v>
      </c>
      <c r="B123" t="s">
        <v>4045</v>
      </c>
    </row>
    <row r="124" spans="1:2" x14ac:dyDescent="0.25">
      <c r="A124" t="s">
        <v>1056</v>
      </c>
      <c r="B124" t="s">
        <v>4043</v>
      </c>
    </row>
    <row r="125" spans="1:2" x14ac:dyDescent="0.25">
      <c r="A125" t="s">
        <v>868</v>
      </c>
      <c r="B125" t="s">
        <v>4042</v>
      </c>
    </row>
    <row r="126" spans="1:2" x14ac:dyDescent="0.25">
      <c r="A126" t="s">
        <v>907</v>
      </c>
      <c r="B126" t="s">
        <v>4042</v>
      </c>
    </row>
    <row r="127" spans="1:2" x14ac:dyDescent="0.25">
      <c r="A127" t="s">
        <v>853</v>
      </c>
      <c r="B127" t="s">
        <v>4042</v>
      </c>
    </row>
    <row r="128" spans="1:2" x14ac:dyDescent="0.25">
      <c r="A128" t="s">
        <v>922</v>
      </c>
      <c r="B128" t="s">
        <v>4045</v>
      </c>
    </row>
    <row r="129" spans="1:2" x14ac:dyDescent="0.25">
      <c r="A129" t="s">
        <v>1064</v>
      </c>
      <c r="B129" t="s">
        <v>4045</v>
      </c>
    </row>
    <row r="130" spans="1:2" x14ac:dyDescent="0.25">
      <c r="A130" t="s">
        <v>970</v>
      </c>
      <c r="B130" t="s">
        <v>4045</v>
      </c>
    </row>
    <row r="131" spans="1:2" x14ac:dyDescent="0.25">
      <c r="A131" t="s">
        <v>1074</v>
      </c>
      <c r="B131" t="s">
        <v>4043</v>
      </c>
    </row>
    <row r="132" spans="1:2" x14ac:dyDescent="0.25">
      <c r="A132" t="s">
        <v>1031</v>
      </c>
      <c r="B132" t="s">
        <v>4042</v>
      </c>
    </row>
    <row r="133" spans="1:2" x14ac:dyDescent="0.25">
      <c r="A133" t="s">
        <v>1040</v>
      </c>
      <c r="B133" t="s">
        <v>4045</v>
      </c>
    </row>
    <row r="134" spans="1:2" x14ac:dyDescent="0.25">
      <c r="A134" t="s">
        <v>937</v>
      </c>
      <c r="B134" t="s">
        <v>4043</v>
      </c>
    </row>
    <row r="135" spans="1:2" x14ac:dyDescent="0.25">
      <c r="A135" t="s">
        <v>1020</v>
      </c>
      <c r="B135" t="s">
        <v>4043</v>
      </c>
    </row>
    <row r="136" spans="1:2" x14ac:dyDescent="0.25">
      <c r="A136" t="s">
        <v>989</v>
      </c>
      <c r="B136" t="s">
        <v>4042</v>
      </c>
    </row>
    <row r="137" spans="1:2" x14ac:dyDescent="0.25">
      <c r="A137" t="s">
        <v>1041</v>
      </c>
      <c r="B137" t="s">
        <v>4045</v>
      </c>
    </row>
    <row r="138" spans="1:2" x14ac:dyDescent="0.25">
      <c r="A138" t="s">
        <v>872</v>
      </c>
      <c r="B138" t="s">
        <v>4046</v>
      </c>
    </row>
    <row r="139" spans="1:2" x14ac:dyDescent="0.25">
      <c r="A139" t="s">
        <v>908</v>
      </c>
      <c r="B139" t="s">
        <v>4047</v>
      </c>
    </row>
    <row r="140" spans="1:2" x14ac:dyDescent="0.25">
      <c r="A140" t="s">
        <v>1083</v>
      </c>
      <c r="B140" t="s">
        <v>4042</v>
      </c>
    </row>
    <row r="141" spans="1:2" x14ac:dyDescent="0.25">
      <c r="A141" t="s">
        <v>952</v>
      </c>
      <c r="B141" t="s">
        <v>4042</v>
      </c>
    </row>
    <row r="142" spans="1:2" x14ac:dyDescent="0.25">
      <c r="A142" t="s">
        <v>964</v>
      </c>
      <c r="B142" t="s">
        <v>4042</v>
      </c>
    </row>
    <row r="143" spans="1:2" x14ac:dyDescent="0.25">
      <c r="A143" t="s">
        <v>930</v>
      </c>
      <c r="B143" t="s">
        <v>4047</v>
      </c>
    </row>
    <row r="144" spans="1:2" x14ac:dyDescent="0.25">
      <c r="A144" t="s">
        <v>971</v>
      </c>
      <c r="B144" t="s">
        <v>4046</v>
      </c>
    </row>
    <row r="145" spans="1:2" x14ac:dyDescent="0.25">
      <c r="A145" t="s">
        <v>1060</v>
      </c>
      <c r="B145" t="s">
        <v>4045</v>
      </c>
    </row>
    <row r="146" spans="1:2" x14ac:dyDescent="0.25">
      <c r="A146" t="s">
        <v>968</v>
      </c>
      <c r="B146" t="s">
        <v>4045</v>
      </c>
    </row>
    <row r="147" spans="1:2" x14ac:dyDescent="0.25">
      <c r="A147" t="s">
        <v>998</v>
      </c>
      <c r="B147" t="s">
        <v>4043</v>
      </c>
    </row>
    <row r="148" spans="1:2" x14ac:dyDescent="0.25">
      <c r="A148" t="s">
        <v>906</v>
      </c>
      <c r="B148" t="s">
        <v>4045</v>
      </c>
    </row>
    <row r="149" spans="1:2" x14ac:dyDescent="0.25">
      <c r="A149" t="s">
        <v>933</v>
      </c>
      <c r="B149" t="s">
        <v>4047</v>
      </c>
    </row>
    <row r="150" spans="1:2" x14ac:dyDescent="0.25">
      <c r="A150" t="s">
        <v>877</v>
      </c>
      <c r="B150" t="s">
        <v>4042</v>
      </c>
    </row>
    <row r="151" spans="1:2" x14ac:dyDescent="0.25">
      <c r="A151" t="s">
        <v>997</v>
      </c>
      <c r="B151" t="s">
        <v>4042</v>
      </c>
    </row>
    <row r="152" spans="1:2" x14ac:dyDescent="0.25">
      <c r="A152" t="s">
        <v>1061</v>
      </c>
      <c r="B152" t="s">
        <v>4043</v>
      </c>
    </row>
    <row r="153" spans="1:2" x14ac:dyDescent="0.25">
      <c r="A153" t="s">
        <v>1035</v>
      </c>
      <c r="B153" t="s">
        <v>4042</v>
      </c>
    </row>
    <row r="154" spans="1:2" x14ac:dyDescent="0.25">
      <c r="A154" t="s">
        <v>874</v>
      </c>
      <c r="B154" t="s">
        <v>4046</v>
      </c>
    </row>
    <row r="155" spans="1:2" x14ac:dyDescent="0.25">
      <c r="A155" t="s">
        <v>1038</v>
      </c>
      <c r="B155" t="s">
        <v>4043</v>
      </c>
    </row>
    <row r="156" spans="1:2" x14ac:dyDescent="0.25">
      <c r="A156" t="s">
        <v>926</v>
      </c>
      <c r="B156" t="s">
        <v>4045</v>
      </c>
    </row>
    <row r="157" spans="1:2" x14ac:dyDescent="0.25">
      <c r="A157" t="s">
        <v>1042</v>
      </c>
      <c r="B157" t="s">
        <v>4046</v>
      </c>
    </row>
    <row r="158" spans="1:2" x14ac:dyDescent="0.25">
      <c r="A158" t="s">
        <v>1004</v>
      </c>
      <c r="B158" t="s">
        <v>4046</v>
      </c>
    </row>
    <row r="159" spans="1:2" x14ac:dyDescent="0.25">
      <c r="A159" t="s">
        <v>1043</v>
      </c>
      <c r="B159" t="s">
        <v>4047</v>
      </c>
    </row>
    <row r="160" spans="1:2" x14ac:dyDescent="0.25">
      <c r="A160" t="s">
        <v>1085</v>
      </c>
      <c r="B160" t="s">
        <v>4042</v>
      </c>
    </row>
    <row r="161" spans="1:2" x14ac:dyDescent="0.25">
      <c r="A161" t="s">
        <v>869</v>
      </c>
      <c r="B161" t="s">
        <v>4042</v>
      </c>
    </row>
    <row r="162" spans="1:2" x14ac:dyDescent="0.25">
      <c r="A162" t="s">
        <v>936</v>
      </c>
      <c r="B162" t="s">
        <v>4046</v>
      </c>
    </row>
    <row r="163" spans="1:2" x14ac:dyDescent="0.25">
      <c r="A163" t="s">
        <v>918</v>
      </c>
      <c r="B163" t="s">
        <v>4046</v>
      </c>
    </row>
    <row r="164" spans="1:2" x14ac:dyDescent="0.25">
      <c r="A164" t="s">
        <v>1039</v>
      </c>
      <c r="B164" t="s">
        <v>4045</v>
      </c>
    </row>
    <row r="165" spans="1:2" x14ac:dyDescent="0.25">
      <c r="A165" t="s">
        <v>940</v>
      </c>
      <c r="B165" t="s">
        <v>4046</v>
      </c>
    </row>
    <row r="166" spans="1:2" x14ac:dyDescent="0.25">
      <c r="A166" t="s">
        <v>4052</v>
      </c>
      <c r="B166" t="s">
        <v>4045</v>
      </c>
    </row>
    <row r="167" spans="1:2" x14ac:dyDescent="0.25">
      <c r="A167" t="s">
        <v>1070</v>
      </c>
      <c r="B167" t="s">
        <v>4043</v>
      </c>
    </row>
    <row r="168" spans="1:2" x14ac:dyDescent="0.25">
      <c r="A168" t="s">
        <v>983</v>
      </c>
      <c r="B168" t="s">
        <v>4043</v>
      </c>
    </row>
    <row r="169" spans="1:2" x14ac:dyDescent="0.25">
      <c r="A169" t="s">
        <v>905</v>
      </c>
      <c r="B169" t="s">
        <v>4046</v>
      </c>
    </row>
    <row r="170" spans="1:2" x14ac:dyDescent="0.25">
      <c r="A170" t="s">
        <v>931</v>
      </c>
      <c r="B170" t="s">
        <v>4043</v>
      </c>
    </row>
    <row r="171" spans="1:2" x14ac:dyDescent="0.25">
      <c r="A171" t="s">
        <v>903</v>
      </c>
      <c r="B171" t="s">
        <v>4047</v>
      </c>
    </row>
    <row r="172" spans="1:2" x14ac:dyDescent="0.25">
      <c r="A172" t="s">
        <v>1019</v>
      </c>
      <c r="B172" t="s">
        <v>4046</v>
      </c>
    </row>
    <row r="173" spans="1:2" x14ac:dyDescent="0.25">
      <c r="A173" t="s">
        <v>958</v>
      </c>
      <c r="B173" t="s">
        <v>4044</v>
      </c>
    </row>
    <row r="174" spans="1:2" x14ac:dyDescent="0.25">
      <c r="A174" t="s">
        <v>891</v>
      </c>
      <c r="B174" t="s">
        <v>4044</v>
      </c>
    </row>
    <row r="175" spans="1:2" x14ac:dyDescent="0.25">
      <c r="A175" t="s">
        <v>4051</v>
      </c>
      <c r="B175" t="s">
        <v>4043</v>
      </c>
    </row>
    <row r="176" spans="1:2" x14ac:dyDescent="0.25">
      <c r="A176" t="s">
        <v>935</v>
      </c>
      <c r="B176" t="s">
        <v>4046</v>
      </c>
    </row>
    <row r="177" spans="1:2" x14ac:dyDescent="0.25">
      <c r="A177" t="s">
        <v>914</v>
      </c>
      <c r="B177" t="s">
        <v>4045</v>
      </c>
    </row>
    <row r="178" spans="1:2" x14ac:dyDescent="0.25">
      <c r="A178" t="s">
        <v>938</v>
      </c>
      <c r="B178" t="s">
        <v>4045</v>
      </c>
    </row>
    <row r="179" spans="1:2" x14ac:dyDescent="0.25">
      <c r="A179" t="s">
        <v>925</v>
      </c>
      <c r="B179" t="s">
        <v>4047</v>
      </c>
    </row>
    <row r="180" spans="1:2" x14ac:dyDescent="0.25">
      <c r="A180" t="s">
        <v>945</v>
      </c>
      <c r="B180" t="s">
        <v>4043</v>
      </c>
    </row>
    <row r="181" spans="1:2" x14ac:dyDescent="0.25">
      <c r="A181" t="s">
        <v>946</v>
      </c>
      <c r="B181" t="s">
        <v>4042</v>
      </c>
    </row>
    <row r="182" spans="1:2" x14ac:dyDescent="0.25">
      <c r="A182" t="s">
        <v>981</v>
      </c>
      <c r="B182" t="s">
        <v>4045</v>
      </c>
    </row>
    <row r="183" spans="1:2" x14ac:dyDescent="0.25">
      <c r="A183" t="s">
        <v>881</v>
      </c>
      <c r="B183" t="s">
        <v>4045</v>
      </c>
    </row>
    <row r="184" spans="1:2" x14ac:dyDescent="0.25">
      <c r="A184" t="s">
        <v>895</v>
      </c>
      <c r="B184" t="s">
        <v>4042</v>
      </c>
    </row>
    <row r="185" spans="1:2" x14ac:dyDescent="0.25">
      <c r="A185" t="s">
        <v>966</v>
      </c>
      <c r="B185" t="s">
        <v>4047</v>
      </c>
    </row>
    <row r="186" spans="1:2" x14ac:dyDescent="0.25">
      <c r="A186" t="s">
        <v>870</v>
      </c>
      <c r="B186" t="s">
        <v>4042</v>
      </c>
    </row>
    <row r="187" spans="1:2" x14ac:dyDescent="0.25">
      <c r="A187" t="s">
        <v>910</v>
      </c>
      <c r="B187" t="s">
        <v>4047</v>
      </c>
    </row>
    <row r="188" spans="1:2" x14ac:dyDescent="0.25">
      <c r="A188" t="s">
        <v>901</v>
      </c>
      <c r="B188" t="s">
        <v>4047</v>
      </c>
    </row>
    <row r="189" spans="1:2" x14ac:dyDescent="0.25">
      <c r="A189" t="s">
        <v>889</v>
      </c>
      <c r="B189" t="s">
        <v>4047</v>
      </c>
    </row>
    <row r="190" spans="1:2" x14ac:dyDescent="0.25">
      <c r="A190" t="s">
        <v>1073</v>
      </c>
      <c r="B190" t="s">
        <v>4047</v>
      </c>
    </row>
    <row r="191" spans="1:2" x14ac:dyDescent="0.25">
      <c r="A191" t="s">
        <v>897</v>
      </c>
      <c r="B191" t="s">
        <v>4047</v>
      </c>
    </row>
    <row r="192" spans="1:2" x14ac:dyDescent="0.25">
      <c r="A192" t="s">
        <v>896</v>
      </c>
      <c r="B192" t="s">
        <v>4046</v>
      </c>
    </row>
    <row r="193" spans="1:2" x14ac:dyDescent="0.25">
      <c r="A193" t="s">
        <v>941</v>
      </c>
      <c r="B193" t="s">
        <v>4045</v>
      </c>
    </row>
    <row r="194" spans="1:2" x14ac:dyDescent="0.25">
      <c r="A194" t="s">
        <v>924</v>
      </c>
      <c r="B194" t="s">
        <v>4042</v>
      </c>
    </row>
    <row r="195" spans="1:2" x14ac:dyDescent="0.25">
      <c r="A195" t="s">
        <v>900</v>
      </c>
      <c r="B195" t="s">
        <v>4043</v>
      </c>
    </row>
    <row r="196" spans="1:2" x14ac:dyDescent="0.25">
      <c r="A196" t="s">
        <v>1065</v>
      </c>
      <c r="B196" t="s">
        <v>4042</v>
      </c>
    </row>
    <row r="197" spans="1:2" x14ac:dyDescent="0.25">
      <c r="A197" t="s">
        <v>1009</v>
      </c>
      <c r="B197" t="s">
        <v>4045</v>
      </c>
    </row>
    <row r="198" spans="1:2" x14ac:dyDescent="0.25">
      <c r="A198" t="s">
        <v>857</v>
      </c>
      <c r="B198" t="s">
        <v>4042</v>
      </c>
    </row>
    <row r="199" spans="1:2" x14ac:dyDescent="0.25">
      <c r="A199" t="s">
        <v>894</v>
      </c>
      <c r="B199" t="s">
        <v>4042</v>
      </c>
    </row>
    <row r="200" spans="1:2" x14ac:dyDescent="0.25">
      <c r="A200" t="s">
        <v>1006</v>
      </c>
      <c r="B200" t="s">
        <v>4043</v>
      </c>
    </row>
    <row r="201" spans="1:2" x14ac:dyDescent="0.25">
      <c r="A201" t="s">
        <v>1022</v>
      </c>
      <c r="B201" t="s">
        <v>4047</v>
      </c>
    </row>
    <row r="202" spans="1:2" x14ac:dyDescent="0.25">
      <c r="A202" t="s">
        <v>4050</v>
      </c>
      <c r="B202" t="s">
        <v>4045</v>
      </c>
    </row>
    <row r="203" spans="1:2" x14ac:dyDescent="0.25">
      <c r="A203" t="s">
        <v>4062</v>
      </c>
      <c r="B203" t="s">
        <v>4045</v>
      </c>
    </row>
    <row r="204" spans="1:2" x14ac:dyDescent="0.25">
      <c r="A204" t="s">
        <v>962</v>
      </c>
      <c r="B204" t="s">
        <v>4046</v>
      </c>
    </row>
    <row r="205" spans="1:2" x14ac:dyDescent="0.25">
      <c r="A205" t="s">
        <v>984</v>
      </c>
      <c r="B205" t="s">
        <v>4042</v>
      </c>
    </row>
    <row r="206" spans="1:2" x14ac:dyDescent="0.25">
      <c r="A206" t="s">
        <v>1052</v>
      </c>
      <c r="B206" t="s">
        <v>4042</v>
      </c>
    </row>
    <row r="207" spans="1:2" x14ac:dyDescent="0.25">
      <c r="A207" t="s">
        <v>864</v>
      </c>
      <c r="B207" t="s">
        <v>4056</v>
      </c>
    </row>
    <row r="208" spans="1:2" x14ac:dyDescent="0.25">
      <c r="A208" t="s">
        <v>1082</v>
      </c>
      <c r="B208" t="s">
        <v>4042</v>
      </c>
    </row>
    <row r="209" spans="1:2" x14ac:dyDescent="0.25">
      <c r="A209" t="s">
        <v>1069</v>
      </c>
      <c r="B209" t="s">
        <v>4045</v>
      </c>
    </row>
    <row r="210" spans="1:2" x14ac:dyDescent="0.25">
      <c r="A210" t="s">
        <v>4049</v>
      </c>
      <c r="B210" t="s">
        <v>4043</v>
      </c>
    </row>
    <row r="211" spans="1:2" x14ac:dyDescent="0.25">
      <c r="A211" t="s">
        <v>885</v>
      </c>
      <c r="B211" t="s">
        <v>4042</v>
      </c>
    </row>
    <row r="212" spans="1:2" x14ac:dyDescent="0.25">
      <c r="A212" t="s">
        <v>871</v>
      </c>
      <c r="B212" t="s">
        <v>4044</v>
      </c>
    </row>
    <row r="213" spans="1:2" x14ac:dyDescent="0.25">
      <c r="A213" t="s">
        <v>1058</v>
      </c>
      <c r="B213" t="s">
        <v>4045</v>
      </c>
    </row>
    <row r="214" spans="1:2" x14ac:dyDescent="0.25">
      <c r="A214" t="s">
        <v>951</v>
      </c>
      <c r="B214" t="s">
        <v>4045</v>
      </c>
    </row>
    <row r="215" spans="1:2" x14ac:dyDescent="0.25">
      <c r="A215" t="s">
        <v>915</v>
      </c>
      <c r="B215" t="s">
        <v>4045</v>
      </c>
    </row>
    <row r="216" spans="1:2" x14ac:dyDescent="0.25">
      <c r="A216" t="s">
        <v>942</v>
      </c>
      <c r="B216" t="s">
        <v>4043</v>
      </c>
    </row>
    <row r="217" spans="1:2" x14ac:dyDescent="0.25">
      <c r="A217" t="s">
        <v>1067</v>
      </c>
      <c r="B217" t="s">
        <v>4043</v>
      </c>
    </row>
    <row r="218" spans="1:2" x14ac:dyDescent="0.25">
      <c r="A218" t="s">
        <v>977</v>
      </c>
      <c r="B218" t="s">
        <v>4043</v>
      </c>
    </row>
    <row r="219" spans="1:2" x14ac:dyDescent="0.25">
      <c r="A219" t="s">
        <v>865</v>
      </c>
      <c r="B219" t="s">
        <v>4042</v>
      </c>
    </row>
    <row r="220" spans="1:2" x14ac:dyDescent="0.25">
      <c r="A220" t="s">
        <v>1007</v>
      </c>
      <c r="B220" t="s">
        <v>4043</v>
      </c>
    </row>
    <row r="221" spans="1:2" x14ac:dyDescent="0.25">
      <c r="A221" t="s">
        <v>978</v>
      </c>
      <c r="B221" t="s">
        <v>4043</v>
      </c>
    </row>
    <row r="222" spans="1:2" x14ac:dyDescent="0.25">
      <c r="A222" t="s">
        <v>883</v>
      </c>
      <c r="B222" t="s">
        <v>4042</v>
      </c>
    </row>
    <row r="223" spans="1:2" x14ac:dyDescent="0.25">
      <c r="A223" t="s">
        <v>882</v>
      </c>
      <c r="B223" t="s">
        <v>4046</v>
      </c>
    </row>
    <row r="224" spans="1:2" x14ac:dyDescent="0.25">
      <c r="A224" t="s">
        <v>1021</v>
      </c>
      <c r="B224" t="s">
        <v>4046</v>
      </c>
    </row>
    <row r="225" spans="1:2" x14ac:dyDescent="0.25">
      <c r="A225" t="s">
        <v>1068</v>
      </c>
      <c r="B225" t="s">
        <v>4047</v>
      </c>
    </row>
    <row r="226" spans="1:2" x14ac:dyDescent="0.25">
      <c r="A226" t="s">
        <v>1049</v>
      </c>
      <c r="B226" t="s">
        <v>4042</v>
      </c>
    </row>
    <row r="227" spans="1:2" x14ac:dyDescent="0.25">
      <c r="A227" t="s">
        <v>876</v>
      </c>
      <c r="B227" t="s">
        <v>4043</v>
      </c>
    </row>
    <row r="228" spans="1:2" x14ac:dyDescent="0.25">
      <c r="A228" t="s">
        <v>992</v>
      </c>
      <c r="B228" t="s">
        <v>4043</v>
      </c>
    </row>
    <row r="229" spans="1:2" x14ac:dyDescent="0.25">
      <c r="A229" t="s">
        <v>961</v>
      </c>
      <c r="B229" t="s">
        <v>4047</v>
      </c>
    </row>
    <row r="230" spans="1:2" x14ac:dyDescent="0.25">
      <c r="A230" t="s">
        <v>955</v>
      </c>
      <c r="B230" t="s">
        <v>4046</v>
      </c>
    </row>
    <row r="231" spans="1:2" x14ac:dyDescent="0.25">
      <c r="A231" t="s">
        <v>927</v>
      </c>
      <c r="B231" t="s">
        <v>4042</v>
      </c>
    </row>
    <row r="232" spans="1:2" x14ac:dyDescent="0.25">
      <c r="A232" t="s">
        <v>1002</v>
      </c>
      <c r="B232" t="s">
        <v>4045</v>
      </c>
    </row>
    <row r="233" spans="1:2" x14ac:dyDescent="0.25">
      <c r="A233" t="s">
        <v>855</v>
      </c>
      <c r="B233" t="s">
        <v>4043</v>
      </c>
    </row>
    <row r="234" spans="1:2" x14ac:dyDescent="0.25">
      <c r="A234" t="s">
        <v>917</v>
      </c>
      <c r="B234" t="s">
        <v>4045</v>
      </c>
    </row>
    <row r="235" spans="1:2" x14ac:dyDescent="0.25">
      <c r="A235" t="s">
        <v>875</v>
      </c>
      <c r="B235" t="s">
        <v>4046</v>
      </c>
    </row>
    <row r="236" spans="1:2" x14ac:dyDescent="0.25">
      <c r="A236" t="s">
        <v>988</v>
      </c>
      <c r="B236" t="s">
        <v>4047</v>
      </c>
    </row>
    <row r="237" spans="1:2" x14ac:dyDescent="0.25">
      <c r="A237" t="s">
        <v>1051</v>
      </c>
      <c r="B237" t="s">
        <v>4044</v>
      </c>
    </row>
    <row r="238" spans="1:2" x14ac:dyDescent="0.25">
      <c r="A238" t="s">
        <v>4048</v>
      </c>
      <c r="B238" t="s">
        <v>4043</v>
      </c>
    </row>
    <row r="239" spans="1:2" x14ac:dyDescent="0.25">
      <c r="A239" t="s">
        <v>949</v>
      </c>
      <c r="B239" t="s">
        <v>4046</v>
      </c>
    </row>
    <row r="240" spans="1:2" x14ac:dyDescent="0.25">
      <c r="A240" t="s">
        <v>1036</v>
      </c>
      <c r="B240" t="s">
        <v>4044</v>
      </c>
    </row>
    <row r="241" spans="1:2" x14ac:dyDescent="0.25">
      <c r="A241" t="s">
        <v>854</v>
      </c>
      <c r="B241" t="s">
        <v>4042</v>
      </c>
    </row>
    <row r="242" spans="1:2" x14ac:dyDescent="0.25">
      <c r="A242" t="s">
        <v>1015</v>
      </c>
      <c r="B242" t="s">
        <v>4043</v>
      </c>
    </row>
    <row r="243" spans="1:2" x14ac:dyDescent="0.25">
      <c r="A243" t="s">
        <v>1013</v>
      </c>
      <c r="B243" t="s">
        <v>4046</v>
      </c>
    </row>
    <row r="244" spans="1:2" x14ac:dyDescent="0.25">
      <c r="A244" t="s">
        <v>1053</v>
      </c>
      <c r="B244" t="s">
        <v>4042</v>
      </c>
    </row>
    <row r="245" spans="1:2" x14ac:dyDescent="0.25">
      <c r="A245" t="s">
        <v>890</v>
      </c>
      <c r="B245" t="s">
        <v>4043</v>
      </c>
    </row>
    <row r="246" spans="1:2" x14ac:dyDescent="0.25">
      <c r="A246" t="s">
        <v>4059</v>
      </c>
      <c r="B246" t="s">
        <v>4042</v>
      </c>
    </row>
    <row r="247" spans="1:2" x14ac:dyDescent="0.25">
      <c r="A247" t="s">
        <v>1010</v>
      </c>
      <c r="B247" t="s">
        <v>4042</v>
      </c>
    </row>
    <row r="248" spans="1:2" x14ac:dyDescent="0.25">
      <c r="A248" t="s">
        <v>1000</v>
      </c>
      <c r="B248" t="s">
        <v>4042</v>
      </c>
    </row>
    <row r="249" spans="1:2" x14ac:dyDescent="0.25">
      <c r="A249" t="s">
        <v>1013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4"/>
  <sheetViews>
    <sheetView zoomScale="55" zoomScaleNormal="55" workbookViewId="0">
      <selection activeCell="M2" sqref="M2"/>
    </sheetView>
    <sheetView workbookViewId="1"/>
  </sheetViews>
  <sheetFormatPr defaultRowHeight="15" x14ac:dyDescent="0.25"/>
  <cols>
    <col min="1" max="1" width="21.140625" bestFit="1" customWidth="1"/>
    <col min="2" max="3" width="19.5703125" bestFit="1" customWidth="1"/>
    <col min="4" max="4" width="16.7109375" bestFit="1" customWidth="1"/>
    <col min="5" max="5" width="12.85546875" bestFit="1" customWidth="1"/>
    <col min="6" max="6" width="50.28515625" bestFit="1" customWidth="1"/>
    <col min="7" max="7" width="34.28515625" customWidth="1"/>
    <col min="8" max="8" width="42.5703125" bestFit="1" customWidth="1"/>
    <col min="9" max="9" width="27.7109375" bestFit="1" customWidth="1"/>
    <col min="10" max="10" width="21.5703125" bestFit="1" customWidth="1"/>
    <col min="11" max="11" width="29.7109375" bestFit="1" customWidth="1"/>
    <col min="12" max="12" width="21.5703125" style="7" bestFit="1" customWidth="1"/>
    <col min="13" max="13" width="20.7109375" style="4" bestFit="1" customWidth="1"/>
    <col min="14" max="14" width="25.42578125" bestFit="1" customWidth="1"/>
    <col min="15" max="15" width="26.42578125" bestFit="1" customWidth="1"/>
    <col min="16" max="16" width="25.7109375" bestFit="1" customWidth="1"/>
  </cols>
  <sheetData>
    <row r="1" spans="1:19" x14ac:dyDescent="0.25">
      <c r="A1" s="2" t="s">
        <v>0</v>
      </c>
      <c r="B1" s="2" t="s">
        <v>1</v>
      </c>
      <c r="C1" s="2" t="s">
        <v>2</v>
      </c>
      <c r="D1" s="2" t="s">
        <v>3</v>
      </c>
      <c r="E1" s="2" t="s">
        <v>4</v>
      </c>
      <c r="F1" s="2" t="s">
        <v>4041</v>
      </c>
      <c r="G1" s="2" t="s">
        <v>5</v>
      </c>
      <c r="H1" s="2" t="s">
        <v>6</v>
      </c>
      <c r="I1" s="2" t="s">
        <v>7</v>
      </c>
      <c r="J1" s="2" t="s">
        <v>8</v>
      </c>
      <c r="K1" s="2" t="s">
        <v>9</v>
      </c>
      <c r="L1" s="2" t="s">
        <v>4038</v>
      </c>
      <c r="M1" s="2" t="s">
        <v>4064</v>
      </c>
      <c r="N1" s="8" t="s">
        <v>10</v>
      </c>
      <c r="O1" s="2" t="s">
        <v>11</v>
      </c>
      <c r="P1" s="3" t="s">
        <v>12</v>
      </c>
      <c r="Q1" s="2" t="s">
        <v>13</v>
      </c>
      <c r="R1" s="2" t="s">
        <v>14</v>
      </c>
      <c r="S1" s="2" t="s">
        <v>15</v>
      </c>
    </row>
    <row r="2" spans="1:19" x14ac:dyDescent="0.25">
      <c r="A2">
        <v>1</v>
      </c>
      <c r="B2" t="s">
        <v>16</v>
      </c>
      <c r="C2" t="s">
        <v>371</v>
      </c>
      <c r="D2" t="s">
        <v>850</v>
      </c>
      <c r="E2">
        <v>30</v>
      </c>
      <c r="F2" t="str" cm="1">
        <f t="array" ref="F2">INDEX(Country!$B$3:$B$250, MATCH(TRUE, ISNUMBER(SEARCH(Country!$A$2:$A$509, Customer_Data[[#This Row],[Country]])),0 ))</f>
        <v>Europe</v>
      </c>
      <c r="G2" t="s">
        <v>853</v>
      </c>
      <c r="H2" t="s">
        <v>1089</v>
      </c>
      <c r="I2" t="s">
        <v>2049</v>
      </c>
      <c r="J2" t="s">
        <v>3041</v>
      </c>
      <c r="K2" s="1">
        <v>45576</v>
      </c>
      <c r="L2">
        <f>YEAR(Customer_Data[[#This Row],[LastPurchaseDate]])</f>
        <v>2024</v>
      </c>
      <c r="M2">
        <f>MONTH(Customer_Data[[#This Row],[LastPurchaseDate]])</f>
        <v>8</v>
      </c>
      <c r="N2" s="7">
        <v>45535</v>
      </c>
      <c r="O2">
        <v>49</v>
      </c>
      <c r="P2" s="4">
        <v>8710.89</v>
      </c>
      <c r="Q2" t="s">
        <v>4034</v>
      </c>
      <c r="R2">
        <v>2</v>
      </c>
      <c r="S2">
        <v>177.77</v>
      </c>
    </row>
    <row r="3" spans="1:19" x14ac:dyDescent="0.25">
      <c r="A3">
        <v>2</v>
      </c>
      <c r="B3" t="s">
        <v>17</v>
      </c>
      <c r="C3" t="s">
        <v>372</v>
      </c>
      <c r="D3" t="s">
        <v>850</v>
      </c>
      <c r="E3">
        <v>33</v>
      </c>
      <c r="F3" t="str" cm="1">
        <f t="array" ref="F3">INDEX(Country!$B$3:$B$250, MATCH(TRUE, ISNUMBER(SEARCH(Country!$A$2:$A$509, Customer_Data[[#This Row],[Country]])),0 ))</f>
        <v>Asia</v>
      </c>
      <c r="G3" t="s">
        <v>854</v>
      </c>
      <c r="H3" t="s">
        <v>1090</v>
      </c>
      <c r="I3" t="s">
        <v>2050</v>
      </c>
      <c r="J3" t="s">
        <v>3042</v>
      </c>
      <c r="K3" s="1">
        <v>44924</v>
      </c>
      <c r="L3">
        <f>YEAR(Customer_Data[[#This Row],[LastPurchaseDate]])</f>
        <v>2025</v>
      </c>
      <c r="M3">
        <f>MONTH(Customer_Data[[#This Row],[LastPurchaseDate]])</f>
        <v>8</v>
      </c>
      <c r="N3" s="7">
        <v>45899</v>
      </c>
      <c r="O3">
        <v>15</v>
      </c>
      <c r="P3" s="4">
        <v>9312.9699999999993</v>
      </c>
      <c r="Q3" t="s">
        <v>4034</v>
      </c>
      <c r="R3">
        <v>4</v>
      </c>
      <c r="S3">
        <v>620.86</v>
      </c>
    </row>
    <row r="4" spans="1:19" x14ac:dyDescent="0.25">
      <c r="A4">
        <v>3</v>
      </c>
      <c r="B4" t="s">
        <v>18</v>
      </c>
      <c r="C4" t="s">
        <v>373</v>
      </c>
      <c r="D4" t="s">
        <v>851</v>
      </c>
      <c r="E4">
        <v>30</v>
      </c>
      <c r="F4" t="str" cm="1">
        <f t="array" ref="F4">INDEX(Country!$B$3:$B$250, MATCH(TRUE, ISNUMBER(SEARCH(Country!$A$2:$A$509, Customer_Data[[#This Row],[Country]])),0 ))</f>
        <v>Europe</v>
      </c>
      <c r="G4" t="s">
        <v>855</v>
      </c>
      <c r="H4" t="s">
        <v>1091</v>
      </c>
      <c r="I4" t="s">
        <v>2051</v>
      </c>
      <c r="J4" t="s">
        <v>3043</v>
      </c>
      <c r="K4" s="1">
        <v>45513</v>
      </c>
      <c r="L4">
        <f>YEAR(Customer_Data[[#This Row],[LastPurchaseDate]])</f>
        <v>2025</v>
      </c>
      <c r="M4">
        <f>MONTH(Customer_Data[[#This Row],[LastPurchaseDate]])</f>
        <v>6</v>
      </c>
      <c r="N4" s="7">
        <v>45809</v>
      </c>
      <c r="O4">
        <v>28</v>
      </c>
      <c r="P4" s="4">
        <v>5963.46</v>
      </c>
      <c r="Q4" t="s">
        <v>4035</v>
      </c>
      <c r="R4">
        <v>5</v>
      </c>
      <c r="S4">
        <v>212.98</v>
      </c>
    </row>
    <row r="5" spans="1:19" x14ac:dyDescent="0.25">
      <c r="A5">
        <v>4</v>
      </c>
      <c r="B5" t="s">
        <v>19</v>
      </c>
      <c r="C5" t="s">
        <v>374</v>
      </c>
      <c r="D5" t="s">
        <v>851</v>
      </c>
      <c r="E5">
        <v>70</v>
      </c>
      <c r="F5" t="str" cm="1">
        <f t="array" ref="F5">INDEX(Country!$B$3:$B$250, MATCH(TRUE, ISNUMBER(SEARCH(Country!$A$2:$A$509, Customer_Data[[#This Row],[Country]])),0 ))</f>
        <v>Africa</v>
      </c>
      <c r="G5" t="s">
        <v>856</v>
      </c>
      <c r="H5" t="s">
        <v>1092</v>
      </c>
      <c r="I5" t="s">
        <v>2052</v>
      </c>
      <c r="J5" t="s">
        <v>3044</v>
      </c>
      <c r="K5" s="1">
        <v>45348</v>
      </c>
      <c r="L5">
        <f>YEAR(Customer_Data[[#This Row],[LastPurchaseDate]])</f>
        <v>2025</v>
      </c>
      <c r="M5">
        <f>MONTH(Customer_Data[[#This Row],[LastPurchaseDate]])</f>
        <v>9</v>
      </c>
      <c r="N5" s="7">
        <v>45916</v>
      </c>
      <c r="O5">
        <v>39</v>
      </c>
      <c r="P5" s="4">
        <v>5477.23</v>
      </c>
      <c r="Q5" t="s">
        <v>4034</v>
      </c>
      <c r="R5">
        <v>3</v>
      </c>
      <c r="S5">
        <v>140.44</v>
      </c>
    </row>
    <row r="6" spans="1:19" x14ac:dyDescent="0.25">
      <c r="A6">
        <v>5</v>
      </c>
      <c r="B6" t="s">
        <v>20</v>
      </c>
      <c r="C6" t="s">
        <v>375</v>
      </c>
      <c r="D6" t="s">
        <v>851</v>
      </c>
      <c r="E6">
        <v>63</v>
      </c>
      <c r="F6" t="str" cm="1">
        <f t="array" ref="F6">INDEX(Country!$B$3:$B$250, MATCH(TRUE, ISNUMBER(SEARCH(Country!$A$2:$A$509, Customer_Data[[#This Row],[Country]])),0 ))</f>
        <v>Africa</v>
      </c>
      <c r="G6" t="s">
        <v>857</v>
      </c>
      <c r="H6" t="s">
        <v>1093</v>
      </c>
      <c r="I6" t="s">
        <v>2053</v>
      </c>
      <c r="J6" t="s">
        <v>3045</v>
      </c>
      <c r="K6" s="1">
        <v>45890</v>
      </c>
      <c r="L6">
        <f>YEAR(Customer_Data[[#This Row],[LastPurchaseDate]])</f>
        <v>2025</v>
      </c>
      <c r="M6">
        <f>MONTH(Customer_Data[[#This Row],[LastPurchaseDate]])</f>
        <v>4</v>
      </c>
      <c r="N6" s="7">
        <v>45767</v>
      </c>
      <c r="O6">
        <v>38</v>
      </c>
      <c r="P6" s="4">
        <v>8668.41</v>
      </c>
      <c r="Q6" t="s">
        <v>4034</v>
      </c>
      <c r="R6">
        <v>5</v>
      </c>
      <c r="S6">
        <v>228.12</v>
      </c>
    </row>
    <row r="7" spans="1:19" x14ac:dyDescent="0.25">
      <c r="A7">
        <v>6</v>
      </c>
      <c r="B7" t="s">
        <v>21</v>
      </c>
      <c r="C7" t="s">
        <v>376</v>
      </c>
      <c r="D7" t="s">
        <v>851</v>
      </c>
      <c r="E7">
        <v>53</v>
      </c>
      <c r="F7" t="str" cm="1">
        <f t="array" ref="F7">INDEX(Country!$B$3:$B$250, MATCH(TRUE, ISNUMBER(SEARCH(Country!$A$2:$A$509, Customer_Data[[#This Row],[Country]])),0 ))</f>
        <v>South America</v>
      </c>
      <c r="G7" t="s">
        <v>858</v>
      </c>
      <c r="H7" t="s">
        <v>1094</v>
      </c>
      <c r="I7" t="s">
        <v>2054</v>
      </c>
      <c r="J7" t="s">
        <v>3046</v>
      </c>
      <c r="K7" s="1">
        <v>45226</v>
      </c>
      <c r="L7">
        <f>YEAR(Customer_Data[[#This Row],[LastPurchaseDate]])</f>
        <v>2025</v>
      </c>
      <c r="M7">
        <f>MONTH(Customer_Data[[#This Row],[LastPurchaseDate]])</f>
        <v>3</v>
      </c>
      <c r="N7" s="7">
        <v>45729</v>
      </c>
      <c r="O7">
        <v>4</v>
      </c>
      <c r="P7" s="4">
        <v>1627.85</v>
      </c>
      <c r="Q7" t="s">
        <v>4035</v>
      </c>
      <c r="R7">
        <v>1</v>
      </c>
      <c r="S7">
        <v>406.96</v>
      </c>
    </row>
    <row r="8" spans="1:19" x14ac:dyDescent="0.25">
      <c r="A8">
        <v>7</v>
      </c>
      <c r="B8" t="s">
        <v>22</v>
      </c>
      <c r="C8" t="s">
        <v>251</v>
      </c>
      <c r="D8" t="s">
        <v>851</v>
      </c>
      <c r="E8">
        <v>36</v>
      </c>
      <c r="F8" t="str" cm="1">
        <f t="array" ref="F8">INDEX(Country!$B$3:$B$250, MATCH(TRUE, ISNUMBER(SEARCH(Country!$A$2:$A$509, Customer_Data[[#This Row],[Country]])),0 ))</f>
        <v>Europe</v>
      </c>
      <c r="G8" t="s">
        <v>859</v>
      </c>
      <c r="H8" t="s">
        <v>1095</v>
      </c>
      <c r="I8" t="s">
        <v>2055</v>
      </c>
      <c r="J8" t="s">
        <v>3047</v>
      </c>
      <c r="K8" s="1">
        <v>45882</v>
      </c>
      <c r="L8">
        <f>YEAR(Customer_Data[[#This Row],[LastPurchaseDate]])</f>
        <v>2023</v>
      </c>
      <c r="M8">
        <f>MONTH(Customer_Data[[#This Row],[LastPurchaseDate]])</f>
        <v>11</v>
      </c>
      <c r="N8" s="7">
        <v>45232</v>
      </c>
      <c r="O8">
        <v>18</v>
      </c>
      <c r="P8" s="4">
        <v>1536.51</v>
      </c>
      <c r="Q8" t="s">
        <v>4034</v>
      </c>
      <c r="R8">
        <v>1</v>
      </c>
      <c r="S8">
        <v>85.36</v>
      </c>
    </row>
    <row r="9" spans="1:19" x14ac:dyDescent="0.25">
      <c r="A9">
        <v>8</v>
      </c>
      <c r="B9" t="s">
        <v>23</v>
      </c>
      <c r="C9" t="s">
        <v>377</v>
      </c>
      <c r="D9" t="s">
        <v>851</v>
      </c>
      <c r="E9">
        <v>56</v>
      </c>
      <c r="F9" t="str" cm="1">
        <f t="array" ref="F9">INDEX(Country!$B$3:$B$250, MATCH(TRUE, ISNUMBER(SEARCH(Country!$A$2:$A$509, Customer_Data[[#This Row],[Country]])),0 ))</f>
        <v>North America</v>
      </c>
      <c r="G9" t="s">
        <v>860</v>
      </c>
      <c r="H9" t="s">
        <v>1096</v>
      </c>
      <c r="I9" t="s">
        <v>2056</v>
      </c>
      <c r="J9" t="s">
        <v>3048</v>
      </c>
      <c r="K9" s="1">
        <v>45107</v>
      </c>
      <c r="L9">
        <f>YEAR(Customer_Data[[#This Row],[LastPurchaseDate]])</f>
        <v>2025</v>
      </c>
      <c r="M9">
        <f>MONTH(Customer_Data[[#This Row],[LastPurchaseDate]])</f>
        <v>3</v>
      </c>
      <c r="N9" s="7">
        <v>45739</v>
      </c>
      <c r="O9">
        <v>15</v>
      </c>
      <c r="P9" s="4">
        <v>7083.1</v>
      </c>
      <c r="Q9" t="s">
        <v>4035</v>
      </c>
      <c r="R9">
        <v>4</v>
      </c>
      <c r="S9">
        <v>472.21</v>
      </c>
    </row>
    <row r="10" spans="1:19" x14ac:dyDescent="0.25">
      <c r="A10">
        <v>9</v>
      </c>
      <c r="B10" t="s">
        <v>24</v>
      </c>
      <c r="C10" t="s">
        <v>378</v>
      </c>
      <c r="D10" t="s">
        <v>851</v>
      </c>
      <c r="E10">
        <v>46</v>
      </c>
      <c r="F10" t="str" cm="1">
        <f t="array" ref="F10">INDEX(Country!$B$3:$B$250, MATCH(TRUE, ISNUMBER(SEARCH(Country!$A$2:$A$509, Customer_Data[[#This Row],[Country]])),0 ))</f>
        <v>Asia</v>
      </c>
      <c r="G10" t="s">
        <v>159</v>
      </c>
      <c r="H10" t="s">
        <v>1097</v>
      </c>
      <c r="I10" t="s">
        <v>2057</v>
      </c>
      <c r="J10" t="s">
        <v>3049</v>
      </c>
      <c r="K10" s="1">
        <v>45310</v>
      </c>
      <c r="L10">
        <f>YEAR(Customer_Data[[#This Row],[LastPurchaseDate]])</f>
        <v>2024</v>
      </c>
      <c r="M10">
        <f>MONTH(Customer_Data[[#This Row],[LastPurchaseDate]])</f>
        <v>2</v>
      </c>
      <c r="N10" s="7">
        <v>45329</v>
      </c>
      <c r="O10">
        <v>45</v>
      </c>
      <c r="P10" s="4">
        <v>4779.59</v>
      </c>
      <c r="Q10" t="s">
        <v>4035</v>
      </c>
      <c r="R10">
        <v>4</v>
      </c>
      <c r="S10">
        <v>106.21</v>
      </c>
    </row>
    <row r="11" spans="1:19" x14ac:dyDescent="0.25">
      <c r="A11">
        <v>10</v>
      </c>
      <c r="B11" t="s">
        <v>25</v>
      </c>
      <c r="C11" t="s">
        <v>379</v>
      </c>
      <c r="D11" t="s">
        <v>851</v>
      </c>
      <c r="E11">
        <v>44</v>
      </c>
      <c r="F11" t="str" cm="1">
        <f t="array" ref="F11">INDEX(Country!$B$3:$B$250, MATCH(TRUE, ISNUMBER(SEARCH(Country!$A$2:$A$509, Customer_Data[[#This Row],[Country]])),0 ))</f>
        <v>Asia</v>
      </c>
      <c r="G11" t="s">
        <v>861</v>
      </c>
      <c r="H11" t="s">
        <v>1098</v>
      </c>
      <c r="I11" t="s">
        <v>2058</v>
      </c>
      <c r="J11" t="s">
        <v>3050</v>
      </c>
      <c r="K11" s="1">
        <v>45505</v>
      </c>
      <c r="L11">
        <f>YEAR(Customer_Data[[#This Row],[LastPurchaseDate]])</f>
        <v>2024</v>
      </c>
      <c r="M11">
        <f>MONTH(Customer_Data[[#This Row],[LastPurchaseDate]])</f>
        <v>11</v>
      </c>
      <c r="N11" s="7">
        <v>45625</v>
      </c>
      <c r="O11">
        <v>23</v>
      </c>
      <c r="P11" s="4">
        <v>6270.48</v>
      </c>
      <c r="Q11" t="s">
        <v>4034</v>
      </c>
      <c r="R11">
        <v>5</v>
      </c>
      <c r="S11">
        <v>272.63</v>
      </c>
    </row>
    <row r="12" spans="1:19" x14ac:dyDescent="0.25">
      <c r="A12">
        <v>11</v>
      </c>
      <c r="B12" t="s">
        <v>26</v>
      </c>
      <c r="C12" t="s">
        <v>380</v>
      </c>
      <c r="D12" t="s">
        <v>850</v>
      </c>
      <c r="E12">
        <v>60</v>
      </c>
      <c r="F12" t="str" cm="1">
        <f t="array" ref="F12">INDEX(Country!$B$3:$B$250, MATCH(TRUE, ISNUMBER(SEARCH(Country!$A$2:$A$509, Customer_Data[[#This Row],[Country]])),0 ))</f>
        <v>Europe</v>
      </c>
      <c r="G12" t="s">
        <v>859</v>
      </c>
      <c r="H12" t="s">
        <v>1099</v>
      </c>
      <c r="I12" t="s">
        <v>2059</v>
      </c>
      <c r="J12" t="s">
        <v>3051</v>
      </c>
      <c r="K12" s="1">
        <v>45061</v>
      </c>
      <c r="L12">
        <f>YEAR(Customer_Data[[#This Row],[LastPurchaseDate]])</f>
        <v>2024</v>
      </c>
      <c r="M12">
        <f>MONTH(Customer_Data[[#This Row],[LastPurchaseDate]])</f>
        <v>10</v>
      </c>
      <c r="N12" s="7">
        <v>45566</v>
      </c>
      <c r="O12">
        <v>34</v>
      </c>
      <c r="P12" s="4">
        <v>6371.82</v>
      </c>
      <c r="Q12" t="s">
        <v>4035</v>
      </c>
      <c r="R12">
        <v>1</v>
      </c>
      <c r="S12">
        <v>187.41</v>
      </c>
    </row>
    <row r="13" spans="1:19" x14ac:dyDescent="0.25">
      <c r="A13">
        <v>12</v>
      </c>
      <c r="B13" t="s">
        <v>27</v>
      </c>
      <c r="C13" t="s">
        <v>381</v>
      </c>
      <c r="D13" t="s">
        <v>851</v>
      </c>
      <c r="E13">
        <v>47</v>
      </c>
      <c r="F13" t="str" cm="1">
        <f t="array" ref="F13">INDEX(Country!$B$3:$B$250, MATCH(TRUE, ISNUMBER(SEARCH(Country!$A$2:$A$509, Customer_Data[[#This Row],[Country]])),0 ))</f>
        <v>Oceania</v>
      </c>
      <c r="G13" t="s">
        <v>862</v>
      </c>
      <c r="H13" t="s">
        <v>1100</v>
      </c>
      <c r="I13" t="s">
        <v>2060</v>
      </c>
      <c r="J13" t="s">
        <v>3052</v>
      </c>
      <c r="K13" s="1">
        <v>45410</v>
      </c>
      <c r="L13">
        <f>YEAR(Customer_Data[[#This Row],[LastPurchaseDate]])</f>
        <v>2025</v>
      </c>
      <c r="M13">
        <f>MONTH(Customer_Data[[#This Row],[LastPurchaseDate]])</f>
        <v>1</v>
      </c>
      <c r="N13" s="7">
        <v>45688</v>
      </c>
      <c r="O13">
        <v>41</v>
      </c>
      <c r="P13" s="4">
        <v>5230.54</v>
      </c>
      <c r="Q13" t="s">
        <v>4035</v>
      </c>
      <c r="R13">
        <v>3</v>
      </c>
      <c r="S13">
        <v>127.57</v>
      </c>
    </row>
    <row r="14" spans="1:19" x14ac:dyDescent="0.25">
      <c r="A14">
        <v>13</v>
      </c>
      <c r="B14" t="s">
        <v>28</v>
      </c>
      <c r="C14" t="s">
        <v>379</v>
      </c>
      <c r="D14" t="s">
        <v>851</v>
      </c>
      <c r="E14">
        <v>43</v>
      </c>
      <c r="F14" t="str" cm="1">
        <f t="array" ref="F14">INDEX(Country!$B$3:$B$250, MATCH(TRUE, ISNUMBER(SEARCH(Country!$A$2:$A$509, Customer_Data[[#This Row],[Country]])),0 ))</f>
        <v>North America</v>
      </c>
      <c r="G14" t="s">
        <v>863</v>
      </c>
      <c r="H14" t="s">
        <v>1101</v>
      </c>
      <c r="I14" t="s">
        <v>2061</v>
      </c>
      <c r="J14" t="s">
        <v>3053</v>
      </c>
      <c r="K14" s="1">
        <v>45079</v>
      </c>
      <c r="L14">
        <f>YEAR(Customer_Data[[#This Row],[LastPurchaseDate]])</f>
        <v>2023</v>
      </c>
      <c r="M14">
        <f>MONTH(Customer_Data[[#This Row],[LastPurchaseDate]])</f>
        <v>11</v>
      </c>
      <c r="N14" s="7">
        <v>45232</v>
      </c>
      <c r="O14">
        <v>18</v>
      </c>
      <c r="P14" s="4">
        <v>4120.24</v>
      </c>
      <c r="Q14" t="s">
        <v>4035</v>
      </c>
      <c r="R14">
        <v>4</v>
      </c>
      <c r="S14">
        <v>228.9</v>
      </c>
    </row>
    <row r="15" spans="1:19" x14ac:dyDescent="0.25">
      <c r="A15">
        <v>14</v>
      </c>
      <c r="B15" t="s">
        <v>29</v>
      </c>
      <c r="C15" t="s">
        <v>382</v>
      </c>
      <c r="D15" t="s">
        <v>852</v>
      </c>
      <c r="E15">
        <v>36</v>
      </c>
      <c r="F15" t="str" cm="1">
        <f t="array" ref="F15">INDEX(Country!$B$3:$B$250, MATCH(TRUE, ISNUMBER(SEARCH(Country!$A$2:$A$509, Customer_Data[[#This Row],[Country]])),0 ))</f>
        <v>North America</v>
      </c>
      <c r="G15" t="s">
        <v>864</v>
      </c>
      <c r="H15" t="s">
        <v>1102</v>
      </c>
      <c r="I15" t="s">
        <v>2062</v>
      </c>
      <c r="J15" t="s">
        <v>3054</v>
      </c>
      <c r="K15" s="1">
        <v>44999</v>
      </c>
      <c r="L15">
        <f>YEAR(Customer_Data[[#This Row],[LastPurchaseDate]])</f>
        <v>2025</v>
      </c>
      <c r="M15">
        <f>MONTH(Customer_Data[[#This Row],[LastPurchaseDate]])</f>
        <v>4</v>
      </c>
      <c r="N15" s="7">
        <v>45754</v>
      </c>
      <c r="O15">
        <v>21</v>
      </c>
      <c r="P15" s="4">
        <v>3702.46</v>
      </c>
      <c r="Q15" t="s">
        <v>4034</v>
      </c>
      <c r="R15">
        <v>3</v>
      </c>
      <c r="S15">
        <v>176.31</v>
      </c>
    </row>
    <row r="16" spans="1:19" x14ac:dyDescent="0.25">
      <c r="A16">
        <v>15</v>
      </c>
      <c r="B16" t="s">
        <v>30</v>
      </c>
      <c r="C16" t="s">
        <v>383</v>
      </c>
      <c r="D16" t="s">
        <v>850</v>
      </c>
      <c r="E16">
        <v>20</v>
      </c>
      <c r="F16" t="str" cm="1">
        <f t="array" ref="F16">INDEX(Country!$B$3:$B$250, MATCH(TRUE, ISNUMBER(SEARCH(Country!$A$2:$A$509, Customer_Data[[#This Row],[Country]])),0 ))</f>
        <v>Asia</v>
      </c>
      <c r="G16" t="s">
        <v>865</v>
      </c>
      <c r="H16" t="s">
        <v>1103</v>
      </c>
      <c r="I16" t="s">
        <v>2063</v>
      </c>
      <c r="J16" t="s">
        <v>3055</v>
      </c>
      <c r="K16" s="1">
        <v>45842</v>
      </c>
      <c r="L16">
        <f>YEAR(Customer_Data[[#This Row],[LastPurchaseDate]])</f>
        <v>2023</v>
      </c>
      <c r="M16">
        <f>MONTH(Customer_Data[[#This Row],[LastPurchaseDate]])</f>
        <v>12</v>
      </c>
      <c r="N16" s="7">
        <v>45271</v>
      </c>
      <c r="O16">
        <v>28</v>
      </c>
      <c r="P16" s="4">
        <v>3517.11</v>
      </c>
      <c r="Q16" t="s">
        <v>4035</v>
      </c>
      <c r="R16">
        <v>2</v>
      </c>
      <c r="S16">
        <v>125.61</v>
      </c>
    </row>
    <row r="17" spans="1:19" x14ac:dyDescent="0.25">
      <c r="A17">
        <v>16</v>
      </c>
      <c r="B17" t="s">
        <v>31</v>
      </c>
      <c r="C17" t="s">
        <v>384</v>
      </c>
      <c r="D17" t="s">
        <v>851</v>
      </c>
      <c r="E17">
        <v>39</v>
      </c>
      <c r="F17" t="str" cm="1">
        <f t="array" ref="F17">INDEX(Country!$B$3:$B$250, MATCH(TRUE, ISNUMBER(SEARCH(Country!$A$2:$A$509, Customer_Data[[#This Row],[Country]])),0 ))</f>
        <v>South America</v>
      </c>
      <c r="G17" t="s">
        <v>866</v>
      </c>
      <c r="H17" t="s">
        <v>1104</v>
      </c>
      <c r="I17" t="s">
        <v>2064</v>
      </c>
      <c r="J17" t="s">
        <v>3056</v>
      </c>
      <c r="K17" s="1">
        <v>45381</v>
      </c>
      <c r="L17">
        <f>YEAR(Customer_Data[[#This Row],[LastPurchaseDate]])</f>
        <v>2024</v>
      </c>
      <c r="M17">
        <f>MONTH(Customer_Data[[#This Row],[LastPurchaseDate]])</f>
        <v>4</v>
      </c>
      <c r="N17" s="7">
        <v>45400</v>
      </c>
      <c r="O17">
        <v>41</v>
      </c>
      <c r="P17" s="4">
        <v>4354.78</v>
      </c>
      <c r="Q17" t="s">
        <v>4034</v>
      </c>
      <c r="R17">
        <v>4</v>
      </c>
      <c r="S17">
        <v>106.21</v>
      </c>
    </row>
    <row r="18" spans="1:19" x14ac:dyDescent="0.25">
      <c r="A18">
        <v>17</v>
      </c>
      <c r="B18" t="s">
        <v>32</v>
      </c>
      <c r="C18" t="s">
        <v>385</v>
      </c>
      <c r="D18" t="s">
        <v>851</v>
      </c>
      <c r="E18">
        <v>36</v>
      </c>
      <c r="F18" t="str" cm="1">
        <f t="array" ref="F18">INDEX(Country!$B$3:$B$250, MATCH(TRUE, ISNUMBER(SEARCH(Country!$A$2:$A$509, Customer_Data[[#This Row],[Country]])),0 ))</f>
        <v>Africa</v>
      </c>
      <c r="G18" t="s">
        <v>867</v>
      </c>
      <c r="H18" t="s">
        <v>1105</v>
      </c>
      <c r="I18" t="s">
        <v>2065</v>
      </c>
      <c r="J18" t="s">
        <v>3057</v>
      </c>
      <c r="K18" s="1">
        <v>45580</v>
      </c>
      <c r="L18">
        <f>YEAR(Customer_Data[[#This Row],[LastPurchaseDate]])</f>
        <v>2025</v>
      </c>
      <c r="M18">
        <f>MONTH(Customer_Data[[#This Row],[LastPurchaseDate]])</f>
        <v>5</v>
      </c>
      <c r="N18" s="7">
        <v>45789</v>
      </c>
      <c r="O18">
        <v>17</v>
      </c>
      <c r="P18" s="4">
        <v>6677.53</v>
      </c>
      <c r="Q18" t="s">
        <v>4034</v>
      </c>
      <c r="R18">
        <v>2</v>
      </c>
      <c r="S18">
        <v>392.8</v>
      </c>
    </row>
    <row r="19" spans="1:19" x14ac:dyDescent="0.25">
      <c r="A19">
        <v>18</v>
      </c>
      <c r="B19" t="s">
        <v>33</v>
      </c>
      <c r="C19" t="s">
        <v>386</v>
      </c>
      <c r="D19" t="s">
        <v>850</v>
      </c>
      <c r="E19">
        <v>46</v>
      </c>
      <c r="F19" t="str" cm="1">
        <f t="array" ref="F19">INDEX(Country!$B$3:$B$250, MATCH(TRUE, ISNUMBER(SEARCH(Country!$A$2:$A$509, Customer_Data[[#This Row],[Country]])),0 ))</f>
        <v>Africa</v>
      </c>
      <c r="G19" t="s">
        <v>868</v>
      </c>
      <c r="H19" t="s">
        <v>1106</v>
      </c>
      <c r="I19" t="s">
        <v>2066</v>
      </c>
      <c r="J19" t="s">
        <v>3058</v>
      </c>
      <c r="K19" s="1">
        <v>45625</v>
      </c>
      <c r="L19">
        <f>YEAR(Customer_Data[[#This Row],[LastPurchaseDate]])</f>
        <v>2024</v>
      </c>
      <c r="M19">
        <f>MONTH(Customer_Data[[#This Row],[LastPurchaseDate]])</f>
        <v>7</v>
      </c>
      <c r="N19" s="7">
        <v>45492</v>
      </c>
      <c r="O19">
        <v>22</v>
      </c>
      <c r="P19" s="4">
        <v>4711.6000000000004</v>
      </c>
      <c r="Q19" t="s">
        <v>4034</v>
      </c>
      <c r="R19">
        <v>3</v>
      </c>
      <c r="S19">
        <v>214.16</v>
      </c>
    </row>
    <row r="20" spans="1:19" x14ac:dyDescent="0.25">
      <c r="A20">
        <v>19</v>
      </c>
      <c r="B20" t="s">
        <v>34</v>
      </c>
      <c r="C20" t="s">
        <v>251</v>
      </c>
      <c r="D20" t="s">
        <v>850</v>
      </c>
      <c r="E20">
        <v>43</v>
      </c>
      <c r="F20" t="str" cm="1">
        <f t="array" ref="F20">INDEX(Country!$B$3:$B$250, MATCH(TRUE, ISNUMBER(SEARCH(Country!$A$2:$A$509, Customer_Data[[#This Row],[Country]])),0 ))</f>
        <v>Oceania</v>
      </c>
      <c r="G20" t="s">
        <v>869</v>
      </c>
      <c r="H20" t="s">
        <v>1107</v>
      </c>
      <c r="I20" t="s">
        <v>2067</v>
      </c>
      <c r="J20" t="s">
        <v>3059</v>
      </c>
      <c r="K20" s="1">
        <v>45351</v>
      </c>
      <c r="L20">
        <f>YEAR(Customer_Data[[#This Row],[LastPurchaseDate]])</f>
        <v>2025</v>
      </c>
      <c r="M20">
        <f>MONTH(Customer_Data[[#This Row],[LastPurchaseDate]])</f>
        <v>1</v>
      </c>
      <c r="N20" s="7">
        <v>45678</v>
      </c>
      <c r="O20">
        <v>28</v>
      </c>
      <c r="P20" s="4">
        <v>6724.56</v>
      </c>
      <c r="Q20" t="s">
        <v>4035</v>
      </c>
      <c r="R20">
        <v>5</v>
      </c>
      <c r="S20">
        <v>240.16</v>
      </c>
    </row>
    <row r="21" spans="1:19" x14ac:dyDescent="0.25">
      <c r="A21">
        <v>20</v>
      </c>
      <c r="B21" t="s">
        <v>34</v>
      </c>
      <c r="C21" t="s">
        <v>387</v>
      </c>
      <c r="D21" t="s">
        <v>851</v>
      </c>
      <c r="E21">
        <v>35</v>
      </c>
      <c r="F21" t="str" cm="1">
        <f t="array" ref="F21">INDEX(Country!$B$3:$B$250, MATCH(TRUE, ISNUMBER(SEARCH(Country!$A$2:$A$509, Customer_Data[[#This Row],[Country]])),0 ))</f>
        <v>North America</v>
      </c>
      <c r="G21" t="s">
        <v>870</v>
      </c>
      <c r="H21" t="s">
        <v>1108</v>
      </c>
      <c r="I21" t="s">
        <v>2068</v>
      </c>
      <c r="J21" t="s">
        <v>3060</v>
      </c>
      <c r="K21" s="1">
        <v>44950</v>
      </c>
      <c r="L21">
        <f>YEAR(Customer_Data[[#This Row],[LastPurchaseDate]])</f>
        <v>2024</v>
      </c>
      <c r="M21">
        <f>MONTH(Customer_Data[[#This Row],[LastPurchaseDate]])</f>
        <v>11</v>
      </c>
      <c r="N21" s="7">
        <v>45604</v>
      </c>
      <c r="O21">
        <v>47</v>
      </c>
      <c r="P21" s="4">
        <v>2018.1</v>
      </c>
      <c r="Q21" t="s">
        <v>4035</v>
      </c>
      <c r="R21">
        <v>1</v>
      </c>
      <c r="S21">
        <v>42.94</v>
      </c>
    </row>
    <row r="22" spans="1:19" x14ac:dyDescent="0.25">
      <c r="A22">
        <v>21</v>
      </c>
      <c r="B22" t="s">
        <v>35</v>
      </c>
      <c r="C22" t="s">
        <v>388</v>
      </c>
      <c r="D22" t="s">
        <v>851</v>
      </c>
      <c r="E22">
        <v>41</v>
      </c>
      <c r="F22" t="str" cm="1">
        <f t="array" ref="F22">INDEX(Country!$B$3:$B$250, MATCH(TRUE, ISNUMBER(SEARCH(Country!$A$2:$A$509, Customer_Data[[#This Row],[Country]])),0 ))</f>
        <v>Europe</v>
      </c>
      <c r="G22" t="s">
        <v>871</v>
      </c>
      <c r="H22" t="s">
        <v>1109</v>
      </c>
      <c r="I22" t="s">
        <v>2069</v>
      </c>
      <c r="J22" t="s">
        <v>3061</v>
      </c>
      <c r="K22" s="1">
        <v>45080</v>
      </c>
      <c r="L22">
        <f>YEAR(Customer_Data[[#This Row],[LastPurchaseDate]])</f>
        <v>2025</v>
      </c>
      <c r="M22">
        <f>MONTH(Customer_Data[[#This Row],[LastPurchaseDate]])</f>
        <v>10</v>
      </c>
      <c r="N22" s="7">
        <v>45939</v>
      </c>
      <c r="O22">
        <v>41</v>
      </c>
      <c r="P22" s="4">
        <v>9921.56</v>
      </c>
      <c r="Q22" t="s">
        <v>4034</v>
      </c>
      <c r="R22">
        <v>4</v>
      </c>
      <c r="S22">
        <v>241.99</v>
      </c>
    </row>
    <row r="23" spans="1:19" x14ac:dyDescent="0.25">
      <c r="A23">
        <v>22</v>
      </c>
      <c r="B23" t="s">
        <v>36</v>
      </c>
      <c r="C23" t="s">
        <v>389</v>
      </c>
      <c r="D23" t="s">
        <v>850</v>
      </c>
      <c r="E23">
        <v>62</v>
      </c>
      <c r="F23" t="str" cm="1">
        <f t="array" ref="F23">INDEX(Country!$B$3:$B$250, MATCH(TRUE, ISNUMBER(SEARCH(Country!$A$2:$A$509, Customer_Data[[#This Row],[Country]])),0 ))</f>
        <v>North America</v>
      </c>
      <c r="G23" t="s">
        <v>872</v>
      </c>
      <c r="H23" t="s">
        <v>1110</v>
      </c>
      <c r="I23" t="s">
        <v>2070</v>
      </c>
      <c r="J23" t="s">
        <v>3062</v>
      </c>
      <c r="K23" s="1">
        <v>45085</v>
      </c>
      <c r="L23">
        <f>YEAR(Customer_Data[[#This Row],[LastPurchaseDate]])</f>
        <v>2024</v>
      </c>
      <c r="M23">
        <f>MONTH(Customer_Data[[#This Row],[LastPurchaseDate]])</f>
        <v>1</v>
      </c>
      <c r="N23" s="7">
        <v>45307</v>
      </c>
      <c r="O23">
        <v>1</v>
      </c>
      <c r="P23" s="4">
        <v>8700.0400000000009</v>
      </c>
      <c r="Q23" t="s">
        <v>4034</v>
      </c>
      <c r="R23">
        <v>1</v>
      </c>
      <c r="S23">
        <v>8700.0400000000009</v>
      </c>
    </row>
    <row r="24" spans="1:19" x14ac:dyDescent="0.25">
      <c r="A24">
        <v>23</v>
      </c>
      <c r="B24" t="s">
        <v>37</v>
      </c>
      <c r="C24" t="s">
        <v>390</v>
      </c>
      <c r="D24" t="s">
        <v>850</v>
      </c>
      <c r="E24">
        <v>35</v>
      </c>
      <c r="F24" t="str" cm="1">
        <f t="array" ref="F24">INDEX(Country!$B$3:$B$250, MATCH(TRUE, ISNUMBER(SEARCH(Country!$A$2:$A$509, Customer_Data[[#This Row],[Country]])),0 ))</f>
        <v>South America</v>
      </c>
      <c r="G24" t="s">
        <v>873</v>
      </c>
      <c r="H24" t="s">
        <v>1111</v>
      </c>
      <c r="I24" t="s">
        <v>2071</v>
      </c>
      <c r="J24" t="s">
        <v>3063</v>
      </c>
      <c r="K24" s="1">
        <v>44884</v>
      </c>
      <c r="L24">
        <f>YEAR(Customer_Data[[#This Row],[LastPurchaseDate]])</f>
        <v>2024</v>
      </c>
      <c r="M24">
        <f>MONTH(Customer_Data[[#This Row],[LastPurchaseDate]])</f>
        <v>5</v>
      </c>
      <c r="N24" s="7">
        <v>45424</v>
      </c>
      <c r="O24">
        <v>25</v>
      </c>
      <c r="P24" s="4">
        <v>8376.84</v>
      </c>
      <c r="Q24" t="s">
        <v>4035</v>
      </c>
      <c r="R24">
        <v>3</v>
      </c>
      <c r="S24">
        <v>335.07</v>
      </c>
    </row>
    <row r="25" spans="1:19" x14ac:dyDescent="0.25">
      <c r="A25">
        <v>24</v>
      </c>
      <c r="B25" t="s">
        <v>38</v>
      </c>
      <c r="C25" t="s">
        <v>391</v>
      </c>
      <c r="D25" t="s">
        <v>851</v>
      </c>
      <c r="E25">
        <v>66</v>
      </c>
      <c r="F25" t="str" cm="1">
        <f t="array" ref="F25">INDEX(Country!$B$3:$B$250, MATCH(TRUE, ISNUMBER(SEARCH(Country!$A$2:$A$509, Customer_Data[[#This Row],[Country]])),0 ))</f>
        <v>Asia</v>
      </c>
      <c r="G25" t="s">
        <v>874</v>
      </c>
      <c r="H25" t="s">
        <v>1112</v>
      </c>
      <c r="I25" t="s">
        <v>2072</v>
      </c>
      <c r="J25" t="s">
        <v>3064</v>
      </c>
      <c r="K25" s="1">
        <v>45624</v>
      </c>
      <c r="L25">
        <f>YEAR(Customer_Data[[#This Row],[LastPurchaseDate]])</f>
        <v>2025</v>
      </c>
      <c r="M25">
        <f>MONTH(Customer_Data[[#This Row],[LastPurchaseDate]])</f>
        <v>1</v>
      </c>
      <c r="N25" s="7">
        <v>45667</v>
      </c>
      <c r="O25">
        <v>45</v>
      </c>
      <c r="P25" s="4">
        <v>2533.89</v>
      </c>
      <c r="Q25" t="s">
        <v>4035</v>
      </c>
      <c r="R25">
        <v>2</v>
      </c>
      <c r="S25">
        <v>56.31</v>
      </c>
    </row>
    <row r="26" spans="1:19" x14ac:dyDescent="0.25">
      <c r="A26">
        <v>25</v>
      </c>
      <c r="B26" t="s">
        <v>37</v>
      </c>
      <c r="C26" t="s">
        <v>392</v>
      </c>
      <c r="D26" t="s">
        <v>851</v>
      </c>
      <c r="E26">
        <v>42</v>
      </c>
      <c r="F26" t="str" cm="1">
        <f t="array" ref="F26">INDEX(Country!$B$3:$B$250, MATCH(TRUE, ISNUMBER(SEARCH(Country!$A$2:$A$509, Customer_Data[[#This Row],[Country]])),0 ))</f>
        <v>North America</v>
      </c>
      <c r="G26" t="s">
        <v>875</v>
      </c>
      <c r="H26" t="s">
        <v>1113</v>
      </c>
      <c r="I26" t="s">
        <v>2073</v>
      </c>
      <c r="J26" t="s">
        <v>3065</v>
      </c>
      <c r="K26" s="1">
        <v>45495</v>
      </c>
      <c r="L26">
        <f>YEAR(Customer_Data[[#This Row],[LastPurchaseDate]])</f>
        <v>2025</v>
      </c>
      <c r="M26">
        <f>MONTH(Customer_Data[[#This Row],[LastPurchaseDate]])</f>
        <v>7</v>
      </c>
      <c r="N26" s="7">
        <v>45850</v>
      </c>
      <c r="O26">
        <v>33</v>
      </c>
      <c r="P26" s="4">
        <v>2904.44</v>
      </c>
      <c r="Q26" t="s">
        <v>4034</v>
      </c>
      <c r="R26">
        <v>4</v>
      </c>
      <c r="S26">
        <v>88.01</v>
      </c>
    </row>
    <row r="27" spans="1:19" x14ac:dyDescent="0.25">
      <c r="A27">
        <v>26</v>
      </c>
      <c r="B27" t="s">
        <v>39</v>
      </c>
      <c r="C27" t="s">
        <v>393</v>
      </c>
      <c r="D27" t="s">
        <v>850</v>
      </c>
      <c r="E27">
        <v>29</v>
      </c>
      <c r="F27" t="str" cm="1">
        <f t="array" ref="F27">INDEX(Country!$B$3:$B$250, MATCH(TRUE, ISNUMBER(SEARCH(Country!$A$2:$A$509, Customer_Data[[#This Row],[Country]])),0 ))</f>
        <v>Asia</v>
      </c>
      <c r="G27" t="s">
        <v>876</v>
      </c>
      <c r="H27" t="s">
        <v>1114</v>
      </c>
      <c r="I27" t="s">
        <v>2074</v>
      </c>
      <c r="J27" t="s">
        <v>3066</v>
      </c>
      <c r="K27" s="1">
        <v>45802</v>
      </c>
      <c r="L27">
        <f>YEAR(Customer_Data[[#This Row],[LastPurchaseDate]])</f>
        <v>2024</v>
      </c>
      <c r="M27">
        <f>MONTH(Customer_Data[[#This Row],[LastPurchaseDate]])</f>
        <v>6</v>
      </c>
      <c r="N27" s="7">
        <v>45467</v>
      </c>
      <c r="O27">
        <v>47</v>
      </c>
      <c r="P27" s="4">
        <v>4675.87</v>
      </c>
      <c r="Q27" t="s">
        <v>4035</v>
      </c>
      <c r="R27">
        <v>1</v>
      </c>
      <c r="S27">
        <v>99.49</v>
      </c>
    </row>
    <row r="28" spans="1:19" x14ac:dyDescent="0.25">
      <c r="A28">
        <v>27</v>
      </c>
      <c r="B28" t="s">
        <v>40</v>
      </c>
      <c r="C28" t="s">
        <v>394</v>
      </c>
      <c r="D28" t="s">
        <v>851</v>
      </c>
      <c r="E28">
        <v>39</v>
      </c>
      <c r="F28" t="str" cm="1">
        <f t="array" ref="F28">INDEX(Country!$B$3:$B$250, MATCH(TRUE, ISNUMBER(SEARCH(Country!$A$2:$A$509, Customer_Data[[#This Row],[Country]])),0 ))</f>
        <v>Africa</v>
      </c>
      <c r="G28" t="s">
        <v>877</v>
      </c>
      <c r="H28" t="s">
        <v>1115</v>
      </c>
      <c r="I28" t="s">
        <v>2075</v>
      </c>
      <c r="J28" t="s">
        <v>3067</v>
      </c>
      <c r="K28" s="1">
        <v>45750</v>
      </c>
      <c r="L28">
        <f>YEAR(Customer_Data[[#This Row],[LastPurchaseDate]])</f>
        <v>2024</v>
      </c>
      <c r="M28">
        <f>MONTH(Customer_Data[[#This Row],[LastPurchaseDate]])</f>
        <v>10</v>
      </c>
      <c r="N28" s="7">
        <v>45590</v>
      </c>
      <c r="O28">
        <v>43</v>
      </c>
      <c r="P28" s="4">
        <v>5551.05</v>
      </c>
      <c r="Q28" t="s">
        <v>4035</v>
      </c>
      <c r="R28">
        <v>5</v>
      </c>
      <c r="S28">
        <v>129.09</v>
      </c>
    </row>
    <row r="29" spans="1:19" x14ac:dyDescent="0.25">
      <c r="A29">
        <v>28</v>
      </c>
      <c r="B29" t="s">
        <v>41</v>
      </c>
      <c r="C29" t="s">
        <v>395</v>
      </c>
      <c r="D29" t="s">
        <v>850</v>
      </c>
      <c r="E29">
        <v>49</v>
      </c>
      <c r="F29" t="str" cm="1">
        <f t="array" ref="F29">INDEX(Country!$B$3:$B$250, MATCH(TRUE, ISNUMBER(SEARCH(Country!$A$2:$A$509, Customer_Data[[#This Row],[Country]])),0 ))</f>
        <v>North America</v>
      </c>
      <c r="G29" t="s">
        <v>878</v>
      </c>
      <c r="H29" t="s">
        <v>1116</v>
      </c>
      <c r="I29" t="s">
        <v>2076</v>
      </c>
      <c r="J29" t="s">
        <v>3068</v>
      </c>
      <c r="K29" s="1">
        <v>45846</v>
      </c>
      <c r="L29">
        <f>YEAR(Customer_Data[[#This Row],[LastPurchaseDate]])</f>
        <v>2025</v>
      </c>
      <c r="M29">
        <f>MONTH(Customer_Data[[#This Row],[LastPurchaseDate]])</f>
        <v>6</v>
      </c>
      <c r="N29" s="7">
        <v>45835</v>
      </c>
      <c r="O29">
        <v>25</v>
      </c>
      <c r="P29" s="4">
        <v>2807.34</v>
      </c>
      <c r="Q29" t="s">
        <v>4034</v>
      </c>
      <c r="R29">
        <v>5</v>
      </c>
      <c r="S29">
        <v>112.29</v>
      </c>
    </row>
    <row r="30" spans="1:19" x14ac:dyDescent="0.25">
      <c r="A30">
        <v>29</v>
      </c>
      <c r="B30" t="s">
        <v>42</v>
      </c>
      <c r="C30" t="s">
        <v>396</v>
      </c>
      <c r="D30" t="s">
        <v>850</v>
      </c>
      <c r="E30">
        <v>55</v>
      </c>
      <c r="F30" t="str" cm="1">
        <f t="array" ref="F30">INDEX(Country!$B$3:$B$250, MATCH(TRUE, ISNUMBER(SEARCH(Country!$A$2:$A$509, Customer_Data[[#This Row],[Country]])),0 ))</f>
        <v>Europe</v>
      </c>
      <c r="G30" t="s">
        <v>879</v>
      </c>
      <c r="H30" t="s">
        <v>1117</v>
      </c>
      <c r="I30" t="s">
        <v>2077</v>
      </c>
      <c r="J30" t="s">
        <v>3069</v>
      </c>
      <c r="K30" s="1">
        <v>45646</v>
      </c>
      <c r="L30">
        <f>YEAR(Customer_Data[[#This Row],[LastPurchaseDate]])</f>
        <v>2025</v>
      </c>
      <c r="M30">
        <f>MONTH(Customer_Data[[#This Row],[LastPurchaseDate]])</f>
        <v>5</v>
      </c>
      <c r="N30" s="7">
        <v>45791</v>
      </c>
      <c r="O30">
        <v>5</v>
      </c>
      <c r="P30" s="4">
        <v>2242.09</v>
      </c>
      <c r="Q30" t="s">
        <v>4035</v>
      </c>
      <c r="R30">
        <v>1</v>
      </c>
      <c r="S30">
        <v>448.42</v>
      </c>
    </row>
    <row r="31" spans="1:19" x14ac:dyDescent="0.25">
      <c r="A31">
        <v>30</v>
      </c>
      <c r="B31" t="s">
        <v>36</v>
      </c>
      <c r="C31" t="s">
        <v>397</v>
      </c>
      <c r="D31" t="s">
        <v>851</v>
      </c>
      <c r="E31">
        <v>39</v>
      </c>
      <c r="F31" t="str" cm="1">
        <f t="array" ref="F31">INDEX(Country!$B$3:$B$250, MATCH(TRUE, ISNUMBER(SEARCH(Country!$A$2:$A$509, Customer_Data[[#This Row],[Country]])),0 ))</f>
        <v>Europe</v>
      </c>
      <c r="G31" t="s">
        <v>880</v>
      </c>
      <c r="H31" t="s">
        <v>1118</v>
      </c>
      <c r="I31" t="s">
        <v>2078</v>
      </c>
      <c r="J31" t="s">
        <v>3070</v>
      </c>
      <c r="K31" s="1">
        <v>45800</v>
      </c>
      <c r="L31">
        <f>YEAR(Customer_Data[[#This Row],[LastPurchaseDate]])</f>
        <v>2025</v>
      </c>
      <c r="M31">
        <f>MONTH(Customer_Data[[#This Row],[LastPurchaseDate]])</f>
        <v>7</v>
      </c>
      <c r="N31" s="7">
        <v>45862</v>
      </c>
      <c r="O31">
        <v>8</v>
      </c>
      <c r="P31" s="4">
        <v>7637.05</v>
      </c>
      <c r="Q31" t="s">
        <v>4035</v>
      </c>
      <c r="R31">
        <v>3</v>
      </c>
      <c r="S31">
        <v>954.63</v>
      </c>
    </row>
    <row r="32" spans="1:19" x14ac:dyDescent="0.25">
      <c r="A32">
        <v>31</v>
      </c>
      <c r="B32" t="s">
        <v>43</v>
      </c>
      <c r="C32" t="s">
        <v>398</v>
      </c>
      <c r="D32" t="s">
        <v>852</v>
      </c>
      <c r="E32">
        <v>56</v>
      </c>
      <c r="F32" t="str" cm="1">
        <f t="array" ref="F32">INDEX(Country!$B$3:$B$250, MATCH(TRUE, ISNUMBER(SEARCH(Country!$A$2:$A$509, Customer_Data[[#This Row],[Country]])),0 ))</f>
        <v>Asia</v>
      </c>
      <c r="G32" t="s">
        <v>861</v>
      </c>
      <c r="H32" t="s">
        <v>1119</v>
      </c>
      <c r="I32" t="s">
        <v>2079</v>
      </c>
      <c r="J32" t="s">
        <v>3071</v>
      </c>
      <c r="K32" s="1">
        <v>45501</v>
      </c>
      <c r="L32">
        <f>YEAR(Customer_Data[[#This Row],[LastPurchaseDate]])</f>
        <v>2025</v>
      </c>
      <c r="M32">
        <f>MONTH(Customer_Data[[#This Row],[LastPurchaseDate]])</f>
        <v>1</v>
      </c>
      <c r="N32" s="7">
        <v>45682</v>
      </c>
      <c r="O32">
        <v>33</v>
      </c>
      <c r="P32" s="4">
        <v>9704.6299999999992</v>
      </c>
      <c r="Q32" t="s">
        <v>4034</v>
      </c>
      <c r="R32">
        <v>5</v>
      </c>
      <c r="S32">
        <v>294.08</v>
      </c>
    </row>
    <row r="33" spans="1:19" x14ac:dyDescent="0.25">
      <c r="A33">
        <v>32</v>
      </c>
      <c r="B33" t="s">
        <v>44</v>
      </c>
      <c r="C33" t="s">
        <v>399</v>
      </c>
      <c r="D33" t="s">
        <v>850</v>
      </c>
      <c r="E33">
        <v>25</v>
      </c>
      <c r="F33" t="str" cm="1">
        <f t="array" ref="F33">INDEX(Country!$B$3:$B$250, MATCH(TRUE, ISNUMBER(SEARCH(Country!$A$2:$A$509, Customer_Data[[#This Row],[Country]])),0 ))</f>
        <v>Africa</v>
      </c>
      <c r="G33" t="s">
        <v>881</v>
      </c>
      <c r="H33" t="s">
        <v>1120</v>
      </c>
      <c r="I33" t="s">
        <v>2080</v>
      </c>
      <c r="J33" t="s">
        <v>3072</v>
      </c>
      <c r="K33" s="1">
        <v>44917</v>
      </c>
      <c r="L33">
        <f>YEAR(Customer_Data[[#This Row],[LastPurchaseDate]])</f>
        <v>2024</v>
      </c>
      <c r="M33">
        <f>MONTH(Customer_Data[[#This Row],[LastPurchaseDate]])</f>
        <v>3</v>
      </c>
      <c r="N33" s="7">
        <v>45376</v>
      </c>
      <c r="O33">
        <v>38</v>
      </c>
      <c r="P33" s="4">
        <v>9660.6299999999992</v>
      </c>
      <c r="Q33" t="s">
        <v>4035</v>
      </c>
      <c r="R33">
        <v>4</v>
      </c>
      <c r="S33">
        <v>254.23</v>
      </c>
    </row>
    <row r="34" spans="1:19" x14ac:dyDescent="0.25">
      <c r="A34">
        <v>33</v>
      </c>
      <c r="B34" t="s">
        <v>45</v>
      </c>
      <c r="C34" t="s">
        <v>307</v>
      </c>
      <c r="D34" t="s">
        <v>851</v>
      </c>
      <c r="E34">
        <v>32</v>
      </c>
      <c r="F34" t="str" cm="1">
        <f t="array" ref="F34">INDEX(Country!$B$3:$B$250, MATCH(TRUE, ISNUMBER(SEARCH(Country!$A$2:$A$509, Customer_Data[[#This Row],[Country]])),0 ))</f>
        <v>Oceania</v>
      </c>
      <c r="G34" t="s">
        <v>882</v>
      </c>
      <c r="H34" t="s">
        <v>1121</v>
      </c>
      <c r="I34" t="s">
        <v>2081</v>
      </c>
      <c r="J34" t="s">
        <v>3073</v>
      </c>
      <c r="K34" s="1">
        <v>45080</v>
      </c>
      <c r="L34">
        <f>YEAR(Customer_Data[[#This Row],[LastPurchaseDate]])</f>
        <v>2024</v>
      </c>
      <c r="M34">
        <f>MONTH(Customer_Data[[#This Row],[LastPurchaseDate]])</f>
        <v>4</v>
      </c>
      <c r="N34" s="7">
        <v>45401</v>
      </c>
      <c r="O34">
        <v>43</v>
      </c>
      <c r="P34" s="4">
        <v>9466.61</v>
      </c>
      <c r="Q34" t="s">
        <v>4034</v>
      </c>
      <c r="R34">
        <v>1</v>
      </c>
      <c r="S34">
        <v>220.15</v>
      </c>
    </row>
    <row r="35" spans="1:19" x14ac:dyDescent="0.25">
      <c r="A35">
        <v>34</v>
      </c>
      <c r="B35" t="s">
        <v>46</v>
      </c>
      <c r="C35" t="s">
        <v>400</v>
      </c>
      <c r="D35" t="s">
        <v>850</v>
      </c>
      <c r="E35">
        <v>71</v>
      </c>
      <c r="F35" t="str" cm="1">
        <f t="array" ref="F35">INDEX(Country!$B$3:$B$250, MATCH(TRUE, ISNUMBER(SEARCH(Country!$A$2:$A$509, Customer_Data[[#This Row],[Country]])),0 ))</f>
        <v>Oceania</v>
      </c>
      <c r="G35" t="s">
        <v>883</v>
      </c>
      <c r="H35" t="s">
        <v>1122</v>
      </c>
      <c r="I35" t="s">
        <v>2082</v>
      </c>
      <c r="J35" t="s">
        <v>3074</v>
      </c>
      <c r="K35" s="1">
        <v>45495</v>
      </c>
      <c r="L35">
        <f>YEAR(Customer_Data[[#This Row],[LastPurchaseDate]])</f>
        <v>2024</v>
      </c>
      <c r="M35">
        <f>MONTH(Customer_Data[[#This Row],[LastPurchaseDate]])</f>
        <v>7</v>
      </c>
      <c r="N35" s="7">
        <v>45487</v>
      </c>
      <c r="O35">
        <v>48</v>
      </c>
      <c r="P35" s="4">
        <v>6899.17</v>
      </c>
      <c r="Q35" t="s">
        <v>4035</v>
      </c>
      <c r="R35">
        <v>4</v>
      </c>
      <c r="S35">
        <v>143.72999999999999</v>
      </c>
    </row>
    <row r="36" spans="1:19" x14ac:dyDescent="0.25">
      <c r="A36">
        <v>35</v>
      </c>
      <c r="B36" t="s">
        <v>43</v>
      </c>
      <c r="C36" t="s">
        <v>401</v>
      </c>
      <c r="D36" t="s">
        <v>850</v>
      </c>
      <c r="E36">
        <v>56</v>
      </c>
      <c r="F36" t="str" cm="1">
        <f t="array" ref="F36">INDEX(Country!$B$3:$B$250, MATCH(TRUE, ISNUMBER(SEARCH(Country!$A$2:$A$509, Customer_Data[[#This Row],[Country]])),0 ))</f>
        <v>South America</v>
      </c>
      <c r="G36" t="s">
        <v>884</v>
      </c>
      <c r="H36" t="s">
        <v>1123</v>
      </c>
      <c r="I36" t="s">
        <v>2083</v>
      </c>
      <c r="J36" t="s">
        <v>3075</v>
      </c>
      <c r="K36" s="1">
        <v>45165</v>
      </c>
      <c r="L36">
        <f>YEAR(Customer_Data[[#This Row],[LastPurchaseDate]])</f>
        <v>2025</v>
      </c>
      <c r="M36">
        <f>MONTH(Customer_Data[[#This Row],[LastPurchaseDate]])</f>
        <v>6</v>
      </c>
      <c r="N36" s="7">
        <v>45835</v>
      </c>
      <c r="O36">
        <v>32</v>
      </c>
      <c r="P36" s="4">
        <v>7531.12</v>
      </c>
      <c r="Q36" t="s">
        <v>4035</v>
      </c>
      <c r="R36">
        <v>3</v>
      </c>
      <c r="S36">
        <v>235.35</v>
      </c>
    </row>
    <row r="37" spans="1:19" x14ac:dyDescent="0.25">
      <c r="A37">
        <v>36</v>
      </c>
      <c r="B37" t="s">
        <v>47</v>
      </c>
      <c r="C37" t="s">
        <v>402</v>
      </c>
      <c r="D37" t="s">
        <v>851</v>
      </c>
      <c r="E37">
        <v>33</v>
      </c>
      <c r="F37" t="str" cm="1">
        <f t="array" ref="F37">INDEX(Country!$B$3:$B$250, MATCH(TRUE, ISNUMBER(SEARCH(Country!$A$2:$A$509, Customer_Data[[#This Row],[Country]])),0 ))</f>
        <v>South America</v>
      </c>
      <c r="G37" t="s">
        <v>885</v>
      </c>
      <c r="H37" t="s">
        <v>1124</v>
      </c>
      <c r="I37" t="s">
        <v>2084</v>
      </c>
      <c r="J37" t="s">
        <v>3076</v>
      </c>
      <c r="K37" s="1">
        <v>44962</v>
      </c>
      <c r="L37">
        <f>YEAR(Customer_Data[[#This Row],[LastPurchaseDate]])</f>
        <v>2025</v>
      </c>
      <c r="M37">
        <f>MONTH(Customer_Data[[#This Row],[LastPurchaseDate]])</f>
        <v>8</v>
      </c>
      <c r="N37" s="7">
        <v>45883</v>
      </c>
      <c r="O37">
        <v>32</v>
      </c>
      <c r="P37" s="4">
        <v>5464.8</v>
      </c>
      <c r="Q37" t="s">
        <v>4034</v>
      </c>
      <c r="R37">
        <v>1</v>
      </c>
      <c r="S37">
        <v>170.78</v>
      </c>
    </row>
    <row r="38" spans="1:19" x14ac:dyDescent="0.25">
      <c r="A38">
        <v>37</v>
      </c>
      <c r="B38" t="s">
        <v>48</v>
      </c>
      <c r="C38" t="s">
        <v>395</v>
      </c>
      <c r="D38" t="s">
        <v>850</v>
      </c>
      <c r="E38">
        <v>23</v>
      </c>
      <c r="F38" t="str" cm="1">
        <f t="array" ref="F38">INDEX(Country!$B$3:$B$250, MATCH(TRUE, ISNUMBER(SEARCH(Country!$A$2:$A$509, Customer_Data[[#This Row],[Country]])),0 ))</f>
        <v>Africa</v>
      </c>
      <c r="G38" t="s">
        <v>886</v>
      </c>
      <c r="H38" t="s">
        <v>1125</v>
      </c>
      <c r="I38" t="s">
        <v>2085</v>
      </c>
      <c r="J38" t="s">
        <v>3077</v>
      </c>
      <c r="K38" s="1">
        <v>45455</v>
      </c>
      <c r="L38">
        <f>YEAR(Customer_Data[[#This Row],[LastPurchaseDate]])</f>
        <v>2025</v>
      </c>
      <c r="M38">
        <f>MONTH(Customer_Data[[#This Row],[LastPurchaseDate]])</f>
        <v>8</v>
      </c>
      <c r="N38" s="7">
        <v>45886</v>
      </c>
      <c r="O38">
        <v>46</v>
      </c>
      <c r="P38" s="4">
        <v>6265.86</v>
      </c>
      <c r="Q38" t="s">
        <v>4034</v>
      </c>
      <c r="R38">
        <v>5</v>
      </c>
      <c r="S38">
        <v>136.21</v>
      </c>
    </row>
    <row r="39" spans="1:19" x14ac:dyDescent="0.25">
      <c r="A39">
        <v>38</v>
      </c>
      <c r="B39" t="s">
        <v>49</v>
      </c>
      <c r="C39" t="s">
        <v>403</v>
      </c>
      <c r="D39" t="s">
        <v>850</v>
      </c>
      <c r="E39">
        <v>69</v>
      </c>
      <c r="F39" t="str" cm="1">
        <f t="array" ref="F39">INDEX(Country!$B$3:$B$250, MATCH(TRUE, ISNUMBER(SEARCH(Country!$A$2:$A$509, Customer_Data[[#This Row],[Country]])),0 ))</f>
        <v>Africa</v>
      </c>
      <c r="G39" t="s">
        <v>887</v>
      </c>
      <c r="H39" t="s">
        <v>1126</v>
      </c>
      <c r="I39" t="s">
        <v>2086</v>
      </c>
      <c r="J39" t="s">
        <v>3078</v>
      </c>
      <c r="K39" s="1">
        <v>44989</v>
      </c>
      <c r="L39">
        <f>YEAR(Customer_Data[[#This Row],[LastPurchaseDate]])</f>
        <v>2025</v>
      </c>
      <c r="M39">
        <f>MONTH(Customer_Data[[#This Row],[LastPurchaseDate]])</f>
        <v>9</v>
      </c>
      <c r="N39" s="7">
        <v>45922</v>
      </c>
      <c r="O39">
        <v>10</v>
      </c>
      <c r="P39" s="4">
        <v>9246.8799999999992</v>
      </c>
      <c r="Q39" t="s">
        <v>4034</v>
      </c>
      <c r="R39">
        <v>2</v>
      </c>
      <c r="S39">
        <v>924.69</v>
      </c>
    </row>
    <row r="40" spans="1:19" x14ac:dyDescent="0.25">
      <c r="A40">
        <v>39</v>
      </c>
      <c r="B40" t="s">
        <v>43</v>
      </c>
      <c r="C40" t="s">
        <v>379</v>
      </c>
      <c r="D40" t="s">
        <v>850</v>
      </c>
      <c r="E40">
        <v>63</v>
      </c>
      <c r="F40" t="str" cm="1">
        <f t="array" ref="F40">INDEX(Country!$B$3:$B$250, MATCH(TRUE, ISNUMBER(SEARCH(Country!$A$2:$A$509, Customer_Data[[#This Row],[Country]])),0 ))</f>
        <v>Asia</v>
      </c>
      <c r="G40" t="s">
        <v>888</v>
      </c>
      <c r="H40" t="s">
        <v>1127</v>
      </c>
      <c r="I40" t="s">
        <v>2087</v>
      </c>
      <c r="J40" t="s">
        <v>3079</v>
      </c>
      <c r="K40" s="1">
        <v>44942</v>
      </c>
      <c r="L40">
        <f>YEAR(Customer_Data[[#This Row],[LastPurchaseDate]])</f>
        <v>2024</v>
      </c>
      <c r="M40">
        <f>MONTH(Customer_Data[[#This Row],[LastPurchaseDate]])</f>
        <v>2</v>
      </c>
      <c r="N40" s="7">
        <v>45334</v>
      </c>
      <c r="O40">
        <v>7</v>
      </c>
      <c r="P40" s="4">
        <v>1895.74</v>
      </c>
      <c r="Q40" t="s">
        <v>4034</v>
      </c>
      <c r="R40">
        <v>1</v>
      </c>
      <c r="S40">
        <v>270.82</v>
      </c>
    </row>
    <row r="41" spans="1:19" x14ac:dyDescent="0.25">
      <c r="A41">
        <v>40</v>
      </c>
      <c r="B41" t="s">
        <v>50</v>
      </c>
      <c r="C41" t="s">
        <v>404</v>
      </c>
      <c r="D41" t="s">
        <v>850</v>
      </c>
      <c r="E41">
        <v>51</v>
      </c>
      <c r="F41" t="str" cm="1">
        <f t="array" ref="F41">INDEX(Country!$B$3:$B$250, MATCH(TRUE, ISNUMBER(SEARCH(Country!$A$2:$A$509, Customer_Data[[#This Row],[Country]])),0 ))</f>
        <v>North America</v>
      </c>
      <c r="G41" t="s">
        <v>889</v>
      </c>
      <c r="H41" t="s">
        <v>1128</v>
      </c>
      <c r="I41" t="s">
        <v>2088</v>
      </c>
      <c r="J41" t="s">
        <v>3080</v>
      </c>
      <c r="K41" s="1">
        <v>44895</v>
      </c>
      <c r="L41">
        <f>YEAR(Customer_Data[[#This Row],[LastPurchaseDate]])</f>
        <v>2025</v>
      </c>
      <c r="M41">
        <f>MONTH(Customer_Data[[#This Row],[LastPurchaseDate]])</f>
        <v>7</v>
      </c>
      <c r="N41" s="7">
        <v>45859</v>
      </c>
      <c r="O41">
        <v>35</v>
      </c>
      <c r="P41" s="4">
        <v>6431.53</v>
      </c>
      <c r="Q41" t="s">
        <v>4034</v>
      </c>
      <c r="R41">
        <v>1</v>
      </c>
      <c r="S41">
        <v>183.76</v>
      </c>
    </row>
    <row r="42" spans="1:19" x14ac:dyDescent="0.25">
      <c r="A42">
        <v>41</v>
      </c>
      <c r="B42" t="s">
        <v>51</v>
      </c>
      <c r="C42" t="s">
        <v>405</v>
      </c>
      <c r="D42" t="s">
        <v>852</v>
      </c>
      <c r="E42">
        <v>20</v>
      </c>
      <c r="F42" t="str" cm="1">
        <f t="array" ref="F42">INDEX(Country!$B$3:$B$250, MATCH(TRUE, ISNUMBER(SEARCH(Country!$A$2:$A$509, Customer_Data[[#This Row],[Country]])),0 ))</f>
        <v>Africa</v>
      </c>
      <c r="G42" t="s">
        <v>890</v>
      </c>
      <c r="H42" t="s">
        <v>1129</v>
      </c>
      <c r="I42" t="s">
        <v>2089</v>
      </c>
      <c r="J42" t="s">
        <v>3081</v>
      </c>
      <c r="K42" s="1">
        <v>45894</v>
      </c>
      <c r="L42">
        <f>YEAR(Customer_Data[[#This Row],[LastPurchaseDate]])</f>
        <v>2025</v>
      </c>
      <c r="M42">
        <f>MONTH(Customer_Data[[#This Row],[LastPurchaseDate]])</f>
        <v>9</v>
      </c>
      <c r="N42" s="7">
        <v>45906</v>
      </c>
      <c r="O42">
        <v>1</v>
      </c>
      <c r="P42" s="4">
        <v>6453.88</v>
      </c>
      <c r="Q42" t="s">
        <v>4035</v>
      </c>
      <c r="R42">
        <v>1</v>
      </c>
      <c r="S42">
        <v>6453.88</v>
      </c>
    </row>
    <row r="43" spans="1:19" x14ac:dyDescent="0.25">
      <c r="A43">
        <v>42</v>
      </c>
      <c r="B43" t="s">
        <v>52</v>
      </c>
      <c r="C43" t="s">
        <v>406</v>
      </c>
      <c r="D43" t="s">
        <v>851</v>
      </c>
      <c r="E43">
        <v>28</v>
      </c>
      <c r="F43" t="str" cm="1">
        <f t="array" ref="F43">INDEX(Country!$B$3:$B$250, MATCH(TRUE, ISNUMBER(SEARCH(Country!$A$2:$A$509, Customer_Data[[#This Row],[Country]])),0 ))</f>
        <v>South America</v>
      </c>
      <c r="G43" t="s">
        <v>891</v>
      </c>
      <c r="H43" t="s">
        <v>1130</v>
      </c>
      <c r="I43" t="s">
        <v>2090</v>
      </c>
      <c r="J43" t="s">
        <v>3082</v>
      </c>
      <c r="K43" s="1">
        <v>44962</v>
      </c>
      <c r="L43">
        <f>YEAR(Customer_Data[[#This Row],[LastPurchaseDate]])</f>
        <v>2024</v>
      </c>
      <c r="M43">
        <f>MONTH(Customer_Data[[#This Row],[LastPurchaseDate]])</f>
        <v>10</v>
      </c>
      <c r="N43" s="7">
        <v>45566</v>
      </c>
      <c r="O43">
        <v>27</v>
      </c>
      <c r="P43" s="4">
        <v>3563.05</v>
      </c>
      <c r="Q43" t="s">
        <v>4035</v>
      </c>
      <c r="R43">
        <v>4</v>
      </c>
      <c r="S43">
        <v>131.96</v>
      </c>
    </row>
    <row r="44" spans="1:19" x14ac:dyDescent="0.25">
      <c r="A44">
        <v>43</v>
      </c>
      <c r="B44" t="s">
        <v>53</v>
      </c>
      <c r="C44" t="s">
        <v>377</v>
      </c>
      <c r="D44" t="s">
        <v>850</v>
      </c>
      <c r="E44">
        <v>71</v>
      </c>
      <c r="F44" t="str" cm="1">
        <f t="array" ref="F44">INDEX(Country!$B$3:$B$250, MATCH(TRUE, ISNUMBER(SEARCH(Country!$A$2:$A$509, Customer_Data[[#This Row],[Country]])),0 ))</f>
        <v>Europe</v>
      </c>
      <c r="G44" t="s">
        <v>892</v>
      </c>
      <c r="H44" t="s">
        <v>1131</v>
      </c>
      <c r="I44" t="s">
        <v>2091</v>
      </c>
      <c r="J44" t="s">
        <v>3083</v>
      </c>
      <c r="K44" s="1">
        <v>45265</v>
      </c>
      <c r="L44">
        <f>YEAR(Customer_Data[[#This Row],[LastPurchaseDate]])</f>
        <v>2024</v>
      </c>
      <c r="M44">
        <f>MONTH(Customer_Data[[#This Row],[LastPurchaseDate]])</f>
        <v>8</v>
      </c>
      <c r="N44" s="7">
        <v>45521</v>
      </c>
      <c r="O44">
        <v>5</v>
      </c>
      <c r="P44" s="4">
        <v>5356.51</v>
      </c>
      <c r="Q44" t="s">
        <v>4035</v>
      </c>
      <c r="R44">
        <v>5</v>
      </c>
      <c r="S44">
        <v>1071.3</v>
      </c>
    </row>
    <row r="45" spans="1:19" x14ac:dyDescent="0.25">
      <c r="A45">
        <v>44</v>
      </c>
      <c r="B45" t="s">
        <v>34</v>
      </c>
      <c r="C45" t="s">
        <v>407</v>
      </c>
      <c r="D45" t="s">
        <v>851</v>
      </c>
      <c r="E45">
        <v>46</v>
      </c>
      <c r="F45" t="str" cm="1">
        <f t="array" ref="F45">INDEX(Country!$B$3:$B$250, MATCH(TRUE, ISNUMBER(SEARCH(Country!$A$2:$A$509, Customer_Data[[#This Row],[Country]])),0 ))</f>
        <v>Asia</v>
      </c>
      <c r="G45" t="s">
        <v>893</v>
      </c>
      <c r="H45" t="s">
        <v>1132</v>
      </c>
      <c r="I45" t="s">
        <v>2092</v>
      </c>
      <c r="J45" t="s">
        <v>3084</v>
      </c>
      <c r="K45" s="1">
        <v>45530</v>
      </c>
      <c r="L45">
        <f>YEAR(Customer_Data[[#This Row],[LastPurchaseDate]])</f>
        <v>2024</v>
      </c>
      <c r="M45">
        <f>MONTH(Customer_Data[[#This Row],[LastPurchaseDate]])</f>
        <v>12</v>
      </c>
      <c r="N45" s="7">
        <v>45636</v>
      </c>
      <c r="O45">
        <v>24</v>
      </c>
      <c r="P45" s="4">
        <v>516.28</v>
      </c>
      <c r="Q45" t="s">
        <v>4034</v>
      </c>
      <c r="R45">
        <v>5</v>
      </c>
      <c r="S45">
        <v>21.51</v>
      </c>
    </row>
    <row r="46" spans="1:19" x14ac:dyDescent="0.25">
      <c r="A46">
        <v>45</v>
      </c>
      <c r="B46" t="s">
        <v>54</v>
      </c>
      <c r="C46" t="s">
        <v>408</v>
      </c>
      <c r="D46" t="s">
        <v>850</v>
      </c>
      <c r="E46">
        <v>38</v>
      </c>
      <c r="F46" t="str" cm="1">
        <f t="array" ref="F46">INDEX(Country!$B$3:$B$250, MATCH(TRUE, ISNUMBER(SEARCH(Country!$A$2:$A$509, Customer_Data[[#This Row],[Country]])),0 ))</f>
        <v>Asia</v>
      </c>
      <c r="G46" t="s">
        <v>894</v>
      </c>
      <c r="H46" t="s">
        <v>1133</v>
      </c>
      <c r="I46" t="s">
        <v>2093</v>
      </c>
      <c r="J46" t="s">
        <v>3085</v>
      </c>
      <c r="K46" s="1">
        <v>44901</v>
      </c>
      <c r="L46">
        <f>YEAR(Customer_Data[[#This Row],[LastPurchaseDate]])</f>
        <v>2023</v>
      </c>
      <c r="M46">
        <f>MONTH(Customer_Data[[#This Row],[LastPurchaseDate]])</f>
        <v>11</v>
      </c>
      <c r="N46" s="7">
        <v>45250</v>
      </c>
      <c r="O46">
        <v>34</v>
      </c>
      <c r="P46" s="4">
        <v>9479.5</v>
      </c>
      <c r="Q46" t="s">
        <v>4035</v>
      </c>
      <c r="R46">
        <v>4</v>
      </c>
      <c r="S46">
        <v>278.81</v>
      </c>
    </row>
    <row r="47" spans="1:19" x14ac:dyDescent="0.25">
      <c r="A47">
        <v>46</v>
      </c>
      <c r="B47" t="s">
        <v>53</v>
      </c>
      <c r="C47" t="s">
        <v>409</v>
      </c>
      <c r="D47" t="s">
        <v>851</v>
      </c>
      <c r="E47">
        <v>62</v>
      </c>
      <c r="F47" t="str" cm="1">
        <f t="array" ref="F47">INDEX(Country!$B$3:$B$250, MATCH(TRUE, ISNUMBER(SEARCH(Country!$A$2:$A$509, Customer_Data[[#This Row],[Country]])),0 ))</f>
        <v>Asia</v>
      </c>
      <c r="G47" t="s">
        <v>895</v>
      </c>
      <c r="H47" t="s">
        <v>1134</v>
      </c>
      <c r="I47" t="s">
        <v>2094</v>
      </c>
      <c r="J47" t="s">
        <v>3086</v>
      </c>
      <c r="K47" s="1">
        <v>45394</v>
      </c>
      <c r="L47">
        <f>YEAR(Customer_Data[[#This Row],[LastPurchaseDate]])</f>
        <v>2024</v>
      </c>
      <c r="M47">
        <f>MONTH(Customer_Data[[#This Row],[LastPurchaseDate]])</f>
        <v>7</v>
      </c>
      <c r="N47" s="7">
        <v>45486</v>
      </c>
      <c r="O47">
        <v>38</v>
      </c>
      <c r="P47" s="4">
        <v>7063.78</v>
      </c>
      <c r="Q47" t="s">
        <v>4034</v>
      </c>
      <c r="R47">
        <v>1</v>
      </c>
      <c r="S47">
        <v>185.89</v>
      </c>
    </row>
    <row r="48" spans="1:19" x14ac:dyDescent="0.25">
      <c r="A48">
        <v>47</v>
      </c>
      <c r="B48" t="s">
        <v>55</v>
      </c>
      <c r="C48" t="s">
        <v>410</v>
      </c>
      <c r="D48" t="s">
        <v>850</v>
      </c>
      <c r="E48">
        <v>59</v>
      </c>
      <c r="F48" t="str" cm="1">
        <f t="array" ref="F48">INDEX(Country!$B$3:$B$250, MATCH(TRUE, ISNUMBER(SEARCH(Country!$A$2:$A$509, Customer_Data[[#This Row],[Country]])),0 ))</f>
        <v>Europe</v>
      </c>
      <c r="G48" t="s">
        <v>896</v>
      </c>
      <c r="H48" t="s">
        <v>1135</v>
      </c>
      <c r="I48" t="s">
        <v>2095</v>
      </c>
      <c r="J48" t="s">
        <v>3087</v>
      </c>
      <c r="K48" s="1">
        <v>45669</v>
      </c>
      <c r="L48">
        <f>YEAR(Customer_Data[[#This Row],[LastPurchaseDate]])</f>
        <v>2025</v>
      </c>
      <c r="M48">
        <f>MONTH(Customer_Data[[#This Row],[LastPurchaseDate]])</f>
        <v>5</v>
      </c>
      <c r="N48" s="7">
        <v>45787</v>
      </c>
      <c r="O48">
        <v>17</v>
      </c>
      <c r="P48" s="4">
        <v>9133.2000000000007</v>
      </c>
      <c r="Q48" t="s">
        <v>4035</v>
      </c>
      <c r="R48">
        <v>5</v>
      </c>
      <c r="S48">
        <v>537.25</v>
      </c>
    </row>
    <row r="49" spans="1:19" x14ac:dyDescent="0.25">
      <c r="A49">
        <v>48</v>
      </c>
      <c r="B49" t="s">
        <v>56</v>
      </c>
      <c r="C49" t="s">
        <v>398</v>
      </c>
      <c r="D49" t="s">
        <v>850</v>
      </c>
      <c r="E49">
        <v>34</v>
      </c>
      <c r="F49" t="str" cm="1">
        <f t="array" ref="F49">INDEX(Country!$B$3:$B$250, MATCH(TRUE, ISNUMBER(SEARCH(Country!$A$2:$A$509, Customer_Data[[#This Row],[Country]])),0 ))</f>
        <v>Oceania</v>
      </c>
      <c r="G49" t="s">
        <v>897</v>
      </c>
      <c r="H49" t="s">
        <v>1136</v>
      </c>
      <c r="I49" t="s">
        <v>2096</v>
      </c>
      <c r="J49" t="s">
        <v>3088</v>
      </c>
      <c r="K49" s="1">
        <v>45482</v>
      </c>
      <c r="L49">
        <f>YEAR(Customer_Data[[#This Row],[LastPurchaseDate]])</f>
        <v>2024</v>
      </c>
      <c r="M49">
        <f>MONTH(Customer_Data[[#This Row],[LastPurchaseDate]])</f>
        <v>9</v>
      </c>
      <c r="N49" s="7">
        <v>45559</v>
      </c>
      <c r="O49">
        <v>18</v>
      </c>
      <c r="P49" s="4">
        <v>4018.54</v>
      </c>
      <c r="Q49" t="s">
        <v>4035</v>
      </c>
      <c r="R49">
        <v>1</v>
      </c>
      <c r="S49">
        <v>223.25</v>
      </c>
    </row>
    <row r="50" spans="1:19" x14ac:dyDescent="0.25">
      <c r="A50">
        <v>49</v>
      </c>
      <c r="B50" t="s">
        <v>57</v>
      </c>
      <c r="C50" t="s">
        <v>251</v>
      </c>
      <c r="D50" t="s">
        <v>851</v>
      </c>
      <c r="E50">
        <v>48</v>
      </c>
      <c r="F50" t="str" cm="1">
        <f t="array" ref="F50">INDEX(Country!$B$3:$B$250, MATCH(TRUE, ISNUMBER(SEARCH(Country!$A$2:$A$509, Customer_Data[[#This Row],[Country]])),0 ))</f>
        <v>Asia</v>
      </c>
      <c r="G50" t="s">
        <v>898</v>
      </c>
      <c r="H50" t="s">
        <v>1137</v>
      </c>
      <c r="I50" t="s">
        <v>2097</v>
      </c>
      <c r="J50" t="s">
        <v>3089</v>
      </c>
      <c r="K50" s="1">
        <v>45060</v>
      </c>
      <c r="L50">
        <f>YEAR(Customer_Data[[#This Row],[LastPurchaseDate]])</f>
        <v>2024</v>
      </c>
      <c r="M50">
        <f>MONTH(Customer_Data[[#This Row],[LastPurchaseDate]])</f>
        <v>10</v>
      </c>
      <c r="N50" s="7">
        <v>45590</v>
      </c>
      <c r="O50">
        <v>35</v>
      </c>
      <c r="P50" s="4">
        <v>6374.47</v>
      </c>
      <c r="Q50" t="s">
        <v>4034</v>
      </c>
      <c r="R50">
        <v>4</v>
      </c>
      <c r="S50">
        <v>182.13</v>
      </c>
    </row>
    <row r="51" spans="1:19" x14ac:dyDescent="0.25">
      <c r="A51">
        <v>50</v>
      </c>
      <c r="B51" t="s">
        <v>58</v>
      </c>
      <c r="C51" t="s">
        <v>411</v>
      </c>
      <c r="D51" t="s">
        <v>850</v>
      </c>
      <c r="E51">
        <v>52</v>
      </c>
      <c r="F51" t="str" cm="1">
        <f t="array" ref="F51">INDEX(Country!$B$3:$B$250, MATCH(TRUE, ISNUMBER(SEARCH(Country!$A$2:$A$509, Customer_Data[[#This Row],[Country]])),0 ))</f>
        <v>Europe</v>
      </c>
      <c r="G51" t="s">
        <v>899</v>
      </c>
      <c r="H51" t="s">
        <v>1138</v>
      </c>
      <c r="I51" t="s">
        <v>2098</v>
      </c>
      <c r="J51" t="s">
        <v>3090</v>
      </c>
      <c r="K51" s="1">
        <v>45890</v>
      </c>
      <c r="L51">
        <f>YEAR(Customer_Data[[#This Row],[LastPurchaseDate]])</f>
        <v>2024</v>
      </c>
      <c r="M51">
        <f>MONTH(Customer_Data[[#This Row],[LastPurchaseDate]])</f>
        <v>8</v>
      </c>
      <c r="N51" s="7">
        <v>45530</v>
      </c>
      <c r="O51">
        <v>33</v>
      </c>
      <c r="P51" s="4">
        <v>8462.51</v>
      </c>
      <c r="Q51" t="s">
        <v>4035</v>
      </c>
      <c r="R51">
        <v>1</v>
      </c>
      <c r="S51">
        <v>256.44</v>
      </c>
    </row>
    <row r="52" spans="1:19" x14ac:dyDescent="0.25">
      <c r="A52">
        <v>51</v>
      </c>
      <c r="B52" t="s">
        <v>37</v>
      </c>
      <c r="C52" t="s">
        <v>412</v>
      </c>
      <c r="D52" t="s">
        <v>851</v>
      </c>
      <c r="E52">
        <v>54</v>
      </c>
      <c r="F52" t="str" cm="1">
        <f t="array" ref="F52">INDEX(Country!$B$3:$B$250, MATCH(TRUE, ISNUMBER(SEARCH(Country!$A$2:$A$509, Customer_Data[[#This Row],[Country]])),0 ))</f>
        <v>Africa</v>
      </c>
      <c r="G52" t="s">
        <v>900</v>
      </c>
      <c r="H52" t="s">
        <v>1139</v>
      </c>
      <c r="I52" t="s">
        <v>2099</v>
      </c>
      <c r="J52" t="s">
        <v>3091</v>
      </c>
      <c r="K52" s="1">
        <v>45665</v>
      </c>
      <c r="L52">
        <f>YEAR(Customer_Data[[#This Row],[LastPurchaseDate]])</f>
        <v>2023</v>
      </c>
      <c r="M52">
        <f>MONTH(Customer_Data[[#This Row],[LastPurchaseDate]])</f>
        <v>12</v>
      </c>
      <c r="N52" s="7">
        <v>45287</v>
      </c>
      <c r="O52">
        <v>37</v>
      </c>
      <c r="P52" s="4">
        <v>8723.4500000000007</v>
      </c>
      <c r="Q52" t="s">
        <v>4035</v>
      </c>
      <c r="R52">
        <v>2</v>
      </c>
      <c r="S52">
        <v>235.77</v>
      </c>
    </row>
    <row r="53" spans="1:19" x14ac:dyDescent="0.25">
      <c r="A53">
        <v>52</v>
      </c>
      <c r="B53" t="s">
        <v>59</v>
      </c>
      <c r="C53" t="s">
        <v>413</v>
      </c>
      <c r="D53" t="s">
        <v>851</v>
      </c>
      <c r="E53">
        <v>39</v>
      </c>
      <c r="F53" t="str" cm="1">
        <f t="array" ref="F53">INDEX(Country!$B$3:$B$250, MATCH(TRUE, ISNUMBER(SEARCH(Country!$A$2:$A$509, Customer_Data[[#This Row],[Country]])),0 ))</f>
        <v>North America</v>
      </c>
      <c r="G53" t="s">
        <v>901</v>
      </c>
      <c r="H53" t="s">
        <v>1140</v>
      </c>
      <c r="I53" t="s">
        <v>2100</v>
      </c>
      <c r="J53" t="s">
        <v>3092</v>
      </c>
      <c r="K53" s="1">
        <v>45179</v>
      </c>
      <c r="L53">
        <f>YEAR(Customer_Data[[#This Row],[LastPurchaseDate]])</f>
        <v>2023</v>
      </c>
      <c r="M53">
        <f>MONTH(Customer_Data[[#This Row],[LastPurchaseDate]])</f>
        <v>12</v>
      </c>
      <c r="N53" s="7">
        <v>45272</v>
      </c>
      <c r="O53">
        <v>49</v>
      </c>
      <c r="P53" s="4">
        <v>8090.21</v>
      </c>
      <c r="Q53" t="s">
        <v>4035</v>
      </c>
      <c r="R53">
        <v>3</v>
      </c>
      <c r="S53">
        <v>165.11</v>
      </c>
    </row>
    <row r="54" spans="1:19" x14ac:dyDescent="0.25">
      <c r="A54">
        <v>53</v>
      </c>
      <c r="B54" t="s">
        <v>60</v>
      </c>
      <c r="C54" t="s">
        <v>414</v>
      </c>
      <c r="D54" t="s">
        <v>851</v>
      </c>
      <c r="E54">
        <v>50</v>
      </c>
      <c r="F54" t="str" cm="1">
        <f t="array" ref="F54">INDEX(Country!$B$3:$B$250, MATCH(TRUE, ISNUMBER(SEARCH(Country!$A$2:$A$509, Customer_Data[[#This Row],[Country]])),0 ))</f>
        <v>Africa</v>
      </c>
      <c r="G54" t="s">
        <v>867</v>
      </c>
      <c r="H54" t="s">
        <v>1141</v>
      </c>
      <c r="I54" t="s">
        <v>2101</v>
      </c>
      <c r="J54" t="s">
        <v>3093</v>
      </c>
      <c r="K54" s="1">
        <v>45542</v>
      </c>
      <c r="L54">
        <f>YEAR(Customer_Data[[#This Row],[LastPurchaseDate]])</f>
        <v>2025</v>
      </c>
      <c r="M54">
        <f>MONTH(Customer_Data[[#This Row],[LastPurchaseDate]])</f>
        <v>9</v>
      </c>
      <c r="N54" s="7">
        <v>45917</v>
      </c>
      <c r="O54">
        <v>27</v>
      </c>
      <c r="P54" s="4">
        <v>7413.06</v>
      </c>
      <c r="Q54" t="s">
        <v>4035</v>
      </c>
      <c r="R54">
        <v>3</v>
      </c>
      <c r="S54">
        <v>274.56</v>
      </c>
    </row>
    <row r="55" spans="1:19" x14ac:dyDescent="0.25">
      <c r="A55">
        <v>54</v>
      </c>
      <c r="B55" t="s">
        <v>61</v>
      </c>
      <c r="C55" t="s">
        <v>415</v>
      </c>
      <c r="D55" t="s">
        <v>852</v>
      </c>
      <c r="E55">
        <v>36</v>
      </c>
      <c r="F55" t="str" cm="1">
        <f t="array" ref="F55">INDEX(Country!$B$3:$B$250, MATCH(TRUE, ISNUMBER(SEARCH(Country!$A$2:$A$509, Customer_Data[[#This Row],[Country]])),0 ))</f>
        <v>Asia</v>
      </c>
      <c r="G55" t="s">
        <v>902</v>
      </c>
      <c r="H55" t="s">
        <v>1142</v>
      </c>
      <c r="I55" t="s">
        <v>2102</v>
      </c>
      <c r="J55" t="s">
        <v>3094</v>
      </c>
      <c r="K55" s="1">
        <v>45225</v>
      </c>
      <c r="L55">
        <f>YEAR(Customer_Data[[#This Row],[LastPurchaseDate]])</f>
        <v>2025</v>
      </c>
      <c r="M55">
        <f>MONTH(Customer_Data[[#This Row],[LastPurchaseDate]])</f>
        <v>10</v>
      </c>
      <c r="N55" s="7">
        <v>45940</v>
      </c>
      <c r="O55">
        <v>7</v>
      </c>
      <c r="P55" s="4">
        <v>184.75</v>
      </c>
      <c r="Q55" t="s">
        <v>4034</v>
      </c>
      <c r="R55">
        <v>3</v>
      </c>
      <c r="S55">
        <v>26.39</v>
      </c>
    </row>
    <row r="56" spans="1:19" x14ac:dyDescent="0.25">
      <c r="A56">
        <v>55</v>
      </c>
      <c r="B56" t="s">
        <v>33</v>
      </c>
      <c r="C56" t="s">
        <v>416</v>
      </c>
      <c r="D56" t="s">
        <v>851</v>
      </c>
      <c r="E56">
        <v>70</v>
      </c>
      <c r="F56" t="str" cm="1">
        <f t="array" ref="F56">INDEX(Country!$B$3:$B$250, MATCH(TRUE, ISNUMBER(SEARCH(Country!$A$2:$A$509, Customer_Data[[#This Row],[Country]])),0 ))</f>
        <v>Oceania</v>
      </c>
      <c r="G56" t="s">
        <v>903</v>
      </c>
      <c r="H56" t="s">
        <v>1143</v>
      </c>
      <c r="I56" t="s">
        <v>2103</v>
      </c>
      <c r="J56" t="s">
        <v>3095</v>
      </c>
      <c r="K56" s="1">
        <v>45906</v>
      </c>
      <c r="L56">
        <f>YEAR(Customer_Data[[#This Row],[LastPurchaseDate]])</f>
        <v>2024</v>
      </c>
      <c r="M56">
        <f>MONTH(Customer_Data[[#This Row],[LastPurchaseDate]])</f>
        <v>11</v>
      </c>
      <c r="N56" s="7">
        <v>45605</v>
      </c>
      <c r="O56">
        <v>9</v>
      </c>
      <c r="P56" s="4">
        <v>7161.76</v>
      </c>
      <c r="Q56" t="s">
        <v>4035</v>
      </c>
      <c r="R56">
        <v>5</v>
      </c>
      <c r="S56">
        <v>795.75</v>
      </c>
    </row>
    <row r="57" spans="1:19" x14ac:dyDescent="0.25">
      <c r="A57">
        <v>56</v>
      </c>
      <c r="B57" t="s">
        <v>62</v>
      </c>
      <c r="C57" t="s">
        <v>417</v>
      </c>
      <c r="D57" t="s">
        <v>850</v>
      </c>
      <c r="E57">
        <v>40</v>
      </c>
      <c r="F57" t="str" cm="1">
        <f t="array" ref="F57">INDEX(Country!$B$3:$B$250, MATCH(TRUE, ISNUMBER(SEARCH(Country!$A$2:$A$509, Customer_Data[[#This Row],[Country]])),0 ))</f>
        <v>North America</v>
      </c>
      <c r="G57" t="s">
        <v>904</v>
      </c>
      <c r="H57" t="s">
        <v>1144</v>
      </c>
      <c r="I57" t="s">
        <v>2104</v>
      </c>
      <c r="J57" t="s">
        <v>3096</v>
      </c>
      <c r="K57" s="1">
        <v>45611</v>
      </c>
      <c r="L57">
        <f>YEAR(Customer_Data[[#This Row],[LastPurchaseDate]])</f>
        <v>2025</v>
      </c>
      <c r="M57">
        <f>MONTH(Customer_Data[[#This Row],[LastPurchaseDate]])</f>
        <v>9</v>
      </c>
      <c r="N57" s="7">
        <v>45904</v>
      </c>
      <c r="O57">
        <v>13</v>
      </c>
      <c r="P57" s="4">
        <v>8373.25</v>
      </c>
      <c r="Q57" t="s">
        <v>4034</v>
      </c>
      <c r="R57">
        <v>2</v>
      </c>
      <c r="S57">
        <v>644.1</v>
      </c>
    </row>
    <row r="58" spans="1:19" x14ac:dyDescent="0.25">
      <c r="A58">
        <v>57</v>
      </c>
      <c r="B58" t="s">
        <v>63</v>
      </c>
      <c r="C58" t="s">
        <v>376</v>
      </c>
      <c r="D58" t="s">
        <v>850</v>
      </c>
      <c r="E58">
        <v>26</v>
      </c>
      <c r="F58" t="str" cm="1">
        <f t="array" ref="F58">INDEX(Country!$B$3:$B$250, MATCH(TRUE, ISNUMBER(SEARCH(Country!$A$2:$A$509, Customer_Data[[#This Row],[Country]])),0 ))</f>
        <v>North America</v>
      </c>
      <c r="G58" t="s">
        <v>863</v>
      </c>
      <c r="H58" t="s">
        <v>1145</v>
      </c>
      <c r="I58" t="s">
        <v>2105</v>
      </c>
      <c r="J58" t="s">
        <v>3097</v>
      </c>
      <c r="K58" s="1">
        <v>45144</v>
      </c>
      <c r="L58">
        <f>YEAR(Customer_Data[[#This Row],[LastPurchaseDate]])</f>
        <v>2025</v>
      </c>
      <c r="M58">
        <f>MONTH(Customer_Data[[#This Row],[LastPurchaseDate]])</f>
        <v>4</v>
      </c>
      <c r="N58" s="7">
        <v>45767</v>
      </c>
      <c r="O58">
        <v>13</v>
      </c>
      <c r="P58" s="4">
        <v>3582.07</v>
      </c>
      <c r="Q58" t="s">
        <v>4035</v>
      </c>
      <c r="R58">
        <v>1</v>
      </c>
      <c r="S58">
        <v>275.54000000000002</v>
      </c>
    </row>
    <row r="59" spans="1:19" x14ac:dyDescent="0.25">
      <c r="A59">
        <v>58</v>
      </c>
      <c r="B59" t="s">
        <v>64</v>
      </c>
      <c r="C59" t="s">
        <v>418</v>
      </c>
      <c r="D59" t="s">
        <v>850</v>
      </c>
      <c r="E59">
        <v>70</v>
      </c>
      <c r="F59" t="str" cm="1">
        <f t="array" ref="F59">INDEX(Country!$B$3:$B$250, MATCH(TRUE, ISNUMBER(SEARCH(Country!$A$2:$A$509, Customer_Data[[#This Row],[Country]])),0 ))</f>
        <v>Asia</v>
      </c>
      <c r="G59" t="s">
        <v>905</v>
      </c>
      <c r="H59" t="s">
        <v>1146</v>
      </c>
      <c r="I59" t="s">
        <v>2106</v>
      </c>
      <c r="J59" t="s">
        <v>3098</v>
      </c>
      <c r="K59" s="1">
        <v>44906</v>
      </c>
      <c r="L59">
        <f>YEAR(Customer_Data[[#This Row],[LastPurchaseDate]])</f>
        <v>2025</v>
      </c>
      <c r="M59">
        <f>MONTH(Customer_Data[[#This Row],[LastPurchaseDate]])</f>
        <v>5</v>
      </c>
      <c r="N59" s="7">
        <v>45782</v>
      </c>
      <c r="O59">
        <v>47</v>
      </c>
      <c r="P59" s="4">
        <v>4097.66</v>
      </c>
      <c r="Q59" t="s">
        <v>4034</v>
      </c>
      <c r="R59">
        <v>4</v>
      </c>
      <c r="S59">
        <v>87.18</v>
      </c>
    </row>
    <row r="60" spans="1:19" x14ac:dyDescent="0.25">
      <c r="A60">
        <v>59</v>
      </c>
      <c r="B60" t="s">
        <v>65</v>
      </c>
      <c r="C60" t="s">
        <v>419</v>
      </c>
      <c r="D60" t="s">
        <v>850</v>
      </c>
      <c r="E60">
        <v>62</v>
      </c>
      <c r="F60" t="str" cm="1">
        <f t="array" ref="F60">INDEX(Country!$B$3:$B$250, MATCH(TRUE, ISNUMBER(SEARCH(Country!$A$2:$A$509, Customer_Data[[#This Row],[Country]])),0 ))</f>
        <v>North America</v>
      </c>
      <c r="G60" t="s">
        <v>906</v>
      </c>
      <c r="H60" t="s">
        <v>1147</v>
      </c>
      <c r="I60" t="s">
        <v>2107</v>
      </c>
      <c r="J60" t="s">
        <v>3099</v>
      </c>
      <c r="K60" s="1">
        <v>44979</v>
      </c>
      <c r="L60">
        <f>YEAR(Customer_Data[[#This Row],[LastPurchaseDate]])</f>
        <v>2025</v>
      </c>
      <c r="M60">
        <f>MONTH(Customer_Data[[#This Row],[LastPurchaseDate]])</f>
        <v>7</v>
      </c>
      <c r="N60" s="7">
        <v>45866</v>
      </c>
      <c r="O60">
        <v>1</v>
      </c>
      <c r="P60" s="4">
        <v>4958.8999999999996</v>
      </c>
      <c r="Q60" t="s">
        <v>4034</v>
      </c>
      <c r="R60">
        <v>5</v>
      </c>
      <c r="S60">
        <v>4958.8999999999996</v>
      </c>
    </row>
    <row r="61" spans="1:19" x14ac:dyDescent="0.25">
      <c r="A61">
        <v>60</v>
      </c>
      <c r="B61" t="s">
        <v>37</v>
      </c>
      <c r="C61" t="s">
        <v>420</v>
      </c>
      <c r="D61" t="s">
        <v>850</v>
      </c>
      <c r="E61">
        <v>68</v>
      </c>
      <c r="F61" t="str" cm="1">
        <f t="array" ref="F61">INDEX(Country!$B$3:$B$250, MATCH(TRUE, ISNUMBER(SEARCH(Country!$A$2:$A$509, Customer_Data[[#This Row],[Country]])),0 ))</f>
        <v>Africa</v>
      </c>
      <c r="G61" t="s">
        <v>907</v>
      </c>
      <c r="H61" t="s">
        <v>1117</v>
      </c>
      <c r="I61" t="s">
        <v>2108</v>
      </c>
      <c r="J61" t="s">
        <v>3100</v>
      </c>
      <c r="K61" s="1">
        <v>45427</v>
      </c>
      <c r="L61">
        <f>YEAR(Customer_Data[[#This Row],[LastPurchaseDate]])</f>
        <v>2024</v>
      </c>
      <c r="M61">
        <f>MONTH(Customer_Data[[#This Row],[LastPurchaseDate]])</f>
        <v>8</v>
      </c>
      <c r="N61" s="7">
        <v>45505</v>
      </c>
      <c r="O61">
        <v>35</v>
      </c>
      <c r="P61" s="4">
        <v>7823.96</v>
      </c>
      <c r="Q61" t="s">
        <v>4035</v>
      </c>
      <c r="R61">
        <v>2</v>
      </c>
      <c r="S61">
        <v>223.54</v>
      </c>
    </row>
    <row r="62" spans="1:19" x14ac:dyDescent="0.25">
      <c r="A62">
        <v>61</v>
      </c>
      <c r="B62" t="s">
        <v>66</v>
      </c>
      <c r="C62" t="s">
        <v>219</v>
      </c>
      <c r="D62" t="s">
        <v>851</v>
      </c>
      <c r="E62">
        <v>33</v>
      </c>
      <c r="F62" t="str" cm="1">
        <f t="array" ref="F62">INDEX(Country!$B$3:$B$250, MATCH(TRUE, ISNUMBER(SEARCH(Country!$A$2:$A$509, Customer_Data[[#This Row],[Country]])),0 ))</f>
        <v>Africa</v>
      </c>
      <c r="G62" t="s">
        <v>908</v>
      </c>
      <c r="H62" t="s">
        <v>1148</v>
      </c>
      <c r="I62" t="s">
        <v>2109</v>
      </c>
      <c r="J62" t="s">
        <v>3101</v>
      </c>
      <c r="K62" s="1">
        <v>45837</v>
      </c>
      <c r="L62">
        <f>YEAR(Customer_Data[[#This Row],[LastPurchaseDate]])</f>
        <v>2025</v>
      </c>
      <c r="M62">
        <f>MONTH(Customer_Data[[#This Row],[LastPurchaseDate]])</f>
        <v>7</v>
      </c>
      <c r="N62" s="7">
        <v>45867</v>
      </c>
      <c r="O62">
        <v>35</v>
      </c>
      <c r="P62" s="4">
        <v>8192.5</v>
      </c>
      <c r="Q62" t="s">
        <v>4034</v>
      </c>
      <c r="R62">
        <v>3</v>
      </c>
      <c r="S62">
        <v>234.07</v>
      </c>
    </row>
    <row r="63" spans="1:19" x14ac:dyDescent="0.25">
      <c r="A63">
        <v>62</v>
      </c>
      <c r="B63" t="s">
        <v>58</v>
      </c>
      <c r="C63" t="s">
        <v>421</v>
      </c>
      <c r="D63" t="s">
        <v>850</v>
      </c>
      <c r="E63">
        <v>61</v>
      </c>
      <c r="F63" t="str" cm="1">
        <f t="array" ref="F63">INDEX(Country!$B$3:$B$250, MATCH(TRUE, ISNUMBER(SEARCH(Country!$A$2:$A$509, Customer_Data[[#This Row],[Country]])),0 ))</f>
        <v>Asia</v>
      </c>
      <c r="G63" t="s">
        <v>909</v>
      </c>
      <c r="H63" t="s">
        <v>1149</v>
      </c>
      <c r="I63" t="s">
        <v>2110</v>
      </c>
      <c r="J63" t="s">
        <v>3102</v>
      </c>
      <c r="K63" s="1">
        <v>45620</v>
      </c>
      <c r="L63">
        <f>YEAR(Customer_Data[[#This Row],[LastPurchaseDate]])</f>
        <v>2025</v>
      </c>
      <c r="M63">
        <f>MONTH(Customer_Data[[#This Row],[LastPurchaseDate]])</f>
        <v>6</v>
      </c>
      <c r="N63" s="7">
        <v>45822</v>
      </c>
      <c r="O63">
        <v>32</v>
      </c>
      <c r="P63" s="4">
        <v>400.98</v>
      </c>
      <c r="Q63" t="s">
        <v>4035</v>
      </c>
      <c r="R63">
        <v>5</v>
      </c>
      <c r="S63">
        <v>12.53</v>
      </c>
    </row>
    <row r="64" spans="1:19" x14ac:dyDescent="0.25">
      <c r="A64">
        <v>63</v>
      </c>
      <c r="B64" t="s">
        <v>67</v>
      </c>
      <c r="C64" t="s">
        <v>384</v>
      </c>
      <c r="D64" t="s">
        <v>850</v>
      </c>
      <c r="E64">
        <v>36</v>
      </c>
      <c r="F64" t="str" cm="1">
        <f t="array" ref="F64">INDEX(Country!$B$3:$B$250, MATCH(TRUE, ISNUMBER(SEARCH(Country!$A$2:$A$509, Customer_Data[[#This Row],[Country]])),0 ))</f>
        <v>South America</v>
      </c>
      <c r="G64" t="s">
        <v>884</v>
      </c>
      <c r="H64" t="s">
        <v>1150</v>
      </c>
      <c r="I64" t="s">
        <v>2111</v>
      </c>
      <c r="J64" t="s">
        <v>3103</v>
      </c>
      <c r="K64" s="1">
        <v>45888</v>
      </c>
      <c r="L64">
        <f>YEAR(Customer_Data[[#This Row],[LastPurchaseDate]])</f>
        <v>2025</v>
      </c>
      <c r="M64">
        <f>MONTH(Customer_Data[[#This Row],[LastPurchaseDate]])</f>
        <v>5</v>
      </c>
      <c r="N64" s="7">
        <v>45786</v>
      </c>
      <c r="O64">
        <v>10</v>
      </c>
      <c r="P64" s="4">
        <v>9664.64</v>
      </c>
      <c r="Q64" t="s">
        <v>4034</v>
      </c>
      <c r="R64">
        <v>2</v>
      </c>
      <c r="S64">
        <v>966.46</v>
      </c>
    </row>
    <row r="65" spans="1:19" x14ac:dyDescent="0.25">
      <c r="A65">
        <v>64</v>
      </c>
      <c r="B65" t="s">
        <v>68</v>
      </c>
      <c r="C65" t="s">
        <v>307</v>
      </c>
      <c r="D65" t="s">
        <v>850</v>
      </c>
      <c r="E65">
        <v>72</v>
      </c>
      <c r="F65" t="str" cm="1">
        <f t="array" ref="F65">INDEX(Country!$B$3:$B$250, MATCH(TRUE, ISNUMBER(SEARCH(Country!$A$2:$A$509, Customer_Data[[#This Row],[Country]])),0 ))</f>
        <v>North America</v>
      </c>
      <c r="G65" t="s">
        <v>910</v>
      </c>
      <c r="H65" t="s">
        <v>1151</v>
      </c>
      <c r="I65" t="s">
        <v>2112</v>
      </c>
      <c r="J65" t="s">
        <v>3104</v>
      </c>
      <c r="K65" s="1">
        <v>45755</v>
      </c>
      <c r="L65">
        <f>YEAR(Customer_Data[[#This Row],[LastPurchaseDate]])</f>
        <v>2024</v>
      </c>
      <c r="M65">
        <f>MONTH(Customer_Data[[#This Row],[LastPurchaseDate]])</f>
        <v>11</v>
      </c>
      <c r="N65" s="7">
        <v>45626</v>
      </c>
      <c r="O65">
        <v>42</v>
      </c>
      <c r="P65" s="4">
        <v>2249.8000000000002</v>
      </c>
      <c r="Q65" t="s">
        <v>4035</v>
      </c>
      <c r="R65">
        <v>1</v>
      </c>
      <c r="S65">
        <v>53.57</v>
      </c>
    </row>
    <row r="66" spans="1:19" x14ac:dyDescent="0.25">
      <c r="A66">
        <v>65</v>
      </c>
      <c r="B66" t="s">
        <v>69</v>
      </c>
      <c r="C66" t="s">
        <v>422</v>
      </c>
      <c r="D66" t="s">
        <v>851</v>
      </c>
      <c r="E66">
        <v>66</v>
      </c>
      <c r="F66" t="str" cm="1">
        <f t="array" ref="F66">INDEX(Country!$B$3:$B$250, MATCH(TRUE, ISNUMBER(SEARCH(Country!$A$2:$A$509, Customer_Data[[#This Row],[Country]])),0 ))</f>
        <v>Europe</v>
      </c>
      <c r="G66" t="s">
        <v>911</v>
      </c>
      <c r="H66" t="s">
        <v>1152</v>
      </c>
      <c r="I66" t="s">
        <v>2113</v>
      </c>
      <c r="J66" t="s">
        <v>3105</v>
      </c>
      <c r="K66" s="1">
        <v>45153</v>
      </c>
      <c r="L66">
        <f>YEAR(Customer_Data[[#This Row],[LastPurchaseDate]])</f>
        <v>2023</v>
      </c>
      <c r="M66">
        <f>MONTH(Customer_Data[[#This Row],[LastPurchaseDate]])</f>
        <v>11</v>
      </c>
      <c r="N66" s="7">
        <v>45245</v>
      </c>
      <c r="O66">
        <v>48</v>
      </c>
      <c r="P66" s="4">
        <v>9198.2800000000007</v>
      </c>
      <c r="Q66" t="s">
        <v>4035</v>
      </c>
      <c r="R66">
        <v>2</v>
      </c>
      <c r="S66">
        <v>191.63</v>
      </c>
    </row>
    <row r="67" spans="1:19" x14ac:dyDescent="0.25">
      <c r="A67">
        <v>66</v>
      </c>
      <c r="B67" t="s">
        <v>70</v>
      </c>
      <c r="C67" t="s">
        <v>423</v>
      </c>
      <c r="D67" t="s">
        <v>851</v>
      </c>
      <c r="E67">
        <v>55</v>
      </c>
      <c r="F67" t="str" cm="1">
        <f t="array" ref="F67">INDEX(Country!$B$3:$B$250, MATCH(TRUE, ISNUMBER(SEARCH(Country!$A$2:$A$509, Customer_Data[[#This Row],[Country]])),0 ))</f>
        <v>Europe</v>
      </c>
      <c r="G67" t="s">
        <v>855</v>
      </c>
      <c r="H67" t="s">
        <v>1153</v>
      </c>
      <c r="I67" t="s">
        <v>2114</v>
      </c>
      <c r="J67" t="s">
        <v>3106</v>
      </c>
      <c r="K67" s="1">
        <v>45949</v>
      </c>
      <c r="L67">
        <f>YEAR(Customer_Data[[#This Row],[LastPurchaseDate]])</f>
        <v>2025</v>
      </c>
      <c r="M67">
        <f>MONTH(Customer_Data[[#This Row],[LastPurchaseDate]])</f>
        <v>4</v>
      </c>
      <c r="N67" s="7">
        <v>45753</v>
      </c>
      <c r="O67">
        <v>10</v>
      </c>
      <c r="P67" s="4">
        <v>6064.45</v>
      </c>
      <c r="Q67" t="s">
        <v>4035</v>
      </c>
      <c r="R67">
        <v>1</v>
      </c>
      <c r="S67">
        <v>606.44000000000005</v>
      </c>
    </row>
    <row r="68" spans="1:19" x14ac:dyDescent="0.25">
      <c r="A68">
        <v>67</v>
      </c>
      <c r="B68" t="s">
        <v>71</v>
      </c>
      <c r="C68" t="s">
        <v>424</v>
      </c>
      <c r="D68" t="s">
        <v>850</v>
      </c>
      <c r="E68">
        <v>37</v>
      </c>
      <c r="F68" t="str" cm="1">
        <f t="array" ref="F68">INDEX(Country!$B$3:$B$250, MATCH(TRUE, ISNUMBER(SEARCH(Country!$A$2:$A$509, Customer_Data[[#This Row],[Country]])),0 ))</f>
        <v>Europe</v>
      </c>
      <c r="G68" t="s">
        <v>912</v>
      </c>
      <c r="H68" t="s">
        <v>1154</v>
      </c>
      <c r="I68" t="s">
        <v>2115</v>
      </c>
      <c r="J68" t="s">
        <v>3107</v>
      </c>
      <c r="K68" s="1">
        <v>45162</v>
      </c>
      <c r="L68">
        <f>YEAR(Customer_Data[[#This Row],[LastPurchaseDate]])</f>
        <v>2025</v>
      </c>
      <c r="M68">
        <f>MONTH(Customer_Data[[#This Row],[LastPurchaseDate]])</f>
        <v>5</v>
      </c>
      <c r="N68" s="7">
        <v>45779</v>
      </c>
      <c r="O68">
        <v>7</v>
      </c>
      <c r="P68" s="4">
        <v>5372.56</v>
      </c>
      <c r="Q68" t="s">
        <v>4035</v>
      </c>
      <c r="R68">
        <v>2</v>
      </c>
      <c r="S68">
        <v>767.51</v>
      </c>
    </row>
    <row r="69" spans="1:19" x14ac:dyDescent="0.25">
      <c r="A69">
        <v>68</v>
      </c>
      <c r="B69" t="s">
        <v>72</v>
      </c>
      <c r="C69" t="s">
        <v>379</v>
      </c>
      <c r="D69" t="s">
        <v>851</v>
      </c>
      <c r="E69">
        <v>38</v>
      </c>
      <c r="F69" t="str" cm="1">
        <f t="array" ref="F69">INDEX(Country!$B$3:$B$250, MATCH(TRUE, ISNUMBER(SEARCH(Country!$A$2:$A$509, Customer_Data[[#This Row],[Country]])),0 ))</f>
        <v>Asia</v>
      </c>
      <c r="G69" t="s">
        <v>913</v>
      </c>
      <c r="H69" t="s">
        <v>1155</v>
      </c>
      <c r="I69" t="s">
        <v>2116</v>
      </c>
      <c r="J69" t="s">
        <v>3108</v>
      </c>
      <c r="K69" s="1">
        <v>45303</v>
      </c>
      <c r="L69">
        <f>YEAR(Customer_Data[[#This Row],[LastPurchaseDate]])</f>
        <v>2025</v>
      </c>
      <c r="M69">
        <f>MONTH(Customer_Data[[#This Row],[LastPurchaseDate]])</f>
        <v>9</v>
      </c>
      <c r="N69" s="7">
        <v>45910</v>
      </c>
      <c r="O69">
        <v>28</v>
      </c>
      <c r="P69" s="4">
        <v>4885.58</v>
      </c>
      <c r="Q69" t="s">
        <v>4035</v>
      </c>
      <c r="R69">
        <v>1</v>
      </c>
      <c r="S69">
        <v>174.48</v>
      </c>
    </row>
    <row r="70" spans="1:19" x14ac:dyDescent="0.25">
      <c r="A70">
        <v>69</v>
      </c>
      <c r="B70" t="s">
        <v>73</v>
      </c>
      <c r="C70" t="s">
        <v>425</v>
      </c>
      <c r="D70" t="s">
        <v>850</v>
      </c>
      <c r="E70">
        <v>22</v>
      </c>
      <c r="F70" t="str" cm="1">
        <f t="array" ref="F70">INDEX(Country!$B$3:$B$250, MATCH(TRUE, ISNUMBER(SEARCH(Country!$A$2:$A$509, Customer_Data[[#This Row],[Country]])),0 ))</f>
        <v>South America</v>
      </c>
      <c r="G70" t="s">
        <v>885</v>
      </c>
      <c r="H70" t="s">
        <v>1156</v>
      </c>
      <c r="I70" t="s">
        <v>2117</v>
      </c>
      <c r="J70" t="s">
        <v>3109</v>
      </c>
      <c r="K70" s="1">
        <v>44871</v>
      </c>
      <c r="L70">
        <f>YEAR(Customer_Data[[#This Row],[LastPurchaseDate]])</f>
        <v>2023</v>
      </c>
      <c r="M70">
        <f>MONTH(Customer_Data[[#This Row],[LastPurchaseDate]])</f>
        <v>11</v>
      </c>
      <c r="N70" s="7">
        <v>45241</v>
      </c>
      <c r="O70">
        <v>48</v>
      </c>
      <c r="P70" s="4">
        <v>1215.98</v>
      </c>
      <c r="Q70" t="s">
        <v>4035</v>
      </c>
      <c r="R70">
        <v>3</v>
      </c>
      <c r="S70">
        <v>25.33</v>
      </c>
    </row>
    <row r="71" spans="1:19" x14ac:dyDescent="0.25">
      <c r="A71">
        <v>70</v>
      </c>
      <c r="B71" t="s">
        <v>74</v>
      </c>
      <c r="C71" t="s">
        <v>426</v>
      </c>
      <c r="D71" t="s">
        <v>850</v>
      </c>
      <c r="E71">
        <v>27</v>
      </c>
      <c r="F71" t="str" cm="1">
        <f t="array" ref="F71">INDEX(Country!$B$3:$B$250, MATCH(TRUE, ISNUMBER(SEARCH(Country!$A$2:$A$509, Customer_Data[[#This Row],[Country]])),0 ))</f>
        <v>Europe</v>
      </c>
      <c r="G71" t="s">
        <v>914</v>
      </c>
      <c r="H71" t="s">
        <v>1157</v>
      </c>
      <c r="I71" t="s">
        <v>2118</v>
      </c>
      <c r="J71" t="s">
        <v>3110</v>
      </c>
      <c r="K71" s="1">
        <v>45674</v>
      </c>
      <c r="L71">
        <f>YEAR(Customer_Data[[#This Row],[LastPurchaseDate]])</f>
        <v>2025</v>
      </c>
      <c r="M71">
        <f>MONTH(Customer_Data[[#This Row],[LastPurchaseDate]])</f>
        <v>7</v>
      </c>
      <c r="N71" s="7">
        <v>45852</v>
      </c>
      <c r="O71">
        <v>17</v>
      </c>
      <c r="P71" s="4">
        <v>4812.84</v>
      </c>
      <c r="Q71" t="s">
        <v>4034</v>
      </c>
      <c r="R71">
        <v>4</v>
      </c>
      <c r="S71">
        <v>283.11</v>
      </c>
    </row>
    <row r="72" spans="1:19" x14ac:dyDescent="0.25">
      <c r="A72">
        <v>71</v>
      </c>
      <c r="B72" t="s">
        <v>75</v>
      </c>
      <c r="C72" t="s">
        <v>409</v>
      </c>
      <c r="D72" t="s">
        <v>851</v>
      </c>
      <c r="E72">
        <v>20</v>
      </c>
      <c r="F72" t="str" cm="1">
        <f t="array" ref="F72">INDEX(Country!$B$3:$B$250, MATCH(TRUE, ISNUMBER(SEARCH(Country!$A$2:$A$509, Customer_Data[[#This Row],[Country]])),0 ))</f>
        <v>Europe</v>
      </c>
      <c r="G72" t="s">
        <v>871</v>
      </c>
      <c r="H72" t="s">
        <v>1158</v>
      </c>
      <c r="I72" t="s">
        <v>2119</v>
      </c>
      <c r="J72" t="s">
        <v>3111</v>
      </c>
      <c r="K72" s="1">
        <v>45268</v>
      </c>
      <c r="L72">
        <f>YEAR(Customer_Data[[#This Row],[LastPurchaseDate]])</f>
        <v>2024</v>
      </c>
      <c r="M72">
        <f>MONTH(Customer_Data[[#This Row],[LastPurchaseDate]])</f>
        <v>1</v>
      </c>
      <c r="N72" s="7">
        <v>45308</v>
      </c>
      <c r="O72">
        <v>48</v>
      </c>
      <c r="P72" s="4">
        <v>8254.01</v>
      </c>
      <c r="Q72" t="s">
        <v>4035</v>
      </c>
      <c r="R72">
        <v>2</v>
      </c>
      <c r="S72">
        <v>171.96</v>
      </c>
    </row>
    <row r="73" spans="1:19" x14ac:dyDescent="0.25">
      <c r="A73">
        <v>72</v>
      </c>
      <c r="B73" t="s">
        <v>76</v>
      </c>
      <c r="C73" t="s">
        <v>427</v>
      </c>
      <c r="D73" t="s">
        <v>850</v>
      </c>
      <c r="E73">
        <v>64</v>
      </c>
      <c r="F73" t="str" cm="1">
        <f t="array" ref="F73">INDEX(Country!$B$3:$B$250, MATCH(TRUE, ISNUMBER(SEARCH(Country!$A$2:$A$509, Customer_Data[[#This Row],[Country]])),0 ))</f>
        <v>Asia</v>
      </c>
      <c r="G73" t="s">
        <v>915</v>
      </c>
      <c r="H73" t="s">
        <v>1159</v>
      </c>
      <c r="I73" t="s">
        <v>2120</v>
      </c>
      <c r="J73" t="s">
        <v>3112</v>
      </c>
      <c r="K73" s="1">
        <v>44945</v>
      </c>
      <c r="L73">
        <f>YEAR(Customer_Data[[#This Row],[LastPurchaseDate]])</f>
        <v>2024</v>
      </c>
      <c r="M73">
        <f>MONTH(Customer_Data[[#This Row],[LastPurchaseDate]])</f>
        <v>11</v>
      </c>
      <c r="N73" s="7">
        <v>45613</v>
      </c>
      <c r="O73">
        <v>10</v>
      </c>
      <c r="P73" s="4">
        <v>7364.41</v>
      </c>
      <c r="Q73" t="s">
        <v>4034</v>
      </c>
      <c r="R73">
        <v>2</v>
      </c>
      <c r="S73">
        <v>736.44</v>
      </c>
    </row>
    <row r="74" spans="1:19" x14ac:dyDescent="0.25">
      <c r="A74">
        <v>73</v>
      </c>
      <c r="B74" t="s">
        <v>77</v>
      </c>
      <c r="C74" t="s">
        <v>428</v>
      </c>
      <c r="D74" t="s">
        <v>851</v>
      </c>
      <c r="E74">
        <v>43</v>
      </c>
      <c r="F74" t="str" cm="1">
        <f t="array" ref="F74">INDEX(Country!$B$3:$B$250, MATCH(TRUE, ISNUMBER(SEARCH(Country!$A$2:$A$509, Customer_Data[[#This Row],[Country]])),0 ))</f>
        <v>Asia</v>
      </c>
      <c r="G74" t="s">
        <v>902</v>
      </c>
      <c r="H74" t="s">
        <v>1160</v>
      </c>
      <c r="I74" t="s">
        <v>2121</v>
      </c>
      <c r="J74" t="s">
        <v>3113</v>
      </c>
      <c r="K74" s="1">
        <v>45527</v>
      </c>
      <c r="L74">
        <f>YEAR(Customer_Data[[#This Row],[LastPurchaseDate]])</f>
        <v>2024</v>
      </c>
      <c r="M74">
        <f>MONTH(Customer_Data[[#This Row],[LastPurchaseDate]])</f>
        <v>12</v>
      </c>
      <c r="N74" s="7">
        <v>45645</v>
      </c>
      <c r="O74">
        <v>32</v>
      </c>
      <c r="P74" s="4">
        <v>4296.6899999999996</v>
      </c>
      <c r="Q74" t="s">
        <v>4035</v>
      </c>
      <c r="R74">
        <v>5</v>
      </c>
      <c r="S74">
        <v>134.27000000000001</v>
      </c>
    </row>
    <row r="75" spans="1:19" x14ac:dyDescent="0.25">
      <c r="A75">
        <v>74</v>
      </c>
      <c r="B75" t="s">
        <v>78</v>
      </c>
      <c r="C75" t="s">
        <v>429</v>
      </c>
      <c r="D75" t="s">
        <v>850</v>
      </c>
      <c r="E75">
        <v>26</v>
      </c>
      <c r="F75" t="str" cm="1">
        <f t="array" ref="F75">INDEX(Country!$B$3:$B$250, MATCH(TRUE, ISNUMBER(SEARCH(Country!$A$2:$A$509, Customer_Data[[#This Row],[Country]])),0 ))</f>
        <v>Oceania</v>
      </c>
      <c r="G75" t="s">
        <v>916</v>
      </c>
      <c r="H75" t="s">
        <v>1161</v>
      </c>
      <c r="I75" t="s">
        <v>2122</v>
      </c>
      <c r="J75" t="s">
        <v>3114</v>
      </c>
      <c r="K75" s="1">
        <v>45915</v>
      </c>
      <c r="L75">
        <f>YEAR(Customer_Data[[#This Row],[LastPurchaseDate]])</f>
        <v>2024</v>
      </c>
      <c r="M75">
        <f>MONTH(Customer_Data[[#This Row],[LastPurchaseDate]])</f>
        <v>12</v>
      </c>
      <c r="N75" s="7">
        <v>45650</v>
      </c>
      <c r="O75">
        <v>31</v>
      </c>
      <c r="P75" s="4">
        <v>7435.01</v>
      </c>
      <c r="Q75" t="s">
        <v>4035</v>
      </c>
      <c r="R75">
        <v>3</v>
      </c>
      <c r="S75">
        <v>239.84</v>
      </c>
    </row>
    <row r="76" spans="1:19" x14ac:dyDescent="0.25">
      <c r="A76">
        <v>75</v>
      </c>
      <c r="B76" t="s">
        <v>79</v>
      </c>
      <c r="C76" t="s">
        <v>430</v>
      </c>
      <c r="D76" t="s">
        <v>851</v>
      </c>
      <c r="E76">
        <v>21</v>
      </c>
      <c r="F76" t="str" cm="1">
        <f t="array" ref="F76">INDEX(Country!$B$3:$B$250, MATCH(TRUE, ISNUMBER(SEARCH(Country!$A$2:$A$509, Customer_Data[[#This Row],[Country]])),0 ))</f>
        <v>Oceania</v>
      </c>
      <c r="G76" t="s">
        <v>917</v>
      </c>
      <c r="H76" t="s">
        <v>1162</v>
      </c>
      <c r="I76" t="s">
        <v>2123</v>
      </c>
      <c r="J76" t="s">
        <v>3115</v>
      </c>
      <c r="K76" s="1">
        <v>45451</v>
      </c>
      <c r="L76">
        <f>YEAR(Customer_Data[[#This Row],[LastPurchaseDate]])</f>
        <v>2025</v>
      </c>
      <c r="M76">
        <f>MONTH(Customer_Data[[#This Row],[LastPurchaseDate]])</f>
        <v>5</v>
      </c>
      <c r="N76" s="7">
        <v>45798</v>
      </c>
      <c r="O76">
        <v>37</v>
      </c>
      <c r="P76" s="4">
        <v>9148.51</v>
      </c>
      <c r="Q76" t="s">
        <v>4035</v>
      </c>
      <c r="R76">
        <v>1</v>
      </c>
      <c r="S76">
        <v>247.26</v>
      </c>
    </row>
    <row r="77" spans="1:19" x14ac:dyDescent="0.25">
      <c r="A77">
        <v>76</v>
      </c>
      <c r="B77" t="s">
        <v>80</v>
      </c>
      <c r="C77" t="s">
        <v>393</v>
      </c>
      <c r="D77" t="s">
        <v>850</v>
      </c>
      <c r="E77">
        <v>19</v>
      </c>
      <c r="F77" t="str" cm="1">
        <f t="array" ref="F77">INDEX(Country!$B$3:$B$250, MATCH(TRUE, ISNUMBER(SEARCH(Country!$A$2:$A$509, Customer_Data[[#This Row],[Country]])),0 ))</f>
        <v>Oceania</v>
      </c>
      <c r="G77" t="s">
        <v>918</v>
      </c>
      <c r="H77" t="s">
        <v>1163</v>
      </c>
      <c r="I77" t="s">
        <v>2124</v>
      </c>
      <c r="J77" t="s">
        <v>3116</v>
      </c>
      <c r="K77" s="1">
        <v>44951</v>
      </c>
      <c r="L77">
        <f>YEAR(Customer_Data[[#This Row],[LastPurchaseDate]])</f>
        <v>2025</v>
      </c>
      <c r="M77">
        <f>MONTH(Customer_Data[[#This Row],[LastPurchaseDate]])</f>
        <v>9</v>
      </c>
      <c r="N77" s="7">
        <v>45923</v>
      </c>
      <c r="O77">
        <v>2</v>
      </c>
      <c r="P77" s="4">
        <v>4010.36</v>
      </c>
      <c r="Q77" t="s">
        <v>4034</v>
      </c>
      <c r="R77">
        <v>5</v>
      </c>
      <c r="S77">
        <v>2005.18</v>
      </c>
    </row>
    <row r="78" spans="1:19" x14ac:dyDescent="0.25">
      <c r="A78">
        <v>77</v>
      </c>
      <c r="B78" t="s">
        <v>81</v>
      </c>
      <c r="C78" t="s">
        <v>431</v>
      </c>
      <c r="D78" t="s">
        <v>850</v>
      </c>
      <c r="E78">
        <v>74</v>
      </c>
      <c r="F78" t="str" cm="1">
        <f t="array" ref="F78">INDEX(Country!$B$3:$B$250, MATCH(TRUE, ISNUMBER(SEARCH(Country!$A$2:$A$509, Customer_Data[[#This Row],[Country]])),0 ))</f>
        <v>Europe</v>
      </c>
      <c r="G78" t="s">
        <v>919</v>
      </c>
      <c r="H78" t="s">
        <v>1164</v>
      </c>
      <c r="I78" t="s">
        <v>2125</v>
      </c>
      <c r="J78" t="s">
        <v>3117</v>
      </c>
      <c r="K78" s="1">
        <v>45293</v>
      </c>
      <c r="L78">
        <f>YEAR(Customer_Data[[#This Row],[LastPurchaseDate]])</f>
        <v>2025</v>
      </c>
      <c r="M78">
        <f>MONTH(Customer_Data[[#This Row],[LastPurchaseDate]])</f>
        <v>7</v>
      </c>
      <c r="N78" s="7">
        <v>45854</v>
      </c>
      <c r="O78">
        <v>21</v>
      </c>
      <c r="P78" s="4">
        <v>4885.78</v>
      </c>
      <c r="Q78" t="s">
        <v>4034</v>
      </c>
      <c r="R78">
        <v>2</v>
      </c>
      <c r="S78">
        <v>232.66</v>
      </c>
    </row>
    <row r="79" spans="1:19" x14ac:dyDescent="0.25">
      <c r="A79">
        <v>78</v>
      </c>
      <c r="B79" t="s">
        <v>82</v>
      </c>
      <c r="C79" t="s">
        <v>432</v>
      </c>
      <c r="D79" t="s">
        <v>850</v>
      </c>
      <c r="E79">
        <v>50</v>
      </c>
      <c r="F79" t="str" cm="1">
        <f t="array" ref="F79">INDEX(Country!$B$3:$B$250, MATCH(TRUE, ISNUMBER(SEARCH(Country!$A$2:$A$509, Customer_Data[[#This Row],[Country]])),0 ))</f>
        <v>North America</v>
      </c>
      <c r="G79" t="s">
        <v>920</v>
      </c>
      <c r="H79" t="s">
        <v>1165</v>
      </c>
      <c r="I79" t="s">
        <v>2126</v>
      </c>
      <c r="J79" t="s">
        <v>3118</v>
      </c>
      <c r="K79" s="1">
        <v>44886</v>
      </c>
      <c r="L79">
        <f>YEAR(Customer_Data[[#This Row],[LastPurchaseDate]])</f>
        <v>2023</v>
      </c>
      <c r="M79">
        <f>MONTH(Customer_Data[[#This Row],[LastPurchaseDate]])</f>
        <v>11</v>
      </c>
      <c r="N79" s="7">
        <v>45257</v>
      </c>
      <c r="O79">
        <v>36</v>
      </c>
      <c r="P79" s="4">
        <v>4177.41</v>
      </c>
      <c r="Q79" t="s">
        <v>4035</v>
      </c>
      <c r="R79">
        <v>4</v>
      </c>
      <c r="S79">
        <v>116.04</v>
      </c>
    </row>
    <row r="80" spans="1:19" x14ac:dyDescent="0.25">
      <c r="A80">
        <v>79</v>
      </c>
      <c r="B80" t="s">
        <v>70</v>
      </c>
      <c r="C80" t="s">
        <v>433</v>
      </c>
      <c r="D80" t="s">
        <v>851</v>
      </c>
      <c r="E80">
        <v>48</v>
      </c>
      <c r="F80" t="str" cm="1">
        <f t="array" ref="F80">INDEX(Country!$B$3:$B$250, MATCH(TRUE, ISNUMBER(SEARCH(Country!$A$2:$A$509, Customer_Data[[#This Row],[Country]])),0 ))</f>
        <v>North America</v>
      </c>
      <c r="G80" t="s">
        <v>921</v>
      </c>
      <c r="H80" t="s">
        <v>1166</v>
      </c>
      <c r="I80" t="s">
        <v>2127</v>
      </c>
      <c r="J80" t="s">
        <v>3119</v>
      </c>
      <c r="K80" s="1">
        <v>45489</v>
      </c>
      <c r="L80">
        <f>YEAR(Customer_Data[[#This Row],[LastPurchaseDate]])</f>
        <v>2024</v>
      </c>
      <c r="M80">
        <f>MONTH(Customer_Data[[#This Row],[LastPurchaseDate]])</f>
        <v>7</v>
      </c>
      <c r="N80" s="7">
        <v>45479</v>
      </c>
      <c r="O80">
        <v>6</v>
      </c>
      <c r="P80" s="4">
        <v>9596.26</v>
      </c>
      <c r="Q80" t="s">
        <v>4035</v>
      </c>
      <c r="R80">
        <v>1</v>
      </c>
      <c r="S80">
        <v>1599.38</v>
      </c>
    </row>
    <row r="81" spans="1:19" x14ac:dyDescent="0.25">
      <c r="A81">
        <v>80</v>
      </c>
      <c r="B81" t="s">
        <v>83</v>
      </c>
      <c r="C81" t="s">
        <v>407</v>
      </c>
      <c r="D81" t="s">
        <v>850</v>
      </c>
      <c r="E81">
        <v>23</v>
      </c>
      <c r="F81" t="str" cm="1">
        <f t="array" ref="F81">INDEX(Country!$B$3:$B$250, MATCH(TRUE, ISNUMBER(SEARCH(Country!$A$2:$A$509, Customer_Data[[#This Row],[Country]])),0 ))</f>
        <v>Europe</v>
      </c>
      <c r="G81" t="s">
        <v>922</v>
      </c>
      <c r="H81" t="s">
        <v>1167</v>
      </c>
      <c r="I81" t="s">
        <v>2128</v>
      </c>
      <c r="J81" t="s">
        <v>3120</v>
      </c>
      <c r="K81" s="1">
        <v>45780</v>
      </c>
      <c r="L81">
        <f>YEAR(Customer_Data[[#This Row],[LastPurchaseDate]])</f>
        <v>2024</v>
      </c>
      <c r="M81">
        <f>MONTH(Customer_Data[[#This Row],[LastPurchaseDate]])</f>
        <v>5</v>
      </c>
      <c r="N81" s="7">
        <v>45440</v>
      </c>
      <c r="O81">
        <v>12</v>
      </c>
      <c r="P81" s="4">
        <v>6195.33</v>
      </c>
      <c r="Q81" t="s">
        <v>4035</v>
      </c>
      <c r="R81">
        <v>3</v>
      </c>
      <c r="S81">
        <v>516.28</v>
      </c>
    </row>
    <row r="82" spans="1:19" x14ac:dyDescent="0.25">
      <c r="A82">
        <v>81</v>
      </c>
      <c r="B82" t="s">
        <v>84</v>
      </c>
      <c r="C82" t="s">
        <v>434</v>
      </c>
      <c r="D82" t="s">
        <v>850</v>
      </c>
      <c r="E82">
        <v>61</v>
      </c>
      <c r="F82" t="str" cm="1">
        <f t="array" ref="F82">INDEX(Country!$B$3:$B$250, MATCH(TRUE, ISNUMBER(SEARCH(Country!$A$2:$A$509, Customer_Data[[#This Row],[Country]])),0 ))</f>
        <v>Oceania</v>
      </c>
      <c r="G82" t="s">
        <v>882</v>
      </c>
      <c r="H82" t="s">
        <v>1168</v>
      </c>
      <c r="I82" t="s">
        <v>2129</v>
      </c>
      <c r="J82" t="s">
        <v>3121</v>
      </c>
      <c r="K82" s="1">
        <v>45430</v>
      </c>
      <c r="L82">
        <f>YEAR(Customer_Data[[#This Row],[LastPurchaseDate]])</f>
        <v>2025</v>
      </c>
      <c r="M82">
        <f>MONTH(Customer_Data[[#This Row],[LastPurchaseDate]])</f>
        <v>8</v>
      </c>
      <c r="N82" s="7">
        <v>45900</v>
      </c>
      <c r="O82">
        <v>1</v>
      </c>
      <c r="P82" s="4">
        <v>3863.37</v>
      </c>
      <c r="Q82" t="s">
        <v>4035</v>
      </c>
      <c r="R82">
        <v>4</v>
      </c>
      <c r="S82">
        <v>3863.37</v>
      </c>
    </row>
    <row r="83" spans="1:19" x14ac:dyDescent="0.25">
      <c r="A83">
        <v>82</v>
      </c>
      <c r="B83" t="s">
        <v>85</v>
      </c>
      <c r="C83" t="s">
        <v>435</v>
      </c>
      <c r="D83" t="s">
        <v>852</v>
      </c>
      <c r="E83">
        <v>41</v>
      </c>
      <c r="F83" t="str" cm="1">
        <f t="array" ref="F83">INDEX(Country!$B$3:$B$250, MATCH(TRUE, ISNUMBER(SEARCH(Country!$A$2:$A$509, Customer_Data[[#This Row],[Country]])),0 ))</f>
        <v>North America</v>
      </c>
      <c r="G83" t="s">
        <v>910</v>
      </c>
      <c r="H83" t="s">
        <v>1169</v>
      </c>
      <c r="I83" t="s">
        <v>2130</v>
      </c>
      <c r="J83" t="s">
        <v>3122</v>
      </c>
      <c r="K83" s="1">
        <v>45499</v>
      </c>
      <c r="L83">
        <f>YEAR(Customer_Data[[#This Row],[LastPurchaseDate]])</f>
        <v>2025</v>
      </c>
      <c r="M83">
        <f>MONTH(Customer_Data[[#This Row],[LastPurchaseDate]])</f>
        <v>4</v>
      </c>
      <c r="N83" s="7">
        <v>45767</v>
      </c>
      <c r="O83">
        <v>16</v>
      </c>
      <c r="P83" s="4">
        <v>2508.85</v>
      </c>
      <c r="Q83" t="s">
        <v>4034</v>
      </c>
      <c r="R83">
        <v>5</v>
      </c>
      <c r="S83">
        <v>156.80000000000001</v>
      </c>
    </row>
    <row r="84" spans="1:19" x14ac:dyDescent="0.25">
      <c r="A84">
        <v>83</v>
      </c>
      <c r="B84" t="s">
        <v>86</v>
      </c>
      <c r="C84" t="s">
        <v>436</v>
      </c>
      <c r="D84" t="s">
        <v>850</v>
      </c>
      <c r="E84">
        <v>24</v>
      </c>
      <c r="F84" t="str" cm="1">
        <f t="array" ref="F84">INDEX(Country!$B$3:$B$250, MATCH(TRUE, ISNUMBER(SEARCH(Country!$A$2:$A$509, Customer_Data[[#This Row],[Country]])),0 ))</f>
        <v>Europe</v>
      </c>
      <c r="G84" t="s">
        <v>923</v>
      </c>
      <c r="H84" t="s">
        <v>1170</v>
      </c>
      <c r="I84" t="s">
        <v>2131</v>
      </c>
      <c r="J84" t="s">
        <v>3123</v>
      </c>
      <c r="K84" s="1">
        <v>45753</v>
      </c>
      <c r="L84">
        <f>YEAR(Customer_Data[[#This Row],[LastPurchaseDate]])</f>
        <v>2024</v>
      </c>
      <c r="M84">
        <f>MONTH(Customer_Data[[#This Row],[LastPurchaseDate]])</f>
        <v>3</v>
      </c>
      <c r="N84" s="7">
        <v>45352</v>
      </c>
      <c r="O84">
        <v>28</v>
      </c>
      <c r="P84" s="4">
        <v>9381.56</v>
      </c>
      <c r="Q84" t="s">
        <v>4034</v>
      </c>
      <c r="R84">
        <v>5</v>
      </c>
      <c r="S84">
        <v>335.06</v>
      </c>
    </row>
    <row r="85" spans="1:19" x14ac:dyDescent="0.25">
      <c r="A85">
        <v>84</v>
      </c>
      <c r="B85" t="s">
        <v>87</v>
      </c>
      <c r="C85" t="s">
        <v>437</v>
      </c>
      <c r="D85" t="s">
        <v>851</v>
      </c>
      <c r="E85">
        <v>34</v>
      </c>
      <c r="F85" t="str" cm="1">
        <f t="array" ref="F85">INDEX(Country!$B$3:$B$250, MATCH(TRUE, ISNUMBER(SEARCH(Country!$A$2:$A$509, Customer_Data[[#This Row],[Country]])),0 ))</f>
        <v>Asia</v>
      </c>
      <c r="G85" t="s">
        <v>924</v>
      </c>
      <c r="H85" t="s">
        <v>1171</v>
      </c>
      <c r="I85" t="s">
        <v>2132</v>
      </c>
      <c r="J85" t="s">
        <v>3124</v>
      </c>
      <c r="K85" s="1">
        <v>45309</v>
      </c>
      <c r="L85">
        <f>YEAR(Customer_Data[[#This Row],[LastPurchaseDate]])</f>
        <v>2024</v>
      </c>
      <c r="M85">
        <f>MONTH(Customer_Data[[#This Row],[LastPurchaseDate]])</f>
        <v>12</v>
      </c>
      <c r="N85" s="7">
        <v>45650</v>
      </c>
      <c r="O85">
        <v>15</v>
      </c>
      <c r="P85" s="4">
        <v>5792.4</v>
      </c>
      <c r="Q85" t="s">
        <v>4034</v>
      </c>
      <c r="R85">
        <v>5</v>
      </c>
      <c r="S85">
        <v>386.16</v>
      </c>
    </row>
    <row r="86" spans="1:19" x14ac:dyDescent="0.25">
      <c r="A86">
        <v>85</v>
      </c>
      <c r="B86" t="s">
        <v>70</v>
      </c>
      <c r="C86" t="s">
        <v>438</v>
      </c>
      <c r="D86" t="s">
        <v>851</v>
      </c>
      <c r="E86">
        <v>29</v>
      </c>
      <c r="F86" t="str" cm="1">
        <f t="array" ref="F86">INDEX(Country!$B$3:$B$250, MATCH(TRUE, ISNUMBER(SEARCH(Country!$A$2:$A$509, Customer_Data[[#This Row],[Country]])),0 ))</f>
        <v>Asia</v>
      </c>
      <c r="G86" t="s">
        <v>925</v>
      </c>
      <c r="H86" t="s">
        <v>1172</v>
      </c>
      <c r="I86" t="s">
        <v>2133</v>
      </c>
      <c r="J86" t="s">
        <v>3125</v>
      </c>
      <c r="K86" s="1">
        <v>45168</v>
      </c>
      <c r="L86">
        <f>YEAR(Customer_Data[[#This Row],[LastPurchaseDate]])</f>
        <v>2024</v>
      </c>
      <c r="M86">
        <f>MONTH(Customer_Data[[#This Row],[LastPurchaseDate]])</f>
        <v>11</v>
      </c>
      <c r="N86" s="7">
        <v>45620</v>
      </c>
      <c r="O86">
        <v>16</v>
      </c>
      <c r="P86" s="4">
        <v>2031.02</v>
      </c>
      <c r="Q86" t="s">
        <v>4035</v>
      </c>
      <c r="R86">
        <v>4</v>
      </c>
      <c r="S86">
        <v>126.94</v>
      </c>
    </row>
    <row r="87" spans="1:19" x14ac:dyDescent="0.25">
      <c r="A87">
        <v>86</v>
      </c>
      <c r="B87" t="s">
        <v>67</v>
      </c>
      <c r="C87" t="s">
        <v>439</v>
      </c>
      <c r="D87" t="s">
        <v>850</v>
      </c>
      <c r="E87">
        <v>39</v>
      </c>
      <c r="F87" t="str" cm="1">
        <f t="array" ref="F87">INDEX(Country!$B$3:$B$250, MATCH(TRUE, ISNUMBER(SEARCH(Country!$A$2:$A$509, Customer_Data[[#This Row],[Country]])),0 ))</f>
        <v>Oceania</v>
      </c>
      <c r="G87" t="s">
        <v>926</v>
      </c>
      <c r="H87" t="s">
        <v>1173</v>
      </c>
      <c r="I87" t="s">
        <v>2134</v>
      </c>
      <c r="J87" t="s">
        <v>3126</v>
      </c>
      <c r="K87" s="1">
        <v>45690</v>
      </c>
      <c r="L87">
        <f>YEAR(Customer_Data[[#This Row],[LastPurchaseDate]])</f>
        <v>2025</v>
      </c>
      <c r="M87">
        <f>MONTH(Customer_Data[[#This Row],[LastPurchaseDate]])</f>
        <v>4</v>
      </c>
      <c r="N87" s="7">
        <v>45758</v>
      </c>
      <c r="O87">
        <v>7</v>
      </c>
      <c r="P87" s="4">
        <v>9100.18</v>
      </c>
      <c r="Q87" t="s">
        <v>4035</v>
      </c>
      <c r="R87">
        <v>4</v>
      </c>
      <c r="S87">
        <v>1300.03</v>
      </c>
    </row>
    <row r="88" spans="1:19" x14ac:dyDescent="0.25">
      <c r="A88">
        <v>87</v>
      </c>
      <c r="B88" t="s">
        <v>88</v>
      </c>
      <c r="C88" t="s">
        <v>440</v>
      </c>
      <c r="D88" t="s">
        <v>850</v>
      </c>
      <c r="E88">
        <v>63</v>
      </c>
      <c r="F88" t="str" cm="1">
        <f t="array" ref="F88">INDEX(Country!$B$3:$B$250, MATCH(TRUE, ISNUMBER(SEARCH(Country!$A$2:$A$509, Customer_Data[[#This Row],[Country]])),0 ))</f>
        <v>Europe</v>
      </c>
      <c r="G88" t="s">
        <v>927</v>
      </c>
      <c r="H88" t="s">
        <v>1174</v>
      </c>
      <c r="I88" t="s">
        <v>2135</v>
      </c>
      <c r="J88" t="s">
        <v>3127</v>
      </c>
      <c r="K88" s="1">
        <v>45418</v>
      </c>
      <c r="L88">
        <f>YEAR(Customer_Data[[#This Row],[LastPurchaseDate]])</f>
        <v>2024</v>
      </c>
      <c r="M88">
        <f>MONTH(Customer_Data[[#This Row],[LastPurchaseDate]])</f>
        <v>3</v>
      </c>
      <c r="N88" s="7">
        <v>45372</v>
      </c>
      <c r="O88">
        <v>24</v>
      </c>
      <c r="P88" s="4">
        <v>1287.45</v>
      </c>
      <c r="Q88" t="s">
        <v>4035</v>
      </c>
      <c r="R88">
        <v>5</v>
      </c>
      <c r="S88">
        <v>53.64</v>
      </c>
    </row>
    <row r="89" spans="1:19" x14ac:dyDescent="0.25">
      <c r="A89">
        <v>88</v>
      </c>
      <c r="B89" t="s">
        <v>89</v>
      </c>
      <c r="C89" t="s">
        <v>436</v>
      </c>
      <c r="D89" t="s">
        <v>850</v>
      </c>
      <c r="E89">
        <v>36</v>
      </c>
      <c r="F89" t="str" cm="1">
        <f t="array" ref="F89">INDEX(Country!$B$3:$B$250, MATCH(TRUE, ISNUMBER(SEARCH(Country!$A$2:$A$509, Customer_Data[[#This Row],[Country]])),0 ))</f>
        <v>North America</v>
      </c>
      <c r="G89" t="s">
        <v>928</v>
      </c>
      <c r="H89" t="s">
        <v>1175</v>
      </c>
      <c r="I89" t="s">
        <v>2136</v>
      </c>
      <c r="J89" t="s">
        <v>3128</v>
      </c>
      <c r="K89" s="1">
        <v>45412</v>
      </c>
      <c r="L89">
        <f>YEAR(Customer_Data[[#This Row],[LastPurchaseDate]])</f>
        <v>2024</v>
      </c>
      <c r="M89">
        <f>MONTH(Customer_Data[[#This Row],[LastPurchaseDate]])</f>
        <v>2</v>
      </c>
      <c r="N89" s="7">
        <v>45344</v>
      </c>
      <c r="O89">
        <v>43</v>
      </c>
      <c r="P89" s="4">
        <v>440.51</v>
      </c>
      <c r="Q89" t="s">
        <v>4034</v>
      </c>
      <c r="R89">
        <v>4</v>
      </c>
      <c r="S89">
        <v>10.24</v>
      </c>
    </row>
    <row r="90" spans="1:19" x14ac:dyDescent="0.25">
      <c r="A90">
        <v>89</v>
      </c>
      <c r="B90" t="s">
        <v>90</v>
      </c>
      <c r="C90" t="s">
        <v>441</v>
      </c>
      <c r="D90" t="s">
        <v>850</v>
      </c>
      <c r="E90">
        <v>30</v>
      </c>
      <c r="F90" t="str" cm="1">
        <f t="array" ref="F90">INDEX(Country!$B$3:$B$250, MATCH(TRUE, ISNUMBER(SEARCH(Country!$A$2:$A$509, Customer_Data[[#This Row],[Country]])),0 ))</f>
        <v>Europe</v>
      </c>
      <c r="G90" t="s">
        <v>929</v>
      </c>
      <c r="H90" t="s">
        <v>1176</v>
      </c>
      <c r="I90" t="s">
        <v>2137</v>
      </c>
      <c r="J90" t="s">
        <v>3129</v>
      </c>
      <c r="K90" s="1">
        <v>45279</v>
      </c>
      <c r="L90">
        <f>YEAR(Customer_Data[[#This Row],[LastPurchaseDate]])</f>
        <v>2025</v>
      </c>
      <c r="M90">
        <f>MONTH(Customer_Data[[#This Row],[LastPurchaseDate]])</f>
        <v>10</v>
      </c>
      <c r="N90" s="7">
        <v>45931</v>
      </c>
      <c r="O90">
        <v>25</v>
      </c>
      <c r="P90" s="4">
        <v>4408.04</v>
      </c>
      <c r="Q90" t="s">
        <v>4034</v>
      </c>
      <c r="R90">
        <v>1</v>
      </c>
      <c r="S90">
        <v>176.32</v>
      </c>
    </row>
    <row r="91" spans="1:19" x14ac:dyDescent="0.25">
      <c r="A91">
        <v>90</v>
      </c>
      <c r="B91" t="s">
        <v>91</v>
      </c>
      <c r="C91" t="s">
        <v>442</v>
      </c>
      <c r="D91" t="s">
        <v>850</v>
      </c>
      <c r="E91">
        <v>45</v>
      </c>
      <c r="F91" t="str" cm="1">
        <f t="array" ref="F91">INDEX(Country!$B$3:$B$250, MATCH(TRUE, ISNUMBER(SEARCH(Country!$A$2:$A$509, Customer_Data[[#This Row],[Country]])),0 ))</f>
        <v>Oceania</v>
      </c>
      <c r="G91" t="s">
        <v>930</v>
      </c>
      <c r="H91" t="s">
        <v>1177</v>
      </c>
      <c r="I91" t="s">
        <v>2138</v>
      </c>
      <c r="J91" t="s">
        <v>3130</v>
      </c>
      <c r="K91" s="1">
        <v>45570</v>
      </c>
      <c r="L91">
        <f>YEAR(Customer_Data[[#This Row],[LastPurchaseDate]])</f>
        <v>2024</v>
      </c>
      <c r="M91">
        <f>MONTH(Customer_Data[[#This Row],[LastPurchaseDate]])</f>
        <v>8</v>
      </c>
      <c r="N91" s="7">
        <v>45520</v>
      </c>
      <c r="O91">
        <v>11</v>
      </c>
      <c r="P91" s="4">
        <v>2325.4699999999998</v>
      </c>
      <c r="Q91" t="s">
        <v>4035</v>
      </c>
      <c r="R91">
        <v>2</v>
      </c>
      <c r="S91">
        <v>211.41</v>
      </c>
    </row>
    <row r="92" spans="1:19" x14ac:dyDescent="0.25">
      <c r="A92">
        <v>91</v>
      </c>
      <c r="B92" t="s">
        <v>92</v>
      </c>
      <c r="C92" t="s">
        <v>443</v>
      </c>
      <c r="D92" t="s">
        <v>851</v>
      </c>
      <c r="E92">
        <v>41</v>
      </c>
      <c r="F92" t="str" cm="1">
        <f t="array" ref="F92">INDEX(Country!$B$3:$B$250, MATCH(TRUE, ISNUMBER(SEARCH(Country!$A$2:$A$509, Customer_Data[[#This Row],[Country]])),0 ))</f>
        <v>North America</v>
      </c>
      <c r="G92" t="s">
        <v>931</v>
      </c>
      <c r="H92" t="s">
        <v>1178</v>
      </c>
      <c r="I92" t="s">
        <v>2139</v>
      </c>
      <c r="J92" t="s">
        <v>3131</v>
      </c>
      <c r="K92" s="1">
        <v>44876</v>
      </c>
      <c r="L92">
        <f>YEAR(Customer_Data[[#This Row],[LastPurchaseDate]])</f>
        <v>2024</v>
      </c>
      <c r="M92">
        <f>MONTH(Customer_Data[[#This Row],[LastPurchaseDate]])</f>
        <v>8</v>
      </c>
      <c r="N92" s="7">
        <v>45511</v>
      </c>
      <c r="O92">
        <v>33</v>
      </c>
      <c r="P92" s="4">
        <v>5905.12</v>
      </c>
      <c r="Q92" t="s">
        <v>4035</v>
      </c>
      <c r="R92">
        <v>2</v>
      </c>
      <c r="S92">
        <v>178.94</v>
      </c>
    </row>
    <row r="93" spans="1:19" x14ac:dyDescent="0.25">
      <c r="A93">
        <v>92</v>
      </c>
      <c r="B93" t="s">
        <v>93</v>
      </c>
      <c r="C93" t="s">
        <v>437</v>
      </c>
      <c r="D93" t="s">
        <v>850</v>
      </c>
      <c r="E93">
        <v>43</v>
      </c>
      <c r="F93" t="str" cm="1">
        <f t="array" ref="F93">INDEX(Country!$B$3:$B$250, MATCH(TRUE, ISNUMBER(SEARCH(Country!$A$2:$A$509, Customer_Data[[#This Row],[Country]])),0 ))</f>
        <v>Oceania</v>
      </c>
      <c r="G93" t="s">
        <v>932</v>
      </c>
      <c r="H93" t="s">
        <v>1179</v>
      </c>
      <c r="I93" t="s">
        <v>2140</v>
      </c>
      <c r="J93" t="s">
        <v>3132</v>
      </c>
      <c r="K93" s="1">
        <v>45166</v>
      </c>
      <c r="L93">
        <f>YEAR(Customer_Data[[#This Row],[LastPurchaseDate]])</f>
        <v>2024</v>
      </c>
      <c r="M93">
        <f>MONTH(Customer_Data[[#This Row],[LastPurchaseDate]])</f>
        <v>2</v>
      </c>
      <c r="N93" s="7">
        <v>45326</v>
      </c>
      <c r="O93">
        <v>12</v>
      </c>
      <c r="P93" s="4">
        <v>4015.36</v>
      </c>
      <c r="Q93" t="s">
        <v>4034</v>
      </c>
      <c r="R93">
        <v>1</v>
      </c>
      <c r="S93">
        <v>334.61</v>
      </c>
    </row>
    <row r="94" spans="1:19" x14ac:dyDescent="0.25">
      <c r="A94">
        <v>93</v>
      </c>
      <c r="B94" t="s">
        <v>85</v>
      </c>
      <c r="C94" t="s">
        <v>173</v>
      </c>
      <c r="D94" t="s">
        <v>850</v>
      </c>
      <c r="E94">
        <v>54</v>
      </c>
      <c r="F94" t="str" cm="1">
        <f t="array" ref="F94">INDEX(Country!$B$3:$B$250, MATCH(TRUE, ISNUMBER(SEARCH(Country!$A$2:$A$509, Customer_Data[[#This Row],[Country]])),0 ))</f>
        <v>Africa</v>
      </c>
      <c r="G94" t="s">
        <v>933</v>
      </c>
      <c r="H94" t="s">
        <v>1180</v>
      </c>
      <c r="I94" t="s">
        <v>2141</v>
      </c>
      <c r="J94" t="s">
        <v>3133</v>
      </c>
      <c r="K94" s="1">
        <v>45663</v>
      </c>
      <c r="L94">
        <f>YEAR(Customer_Data[[#This Row],[LastPurchaseDate]])</f>
        <v>2024</v>
      </c>
      <c r="M94">
        <f>MONTH(Customer_Data[[#This Row],[LastPurchaseDate]])</f>
        <v>1</v>
      </c>
      <c r="N94" s="7">
        <v>45313</v>
      </c>
      <c r="O94">
        <v>24</v>
      </c>
      <c r="P94" s="4">
        <v>5529.69</v>
      </c>
      <c r="Q94" t="s">
        <v>4035</v>
      </c>
      <c r="R94">
        <v>3</v>
      </c>
      <c r="S94">
        <v>230.4</v>
      </c>
    </row>
    <row r="95" spans="1:19" x14ac:dyDescent="0.25">
      <c r="A95">
        <v>94</v>
      </c>
      <c r="B95" t="s">
        <v>94</v>
      </c>
      <c r="C95" t="s">
        <v>444</v>
      </c>
      <c r="D95" t="s">
        <v>850</v>
      </c>
      <c r="E95">
        <v>56</v>
      </c>
      <c r="F95" t="str" cm="1">
        <f t="array" ref="F95">INDEX(Country!$B$3:$B$250, MATCH(TRUE, ISNUMBER(SEARCH(Country!$A$2:$A$509, Customer_Data[[#This Row],[Country]])),0 ))</f>
        <v>Africa</v>
      </c>
      <c r="G95" t="s">
        <v>81</v>
      </c>
      <c r="H95" t="s">
        <v>1181</v>
      </c>
      <c r="I95" t="s">
        <v>2142</v>
      </c>
      <c r="J95" t="s">
        <v>3134</v>
      </c>
      <c r="K95" s="1">
        <v>45833</v>
      </c>
      <c r="L95">
        <f>YEAR(Customer_Data[[#This Row],[LastPurchaseDate]])</f>
        <v>2024</v>
      </c>
      <c r="M95">
        <f>MONTH(Customer_Data[[#This Row],[LastPurchaseDate]])</f>
        <v>6</v>
      </c>
      <c r="N95" s="7">
        <v>45465</v>
      </c>
      <c r="O95">
        <v>29</v>
      </c>
      <c r="P95" s="4">
        <v>3336.99</v>
      </c>
      <c r="Q95" t="s">
        <v>4035</v>
      </c>
      <c r="R95">
        <v>5</v>
      </c>
      <c r="S95">
        <v>115.07</v>
      </c>
    </row>
    <row r="96" spans="1:19" x14ac:dyDescent="0.25">
      <c r="A96">
        <v>95</v>
      </c>
      <c r="B96" t="s">
        <v>95</v>
      </c>
      <c r="C96" t="s">
        <v>407</v>
      </c>
      <c r="D96" t="s">
        <v>850</v>
      </c>
      <c r="E96">
        <v>24</v>
      </c>
      <c r="F96" t="str" cm="1">
        <f t="array" ref="F96">INDEX(Country!$B$3:$B$250, MATCH(TRUE, ISNUMBER(SEARCH(Country!$A$2:$A$509, Customer_Data[[#This Row],[Country]])),0 ))</f>
        <v>Oceania</v>
      </c>
      <c r="G96" t="s">
        <v>934</v>
      </c>
      <c r="H96" t="s">
        <v>1182</v>
      </c>
      <c r="I96" t="s">
        <v>2143</v>
      </c>
      <c r="J96" t="s">
        <v>3135</v>
      </c>
      <c r="K96" s="1">
        <v>44977</v>
      </c>
      <c r="L96">
        <f>YEAR(Customer_Data[[#This Row],[LastPurchaseDate]])</f>
        <v>2025</v>
      </c>
      <c r="M96">
        <f>MONTH(Customer_Data[[#This Row],[LastPurchaseDate]])</f>
        <v>6</v>
      </c>
      <c r="N96" s="7">
        <v>45818</v>
      </c>
      <c r="O96">
        <v>20</v>
      </c>
      <c r="P96" s="4">
        <v>3931.47</v>
      </c>
      <c r="Q96" t="s">
        <v>4035</v>
      </c>
      <c r="R96">
        <v>4</v>
      </c>
      <c r="S96">
        <v>196.57</v>
      </c>
    </row>
    <row r="97" spans="1:19" x14ac:dyDescent="0.25">
      <c r="A97">
        <v>96</v>
      </c>
      <c r="B97" t="s">
        <v>41</v>
      </c>
      <c r="C97" t="s">
        <v>297</v>
      </c>
      <c r="D97" t="s">
        <v>850</v>
      </c>
      <c r="E97">
        <v>19</v>
      </c>
      <c r="F97" t="str" cm="1">
        <f t="array" ref="F97">INDEX(Country!$B$3:$B$250, MATCH(TRUE, ISNUMBER(SEARCH(Country!$A$2:$A$509, Customer_Data[[#This Row],[Country]])),0 ))</f>
        <v>Europe</v>
      </c>
      <c r="G97" t="s">
        <v>935</v>
      </c>
      <c r="H97" t="s">
        <v>1183</v>
      </c>
      <c r="I97" t="s">
        <v>2144</v>
      </c>
      <c r="J97" t="s">
        <v>3136</v>
      </c>
      <c r="K97" s="1">
        <v>45307</v>
      </c>
      <c r="L97">
        <f>YEAR(Customer_Data[[#This Row],[LastPurchaseDate]])</f>
        <v>2023</v>
      </c>
      <c r="M97">
        <f>MONTH(Customer_Data[[#This Row],[LastPurchaseDate]])</f>
        <v>12</v>
      </c>
      <c r="N97" s="7">
        <v>45263</v>
      </c>
      <c r="O97">
        <v>30</v>
      </c>
      <c r="P97" s="4">
        <v>3432.3</v>
      </c>
      <c r="Q97" t="s">
        <v>4035</v>
      </c>
      <c r="R97">
        <v>4</v>
      </c>
      <c r="S97">
        <v>114.41</v>
      </c>
    </row>
    <row r="98" spans="1:19" x14ac:dyDescent="0.25">
      <c r="A98">
        <v>97</v>
      </c>
      <c r="B98" t="s">
        <v>53</v>
      </c>
      <c r="C98" t="s">
        <v>445</v>
      </c>
      <c r="D98" t="s">
        <v>850</v>
      </c>
      <c r="E98">
        <v>19</v>
      </c>
      <c r="F98" t="str" cm="1">
        <f t="array" ref="F98">INDEX(Country!$B$3:$B$250, MATCH(TRUE, ISNUMBER(SEARCH(Country!$A$2:$A$509, Customer_Data[[#This Row],[Country]])),0 ))</f>
        <v>Oceania</v>
      </c>
      <c r="G98" t="s">
        <v>936</v>
      </c>
      <c r="H98" t="s">
        <v>1184</v>
      </c>
      <c r="I98" t="s">
        <v>2145</v>
      </c>
      <c r="J98" t="s">
        <v>3137</v>
      </c>
      <c r="K98" s="1">
        <v>45680</v>
      </c>
      <c r="L98">
        <f>YEAR(Customer_Data[[#This Row],[LastPurchaseDate]])</f>
        <v>2025</v>
      </c>
      <c r="M98">
        <f>MONTH(Customer_Data[[#This Row],[LastPurchaseDate]])</f>
        <v>6</v>
      </c>
      <c r="N98" s="7">
        <v>45828</v>
      </c>
      <c r="O98">
        <v>49</v>
      </c>
      <c r="P98" s="4">
        <v>254.56</v>
      </c>
      <c r="Q98" t="s">
        <v>4035</v>
      </c>
      <c r="R98">
        <v>4</v>
      </c>
      <c r="S98">
        <v>5.2</v>
      </c>
    </row>
    <row r="99" spans="1:19" x14ac:dyDescent="0.25">
      <c r="A99">
        <v>98</v>
      </c>
      <c r="B99" t="s">
        <v>96</v>
      </c>
      <c r="C99" t="s">
        <v>446</v>
      </c>
      <c r="D99" t="s">
        <v>852</v>
      </c>
      <c r="E99">
        <v>46</v>
      </c>
      <c r="F99" t="str" cm="1">
        <f t="array" ref="F99">INDEX(Country!$B$3:$B$250, MATCH(TRUE, ISNUMBER(SEARCH(Country!$A$2:$A$509, Customer_Data[[#This Row],[Country]])),0 ))</f>
        <v>Asia</v>
      </c>
      <c r="G99" t="s">
        <v>937</v>
      </c>
      <c r="H99" t="s">
        <v>1185</v>
      </c>
      <c r="I99" t="s">
        <v>2146</v>
      </c>
      <c r="J99" t="s">
        <v>3138</v>
      </c>
      <c r="K99" s="1">
        <v>45597</v>
      </c>
      <c r="L99">
        <f>YEAR(Customer_Data[[#This Row],[LastPurchaseDate]])</f>
        <v>2024</v>
      </c>
      <c r="M99">
        <f>MONTH(Customer_Data[[#This Row],[LastPurchaseDate]])</f>
        <v>9</v>
      </c>
      <c r="N99" s="7">
        <v>45564</v>
      </c>
      <c r="O99">
        <v>11</v>
      </c>
      <c r="P99" s="4">
        <v>2328.11</v>
      </c>
      <c r="Q99" t="s">
        <v>4034</v>
      </c>
      <c r="R99">
        <v>5</v>
      </c>
      <c r="S99">
        <v>211.65</v>
      </c>
    </row>
    <row r="100" spans="1:19" x14ac:dyDescent="0.25">
      <c r="A100">
        <v>99</v>
      </c>
      <c r="B100" t="s">
        <v>93</v>
      </c>
      <c r="C100" t="s">
        <v>447</v>
      </c>
      <c r="D100" t="s">
        <v>850</v>
      </c>
      <c r="E100">
        <v>58</v>
      </c>
      <c r="F100" t="str" cm="1">
        <f t="array" ref="F100">INDEX(Country!$B$3:$B$250, MATCH(TRUE, ISNUMBER(SEARCH(Country!$A$2:$A$509, Customer_Data[[#This Row],[Country]])),0 ))</f>
        <v>North America</v>
      </c>
      <c r="G100" t="s">
        <v>938</v>
      </c>
      <c r="H100" t="s">
        <v>1186</v>
      </c>
      <c r="I100" t="s">
        <v>2147</v>
      </c>
      <c r="J100" t="s">
        <v>3139</v>
      </c>
      <c r="K100" s="1">
        <v>45272</v>
      </c>
      <c r="L100">
        <f>YEAR(Customer_Data[[#This Row],[LastPurchaseDate]])</f>
        <v>2023</v>
      </c>
      <c r="M100">
        <f>MONTH(Customer_Data[[#This Row],[LastPurchaseDate]])</f>
        <v>12</v>
      </c>
      <c r="N100" s="7">
        <v>45282</v>
      </c>
      <c r="O100">
        <v>24</v>
      </c>
      <c r="P100" s="4">
        <v>9052.2999999999993</v>
      </c>
      <c r="Q100" t="s">
        <v>4035</v>
      </c>
      <c r="R100">
        <v>3</v>
      </c>
      <c r="S100">
        <v>377.18</v>
      </c>
    </row>
    <row r="101" spans="1:19" x14ac:dyDescent="0.25">
      <c r="A101">
        <v>100</v>
      </c>
      <c r="B101" t="s">
        <v>68</v>
      </c>
      <c r="C101" t="s">
        <v>448</v>
      </c>
      <c r="D101" t="s">
        <v>851</v>
      </c>
      <c r="E101">
        <v>63</v>
      </c>
      <c r="F101" t="str" cm="1">
        <f t="array" ref="F101">INDEX(Country!$B$3:$B$250, MATCH(TRUE, ISNUMBER(SEARCH(Country!$A$2:$A$509, Customer_Data[[#This Row],[Country]])),0 ))</f>
        <v>Asia</v>
      </c>
      <c r="G101" t="s">
        <v>939</v>
      </c>
      <c r="H101" t="s">
        <v>1187</v>
      </c>
      <c r="I101" t="s">
        <v>2148</v>
      </c>
      <c r="J101" t="s">
        <v>3140</v>
      </c>
      <c r="K101" s="1">
        <v>45757</v>
      </c>
      <c r="L101">
        <f>YEAR(Customer_Data[[#This Row],[LastPurchaseDate]])</f>
        <v>2025</v>
      </c>
      <c r="M101">
        <f>MONTH(Customer_Data[[#This Row],[LastPurchaseDate]])</f>
        <v>7</v>
      </c>
      <c r="N101" s="7">
        <v>45847</v>
      </c>
      <c r="O101">
        <v>2</v>
      </c>
      <c r="P101" s="4">
        <v>290.14999999999998</v>
      </c>
      <c r="Q101" t="s">
        <v>4035</v>
      </c>
      <c r="R101">
        <v>2</v>
      </c>
      <c r="S101">
        <v>145.07</v>
      </c>
    </row>
    <row r="102" spans="1:19" x14ac:dyDescent="0.25">
      <c r="A102">
        <v>101</v>
      </c>
      <c r="B102" t="s">
        <v>30</v>
      </c>
      <c r="C102" t="s">
        <v>449</v>
      </c>
      <c r="D102" t="s">
        <v>851</v>
      </c>
      <c r="E102">
        <v>20</v>
      </c>
      <c r="F102" t="str" cm="1">
        <f t="array" ref="F102">INDEX(Country!$B$3:$B$250, MATCH(TRUE, ISNUMBER(SEARCH(Country!$A$2:$A$509, Customer_Data[[#This Row],[Country]])),0 ))</f>
        <v>Europe</v>
      </c>
      <c r="G102" t="s">
        <v>940</v>
      </c>
      <c r="H102" t="s">
        <v>1188</v>
      </c>
      <c r="I102" t="s">
        <v>2149</v>
      </c>
      <c r="J102" t="s">
        <v>3141</v>
      </c>
      <c r="K102" s="1">
        <v>44915</v>
      </c>
      <c r="L102">
        <f>YEAR(Customer_Data[[#This Row],[LastPurchaseDate]])</f>
        <v>2024</v>
      </c>
      <c r="M102">
        <f>MONTH(Customer_Data[[#This Row],[LastPurchaseDate]])</f>
        <v>10</v>
      </c>
      <c r="N102" s="7">
        <v>45569</v>
      </c>
      <c r="O102">
        <v>40</v>
      </c>
      <c r="P102" s="4">
        <v>8182.54</v>
      </c>
      <c r="Q102" t="s">
        <v>4035</v>
      </c>
      <c r="R102">
        <v>2</v>
      </c>
      <c r="S102">
        <v>204.56</v>
      </c>
    </row>
    <row r="103" spans="1:19" x14ac:dyDescent="0.25">
      <c r="A103">
        <v>102</v>
      </c>
      <c r="B103" t="s">
        <v>97</v>
      </c>
      <c r="C103" t="s">
        <v>450</v>
      </c>
      <c r="D103" t="s">
        <v>850</v>
      </c>
      <c r="E103">
        <v>32</v>
      </c>
      <c r="F103" t="str" cm="1">
        <f t="array" ref="F103">INDEX(Country!$B$3:$B$250, MATCH(TRUE, ISNUMBER(SEARCH(Country!$A$2:$A$509, Customer_Data[[#This Row],[Country]])),0 ))</f>
        <v>Africa</v>
      </c>
      <c r="G103" t="s">
        <v>941</v>
      </c>
      <c r="H103" t="s">
        <v>1189</v>
      </c>
      <c r="I103" t="s">
        <v>2150</v>
      </c>
      <c r="J103" t="s">
        <v>3142</v>
      </c>
      <c r="K103" s="1">
        <v>44924</v>
      </c>
      <c r="L103">
        <f>YEAR(Customer_Data[[#This Row],[LastPurchaseDate]])</f>
        <v>2025</v>
      </c>
      <c r="M103">
        <f>MONTH(Customer_Data[[#This Row],[LastPurchaseDate]])</f>
        <v>7</v>
      </c>
      <c r="N103" s="7">
        <v>45861</v>
      </c>
      <c r="O103">
        <v>5</v>
      </c>
      <c r="P103" s="4">
        <v>1017.27</v>
      </c>
      <c r="Q103" t="s">
        <v>4035</v>
      </c>
      <c r="R103">
        <v>3</v>
      </c>
      <c r="S103">
        <v>203.45</v>
      </c>
    </row>
    <row r="104" spans="1:19" x14ac:dyDescent="0.25">
      <c r="A104">
        <v>103</v>
      </c>
      <c r="B104" t="s">
        <v>98</v>
      </c>
      <c r="C104" t="s">
        <v>451</v>
      </c>
      <c r="D104" t="s">
        <v>851</v>
      </c>
      <c r="E104">
        <v>32</v>
      </c>
      <c r="F104" t="str" cm="1">
        <f t="array" ref="F104">INDEX(Country!$B$3:$B$250, MATCH(TRUE, ISNUMBER(SEARCH(Country!$A$2:$A$509, Customer_Data[[#This Row],[Country]])),0 ))</f>
        <v>Asia</v>
      </c>
      <c r="G104" t="s">
        <v>942</v>
      </c>
      <c r="H104" t="s">
        <v>1190</v>
      </c>
      <c r="I104" t="s">
        <v>2151</v>
      </c>
      <c r="J104" t="s">
        <v>3143</v>
      </c>
      <c r="K104" s="1">
        <v>45004</v>
      </c>
      <c r="L104">
        <f>YEAR(Customer_Data[[#This Row],[LastPurchaseDate]])</f>
        <v>2025</v>
      </c>
      <c r="M104">
        <f>MONTH(Customer_Data[[#This Row],[LastPurchaseDate]])</f>
        <v>5</v>
      </c>
      <c r="N104" s="7">
        <v>45795</v>
      </c>
      <c r="O104">
        <v>23</v>
      </c>
      <c r="P104" s="4">
        <v>2095.9299999999998</v>
      </c>
      <c r="Q104" t="s">
        <v>4035</v>
      </c>
      <c r="R104">
        <v>4</v>
      </c>
      <c r="S104">
        <v>91.13</v>
      </c>
    </row>
    <row r="105" spans="1:19" x14ac:dyDescent="0.25">
      <c r="A105">
        <v>104</v>
      </c>
      <c r="B105" t="s">
        <v>99</v>
      </c>
      <c r="C105" t="s">
        <v>452</v>
      </c>
      <c r="D105" t="s">
        <v>850</v>
      </c>
      <c r="E105">
        <v>28</v>
      </c>
      <c r="F105" t="str" cm="1">
        <f t="array" ref="F105">INDEX(Country!$B$3:$B$250, MATCH(TRUE, ISNUMBER(SEARCH(Country!$A$2:$A$509, Customer_Data[[#This Row],[Country]])),0 ))</f>
        <v>Asia</v>
      </c>
      <c r="G105" t="s">
        <v>943</v>
      </c>
      <c r="H105" t="s">
        <v>1191</v>
      </c>
      <c r="I105" t="s">
        <v>2152</v>
      </c>
      <c r="J105" t="s">
        <v>3144</v>
      </c>
      <c r="K105" s="1">
        <v>45190</v>
      </c>
      <c r="L105">
        <f>YEAR(Customer_Data[[#This Row],[LastPurchaseDate]])</f>
        <v>2024</v>
      </c>
      <c r="M105">
        <f>MONTH(Customer_Data[[#This Row],[LastPurchaseDate]])</f>
        <v>1</v>
      </c>
      <c r="N105" s="7">
        <v>45300</v>
      </c>
      <c r="O105">
        <v>42</v>
      </c>
      <c r="P105" s="4">
        <v>2406.2399999999998</v>
      </c>
      <c r="Q105" t="s">
        <v>4035</v>
      </c>
      <c r="R105">
        <v>1</v>
      </c>
      <c r="S105">
        <v>57.29</v>
      </c>
    </row>
    <row r="106" spans="1:19" x14ac:dyDescent="0.25">
      <c r="A106">
        <v>105</v>
      </c>
      <c r="B106" t="s">
        <v>100</v>
      </c>
      <c r="C106" t="s">
        <v>453</v>
      </c>
      <c r="D106" t="s">
        <v>850</v>
      </c>
      <c r="E106">
        <v>36</v>
      </c>
      <c r="F106" t="str" cm="1">
        <f t="array" ref="F106">INDEX(Country!$B$3:$B$250, MATCH(TRUE, ISNUMBER(SEARCH(Country!$A$2:$A$509, Customer_Data[[#This Row],[Country]])),0 ))</f>
        <v>Africa</v>
      </c>
      <c r="G106" t="s">
        <v>944</v>
      </c>
      <c r="H106" t="s">
        <v>1192</v>
      </c>
      <c r="I106" t="s">
        <v>2153</v>
      </c>
      <c r="J106" t="s">
        <v>3145</v>
      </c>
      <c r="K106" s="1">
        <v>45225</v>
      </c>
      <c r="L106">
        <f>YEAR(Customer_Data[[#This Row],[LastPurchaseDate]])</f>
        <v>2025</v>
      </c>
      <c r="M106">
        <f>MONTH(Customer_Data[[#This Row],[LastPurchaseDate]])</f>
        <v>10</v>
      </c>
      <c r="N106" s="7">
        <v>45933</v>
      </c>
      <c r="O106">
        <v>46</v>
      </c>
      <c r="P106" s="4">
        <v>5089.03</v>
      </c>
      <c r="Q106" t="s">
        <v>4035</v>
      </c>
      <c r="R106">
        <v>2</v>
      </c>
      <c r="S106">
        <v>110.63</v>
      </c>
    </row>
    <row r="107" spans="1:19" x14ac:dyDescent="0.25">
      <c r="A107">
        <v>106</v>
      </c>
      <c r="B107" t="s">
        <v>101</v>
      </c>
      <c r="C107" t="s">
        <v>419</v>
      </c>
      <c r="D107" t="s">
        <v>851</v>
      </c>
      <c r="E107">
        <v>43</v>
      </c>
      <c r="F107" t="str" cm="1">
        <f t="array" ref="F107">INDEX(Country!$B$3:$B$250, MATCH(TRUE, ISNUMBER(SEARCH(Country!$A$2:$A$509, Customer_Data[[#This Row],[Country]])),0 ))</f>
        <v>Africa</v>
      </c>
      <c r="G107" t="s">
        <v>945</v>
      </c>
      <c r="H107" t="s">
        <v>1193</v>
      </c>
      <c r="I107" t="s">
        <v>2154</v>
      </c>
      <c r="J107" t="s">
        <v>3146</v>
      </c>
      <c r="K107" s="1">
        <v>45905</v>
      </c>
      <c r="L107">
        <f>YEAR(Customer_Data[[#This Row],[LastPurchaseDate]])</f>
        <v>2024</v>
      </c>
      <c r="M107">
        <f>MONTH(Customer_Data[[#This Row],[LastPurchaseDate]])</f>
        <v>2</v>
      </c>
      <c r="N107" s="7">
        <v>45336</v>
      </c>
      <c r="O107">
        <v>40</v>
      </c>
      <c r="P107" s="4">
        <v>3460.51</v>
      </c>
      <c r="Q107" t="s">
        <v>4034</v>
      </c>
      <c r="R107">
        <v>4</v>
      </c>
      <c r="S107">
        <v>86.51</v>
      </c>
    </row>
    <row r="108" spans="1:19" x14ac:dyDescent="0.25">
      <c r="A108">
        <v>107</v>
      </c>
      <c r="B108" t="s">
        <v>68</v>
      </c>
      <c r="C108" t="s">
        <v>454</v>
      </c>
      <c r="D108" t="s">
        <v>850</v>
      </c>
      <c r="E108">
        <v>50</v>
      </c>
      <c r="F108" t="str" cm="1">
        <f t="array" ref="F108">INDEX(Country!$B$3:$B$250, MATCH(TRUE, ISNUMBER(SEARCH(Country!$A$2:$A$509, Customer_Data[[#This Row],[Country]])),0 ))</f>
        <v>Asia</v>
      </c>
      <c r="G108" t="s">
        <v>915</v>
      </c>
      <c r="H108" t="s">
        <v>1194</v>
      </c>
      <c r="I108" t="s">
        <v>2155</v>
      </c>
      <c r="J108" t="s">
        <v>3147</v>
      </c>
      <c r="K108" s="1">
        <v>45147</v>
      </c>
      <c r="L108">
        <f>YEAR(Customer_Data[[#This Row],[LastPurchaseDate]])</f>
        <v>2024</v>
      </c>
      <c r="M108">
        <f>MONTH(Customer_Data[[#This Row],[LastPurchaseDate]])</f>
        <v>4</v>
      </c>
      <c r="N108" s="7">
        <v>45412</v>
      </c>
      <c r="O108">
        <v>45</v>
      </c>
      <c r="P108" s="4">
        <v>8953.06</v>
      </c>
      <c r="Q108" t="s">
        <v>4034</v>
      </c>
      <c r="R108">
        <v>4</v>
      </c>
      <c r="S108">
        <v>198.96</v>
      </c>
    </row>
    <row r="109" spans="1:19" x14ac:dyDescent="0.25">
      <c r="A109">
        <v>108</v>
      </c>
      <c r="B109" t="s">
        <v>102</v>
      </c>
      <c r="C109" t="s">
        <v>437</v>
      </c>
      <c r="D109" t="s">
        <v>851</v>
      </c>
      <c r="E109">
        <v>40</v>
      </c>
      <c r="F109" t="str" cm="1">
        <f t="array" ref="F109">INDEX(Country!$B$3:$B$250, MATCH(TRUE, ISNUMBER(SEARCH(Country!$A$2:$A$509, Customer_Data[[#This Row],[Country]])),0 ))</f>
        <v>Europe</v>
      </c>
      <c r="G109" t="s">
        <v>946</v>
      </c>
      <c r="H109" t="s">
        <v>1195</v>
      </c>
      <c r="I109" t="s">
        <v>2156</v>
      </c>
      <c r="J109" t="s">
        <v>3148</v>
      </c>
      <c r="K109" s="1">
        <v>45661</v>
      </c>
      <c r="L109">
        <f>YEAR(Customer_Data[[#This Row],[LastPurchaseDate]])</f>
        <v>2024</v>
      </c>
      <c r="M109">
        <f>MONTH(Customer_Data[[#This Row],[LastPurchaseDate]])</f>
        <v>4</v>
      </c>
      <c r="N109" s="7">
        <v>45412</v>
      </c>
      <c r="O109">
        <v>47</v>
      </c>
      <c r="P109" s="4">
        <v>9536.76</v>
      </c>
      <c r="Q109" t="s">
        <v>4035</v>
      </c>
      <c r="R109">
        <v>4</v>
      </c>
      <c r="S109">
        <v>202.91</v>
      </c>
    </row>
    <row r="110" spans="1:19" x14ac:dyDescent="0.25">
      <c r="A110">
        <v>109</v>
      </c>
      <c r="B110" t="s">
        <v>85</v>
      </c>
      <c r="C110" t="s">
        <v>414</v>
      </c>
      <c r="D110" t="s">
        <v>850</v>
      </c>
      <c r="E110">
        <v>71</v>
      </c>
      <c r="F110" t="str" cm="1">
        <f t="array" ref="F110">INDEX(Country!$B$3:$B$250, MATCH(TRUE, ISNUMBER(SEARCH(Country!$A$2:$A$509, Customer_Data[[#This Row],[Country]])),0 ))</f>
        <v>Europe</v>
      </c>
      <c r="G110" t="s">
        <v>855</v>
      </c>
      <c r="H110" t="s">
        <v>1196</v>
      </c>
      <c r="I110" t="s">
        <v>2157</v>
      </c>
      <c r="J110" t="s">
        <v>3149</v>
      </c>
      <c r="K110" s="1">
        <v>45756</v>
      </c>
      <c r="L110">
        <f>YEAR(Customer_Data[[#This Row],[LastPurchaseDate]])</f>
        <v>2025</v>
      </c>
      <c r="M110">
        <f>MONTH(Customer_Data[[#This Row],[LastPurchaseDate]])</f>
        <v>9</v>
      </c>
      <c r="N110" s="7">
        <v>45912</v>
      </c>
      <c r="O110">
        <v>14</v>
      </c>
      <c r="P110" s="4">
        <v>8583.73</v>
      </c>
      <c r="Q110" t="s">
        <v>4035</v>
      </c>
      <c r="R110">
        <v>5</v>
      </c>
      <c r="S110">
        <v>613.12</v>
      </c>
    </row>
    <row r="111" spans="1:19" x14ac:dyDescent="0.25">
      <c r="A111">
        <v>110</v>
      </c>
      <c r="B111" t="s">
        <v>70</v>
      </c>
      <c r="C111" t="s">
        <v>455</v>
      </c>
      <c r="D111" t="s">
        <v>850</v>
      </c>
      <c r="E111">
        <v>45</v>
      </c>
      <c r="F111" t="str" cm="1">
        <f t="array" ref="F111">INDEX(Country!$B$3:$B$250, MATCH(TRUE, ISNUMBER(SEARCH(Country!$A$2:$A$509, Customer_Data[[#This Row],[Country]])),0 ))</f>
        <v>North America</v>
      </c>
      <c r="G111" t="s">
        <v>947</v>
      </c>
      <c r="H111" t="s">
        <v>1197</v>
      </c>
      <c r="I111" t="s">
        <v>2158</v>
      </c>
      <c r="J111" t="s">
        <v>3150</v>
      </c>
      <c r="K111" s="1">
        <v>45203</v>
      </c>
      <c r="L111">
        <f>YEAR(Customer_Data[[#This Row],[LastPurchaseDate]])</f>
        <v>2024</v>
      </c>
      <c r="M111">
        <f>MONTH(Customer_Data[[#This Row],[LastPurchaseDate]])</f>
        <v>1</v>
      </c>
      <c r="N111" s="7">
        <v>45299</v>
      </c>
      <c r="O111">
        <v>28</v>
      </c>
      <c r="P111" s="4">
        <v>905.92</v>
      </c>
      <c r="Q111" t="s">
        <v>4035</v>
      </c>
      <c r="R111">
        <v>4</v>
      </c>
      <c r="S111">
        <v>32.35</v>
      </c>
    </row>
    <row r="112" spans="1:19" x14ac:dyDescent="0.25">
      <c r="A112">
        <v>111</v>
      </c>
      <c r="B112" t="s">
        <v>93</v>
      </c>
      <c r="C112" t="s">
        <v>111</v>
      </c>
      <c r="D112" t="s">
        <v>851</v>
      </c>
      <c r="E112">
        <v>52</v>
      </c>
      <c r="F112" t="str" cm="1">
        <f t="array" ref="F112">INDEX(Country!$B$3:$B$250, MATCH(TRUE, ISNUMBER(SEARCH(Country!$A$2:$A$509, Customer_Data[[#This Row],[Country]])),0 ))</f>
        <v>Europe</v>
      </c>
      <c r="G112" t="s">
        <v>935</v>
      </c>
      <c r="H112" t="s">
        <v>1198</v>
      </c>
      <c r="I112" t="s">
        <v>2159</v>
      </c>
      <c r="J112" t="s">
        <v>3151</v>
      </c>
      <c r="K112" s="1">
        <v>45201</v>
      </c>
      <c r="L112">
        <f>YEAR(Customer_Data[[#This Row],[LastPurchaseDate]])</f>
        <v>2024</v>
      </c>
      <c r="M112">
        <f>MONTH(Customer_Data[[#This Row],[LastPurchaseDate]])</f>
        <v>9</v>
      </c>
      <c r="N112" s="7">
        <v>45553</v>
      </c>
      <c r="O112">
        <v>31</v>
      </c>
      <c r="P112" s="4">
        <v>698.01</v>
      </c>
      <c r="Q112" t="s">
        <v>4035</v>
      </c>
      <c r="R112">
        <v>5</v>
      </c>
      <c r="S112">
        <v>22.52</v>
      </c>
    </row>
    <row r="113" spans="1:19" x14ac:dyDescent="0.25">
      <c r="A113">
        <v>112</v>
      </c>
      <c r="B113" t="s">
        <v>68</v>
      </c>
      <c r="C113" t="s">
        <v>140</v>
      </c>
      <c r="D113" t="s">
        <v>851</v>
      </c>
      <c r="E113">
        <v>40</v>
      </c>
      <c r="F113" t="str" cm="1">
        <f t="array" ref="F113">INDEX(Country!$B$3:$B$250, MATCH(TRUE, ISNUMBER(SEARCH(Country!$A$2:$A$509, Customer_Data[[#This Row],[Country]])),0 ))</f>
        <v>South America</v>
      </c>
      <c r="G113" t="s">
        <v>873</v>
      </c>
      <c r="H113" t="s">
        <v>1199</v>
      </c>
      <c r="I113" t="s">
        <v>2160</v>
      </c>
      <c r="J113" t="s">
        <v>3152</v>
      </c>
      <c r="K113" s="1">
        <v>45953</v>
      </c>
      <c r="L113">
        <f>YEAR(Customer_Data[[#This Row],[LastPurchaseDate]])</f>
        <v>2024</v>
      </c>
      <c r="M113">
        <f>MONTH(Customer_Data[[#This Row],[LastPurchaseDate]])</f>
        <v>5</v>
      </c>
      <c r="N113" s="7">
        <v>45413</v>
      </c>
      <c r="O113">
        <v>35</v>
      </c>
      <c r="P113" s="4">
        <v>5662.9</v>
      </c>
      <c r="Q113" t="s">
        <v>4035</v>
      </c>
      <c r="R113">
        <v>1</v>
      </c>
      <c r="S113">
        <v>161.80000000000001</v>
      </c>
    </row>
    <row r="114" spans="1:19" x14ac:dyDescent="0.25">
      <c r="A114">
        <v>113</v>
      </c>
      <c r="B114" t="s">
        <v>103</v>
      </c>
      <c r="C114" t="s">
        <v>456</v>
      </c>
      <c r="D114" t="s">
        <v>851</v>
      </c>
      <c r="E114">
        <v>42</v>
      </c>
      <c r="F114" t="str" cm="1">
        <f t="array" ref="F114">INDEX(Country!$B$3:$B$250, MATCH(TRUE, ISNUMBER(SEARCH(Country!$A$2:$A$509, Customer_Data[[#This Row],[Country]])),0 ))</f>
        <v>Africa</v>
      </c>
      <c r="G114" t="s">
        <v>948</v>
      </c>
      <c r="H114" t="s">
        <v>1200</v>
      </c>
      <c r="I114" t="s">
        <v>2161</v>
      </c>
      <c r="J114" t="s">
        <v>3153</v>
      </c>
      <c r="K114" s="1">
        <v>45668</v>
      </c>
      <c r="L114">
        <f>YEAR(Customer_Data[[#This Row],[LastPurchaseDate]])</f>
        <v>2025</v>
      </c>
      <c r="M114">
        <f>MONTH(Customer_Data[[#This Row],[LastPurchaseDate]])</f>
        <v>2</v>
      </c>
      <c r="N114" s="7">
        <v>45715</v>
      </c>
      <c r="O114">
        <v>27</v>
      </c>
      <c r="P114" s="4">
        <v>9140.6200000000008</v>
      </c>
      <c r="Q114" t="s">
        <v>4034</v>
      </c>
      <c r="R114">
        <v>3</v>
      </c>
      <c r="S114">
        <v>338.54</v>
      </c>
    </row>
    <row r="115" spans="1:19" x14ac:dyDescent="0.25">
      <c r="A115">
        <v>114</v>
      </c>
      <c r="B115" t="s">
        <v>104</v>
      </c>
      <c r="C115" t="s">
        <v>457</v>
      </c>
      <c r="D115" t="s">
        <v>850</v>
      </c>
      <c r="E115">
        <v>22</v>
      </c>
      <c r="F115" t="str" cm="1">
        <f t="array" ref="F115">INDEX(Country!$B$3:$B$250, MATCH(TRUE, ISNUMBER(SEARCH(Country!$A$2:$A$509, Customer_Data[[#This Row],[Country]])),0 ))</f>
        <v>Europe</v>
      </c>
      <c r="G115" t="s">
        <v>871</v>
      </c>
      <c r="H115" t="s">
        <v>1201</v>
      </c>
      <c r="I115" t="s">
        <v>2162</v>
      </c>
      <c r="J115" t="s">
        <v>3154</v>
      </c>
      <c r="K115" s="1">
        <v>45816</v>
      </c>
      <c r="L115">
        <f>YEAR(Customer_Data[[#This Row],[LastPurchaseDate]])</f>
        <v>2025</v>
      </c>
      <c r="M115">
        <f>MONTH(Customer_Data[[#This Row],[LastPurchaseDate]])</f>
        <v>4</v>
      </c>
      <c r="N115" s="7">
        <v>45771</v>
      </c>
      <c r="O115">
        <v>13</v>
      </c>
      <c r="P115" s="4">
        <v>9618.25</v>
      </c>
      <c r="Q115" t="s">
        <v>4035</v>
      </c>
      <c r="R115">
        <v>2</v>
      </c>
      <c r="S115">
        <v>739.87</v>
      </c>
    </row>
    <row r="116" spans="1:19" x14ac:dyDescent="0.25">
      <c r="A116">
        <v>115</v>
      </c>
      <c r="B116" t="s">
        <v>105</v>
      </c>
      <c r="C116" t="s">
        <v>458</v>
      </c>
      <c r="D116" t="s">
        <v>851</v>
      </c>
      <c r="E116">
        <v>69</v>
      </c>
      <c r="F116" t="str" cm="1">
        <f t="array" ref="F116">INDEX(Country!$B$3:$B$250, MATCH(TRUE, ISNUMBER(SEARCH(Country!$A$2:$A$509, Customer_Data[[#This Row],[Country]])),0 ))</f>
        <v>Oceania</v>
      </c>
      <c r="G116" t="s">
        <v>918</v>
      </c>
      <c r="H116" t="s">
        <v>1202</v>
      </c>
      <c r="I116" t="s">
        <v>2163</v>
      </c>
      <c r="J116" t="s">
        <v>3155</v>
      </c>
      <c r="K116" s="1">
        <v>45122</v>
      </c>
      <c r="L116">
        <f>YEAR(Customer_Data[[#This Row],[LastPurchaseDate]])</f>
        <v>2024</v>
      </c>
      <c r="M116">
        <f>MONTH(Customer_Data[[#This Row],[LastPurchaseDate]])</f>
        <v>5</v>
      </c>
      <c r="N116" s="7">
        <v>45437</v>
      </c>
      <c r="O116">
        <v>38</v>
      </c>
      <c r="P116" s="4">
        <v>5517.57</v>
      </c>
      <c r="Q116" t="s">
        <v>4035</v>
      </c>
      <c r="R116">
        <v>3</v>
      </c>
      <c r="S116">
        <v>145.19999999999999</v>
      </c>
    </row>
    <row r="117" spans="1:19" x14ac:dyDescent="0.25">
      <c r="A117">
        <v>116</v>
      </c>
      <c r="B117" t="s">
        <v>106</v>
      </c>
      <c r="C117" t="s">
        <v>245</v>
      </c>
      <c r="D117" t="s">
        <v>851</v>
      </c>
      <c r="E117">
        <v>42</v>
      </c>
      <c r="F117" t="str" cm="1">
        <f t="array" ref="F117">INDEX(Country!$B$3:$B$250, MATCH(TRUE, ISNUMBER(SEARCH(Country!$A$2:$A$509, Customer_Data[[#This Row],[Country]])),0 ))</f>
        <v>Asia</v>
      </c>
      <c r="G117" t="s">
        <v>159</v>
      </c>
      <c r="H117" t="s">
        <v>1203</v>
      </c>
      <c r="I117" t="s">
        <v>2164</v>
      </c>
      <c r="J117" t="s">
        <v>3156</v>
      </c>
      <c r="K117" s="1">
        <v>45254</v>
      </c>
      <c r="L117">
        <f>YEAR(Customer_Data[[#This Row],[LastPurchaseDate]])</f>
        <v>2025</v>
      </c>
      <c r="M117">
        <f>MONTH(Customer_Data[[#This Row],[LastPurchaseDate]])</f>
        <v>1</v>
      </c>
      <c r="N117" s="7">
        <v>45658</v>
      </c>
      <c r="O117">
        <v>5</v>
      </c>
      <c r="P117" s="4">
        <v>3269.3</v>
      </c>
      <c r="Q117" t="s">
        <v>4035</v>
      </c>
      <c r="R117">
        <v>4</v>
      </c>
      <c r="S117">
        <v>653.86</v>
      </c>
    </row>
    <row r="118" spans="1:19" x14ac:dyDescent="0.25">
      <c r="A118">
        <v>117</v>
      </c>
      <c r="B118" t="s">
        <v>107</v>
      </c>
      <c r="C118" t="s">
        <v>459</v>
      </c>
      <c r="D118" t="s">
        <v>851</v>
      </c>
      <c r="E118">
        <v>74</v>
      </c>
      <c r="F118" t="str" cm="1">
        <f t="array" ref="F118">INDEX(Country!$B$3:$B$250, MATCH(TRUE, ISNUMBER(SEARCH(Country!$A$2:$A$509, Customer_Data[[#This Row],[Country]])),0 ))</f>
        <v>North America</v>
      </c>
      <c r="G118" t="s">
        <v>904</v>
      </c>
      <c r="H118" t="s">
        <v>1204</v>
      </c>
      <c r="I118" t="s">
        <v>2165</v>
      </c>
      <c r="J118" t="s">
        <v>3157</v>
      </c>
      <c r="K118" s="1">
        <v>45808</v>
      </c>
      <c r="L118">
        <f>YEAR(Customer_Data[[#This Row],[LastPurchaseDate]])</f>
        <v>2024</v>
      </c>
      <c r="M118">
        <f>MONTH(Customer_Data[[#This Row],[LastPurchaseDate]])</f>
        <v>9</v>
      </c>
      <c r="N118" s="7">
        <v>45542</v>
      </c>
      <c r="O118">
        <v>41</v>
      </c>
      <c r="P118" s="4">
        <v>9820.48</v>
      </c>
      <c r="Q118" t="s">
        <v>4035</v>
      </c>
      <c r="R118">
        <v>4</v>
      </c>
      <c r="S118">
        <v>239.52</v>
      </c>
    </row>
    <row r="119" spans="1:19" x14ac:dyDescent="0.25">
      <c r="A119">
        <v>118</v>
      </c>
      <c r="B119" t="s">
        <v>108</v>
      </c>
      <c r="C119" t="s">
        <v>460</v>
      </c>
      <c r="D119" t="s">
        <v>850</v>
      </c>
      <c r="E119">
        <v>30</v>
      </c>
      <c r="F119" t="str" cm="1">
        <f t="array" ref="F119">INDEX(Country!$B$3:$B$250, MATCH(TRUE, ISNUMBER(SEARCH(Country!$A$2:$A$509, Customer_Data[[#This Row],[Country]])),0 ))</f>
        <v>South America</v>
      </c>
      <c r="G119" t="s">
        <v>949</v>
      </c>
      <c r="H119" t="s">
        <v>1205</v>
      </c>
      <c r="I119" t="s">
        <v>2166</v>
      </c>
      <c r="J119" t="s">
        <v>3158</v>
      </c>
      <c r="K119" s="1">
        <v>44936</v>
      </c>
      <c r="L119">
        <f>YEAR(Customer_Data[[#This Row],[LastPurchaseDate]])</f>
        <v>2023</v>
      </c>
      <c r="M119">
        <f>MONTH(Customer_Data[[#This Row],[LastPurchaseDate]])</f>
        <v>12</v>
      </c>
      <c r="N119" s="7">
        <v>45282</v>
      </c>
      <c r="O119">
        <v>30</v>
      </c>
      <c r="P119" s="4">
        <v>4007.07</v>
      </c>
      <c r="Q119" t="s">
        <v>4035</v>
      </c>
      <c r="R119">
        <v>3</v>
      </c>
      <c r="S119">
        <v>133.57</v>
      </c>
    </row>
    <row r="120" spans="1:19" x14ac:dyDescent="0.25">
      <c r="A120">
        <v>119</v>
      </c>
      <c r="B120" t="s">
        <v>34</v>
      </c>
      <c r="C120" t="s">
        <v>417</v>
      </c>
      <c r="D120" t="s">
        <v>851</v>
      </c>
      <c r="E120">
        <v>54</v>
      </c>
      <c r="F120" t="str" cm="1">
        <f t="array" ref="F120">INDEX(Country!$B$3:$B$250, MATCH(TRUE, ISNUMBER(SEARCH(Country!$A$2:$A$509, Customer_Data[[#This Row],[Country]])),0 ))</f>
        <v>Africa</v>
      </c>
      <c r="G120" t="s">
        <v>868</v>
      </c>
      <c r="H120" t="s">
        <v>1206</v>
      </c>
      <c r="I120" t="s">
        <v>2167</v>
      </c>
      <c r="J120" t="s">
        <v>3159</v>
      </c>
      <c r="K120" s="1">
        <v>45122</v>
      </c>
      <c r="L120">
        <f>YEAR(Customer_Data[[#This Row],[LastPurchaseDate]])</f>
        <v>2024</v>
      </c>
      <c r="M120">
        <f>MONTH(Customer_Data[[#This Row],[LastPurchaseDate]])</f>
        <v>12</v>
      </c>
      <c r="N120" s="7">
        <v>45639</v>
      </c>
      <c r="O120">
        <v>21</v>
      </c>
      <c r="P120" s="4">
        <v>9470.5400000000009</v>
      </c>
      <c r="Q120" t="s">
        <v>4035</v>
      </c>
      <c r="R120">
        <v>4</v>
      </c>
      <c r="S120">
        <v>450.98</v>
      </c>
    </row>
    <row r="121" spans="1:19" x14ac:dyDescent="0.25">
      <c r="A121">
        <v>120</v>
      </c>
      <c r="B121" t="s">
        <v>48</v>
      </c>
      <c r="C121" t="s">
        <v>149</v>
      </c>
      <c r="D121" t="s">
        <v>851</v>
      </c>
      <c r="E121">
        <v>27</v>
      </c>
      <c r="F121" t="str" cm="1">
        <f t="array" ref="F121">INDEX(Country!$B$3:$B$250, MATCH(TRUE, ISNUMBER(SEARCH(Country!$A$2:$A$509, Customer_Data[[#This Row],[Country]])),0 ))</f>
        <v>Africa</v>
      </c>
      <c r="G121" t="s">
        <v>950</v>
      </c>
      <c r="H121" t="s">
        <v>1207</v>
      </c>
      <c r="I121" t="s">
        <v>2168</v>
      </c>
      <c r="J121" t="s">
        <v>3160</v>
      </c>
      <c r="K121" s="1">
        <v>45162</v>
      </c>
      <c r="L121">
        <f>YEAR(Customer_Data[[#This Row],[LastPurchaseDate]])</f>
        <v>2024</v>
      </c>
      <c r="M121">
        <f>MONTH(Customer_Data[[#This Row],[LastPurchaseDate]])</f>
        <v>2</v>
      </c>
      <c r="N121" s="7">
        <v>45330</v>
      </c>
      <c r="O121">
        <v>23</v>
      </c>
      <c r="P121" s="4">
        <v>1112.32</v>
      </c>
      <c r="Q121" t="s">
        <v>4034</v>
      </c>
      <c r="R121">
        <v>1</v>
      </c>
      <c r="S121">
        <v>48.36</v>
      </c>
    </row>
    <row r="122" spans="1:19" x14ac:dyDescent="0.25">
      <c r="A122">
        <v>121</v>
      </c>
      <c r="B122" t="s">
        <v>109</v>
      </c>
      <c r="C122" t="s">
        <v>461</v>
      </c>
      <c r="D122" t="s">
        <v>851</v>
      </c>
      <c r="E122">
        <v>54</v>
      </c>
      <c r="F122" t="str" cm="1">
        <f t="array" ref="F122">INDEX(Country!$B$3:$B$250, MATCH(TRUE, ISNUMBER(SEARCH(Country!$A$2:$A$509, Customer_Data[[#This Row],[Country]])),0 ))</f>
        <v>Europe</v>
      </c>
      <c r="G122" t="s">
        <v>951</v>
      </c>
      <c r="H122" t="s">
        <v>1208</v>
      </c>
      <c r="I122" t="s">
        <v>2169</v>
      </c>
      <c r="J122" t="s">
        <v>3161</v>
      </c>
      <c r="K122" s="1">
        <v>45949</v>
      </c>
      <c r="L122">
        <f>YEAR(Customer_Data[[#This Row],[LastPurchaseDate]])</f>
        <v>2025</v>
      </c>
      <c r="M122">
        <f>MONTH(Customer_Data[[#This Row],[LastPurchaseDate]])</f>
        <v>5</v>
      </c>
      <c r="N122" s="7">
        <v>45799</v>
      </c>
      <c r="O122">
        <v>40</v>
      </c>
      <c r="P122" s="4">
        <v>4774.13</v>
      </c>
      <c r="Q122" t="s">
        <v>4035</v>
      </c>
      <c r="R122">
        <v>1</v>
      </c>
      <c r="S122">
        <v>119.35</v>
      </c>
    </row>
    <row r="123" spans="1:19" x14ac:dyDescent="0.25">
      <c r="A123">
        <v>122</v>
      </c>
      <c r="B123" t="s">
        <v>43</v>
      </c>
      <c r="C123" t="s">
        <v>364</v>
      </c>
      <c r="D123" t="s">
        <v>851</v>
      </c>
      <c r="E123">
        <v>19</v>
      </c>
      <c r="F123" t="str" cm="1">
        <f t="array" ref="F123">INDEX(Country!$B$3:$B$250, MATCH(TRUE, ISNUMBER(SEARCH(Country!$A$2:$A$509, Customer_Data[[#This Row],[Country]])),0 ))</f>
        <v>Africa</v>
      </c>
      <c r="G123" t="s">
        <v>887</v>
      </c>
      <c r="H123" t="s">
        <v>1209</v>
      </c>
      <c r="I123" t="s">
        <v>2170</v>
      </c>
      <c r="J123" t="s">
        <v>3162</v>
      </c>
      <c r="K123" s="1">
        <v>45821</v>
      </c>
      <c r="L123">
        <f>YEAR(Customer_Data[[#This Row],[LastPurchaseDate]])</f>
        <v>2024</v>
      </c>
      <c r="M123">
        <f>MONTH(Customer_Data[[#This Row],[LastPurchaseDate]])</f>
        <v>9</v>
      </c>
      <c r="N123" s="7">
        <v>45553</v>
      </c>
      <c r="O123">
        <v>41</v>
      </c>
      <c r="P123" s="4">
        <v>684.2</v>
      </c>
      <c r="Q123" t="s">
        <v>4034</v>
      </c>
      <c r="R123">
        <v>1</v>
      </c>
      <c r="S123">
        <v>16.690000000000001</v>
      </c>
    </row>
    <row r="124" spans="1:19" x14ac:dyDescent="0.25">
      <c r="A124">
        <v>123</v>
      </c>
      <c r="B124" t="s">
        <v>110</v>
      </c>
      <c r="C124" t="s">
        <v>396</v>
      </c>
      <c r="D124" t="s">
        <v>850</v>
      </c>
      <c r="E124">
        <v>39</v>
      </c>
      <c r="F124" t="str" cm="1">
        <f t="array" ref="F124">INDEX(Country!$B$3:$B$250, MATCH(TRUE, ISNUMBER(SEARCH(Country!$A$2:$A$509, Customer_Data[[#This Row],[Country]])),0 ))</f>
        <v>Africa</v>
      </c>
      <c r="G124" t="s">
        <v>952</v>
      </c>
      <c r="H124" t="s">
        <v>1210</v>
      </c>
      <c r="I124" t="s">
        <v>2171</v>
      </c>
      <c r="J124" t="s">
        <v>3163</v>
      </c>
      <c r="K124" s="1">
        <v>44961</v>
      </c>
      <c r="L124">
        <f>YEAR(Customer_Data[[#This Row],[LastPurchaseDate]])</f>
        <v>2024</v>
      </c>
      <c r="M124">
        <f>MONTH(Customer_Data[[#This Row],[LastPurchaseDate]])</f>
        <v>9</v>
      </c>
      <c r="N124" s="7">
        <v>45551</v>
      </c>
      <c r="O124">
        <v>27</v>
      </c>
      <c r="P124" s="4">
        <v>6477.95</v>
      </c>
      <c r="Q124" t="s">
        <v>4034</v>
      </c>
      <c r="R124">
        <v>4</v>
      </c>
      <c r="S124">
        <v>239.92</v>
      </c>
    </row>
    <row r="125" spans="1:19" x14ac:dyDescent="0.25">
      <c r="A125">
        <v>124</v>
      </c>
      <c r="B125" t="s">
        <v>77</v>
      </c>
      <c r="C125" t="s">
        <v>462</v>
      </c>
      <c r="D125" t="s">
        <v>851</v>
      </c>
      <c r="E125">
        <v>21</v>
      </c>
      <c r="F125" t="str" cm="1">
        <f t="array" ref="F125">INDEX(Country!$B$3:$B$250, MATCH(TRUE, ISNUMBER(SEARCH(Country!$A$2:$A$509, Customer_Data[[#This Row],[Country]])),0 ))</f>
        <v>Africa</v>
      </c>
      <c r="G125" t="s">
        <v>867</v>
      </c>
      <c r="H125" t="s">
        <v>1211</v>
      </c>
      <c r="I125" t="s">
        <v>2172</v>
      </c>
      <c r="J125" t="s">
        <v>3164</v>
      </c>
      <c r="K125" s="1">
        <v>45636</v>
      </c>
      <c r="L125">
        <f>YEAR(Customer_Data[[#This Row],[LastPurchaseDate]])</f>
        <v>2025</v>
      </c>
      <c r="M125">
        <f>MONTH(Customer_Data[[#This Row],[LastPurchaseDate]])</f>
        <v>10</v>
      </c>
      <c r="N125" s="7">
        <v>45931</v>
      </c>
      <c r="O125">
        <v>31</v>
      </c>
      <c r="P125" s="4">
        <v>2516.89</v>
      </c>
      <c r="Q125" t="s">
        <v>4034</v>
      </c>
      <c r="R125">
        <v>5</v>
      </c>
      <c r="S125">
        <v>81.19</v>
      </c>
    </row>
    <row r="126" spans="1:19" x14ac:dyDescent="0.25">
      <c r="A126">
        <v>125</v>
      </c>
      <c r="B126" t="s">
        <v>111</v>
      </c>
      <c r="C126" t="s">
        <v>463</v>
      </c>
      <c r="D126" t="s">
        <v>851</v>
      </c>
      <c r="E126">
        <v>70</v>
      </c>
      <c r="F126" t="str" cm="1">
        <f t="array" ref="F126">INDEX(Country!$B$3:$B$250, MATCH(TRUE, ISNUMBER(SEARCH(Country!$A$2:$A$509, Customer_Data[[#This Row],[Country]])),0 ))</f>
        <v>Europe</v>
      </c>
      <c r="G126" t="s">
        <v>953</v>
      </c>
      <c r="H126" t="s">
        <v>1212</v>
      </c>
      <c r="I126" t="s">
        <v>2173</v>
      </c>
      <c r="J126" t="s">
        <v>3165</v>
      </c>
      <c r="K126" s="1">
        <v>45313</v>
      </c>
      <c r="L126">
        <f>YEAR(Customer_Data[[#This Row],[LastPurchaseDate]])</f>
        <v>2024</v>
      </c>
      <c r="M126">
        <f>MONTH(Customer_Data[[#This Row],[LastPurchaseDate]])</f>
        <v>10</v>
      </c>
      <c r="N126" s="7">
        <v>45572</v>
      </c>
      <c r="O126">
        <v>35</v>
      </c>
      <c r="P126" s="4">
        <v>6308.02</v>
      </c>
      <c r="Q126" t="s">
        <v>4035</v>
      </c>
      <c r="R126">
        <v>5</v>
      </c>
      <c r="S126">
        <v>180.23</v>
      </c>
    </row>
    <row r="127" spans="1:19" x14ac:dyDescent="0.25">
      <c r="A127">
        <v>126</v>
      </c>
      <c r="B127" t="s">
        <v>58</v>
      </c>
      <c r="C127" t="s">
        <v>464</v>
      </c>
      <c r="D127" t="s">
        <v>851</v>
      </c>
      <c r="E127">
        <v>28</v>
      </c>
      <c r="F127" t="str" cm="1">
        <f t="array" ref="F127">INDEX(Country!$B$3:$B$250, MATCH(TRUE, ISNUMBER(SEARCH(Country!$A$2:$A$509, Customer_Data[[#This Row],[Country]])),0 ))</f>
        <v>North America</v>
      </c>
      <c r="G127" t="s">
        <v>954</v>
      </c>
      <c r="H127" t="s">
        <v>1213</v>
      </c>
      <c r="I127" t="s">
        <v>2174</v>
      </c>
      <c r="J127" t="s">
        <v>3166</v>
      </c>
      <c r="K127" s="1">
        <v>45645</v>
      </c>
      <c r="L127">
        <f>YEAR(Customer_Data[[#This Row],[LastPurchaseDate]])</f>
        <v>2025</v>
      </c>
      <c r="M127">
        <f>MONTH(Customer_Data[[#This Row],[LastPurchaseDate]])</f>
        <v>8</v>
      </c>
      <c r="N127" s="7">
        <v>45877</v>
      </c>
      <c r="O127">
        <v>24</v>
      </c>
      <c r="P127" s="4">
        <v>7450.24</v>
      </c>
      <c r="Q127" t="s">
        <v>4034</v>
      </c>
      <c r="R127">
        <v>5</v>
      </c>
      <c r="S127">
        <v>310.43</v>
      </c>
    </row>
    <row r="128" spans="1:19" x14ac:dyDescent="0.25">
      <c r="A128">
        <v>127</v>
      </c>
      <c r="B128" t="s">
        <v>112</v>
      </c>
      <c r="C128" t="s">
        <v>465</v>
      </c>
      <c r="D128" t="s">
        <v>852</v>
      </c>
      <c r="E128">
        <v>46</v>
      </c>
      <c r="F128" t="str" cm="1">
        <f t="array" ref="F128">INDEX(Country!$B$3:$B$250, MATCH(TRUE, ISNUMBER(SEARCH(Country!$A$2:$A$509, Customer_Data[[#This Row],[Country]])),0 ))</f>
        <v>Africa</v>
      </c>
      <c r="G128" t="s">
        <v>955</v>
      </c>
      <c r="H128" t="s">
        <v>1214</v>
      </c>
      <c r="I128" t="s">
        <v>2175</v>
      </c>
      <c r="J128" t="s">
        <v>3167</v>
      </c>
      <c r="K128" s="1">
        <v>44978</v>
      </c>
      <c r="L128">
        <f>YEAR(Customer_Data[[#This Row],[LastPurchaseDate]])</f>
        <v>2023</v>
      </c>
      <c r="M128">
        <f>MONTH(Customer_Data[[#This Row],[LastPurchaseDate]])</f>
        <v>10</v>
      </c>
      <c r="N128" s="7">
        <v>45230</v>
      </c>
      <c r="O128">
        <v>21</v>
      </c>
      <c r="P128" s="4">
        <v>4305.79</v>
      </c>
      <c r="Q128" t="s">
        <v>4034</v>
      </c>
      <c r="R128">
        <v>3</v>
      </c>
      <c r="S128">
        <v>205.04</v>
      </c>
    </row>
    <row r="129" spans="1:19" x14ac:dyDescent="0.25">
      <c r="A129">
        <v>128</v>
      </c>
      <c r="B129" t="s">
        <v>113</v>
      </c>
      <c r="C129" t="s">
        <v>466</v>
      </c>
      <c r="D129" t="s">
        <v>851</v>
      </c>
      <c r="E129">
        <v>58</v>
      </c>
      <c r="F129" t="str" cm="1">
        <f t="array" ref="F129">INDEX(Country!$B$3:$B$250, MATCH(TRUE, ISNUMBER(SEARCH(Country!$A$2:$A$509, Customer_Data[[#This Row],[Country]])),0 ))</f>
        <v>Asia</v>
      </c>
      <c r="G129" t="s">
        <v>956</v>
      </c>
      <c r="H129" t="s">
        <v>1215</v>
      </c>
      <c r="I129" t="s">
        <v>2176</v>
      </c>
      <c r="J129" t="s">
        <v>3168</v>
      </c>
      <c r="K129" s="1">
        <v>45260</v>
      </c>
      <c r="L129">
        <f>YEAR(Customer_Data[[#This Row],[LastPurchaseDate]])</f>
        <v>2025</v>
      </c>
      <c r="M129">
        <f>MONTH(Customer_Data[[#This Row],[LastPurchaseDate]])</f>
        <v>6</v>
      </c>
      <c r="N129" s="7">
        <v>45834</v>
      </c>
      <c r="O129">
        <v>37</v>
      </c>
      <c r="P129" s="4">
        <v>1891.59</v>
      </c>
      <c r="Q129" t="s">
        <v>4034</v>
      </c>
      <c r="R129">
        <v>1</v>
      </c>
      <c r="S129">
        <v>51.12</v>
      </c>
    </row>
    <row r="130" spans="1:19" x14ac:dyDescent="0.25">
      <c r="A130">
        <v>129</v>
      </c>
      <c r="B130" t="s">
        <v>114</v>
      </c>
      <c r="C130" t="s">
        <v>467</v>
      </c>
      <c r="D130" t="s">
        <v>850</v>
      </c>
      <c r="E130">
        <v>29</v>
      </c>
      <c r="F130" t="str" cm="1">
        <f t="array" ref="F130">INDEX(Country!$B$3:$B$250, MATCH(TRUE, ISNUMBER(SEARCH(Country!$A$2:$A$509, Customer_Data[[#This Row],[Country]])),0 ))</f>
        <v>North America</v>
      </c>
      <c r="G130" t="s">
        <v>920</v>
      </c>
      <c r="H130" t="s">
        <v>1216</v>
      </c>
      <c r="I130" t="s">
        <v>2177</v>
      </c>
      <c r="J130" t="s">
        <v>3169</v>
      </c>
      <c r="K130" s="1">
        <v>45159</v>
      </c>
      <c r="L130">
        <f>YEAR(Customer_Data[[#This Row],[LastPurchaseDate]])</f>
        <v>2024</v>
      </c>
      <c r="M130">
        <f>MONTH(Customer_Data[[#This Row],[LastPurchaseDate]])</f>
        <v>3</v>
      </c>
      <c r="N130" s="7">
        <v>45374</v>
      </c>
      <c r="O130">
        <v>6</v>
      </c>
      <c r="P130" s="4">
        <v>7690.37</v>
      </c>
      <c r="Q130" t="s">
        <v>4034</v>
      </c>
      <c r="R130">
        <v>1</v>
      </c>
      <c r="S130">
        <v>1281.73</v>
      </c>
    </row>
    <row r="131" spans="1:19" x14ac:dyDescent="0.25">
      <c r="A131">
        <v>130</v>
      </c>
      <c r="B131" t="s">
        <v>115</v>
      </c>
      <c r="C131" t="s">
        <v>464</v>
      </c>
      <c r="D131" t="s">
        <v>851</v>
      </c>
      <c r="E131">
        <v>21</v>
      </c>
      <c r="F131" t="str" cm="1">
        <f t="array" ref="F131">INDEX(Country!$B$3:$B$250, MATCH(TRUE, ISNUMBER(SEARCH(Country!$A$2:$A$509, Customer_Data[[#This Row],[Country]])),0 ))</f>
        <v>Asia</v>
      </c>
      <c r="G131" t="s">
        <v>861</v>
      </c>
      <c r="H131" t="s">
        <v>1217</v>
      </c>
      <c r="I131" t="s">
        <v>2178</v>
      </c>
      <c r="J131" t="s">
        <v>3170</v>
      </c>
      <c r="K131" s="1">
        <v>45170</v>
      </c>
      <c r="L131">
        <f>YEAR(Customer_Data[[#This Row],[LastPurchaseDate]])</f>
        <v>2025</v>
      </c>
      <c r="M131">
        <f>MONTH(Customer_Data[[#This Row],[LastPurchaseDate]])</f>
        <v>4</v>
      </c>
      <c r="N131" s="7">
        <v>45757</v>
      </c>
      <c r="O131">
        <v>38</v>
      </c>
      <c r="P131" s="4">
        <v>357.38</v>
      </c>
      <c r="Q131" t="s">
        <v>4034</v>
      </c>
      <c r="R131">
        <v>5</v>
      </c>
      <c r="S131">
        <v>9.4</v>
      </c>
    </row>
    <row r="132" spans="1:19" x14ac:dyDescent="0.25">
      <c r="A132">
        <v>131</v>
      </c>
      <c r="B132" t="s">
        <v>116</v>
      </c>
      <c r="C132" t="s">
        <v>468</v>
      </c>
      <c r="D132" t="s">
        <v>851</v>
      </c>
      <c r="E132">
        <v>25</v>
      </c>
      <c r="F132" t="str" cm="1">
        <f t="array" ref="F132">INDEX(Country!$B$3:$B$250, MATCH(TRUE, ISNUMBER(SEARCH(Country!$A$2:$A$509, Customer_Data[[#This Row],[Country]])),0 ))</f>
        <v>Asia</v>
      </c>
      <c r="G132" t="s">
        <v>888</v>
      </c>
      <c r="H132" t="s">
        <v>1218</v>
      </c>
      <c r="I132" t="s">
        <v>2179</v>
      </c>
      <c r="J132" t="s">
        <v>3171</v>
      </c>
      <c r="K132" s="1">
        <v>45135</v>
      </c>
      <c r="L132">
        <f>YEAR(Customer_Data[[#This Row],[LastPurchaseDate]])</f>
        <v>2024</v>
      </c>
      <c r="M132">
        <f>MONTH(Customer_Data[[#This Row],[LastPurchaseDate]])</f>
        <v>3</v>
      </c>
      <c r="N132" s="7">
        <v>45362</v>
      </c>
      <c r="O132">
        <v>34</v>
      </c>
      <c r="P132" s="4">
        <v>4634.38</v>
      </c>
      <c r="Q132" t="s">
        <v>4034</v>
      </c>
      <c r="R132">
        <v>5</v>
      </c>
      <c r="S132">
        <v>136.31</v>
      </c>
    </row>
    <row r="133" spans="1:19" x14ac:dyDescent="0.25">
      <c r="A133">
        <v>132</v>
      </c>
      <c r="B133" t="s">
        <v>107</v>
      </c>
      <c r="C133" t="s">
        <v>469</v>
      </c>
      <c r="D133" t="s">
        <v>850</v>
      </c>
      <c r="E133">
        <v>63</v>
      </c>
      <c r="F133" t="str" cm="1">
        <f t="array" ref="F133">INDEX(Country!$B$3:$B$250, MATCH(TRUE, ISNUMBER(SEARCH(Country!$A$2:$A$509, Customer_Data[[#This Row],[Country]])),0 ))</f>
        <v>Africa</v>
      </c>
      <c r="G133" t="s">
        <v>957</v>
      </c>
      <c r="H133" t="s">
        <v>1219</v>
      </c>
      <c r="I133" t="s">
        <v>2180</v>
      </c>
      <c r="J133" t="s">
        <v>3172</v>
      </c>
      <c r="K133" s="1">
        <v>45020</v>
      </c>
      <c r="L133">
        <f>YEAR(Customer_Data[[#This Row],[LastPurchaseDate]])</f>
        <v>2023</v>
      </c>
      <c r="M133">
        <f>MONTH(Customer_Data[[#This Row],[LastPurchaseDate]])</f>
        <v>11</v>
      </c>
      <c r="N133" s="7">
        <v>45239</v>
      </c>
      <c r="O133">
        <v>33</v>
      </c>
      <c r="P133" s="4">
        <v>1155.42</v>
      </c>
      <c r="Q133" t="s">
        <v>4035</v>
      </c>
      <c r="R133">
        <v>1</v>
      </c>
      <c r="S133">
        <v>35.01</v>
      </c>
    </row>
    <row r="134" spans="1:19" x14ac:dyDescent="0.25">
      <c r="A134">
        <v>133</v>
      </c>
      <c r="B134" t="s">
        <v>117</v>
      </c>
      <c r="C134" t="s">
        <v>470</v>
      </c>
      <c r="D134" t="s">
        <v>850</v>
      </c>
      <c r="E134">
        <v>35</v>
      </c>
      <c r="F134" t="str" cm="1">
        <f t="array" ref="F134">INDEX(Country!$B$3:$B$250, MATCH(TRUE, ISNUMBER(SEARCH(Country!$A$2:$A$509, Customer_Data[[#This Row],[Country]])),0 ))</f>
        <v>North America</v>
      </c>
      <c r="G134" t="s">
        <v>906</v>
      </c>
      <c r="H134" t="s">
        <v>1220</v>
      </c>
      <c r="I134" t="s">
        <v>2181</v>
      </c>
      <c r="J134" t="s">
        <v>3173</v>
      </c>
      <c r="K134" s="1">
        <v>44916</v>
      </c>
      <c r="L134">
        <f>YEAR(Customer_Data[[#This Row],[LastPurchaseDate]])</f>
        <v>2024</v>
      </c>
      <c r="M134">
        <f>MONTH(Customer_Data[[#This Row],[LastPurchaseDate]])</f>
        <v>1</v>
      </c>
      <c r="N134" s="7">
        <v>45301</v>
      </c>
      <c r="O134">
        <v>18</v>
      </c>
      <c r="P134" s="4">
        <v>1895.63</v>
      </c>
      <c r="Q134" t="s">
        <v>4035</v>
      </c>
      <c r="R134">
        <v>2</v>
      </c>
      <c r="S134">
        <v>105.31</v>
      </c>
    </row>
    <row r="135" spans="1:19" x14ac:dyDescent="0.25">
      <c r="A135">
        <v>134</v>
      </c>
      <c r="B135" t="s">
        <v>97</v>
      </c>
      <c r="C135" t="s">
        <v>471</v>
      </c>
      <c r="D135" t="s">
        <v>851</v>
      </c>
      <c r="E135">
        <v>22</v>
      </c>
      <c r="F135" t="str" cm="1">
        <f t="array" ref="F135">INDEX(Country!$B$3:$B$250, MATCH(TRUE, ISNUMBER(SEARCH(Country!$A$2:$A$509, Customer_Data[[#This Row],[Country]])),0 ))</f>
        <v>Europe</v>
      </c>
      <c r="G135" t="s">
        <v>880</v>
      </c>
      <c r="H135" t="s">
        <v>1221</v>
      </c>
      <c r="I135" t="s">
        <v>2182</v>
      </c>
      <c r="J135" t="s">
        <v>3174</v>
      </c>
      <c r="K135" s="1">
        <v>45432</v>
      </c>
      <c r="L135">
        <f>YEAR(Customer_Data[[#This Row],[LastPurchaseDate]])</f>
        <v>2024</v>
      </c>
      <c r="M135">
        <f>MONTH(Customer_Data[[#This Row],[LastPurchaseDate]])</f>
        <v>2</v>
      </c>
      <c r="N135" s="7">
        <v>45349</v>
      </c>
      <c r="O135">
        <v>46</v>
      </c>
      <c r="P135" s="4">
        <v>4982.53</v>
      </c>
      <c r="Q135" t="s">
        <v>4035</v>
      </c>
      <c r="R135">
        <v>5</v>
      </c>
      <c r="S135">
        <v>108.32</v>
      </c>
    </row>
    <row r="136" spans="1:19" x14ac:dyDescent="0.25">
      <c r="A136">
        <v>135</v>
      </c>
      <c r="B136" t="s">
        <v>74</v>
      </c>
      <c r="C136" t="s">
        <v>472</v>
      </c>
      <c r="D136" t="s">
        <v>850</v>
      </c>
      <c r="E136">
        <v>33</v>
      </c>
      <c r="F136" t="str" cm="1">
        <f t="array" ref="F136">INDEX(Country!$B$3:$B$250, MATCH(TRUE, ISNUMBER(SEARCH(Country!$A$2:$A$509, Customer_Data[[#This Row],[Country]])),0 ))</f>
        <v>South America</v>
      </c>
      <c r="G136" t="s">
        <v>958</v>
      </c>
      <c r="H136" t="s">
        <v>1222</v>
      </c>
      <c r="I136" t="s">
        <v>2183</v>
      </c>
      <c r="J136" t="s">
        <v>3175</v>
      </c>
      <c r="K136" s="1">
        <v>44989</v>
      </c>
      <c r="L136">
        <f>YEAR(Customer_Data[[#This Row],[LastPurchaseDate]])</f>
        <v>2024</v>
      </c>
      <c r="M136">
        <f>MONTH(Customer_Data[[#This Row],[LastPurchaseDate]])</f>
        <v>9</v>
      </c>
      <c r="N136" s="7">
        <v>45542</v>
      </c>
      <c r="O136">
        <v>44</v>
      </c>
      <c r="P136" s="4">
        <v>3925.73</v>
      </c>
      <c r="Q136" t="s">
        <v>4034</v>
      </c>
      <c r="R136">
        <v>5</v>
      </c>
      <c r="S136">
        <v>89.22</v>
      </c>
    </row>
    <row r="137" spans="1:19" x14ac:dyDescent="0.25">
      <c r="A137">
        <v>136</v>
      </c>
      <c r="B137" t="s">
        <v>28</v>
      </c>
      <c r="C137" t="s">
        <v>473</v>
      </c>
      <c r="D137" t="s">
        <v>851</v>
      </c>
      <c r="E137">
        <v>29</v>
      </c>
      <c r="F137" t="str" cm="1">
        <f t="array" ref="F137">INDEX(Country!$B$3:$B$250, MATCH(TRUE, ISNUMBER(SEARCH(Country!$A$2:$A$509, Customer_Data[[#This Row],[Country]])),0 ))</f>
        <v>Asia</v>
      </c>
      <c r="G137" t="s">
        <v>959</v>
      </c>
      <c r="H137" t="s">
        <v>1223</v>
      </c>
      <c r="I137" t="s">
        <v>2184</v>
      </c>
      <c r="J137" t="s">
        <v>3176</v>
      </c>
      <c r="K137" s="1">
        <v>45568</v>
      </c>
      <c r="L137">
        <f>YEAR(Customer_Data[[#This Row],[LastPurchaseDate]])</f>
        <v>2024</v>
      </c>
      <c r="M137">
        <f>MONTH(Customer_Data[[#This Row],[LastPurchaseDate]])</f>
        <v>12</v>
      </c>
      <c r="N137" s="7">
        <v>45636</v>
      </c>
      <c r="O137">
        <v>40</v>
      </c>
      <c r="P137" s="4">
        <v>3098.17</v>
      </c>
      <c r="Q137" t="s">
        <v>4035</v>
      </c>
      <c r="R137">
        <v>5</v>
      </c>
      <c r="S137">
        <v>77.45</v>
      </c>
    </row>
    <row r="138" spans="1:19" x14ac:dyDescent="0.25">
      <c r="A138">
        <v>137</v>
      </c>
      <c r="B138" t="s">
        <v>31</v>
      </c>
      <c r="C138" t="s">
        <v>474</v>
      </c>
      <c r="D138" t="s">
        <v>851</v>
      </c>
      <c r="E138">
        <v>57</v>
      </c>
      <c r="F138" t="str" cm="1">
        <f t="array" ref="F138">INDEX(Country!$B$3:$B$250, MATCH(TRUE, ISNUMBER(SEARCH(Country!$A$2:$A$509, Customer_Data[[#This Row],[Country]])),0 ))</f>
        <v>Asia</v>
      </c>
      <c r="G138" t="s">
        <v>937</v>
      </c>
      <c r="H138" t="s">
        <v>1224</v>
      </c>
      <c r="I138" t="s">
        <v>2185</v>
      </c>
      <c r="J138" t="s">
        <v>3177</v>
      </c>
      <c r="K138" s="1">
        <v>45657</v>
      </c>
      <c r="L138">
        <f>YEAR(Customer_Data[[#This Row],[LastPurchaseDate]])</f>
        <v>2025</v>
      </c>
      <c r="M138">
        <f>MONTH(Customer_Data[[#This Row],[LastPurchaseDate]])</f>
        <v>8</v>
      </c>
      <c r="N138" s="7">
        <v>45885</v>
      </c>
      <c r="O138">
        <v>10</v>
      </c>
      <c r="P138" s="4">
        <v>6579.07</v>
      </c>
      <c r="Q138" t="s">
        <v>4034</v>
      </c>
      <c r="R138">
        <v>2</v>
      </c>
      <c r="S138">
        <v>657.91</v>
      </c>
    </row>
    <row r="139" spans="1:19" x14ac:dyDescent="0.25">
      <c r="A139">
        <v>138</v>
      </c>
      <c r="B139" t="s">
        <v>118</v>
      </c>
      <c r="C139" t="s">
        <v>475</v>
      </c>
      <c r="D139" t="s">
        <v>850</v>
      </c>
      <c r="E139">
        <v>55</v>
      </c>
      <c r="F139" t="str" cm="1">
        <f t="array" ref="F139">INDEX(Country!$B$3:$B$250, MATCH(TRUE, ISNUMBER(SEARCH(Country!$A$2:$A$509, Customer_Data[[#This Row],[Country]])),0 ))</f>
        <v>Africa</v>
      </c>
      <c r="G139" t="s">
        <v>955</v>
      </c>
      <c r="H139" t="s">
        <v>1225</v>
      </c>
      <c r="I139" t="s">
        <v>2186</v>
      </c>
      <c r="J139" t="s">
        <v>3178</v>
      </c>
      <c r="K139" s="1">
        <v>44988</v>
      </c>
      <c r="L139">
        <f>YEAR(Customer_Data[[#This Row],[LastPurchaseDate]])</f>
        <v>2024</v>
      </c>
      <c r="M139">
        <f>MONTH(Customer_Data[[#This Row],[LastPurchaseDate]])</f>
        <v>10</v>
      </c>
      <c r="N139" s="7">
        <v>45586</v>
      </c>
      <c r="O139">
        <v>19</v>
      </c>
      <c r="P139" s="4">
        <v>3146.99</v>
      </c>
      <c r="Q139" t="s">
        <v>4035</v>
      </c>
      <c r="R139">
        <v>1</v>
      </c>
      <c r="S139">
        <v>165.63</v>
      </c>
    </row>
    <row r="140" spans="1:19" x14ac:dyDescent="0.25">
      <c r="A140">
        <v>139</v>
      </c>
      <c r="B140" t="s">
        <v>119</v>
      </c>
      <c r="C140" t="s">
        <v>476</v>
      </c>
      <c r="D140" t="s">
        <v>851</v>
      </c>
      <c r="E140">
        <v>53</v>
      </c>
      <c r="F140" t="str" cm="1">
        <f t="array" ref="F140">INDEX(Country!$B$3:$B$250, MATCH(TRUE, ISNUMBER(SEARCH(Country!$A$2:$A$509, Customer_Data[[#This Row],[Country]])),0 ))</f>
        <v>North America</v>
      </c>
      <c r="G140" t="s">
        <v>904</v>
      </c>
      <c r="H140" t="s">
        <v>1226</v>
      </c>
      <c r="I140" t="s">
        <v>2187</v>
      </c>
      <c r="J140" t="s">
        <v>3179</v>
      </c>
      <c r="K140" s="1">
        <v>45602</v>
      </c>
      <c r="L140">
        <f>YEAR(Customer_Data[[#This Row],[LastPurchaseDate]])</f>
        <v>2025</v>
      </c>
      <c r="M140">
        <f>MONTH(Customer_Data[[#This Row],[LastPurchaseDate]])</f>
        <v>7</v>
      </c>
      <c r="N140" s="7">
        <v>45841</v>
      </c>
      <c r="O140">
        <v>20</v>
      </c>
      <c r="P140" s="4">
        <v>1797.27</v>
      </c>
      <c r="Q140" t="s">
        <v>4035</v>
      </c>
      <c r="R140">
        <v>5</v>
      </c>
      <c r="S140">
        <v>89.86</v>
      </c>
    </row>
    <row r="141" spans="1:19" x14ac:dyDescent="0.25">
      <c r="A141">
        <v>140</v>
      </c>
      <c r="B141" t="s">
        <v>120</v>
      </c>
      <c r="C141" t="s">
        <v>380</v>
      </c>
      <c r="D141" t="s">
        <v>851</v>
      </c>
      <c r="E141">
        <v>25</v>
      </c>
      <c r="F141" t="str" cm="1">
        <f t="array" ref="F141">INDEX(Country!$B$3:$B$250, MATCH(TRUE, ISNUMBER(SEARCH(Country!$A$2:$A$509, Customer_Data[[#This Row],[Country]])),0 ))</f>
        <v>Asia</v>
      </c>
      <c r="G141" t="s">
        <v>865</v>
      </c>
      <c r="H141" t="s">
        <v>1227</v>
      </c>
      <c r="I141" t="s">
        <v>2188</v>
      </c>
      <c r="J141" t="s">
        <v>3180</v>
      </c>
      <c r="K141" s="1">
        <v>45556</v>
      </c>
      <c r="L141">
        <f>YEAR(Customer_Data[[#This Row],[LastPurchaseDate]])</f>
        <v>2023</v>
      </c>
      <c r="M141">
        <f>MONTH(Customer_Data[[#This Row],[LastPurchaseDate]])</f>
        <v>11</v>
      </c>
      <c r="N141" s="7">
        <v>45250</v>
      </c>
      <c r="O141">
        <v>14</v>
      </c>
      <c r="P141" s="4">
        <v>8176.98</v>
      </c>
      <c r="Q141" t="s">
        <v>4035</v>
      </c>
      <c r="R141">
        <v>2</v>
      </c>
      <c r="S141">
        <v>584.07000000000005</v>
      </c>
    </row>
    <row r="142" spans="1:19" x14ac:dyDescent="0.25">
      <c r="A142">
        <v>141</v>
      </c>
      <c r="B142" t="s">
        <v>121</v>
      </c>
      <c r="C142" t="s">
        <v>477</v>
      </c>
      <c r="D142" t="s">
        <v>851</v>
      </c>
      <c r="E142">
        <v>64</v>
      </c>
      <c r="F142" t="str" cm="1">
        <f t="array" ref="F142">INDEX(Country!$B$3:$B$250, MATCH(TRUE, ISNUMBER(SEARCH(Country!$A$2:$A$509, Customer_Data[[#This Row],[Country]])),0 ))</f>
        <v>Europe</v>
      </c>
      <c r="G142" t="s">
        <v>929</v>
      </c>
      <c r="H142" t="s">
        <v>1228</v>
      </c>
      <c r="I142" t="s">
        <v>2189</v>
      </c>
      <c r="J142" t="s">
        <v>3181</v>
      </c>
      <c r="K142" s="1">
        <v>44878</v>
      </c>
      <c r="L142">
        <f>YEAR(Customer_Data[[#This Row],[LastPurchaseDate]])</f>
        <v>2025</v>
      </c>
      <c r="M142">
        <f>MONTH(Customer_Data[[#This Row],[LastPurchaseDate]])</f>
        <v>7</v>
      </c>
      <c r="N142" s="7">
        <v>45866</v>
      </c>
      <c r="O142">
        <v>17</v>
      </c>
      <c r="P142" s="4">
        <v>6544.68</v>
      </c>
      <c r="Q142" t="s">
        <v>4034</v>
      </c>
      <c r="R142">
        <v>5</v>
      </c>
      <c r="S142">
        <v>384.98</v>
      </c>
    </row>
    <row r="143" spans="1:19" x14ac:dyDescent="0.25">
      <c r="A143">
        <v>142</v>
      </c>
      <c r="B143" t="s">
        <v>122</v>
      </c>
      <c r="C143" t="s">
        <v>478</v>
      </c>
      <c r="D143" t="s">
        <v>852</v>
      </c>
      <c r="E143">
        <v>50</v>
      </c>
      <c r="F143" t="str" cm="1">
        <f t="array" ref="F143">INDEX(Country!$B$3:$B$250, MATCH(TRUE, ISNUMBER(SEARCH(Country!$A$2:$A$509, Customer_Data[[#This Row],[Country]])),0 ))</f>
        <v>Europe</v>
      </c>
      <c r="G143" t="s">
        <v>960</v>
      </c>
      <c r="H143" t="s">
        <v>1229</v>
      </c>
      <c r="I143" t="s">
        <v>2190</v>
      </c>
      <c r="J143" t="s">
        <v>3182</v>
      </c>
      <c r="K143" s="1">
        <v>45237</v>
      </c>
      <c r="L143">
        <f>YEAR(Customer_Data[[#This Row],[LastPurchaseDate]])</f>
        <v>2025</v>
      </c>
      <c r="M143">
        <f>MONTH(Customer_Data[[#This Row],[LastPurchaseDate]])</f>
        <v>8</v>
      </c>
      <c r="N143" s="7">
        <v>45889</v>
      </c>
      <c r="O143">
        <v>33</v>
      </c>
      <c r="P143" s="4">
        <v>3953.58</v>
      </c>
      <c r="Q143" t="s">
        <v>4035</v>
      </c>
      <c r="R143">
        <v>5</v>
      </c>
      <c r="S143">
        <v>119.81</v>
      </c>
    </row>
    <row r="144" spans="1:19" x14ac:dyDescent="0.25">
      <c r="A144">
        <v>143</v>
      </c>
      <c r="B144" t="s">
        <v>58</v>
      </c>
      <c r="C144" t="s">
        <v>479</v>
      </c>
      <c r="D144" t="s">
        <v>850</v>
      </c>
      <c r="E144">
        <v>25</v>
      </c>
      <c r="F144" t="str" cm="1">
        <f t="array" ref="F144">INDEX(Country!$B$3:$B$250, MATCH(TRUE, ISNUMBER(SEARCH(Country!$A$2:$A$509, Customer_Data[[#This Row],[Country]])),0 ))</f>
        <v>Oceania</v>
      </c>
      <c r="G144" t="s">
        <v>961</v>
      </c>
      <c r="H144" t="s">
        <v>1230</v>
      </c>
      <c r="I144" t="s">
        <v>2191</v>
      </c>
      <c r="J144" t="s">
        <v>3183</v>
      </c>
      <c r="K144" s="1">
        <v>45481</v>
      </c>
      <c r="L144">
        <f>YEAR(Customer_Data[[#This Row],[LastPurchaseDate]])</f>
        <v>2024</v>
      </c>
      <c r="M144">
        <f>MONTH(Customer_Data[[#This Row],[LastPurchaseDate]])</f>
        <v>6</v>
      </c>
      <c r="N144" s="7">
        <v>45470</v>
      </c>
      <c r="O144">
        <v>41</v>
      </c>
      <c r="P144" s="4">
        <v>565.62</v>
      </c>
      <c r="Q144" t="s">
        <v>4035</v>
      </c>
      <c r="R144">
        <v>5</v>
      </c>
      <c r="S144">
        <v>13.8</v>
      </c>
    </row>
    <row r="145" spans="1:19" x14ac:dyDescent="0.25">
      <c r="A145">
        <v>144</v>
      </c>
      <c r="B145" t="s">
        <v>33</v>
      </c>
      <c r="C145" t="s">
        <v>480</v>
      </c>
      <c r="D145" t="s">
        <v>851</v>
      </c>
      <c r="E145">
        <v>40</v>
      </c>
      <c r="F145" t="str" cm="1">
        <f t="array" ref="F145">INDEX(Country!$B$3:$B$250, MATCH(TRUE, ISNUMBER(SEARCH(Country!$A$2:$A$509, Customer_Data[[#This Row],[Country]])),0 ))</f>
        <v>Asia</v>
      </c>
      <c r="G145" t="s">
        <v>895</v>
      </c>
      <c r="H145" t="s">
        <v>1231</v>
      </c>
      <c r="I145" t="s">
        <v>2192</v>
      </c>
      <c r="J145" t="s">
        <v>3184</v>
      </c>
      <c r="K145" s="1">
        <v>45763</v>
      </c>
      <c r="L145">
        <f>YEAR(Customer_Data[[#This Row],[LastPurchaseDate]])</f>
        <v>2024</v>
      </c>
      <c r="M145">
        <f>MONTH(Customer_Data[[#This Row],[LastPurchaseDate]])</f>
        <v>8</v>
      </c>
      <c r="N145" s="7">
        <v>45510</v>
      </c>
      <c r="O145">
        <v>1</v>
      </c>
      <c r="P145" s="4">
        <v>9965.66</v>
      </c>
      <c r="Q145" t="s">
        <v>4035</v>
      </c>
      <c r="R145">
        <v>4</v>
      </c>
      <c r="S145">
        <v>9965.66</v>
      </c>
    </row>
    <row r="146" spans="1:19" x14ac:dyDescent="0.25">
      <c r="A146">
        <v>145</v>
      </c>
      <c r="B146" t="s">
        <v>123</v>
      </c>
      <c r="C146" t="s">
        <v>481</v>
      </c>
      <c r="D146" t="s">
        <v>850</v>
      </c>
      <c r="E146">
        <v>51</v>
      </c>
      <c r="F146" t="str" cm="1">
        <f t="array" ref="F146">INDEX(Country!$B$3:$B$250, MATCH(TRUE, ISNUMBER(SEARCH(Country!$A$2:$A$509, Customer_Data[[#This Row],[Country]])),0 ))</f>
        <v>North America</v>
      </c>
      <c r="G146" t="s">
        <v>901</v>
      </c>
      <c r="H146" t="s">
        <v>1232</v>
      </c>
      <c r="I146" t="s">
        <v>2193</v>
      </c>
      <c r="J146" t="s">
        <v>3185</v>
      </c>
      <c r="K146" s="1">
        <v>45883</v>
      </c>
      <c r="L146">
        <f>YEAR(Customer_Data[[#This Row],[LastPurchaseDate]])</f>
        <v>2024</v>
      </c>
      <c r="M146">
        <f>MONTH(Customer_Data[[#This Row],[LastPurchaseDate]])</f>
        <v>3</v>
      </c>
      <c r="N146" s="7">
        <v>45365</v>
      </c>
      <c r="O146">
        <v>13</v>
      </c>
      <c r="P146" s="4">
        <v>2706.4</v>
      </c>
      <c r="Q146" t="s">
        <v>4035</v>
      </c>
      <c r="R146">
        <v>1</v>
      </c>
      <c r="S146">
        <v>208.18</v>
      </c>
    </row>
    <row r="147" spans="1:19" x14ac:dyDescent="0.25">
      <c r="A147">
        <v>146</v>
      </c>
      <c r="B147" t="s">
        <v>124</v>
      </c>
      <c r="C147" t="s">
        <v>482</v>
      </c>
      <c r="D147" t="s">
        <v>852</v>
      </c>
      <c r="E147">
        <v>60</v>
      </c>
      <c r="F147" t="str" cm="1">
        <f t="array" ref="F147">INDEX(Country!$B$3:$B$250, MATCH(TRUE, ISNUMBER(SEARCH(Country!$A$2:$A$509, Customer_Data[[#This Row],[Country]])),0 ))</f>
        <v>Africa</v>
      </c>
      <c r="G147" t="s">
        <v>962</v>
      </c>
      <c r="H147" t="s">
        <v>1233</v>
      </c>
      <c r="I147" t="s">
        <v>2194</v>
      </c>
      <c r="J147" t="s">
        <v>3186</v>
      </c>
      <c r="K147" s="1">
        <v>45709</v>
      </c>
      <c r="L147">
        <f>YEAR(Customer_Data[[#This Row],[LastPurchaseDate]])</f>
        <v>2024</v>
      </c>
      <c r="M147">
        <f>MONTH(Customer_Data[[#This Row],[LastPurchaseDate]])</f>
        <v>12</v>
      </c>
      <c r="N147" s="7">
        <v>45640</v>
      </c>
      <c r="O147">
        <v>46</v>
      </c>
      <c r="P147" s="4">
        <v>4594.7299999999996</v>
      </c>
      <c r="Q147" t="s">
        <v>4034</v>
      </c>
      <c r="R147">
        <v>5</v>
      </c>
      <c r="S147">
        <v>99.89</v>
      </c>
    </row>
    <row r="148" spans="1:19" x14ac:dyDescent="0.25">
      <c r="A148">
        <v>147</v>
      </c>
      <c r="B148" t="s">
        <v>121</v>
      </c>
      <c r="C148" t="s">
        <v>483</v>
      </c>
      <c r="D148" t="s">
        <v>850</v>
      </c>
      <c r="E148">
        <v>45</v>
      </c>
      <c r="F148" t="str" cm="1">
        <f t="array" ref="F148">INDEX(Country!$B$3:$B$250, MATCH(TRUE, ISNUMBER(SEARCH(Country!$A$2:$A$509, Customer_Data[[#This Row],[Country]])),0 ))</f>
        <v>Africa</v>
      </c>
      <c r="G148" t="s">
        <v>887</v>
      </c>
      <c r="H148" t="s">
        <v>1234</v>
      </c>
      <c r="I148" t="s">
        <v>2195</v>
      </c>
      <c r="J148" t="s">
        <v>3187</v>
      </c>
      <c r="K148" s="1">
        <v>45482</v>
      </c>
      <c r="L148">
        <f>YEAR(Customer_Data[[#This Row],[LastPurchaseDate]])</f>
        <v>2024</v>
      </c>
      <c r="M148">
        <f>MONTH(Customer_Data[[#This Row],[LastPurchaseDate]])</f>
        <v>5</v>
      </c>
      <c r="N148" s="7">
        <v>45423</v>
      </c>
      <c r="O148">
        <v>30</v>
      </c>
      <c r="P148" s="4">
        <v>4464.91</v>
      </c>
      <c r="Q148" t="s">
        <v>4035</v>
      </c>
      <c r="R148">
        <v>2</v>
      </c>
      <c r="S148">
        <v>148.83000000000001</v>
      </c>
    </row>
    <row r="149" spans="1:19" x14ac:dyDescent="0.25">
      <c r="A149">
        <v>148</v>
      </c>
      <c r="B149" t="s">
        <v>53</v>
      </c>
      <c r="C149" t="s">
        <v>420</v>
      </c>
      <c r="D149" t="s">
        <v>851</v>
      </c>
      <c r="E149">
        <v>22</v>
      </c>
      <c r="F149" t="str" cm="1">
        <f t="array" ref="F149">INDEX(Country!$B$3:$B$250, MATCH(TRUE, ISNUMBER(SEARCH(Country!$A$2:$A$509, Customer_Data[[#This Row],[Country]])),0 ))</f>
        <v>Asia</v>
      </c>
      <c r="G149" t="s">
        <v>963</v>
      </c>
      <c r="H149" t="s">
        <v>1235</v>
      </c>
      <c r="I149" t="s">
        <v>2196</v>
      </c>
      <c r="J149" t="s">
        <v>3188</v>
      </c>
      <c r="K149" s="1">
        <v>45850</v>
      </c>
      <c r="L149">
        <f>YEAR(Customer_Data[[#This Row],[LastPurchaseDate]])</f>
        <v>2025</v>
      </c>
      <c r="M149">
        <f>MONTH(Customer_Data[[#This Row],[LastPurchaseDate]])</f>
        <v>2</v>
      </c>
      <c r="N149" s="7">
        <v>45693</v>
      </c>
      <c r="O149">
        <v>44</v>
      </c>
      <c r="P149" s="4">
        <v>710.28</v>
      </c>
      <c r="Q149" t="s">
        <v>4034</v>
      </c>
      <c r="R149">
        <v>4</v>
      </c>
      <c r="S149">
        <v>16.14</v>
      </c>
    </row>
    <row r="150" spans="1:19" x14ac:dyDescent="0.25">
      <c r="A150">
        <v>149</v>
      </c>
      <c r="B150" t="s">
        <v>115</v>
      </c>
      <c r="C150" t="s">
        <v>371</v>
      </c>
      <c r="D150" t="s">
        <v>851</v>
      </c>
      <c r="E150">
        <v>62</v>
      </c>
      <c r="F150" t="str" cm="1">
        <f t="array" ref="F150">INDEX(Country!$B$3:$B$250, MATCH(TRUE, ISNUMBER(SEARCH(Country!$A$2:$A$509, Customer_Data[[#This Row],[Country]])),0 ))</f>
        <v>North America</v>
      </c>
      <c r="G150" t="s">
        <v>964</v>
      </c>
      <c r="H150" t="s">
        <v>1236</v>
      </c>
      <c r="I150" t="s">
        <v>2197</v>
      </c>
      <c r="J150" t="s">
        <v>3189</v>
      </c>
      <c r="K150" s="1">
        <v>45455</v>
      </c>
      <c r="L150">
        <f>YEAR(Customer_Data[[#This Row],[LastPurchaseDate]])</f>
        <v>2024</v>
      </c>
      <c r="M150">
        <f>MONTH(Customer_Data[[#This Row],[LastPurchaseDate]])</f>
        <v>12</v>
      </c>
      <c r="N150" s="7">
        <v>45631</v>
      </c>
      <c r="O150">
        <v>8</v>
      </c>
      <c r="P150" s="4">
        <v>7899.91</v>
      </c>
      <c r="Q150" t="s">
        <v>4034</v>
      </c>
      <c r="R150">
        <v>1</v>
      </c>
      <c r="S150">
        <v>987.49</v>
      </c>
    </row>
    <row r="151" spans="1:19" x14ac:dyDescent="0.25">
      <c r="A151">
        <v>150</v>
      </c>
      <c r="B151" t="s">
        <v>99</v>
      </c>
      <c r="C151" t="s">
        <v>484</v>
      </c>
      <c r="D151" t="s">
        <v>850</v>
      </c>
      <c r="E151">
        <v>47</v>
      </c>
      <c r="F151" t="str" cm="1">
        <f t="array" ref="F151">INDEX(Country!$B$3:$B$250, MATCH(TRUE, ISNUMBER(SEARCH(Country!$A$2:$A$509, Customer_Data[[#This Row],[Country]])),0 ))</f>
        <v>Asia</v>
      </c>
      <c r="G151" t="s">
        <v>959</v>
      </c>
      <c r="H151" t="s">
        <v>1237</v>
      </c>
      <c r="I151" t="s">
        <v>2198</v>
      </c>
      <c r="J151" t="s">
        <v>3190</v>
      </c>
      <c r="K151" s="1">
        <v>45063</v>
      </c>
      <c r="L151">
        <f>YEAR(Customer_Data[[#This Row],[LastPurchaseDate]])</f>
        <v>2024</v>
      </c>
      <c r="M151">
        <f>MONTH(Customer_Data[[#This Row],[LastPurchaseDate]])</f>
        <v>10</v>
      </c>
      <c r="N151" s="7">
        <v>45594</v>
      </c>
      <c r="O151">
        <v>21</v>
      </c>
      <c r="P151" s="4">
        <v>6191.34</v>
      </c>
      <c r="Q151" t="s">
        <v>4034</v>
      </c>
      <c r="R151">
        <v>5</v>
      </c>
      <c r="S151">
        <v>294.83</v>
      </c>
    </row>
    <row r="152" spans="1:19" x14ac:dyDescent="0.25">
      <c r="A152">
        <v>152</v>
      </c>
      <c r="B152" t="s">
        <v>27</v>
      </c>
      <c r="C152" t="s">
        <v>485</v>
      </c>
      <c r="D152" t="s">
        <v>850</v>
      </c>
      <c r="E152">
        <v>65</v>
      </c>
      <c r="F152" t="str" cm="1">
        <f t="array" ref="F152">INDEX(Country!$B$3:$B$250, MATCH(TRUE, ISNUMBER(SEARCH(Country!$A$2:$A$509, Customer_Data[[#This Row],[Country]])),0 ))</f>
        <v>Europe</v>
      </c>
      <c r="G152" t="s">
        <v>965</v>
      </c>
      <c r="H152" t="s">
        <v>1238</v>
      </c>
      <c r="I152" t="s">
        <v>2199</v>
      </c>
      <c r="J152" t="s">
        <v>3191</v>
      </c>
      <c r="K152" s="1">
        <v>44940</v>
      </c>
      <c r="L152">
        <f>YEAR(Customer_Data[[#This Row],[LastPurchaseDate]])</f>
        <v>2025</v>
      </c>
      <c r="M152">
        <f>MONTH(Customer_Data[[#This Row],[LastPurchaseDate]])</f>
        <v>5</v>
      </c>
      <c r="N152" s="7">
        <v>45802</v>
      </c>
      <c r="O152">
        <v>45</v>
      </c>
      <c r="P152" s="4">
        <v>7137.26</v>
      </c>
      <c r="Q152" t="s">
        <v>4035</v>
      </c>
      <c r="R152">
        <v>2</v>
      </c>
      <c r="S152">
        <v>158.61000000000001</v>
      </c>
    </row>
    <row r="153" spans="1:19" x14ac:dyDescent="0.25">
      <c r="A153">
        <v>153</v>
      </c>
      <c r="B153" t="s">
        <v>92</v>
      </c>
      <c r="C153" t="s">
        <v>442</v>
      </c>
      <c r="D153" t="s">
        <v>850</v>
      </c>
      <c r="E153">
        <v>35</v>
      </c>
      <c r="F153" t="str" cm="1">
        <f t="array" ref="F153">INDEX(Country!$B$3:$B$250, MATCH(TRUE, ISNUMBER(SEARCH(Country!$A$2:$A$509, Customer_Data[[#This Row],[Country]])),0 ))</f>
        <v>North America</v>
      </c>
      <c r="G153" t="s">
        <v>870</v>
      </c>
      <c r="H153" t="s">
        <v>1239</v>
      </c>
      <c r="I153" t="s">
        <v>2200</v>
      </c>
      <c r="J153" t="s">
        <v>3192</v>
      </c>
      <c r="K153" s="1">
        <v>45140</v>
      </c>
      <c r="L153">
        <f>YEAR(Customer_Data[[#This Row],[LastPurchaseDate]])</f>
        <v>2025</v>
      </c>
      <c r="M153">
        <f>MONTH(Customer_Data[[#This Row],[LastPurchaseDate]])</f>
        <v>3</v>
      </c>
      <c r="N153" s="7">
        <v>45739</v>
      </c>
      <c r="O153">
        <v>48</v>
      </c>
      <c r="P153" s="4">
        <v>2603.79</v>
      </c>
      <c r="Q153" t="s">
        <v>4035</v>
      </c>
      <c r="R153">
        <v>4</v>
      </c>
      <c r="S153">
        <v>54.25</v>
      </c>
    </row>
    <row r="154" spans="1:19" x14ac:dyDescent="0.25">
      <c r="A154">
        <v>154</v>
      </c>
      <c r="B154" t="s">
        <v>125</v>
      </c>
      <c r="C154" t="s">
        <v>486</v>
      </c>
      <c r="D154" t="s">
        <v>851</v>
      </c>
      <c r="E154">
        <v>38</v>
      </c>
      <c r="F154" t="str" cm="1">
        <f t="array" ref="F154">INDEX(Country!$B$3:$B$250, MATCH(TRUE, ISNUMBER(SEARCH(Country!$A$2:$A$509, Customer_Data[[#This Row],[Country]])),0 ))</f>
        <v>Africa</v>
      </c>
      <c r="G154" t="s">
        <v>966</v>
      </c>
      <c r="H154" t="s">
        <v>1240</v>
      </c>
      <c r="I154" t="s">
        <v>2201</v>
      </c>
      <c r="J154" t="s">
        <v>3193</v>
      </c>
      <c r="K154" s="1">
        <v>45638</v>
      </c>
      <c r="L154">
        <f>YEAR(Customer_Data[[#This Row],[LastPurchaseDate]])</f>
        <v>2024</v>
      </c>
      <c r="M154">
        <f>MONTH(Customer_Data[[#This Row],[LastPurchaseDate]])</f>
        <v>3</v>
      </c>
      <c r="N154" s="7">
        <v>45369</v>
      </c>
      <c r="O154">
        <v>38</v>
      </c>
      <c r="P154" s="4">
        <v>7131.5</v>
      </c>
      <c r="Q154" t="s">
        <v>4035</v>
      </c>
      <c r="R154">
        <v>1</v>
      </c>
      <c r="S154">
        <v>187.67</v>
      </c>
    </row>
    <row r="155" spans="1:19" x14ac:dyDescent="0.25">
      <c r="A155">
        <v>155</v>
      </c>
      <c r="B155" t="s">
        <v>53</v>
      </c>
      <c r="C155" t="s">
        <v>487</v>
      </c>
      <c r="D155" t="s">
        <v>851</v>
      </c>
      <c r="E155">
        <v>39</v>
      </c>
      <c r="F155" t="str" cm="1">
        <f t="array" ref="F155">INDEX(Country!$B$3:$B$250, MATCH(TRUE, ISNUMBER(SEARCH(Country!$A$2:$A$509, Customer_Data[[#This Row],[Country]])),0 ))</f>
        <v>Oceania</v>
      </c>
      <c r="G155" t="s">
        <v>897</v>
      </c>
      <c r="H155" t="s">
        <v>1241</v>
      </c>
      <c r="I155" t="s">
        <v>2202</v>
      </c>
      <c r="J155" t="s">
        <v>3194</v>
      </c>
      <c r="K155" s="1">
        <v>45445</v>
      </c>
      <c r="L155">
        <f>YEAR(Customer_Data[[#This Row],[LastPurchaseDate]])</f>
        <v>2024</v>
      </c>
      <c r="M155">
        <f>MONTH(Customer_Data[[#This Row],[LastPurchaseDate]])</f>
        <v>12</v>
      </c>
      <c r="N155" s="7">
        <v>45648</v>
      </c>
      <c r="O155">
        <v>32</v>
      </c>
      <c r="P155" s="4">
        <v>7251.58</v>
      </c>
      <c r="Q155" t="s">
        <v>4034</v>
      </c>
      <c r="R155">
        <v>3</v>
      </c>
      <c r="S155">
        <v>226.61</v>
      </c>
    </row>
    <row r="156" spans="1:19" x14ac:dyDescent="0.25">
      <c r="A156">
        <v>156</v>
      </c>
      <c r="B156" t="s">
        <v>67</v>
      </c>
      <c r="C156" t="s">
        <v>488</v>
      </c>
      <c r="D156" t="s">
        <v>850</v>
      </c>
      <c r="E156">
        <v>45</v>
      </c>
      <c r="F156" t="str" cm="1">
        <f t="array" ref="F156">INDEX(Country!$B$3:$B$250, MATCH(TRUE, ISNUMBER(SEARCH(Country!$A$2:$A$509, Customer_Data[[#This Row],[Country]])),0 ))</f>
        <v>Africa</v>
      </c>
      <c r="G156" t="s">
        <v>967</v>
      </c>
      <c r="H156" t="s">
        <v>1242</v>
      </c>
      <c r="I156" t="s">
        <v>2203</v>
      </c>
      <c r="J156" t="s">
        <v>3195</v>
      </c>
      <c r="K156" s="1">
        <v>45903</v>
      </c>
      <c r="L156">
        <f>YEAR(Customer_Data[[#This Row],[LastPurchaseDate]])</f>
        <v>2025</v>
      </c>
      <c r="M156">
        <f>MONTH(Customer_Data[[#This Row],[LastPurchaseDate]])</f>
        <v>8</v>
      </c>
      <c r="N156" s="7">
        <v>45874</v>
      </c>
      <c r="O156">
        <v>44</v>
      </c>
      <c r="P156" s="4">
        <v>5369.21</v>
      </c>
      <c r="Q156" t="s">
        <v>4035</v>
      </c>
      <c r="R156">
        <v>4</v>
      </c>
      <c r="S156">
        <v>122.03</v>
      </c>
    </row>
    <row r="157" spans="1:19" x14ac:dyDescent="0.25">
      <c r="A157">
        <v>157</v>
      </c>
      <c r="B157" t="s">
        <v>126</v>
      </c>
      <c r="C157" t="s">
        <v>416</v>
      </c>
      <c r="D157" t="s">
        <v>851</v>
      </c>
      <c r="E157">
        <v>39</v>
      </c>
      <c r="F157" t="str" cm="1">
        <f t="array" ref="F157">INDEX(Country!$B$3:$B$250, MATCH(TRUE, ISNUMBER(SEARCH(Country!$A$2:$A$509, Customer_Data[[#This Row],[Country]])),0 ))</f>
        <v>Asia</v>
      </c>
      <c r="G157" t="s">
        <v>968</v>
      </c>
      <c r="H157" t="s">
        <v>1243</v>
      </c>
      <c r="I157" t="s">
        <v>2204</v>
      </c>
      <c r="J157" t="s">
        <v>3196</v>
      </c>
      <c r="K157" s="1">
        <v>45913</v>
      </c>
      <c r="L157">
        <f>YEAR(Customer_Data[[#This Row],[LastPurchaseDate]])</f>
        <v>2024</v>
      </c>
      <c r="M157">
        <f>MONTH(Customer_Data[[#This Row],[LastPurchaseDate]])</f>
        <v>10</v>
      </c>
      <c r="N157" s="7">
        <v>45586</v>
      </c>
      <c r="O157">
        <v>47</v>
      </c>
      <c r="P157" s="4">
        <v>5173.75</v>
      </c>
      <c r="Q157" t="s">
        <v>4035</v>
      </c>
      <c r="R157">
        <v>2</v>
      </c>
      <c r="S157">
        <v>110.08</v>
      </c>
    </row>
    <row r="158" spans="1:19" x14ac:dyDescent="0.25">
      <c r="A158">
        <v>158</v>
      </c>
      <c r="B158" t="s">
        <v>127</v>
      </c>
      <c r="C158" t="s">
        <v>489</v>
      </c>
      <c r="D158" t="s">
        <v>851</v>
      </c>
      <c r="E158">
        <v>60</v>
      </c>
      <c r="F158" t="str" cm="1">
        <f t="array" ref="F158">INDEX(Country!$B$3:$B$250, MATCH(TRUE, ISNUMBER(SEARCH(Country!$A$2:$A$509, Customer_Data[[#This Row],[Country]])),0 ))</f>
        <v>North America</v>
      </c>
      <c r="G158" t="s">
        <v>969</v>
      </c>
      <c r="H158" t="s">
        <v>1244</v>
      </c>
      <c r="I158" t="s">
        <v>2205</v>
      </c>
      <c r="J158" t="s">
        <v>3197</v>
      </c>
      <c r="K158" s="1">
        <v>44977</v>
      </c>
      <c r="L158">
        <f>YEAR(Customer_Data[[#This Row],[LastPurchaseDate]])</f>
        <v>2025</v>
      </c>
      <c r="M158">
        <f>MONTH(Customer_Data[[#This Row],[LastPurchaseDate]])</f>
        <v>8</v>
      </c>
      <c r="N158" s="7">
        <v>45877</v>
      </c>
      <c r="O158">
        <v>19</v>
      </c>
      <c r="P158" s="4">
        <v>2369.5500000000002</v>
      </c>
      <c r="Q158" t="s">
        <v>4035</v>
      </c>
      <c r="R158">
        <v>3</v>
      </c>
      <c r="S158">
        <v>124.71</v>
      </c>
    </row>
    <row r="159" spans="1:19" x14ac:dyDescent="0.25">
      <c r="A159">
        <v>159</v>
      </c>
      <c r="B159" t="s">
        <v>107</v>
      </c>
      <c r="C159" t="s">
        <v>490</v>
      </c>
      <c r="D159" t="s">
        <v>851</v>
      </c>
      <c r="E159">
        <v>70</v>
      </c>
      <c r="F159" t="str" cm="1">
        <f t="array" ref="F159">INDEX(Country!$B$3:$B$250, MATCH(TRUE, ISNUMBER(SEARCH(Country!$A$2:$A$509, Customer_Data[[#This Row],[Country]])),0 ))</f>
        <v>Asia</v>
      </c>
      <c r="G159" t="s">
        <v>970</v>
      </c>
      <c r="H159" t="s">
        <v>1245</v>
      </c>
      <c r="I159" t="s">
        <v>2206</v>
      </c>
      <c r="J159" t="s">
        <v>3198</v>
      </c>
      <c r="K159" s="1">
        <v>45591</v>
      </c>
      <c r="L159">
        <f>YEAR(Customer_Data[[#This Row],[LastPurchaseDate]])</f>
        <v>2023</v>
      </c>
      <c r="M159">
        <f>MONTH(Customer_Data[[#This Row],[LastPurchaseDate]])</f>
        <v>12</v>
      </c>
      <c r="N159" s="7">
        <v>45276</v>
      </c>
      <c r="O159">
        <v>12</v>
      </c>
      <c r="P159" s="4">
        <v>1575.76</v>
      </c>
      <c r="Q159" t="s">
        <v>4034</v>
      </c>
      <c r="R159">
        <v>1</v>
      </c>
      <c r="S159">
        <v>131.31</v>
      </c>
    </row>
    <row r="160" spans="1:19" x14ac:dyDescent="0.25">
      <c r="A160">
        <v>160</v>
      </c>
      <c r="B160" t="s">
        <v>128</v>
      </c>
      <c r="C160" t="s">
        <v>251</v>
      </c>
      <c r="D160" t="s">
        <v>851</v>
      </c>
      <c r="E160">
        <v>71</v>
      </c>
      <c r="F160" t="str" cm="1">
        <f t="array" ref="F160">INDEX(Country!$B$3:$B$250, MATCH(TRUE, ISNUMBER(SEARCH(Country!$A$2:$A$509, Customer_Data[[#This Row],[Country]])),0 ))</f>
        <v>Europe</v>
      </c>
      <c r="G160" t="s">
        <v>922</v>
      </c>
      <c r="H160" t="s">
        <v>1246</v>
      </c>
      <c r="I160" t="s">
        <v>2207</v>
      </c>
      <c r="J160" t="s">
        <v>3199</v>
      </c>
      <c r="K160" s="1">
        <v>45224</v>
      </c>
      <c r="L160">
        <f>YEAR(Customer_Data[[#This Row],[LastPurchaseDate]])</f>
        <v>2024</v>
      </c>
      <c r="M160">
        <f>MONTH(Customer_Data[[#This Row],[LastPurchaseDate]])</f>
        <v>3</v>
      </c>
      <c r="N160" s="7">
        <v>45366</v>
      </c>
      <c r="O160">
        <v>24</v>
      </c>
      <c r="P160" s="4">
        <v>7691.52</v>
      </c>
      <c r="Q160" t="s">
        <v>4035</v>
      </c>
      <c r="R160">
        <v>4</v>
      </c>
      <c r="S160">
        <v>320.48</v>
      </c>
    </row>
    <row r="161" spans="1:19" x14ac:dyDescent="0.25">
      <c r="A161">
        <v>161</v>
      </c>
      <c r="B161" t="s">
        <v>78</v>
      </c>
      <c r="C161" t="s">
        <v>441</v>
      </c>
      <c r="D161" t="s">
        <v>851</v>
      </c>
      <c r="E161">
        <v>69</v>
      </c>
      <c r="F161" t="str" cm="1">
        <f t="array" ref="F161">INDEX(Country!$B$3:$B$250, MATCH(TRUE, ISNUMBER(SEARCH(Country!$A$2:$A$509, Customer_Data[[#This Row],[Country]])),0 ))</f>
        <v>Asia</v>
      </c>
      <c r="G161" t="s">
        <v>854</v>
      </c>
      <c r="H161" t="s">
        <v>1247</v>
      </c>
      <c r="I161" t="s">
        <v>2208</v>
      </c>
      <c r="J161" t="s">
        <v>3200</v>
      </c>
      <c r="K161" s="1">
        <v>45397</v>
      </c>
      <c r="L161">
        <f>YEAR(Customer_Data[[#This Row],[LastPurchaseDate]])</f>
        <v>2025</v>
      </c>
      <c r="M161">
        <f>MONTH(Customer_Data[[#This Row],[LastPurchaseDate]])</f>
        <v>7</v>
      </c>
      <c r="N161" s="7">
        <v>45840</v>
      </c>
      <c r="O161">
        <v>32</v>
      </c>
      <c r="P161" s="4">
        <v>2789.53</v>
      </c>
      <c r="Q161" t="s">
        <v>4035</v>
      </c>
      <c r="R161">
        <v>4</v>
      </c>
      <c r="S161">
        <v>87.17</v>
      </c>
    </row>
    <row r="162" spans="1:19" x14ac:dyDescent="0.25">
      <c r="A162">
        <v>162</v>
      </c>
      <c r="B162" t="s">
        <v>53</v>
      </c>
      <c r="C162" t="s">
        <v>491</v>
      </c>
      <c r="D162" t="s">
        <v>850</v>
      </c>
      <c r="E162">
        <v>56</v>
      </c>
      <c r="F162" t="str" cm="1">
        <f t="array" ref="F162">INDEX(Country!$B$3:$B$250, MATCH(TRUE, ISNUMBER(SEARCH(Country!$A$2:$A$509, Customer_Data[[#This Row],[Country]])),0 ))</f>
        <v>North America</v>
      </c>
      <c r="G162" t="s">
        <v>878</v>
      </c>
      <c r="H162" t="s">
        <v>1248</v>
      </c>
      <c r="I162" t="s">
        <v>2209</v>
      </c>
      <c r="J162" t="s">
        <v>3201</v>
      </c>
      <c r="K162" s="1">
        <v>45545</v>
      </c>
      <c r="L162">
        <f>YEAR(Customer_Data[[#This Row],[LastPurchaseDate]])</f>
        <v>2024</v>
      </c>
      <c r="M162">
        <f>MONTH(Customer_Data[[#This Row],[LastPurchaseDate]])</f>
        <v>11</v>
      </c>
      <c r="N162" s="7">
        <v>45626</v>
      </c>
      <c r="O162">
        <v>33</v>
      </c>
      <c r="P162" s="4">
        <v>5764.37</v>
      </c>
      <c r="Q162" t="s">
        <v>4035</v>
      </c>
      <c r="R162">
        <v>4</v>
      </c>
      <c r="S162">
        <v>174.68</v>
      </c>
    </row>
    <row r="163" spans="1:19" x14ac:dyDescent="0.25">
      <c r="A163">
        <v>163</v>
      </c>
      <c r="B163" t="s">
        <v>113</v>
      </c>
      <c r="C163" t="s">
        <v>492</v>
      </c>
      <c r="D163" t="s">
        <v>850</v>
      </c>
      <c r="E163">
        <v>51</v>
      </c>
      <c r="F163" t="str" cm="1">
        <f t="array" ref="F163">INDEX(Country!$B$3:$B$250, MATCH(TRUE, ISNUMBER(SEARCH(Country!$A$2:$A$509, Customer_Data[[#This Row],[Country]])),0 ))</f>
        <v>Europe</v>
      </c>
      <c r="G163" t="s">
        <v>971</v>
      </c>
      <c r="H163" t="s">
        <v>1249</v>
      </c>
      <c r="I163" t="s">
        <v>2210</v>
      </c>
      <c r="J163" t="s">
        <v>3202</v>
      </c>
      <c r="K163" s="1">
        <v>45807</v>
      </c>
      <c r="L163">
        <f>YEAR(Customer_Data[[#This Row],[LastPurchaseDate]])</f>
        <v>2024</v>
      </c>
      <c r="M163">
        <f>MONTH(Customer_Data[[#This Row],[LastPurchaseDate]])</f>
        <v>10</v>
      </c>
      <c r="N163" s="7">
        <v>45592</v>
      </c>
      <c r="O163">
        <v>7</v>
      </c>
      <c r="P163" s="4">
        <v>6565.69</v>
      </c>
      <c r="Q163" t="s">
        <v>4035</v>
      </c>
      <c r="R163">
        <v>4</v>
      </c>
      <c r="S163">
        <v>937.96</v>
      </c>
    </row>
    <row r="164" spans="1:19" x14ac:dyDescent="0.25">
      <c r="A164">
        <v>164</v>
      </c>
      <c r="B164" t="s">
        <v>91</v>
      </c>
      <c r="C164" t="s">
        <v>441</v>
      </c>
      <c r="D164" t="s">
        <v>851</v>
      </c>
      <c r="E164">
        <v>37</v>
      </c>
      <c r="F164" t="str" cm="1">
        <f t="array" ref="F164">INDEX(Country!$B$3:$B$250, MATCH(TRUE, ISNUMBER(SEARCH(Country!$A$2:$A$509, Customer_Data[[#This Row],[Country]])),0 ))</f>
        <v>Africa</v>
      </c>
      <c r="G164" t="s">
        <v>81</v>
      </c>
      <c r="H164" t="s">
        <v>1250</v>
      </c>
      <c r="I164" t="s">
        <v>2211</v>
      </c>
      <c r="J164" t="s">
        <v>3203</v>
      </c>
      <c r="K164" s="1">
        <v>45264</v>
      </c>
      <c r="L164">
        <f>YEAR(Customer_Data[[#This Row],[LastPurchaseDate]])</f>
        <v>2024</v>
      </c>
      <c r="M164">
        <f>MONTH(Customer_Data[[#This Row],[LastPurchaseDate]])</f>
        <v>6</v>
      </c>
      <c r="N164" s="7">
        <v>45460</v>
      </c>
      <c r="O164">
        <v>27</v>
      </c>
      <c r="P164" s="4">
        <v>2250.14</v>
      </c>
      <c r="Q164" t="s">
        <v>4034</v>
      </c>
      <c r="R164">
        <v>5</v>
      </c>
      <c r="S164">
        <v>83.34</v>
      </c>
    </row>
    <row r="165" spans="1:19" x14ac:dyDescent="0.25">
      <c r="A165">
        <v>165</v>
      </c>
      <c r="B165" t="s">
        <v>97</v>
      </c>
      <c r="C165" t="s">
        <v>493</v>
      </c>
      <c r="D165" t="s">
        <v>850</v>
      </c>
      <c r="E165">
        <v>67</v>
      </c>
      <c r="F165" t="str" cm="1">
        <f t="array" ref="F165">INDEX(Country!$B$3:$B$250, MATCH(TRUE, ISNUMBER(SEARCH(Country!$A$2:$A$509, Customer_Data[[#This Row],[Country]])),0 ))</f>
        <v>South America</v>
      </c>
      <c r="G165" t="s">
        <v>972</v>
      </c>
      <c r="H165" t="s">
        <v>1251</v>
      </c>
      <c r="I165" t="s">
        <v>2212</v>
      </c>
      <c r="J165" t="s">
        <v>3204</v>
      </c>
      <c r="K165" s="1">
        <v>45626</v>
      </c>
      <c r="L165">
        <f>YEAR(Customer_Data[[#This Row],[LastPurchaseDate]])</f>
        <v>2025</v>
      </c>
      <c r="M165">
        <f>MONTH(Customer_Data[[#This Row],[LastPurchaseDate]])</f>
        <v>10</v>
      </c>
      <c r="N165" s="7">
        <v>45955</v>
      </c>
      <c r="O165">
        <v>21</v>
      </c>
      <c r="P165" s="4">
        <v>6285.59</v>
      </c>
      <c r="Q165" t="s">
        <v>4034</v>
      </c>
      <c r="R165">
        <v>2</v>
      </c>
      <c r="S165">
        <v>299.31</v>
      </c>
    </row>
    <row r="166" spans="1:19" x14ac:dyDescent="0.25">
      <c r="A166">
        <v>166</v>
      </c>
      <c r="B166" t="s">
        <v>103</v>
      </c>
      <c r="C166" t="s">
        <v>297</v>
      </c>
      <c r="D166" t="s">
        <v>850</v>
      </c>
      <c r="E166">
        <v>57</v>
      </c>
      <c r="F166" t="str" cm="1">
        <f t="array" ref="F166">INDEX(Country!$B$3:$B$250, MATCH(TRUE, ISNUMBER(SEARCH(Country!$A$2:$A$509, Customer_Data[[#This Row],[Country]])),0 ))</f>
        <v>Africa</v>
      </c>
      <c r="G166" t="s">
        <v>973</v>
      </c>
      <c r="H166" t="s">
        <v>1252</v>
      </c>
      <c r="I166" t="s">
        <v>2213</v>
      </c>
      <c r="J166" t="s">
        <v>3205</v>
      </c>
      <c r="K166" s="1">
        <v>45192</v>
      </c>
      <c r="L166">
        <f>YEAR(Customer_Data[[#This Row],[LastPurchaseDate]])</f>
        <v>2024</v>
      </c>
      <c r="M166">
        <f>MONTH(Customer_Data[[#This Row],[LastPurchaseDate]])</f>
        <v>9</v>
      </c>
      <c r="N166" s="7">
        <v>45563</v>
      </c>
      <c r="O166">
        <v>41</v>
      </c>
      <c r="P166" s="4">
        <v>8554.57</v>
      </c>
      <c r="Q166" t="s">
        <v>4035</v>
      </c>
      <c r="R166">
        <v>5</v>
      </c>
      <c r="S166">
        <v>208.65</v>
      </c>
    </row>
    <row r="167" spans="1:19" x14ac:dyDescent="0.25">
      <c r="A167">
        <v>167</v>
      </c>
      <c r="B167" t="s">
        <v>129</v>
      </c>
      <c r="C167" t="s">
        <v>494</v>
      </c>
      <c r="D167" t="s">
        <v>851</v>
      </c>
      <c r="E167">
        <v>63</v>
      </c>
      <c r="F167" t="str" cm="1">
        <f t="array" ref="F167">INDEX(Country!$B$3:$B$250, MATCH(TRUE, ISNUMBER(SEARCH(Country!$A$2:$A$509, Customer_Data[[#This Row],[Country]])),0 ))</f>
        <v>South America</v>
      </c>
      <c r="G167" t="s">
        <v>974</v>
      </c>
      <c r="H167" t="s">
        <v>1253</v>
      </c>
      <c r="I167" t="s">
        <v>2214</v>
      </c>
      <c r="J167" t="s">
        <v>3206</v>
      </c>
      <c r="K167" s="1">
        <v>45762</v>
      </c>
      <c r="L167">
        <f>YEAR(Customer_Data[[#This Row],[LastPurchaseDate]])</f>
        <v>2025</v>
      </c>
      <c r="M167">
        <f>MONTH(Customer_Data[[#This Row],[LastPurchaseDate]])</f>
        <v>7</v>
      </c>
      <c r="N167" s="7">
        <v>45847</v>
      </c>
      <c r="O167">
        <v>12</v>
      </c>
      <c r="P167" s="4">
        <v>4801.2299999999996</v>
      </c>
      <c r="Q167" t="s">
        <v>4035</v>
      </c>
      <c r="R167">
        <v>4</v>
      </c>
      <c r="S167">
        <v>400.1</v>
      </c>
    </row>
    <row r="168" spans="1:19" x14ac:dyDescent="0.25">
      <c r="A168">
        <v>168</v>
      </c>
      <c r="B168" t="s">
        <v>74</v>
      </c>
      <c r="C168" t="s">
        <v>140</v>
      </c>
      <c r="D168" t="s">
        <v>851</v>
      </c>
      <c r="E168">
        <v>37</v>
      </c>
      <c r="F168" t="str" cm="1">
        <f t="array" ref="F168">INDEX(Country!$B$3:$B$250, MATCH(TRUE, ISNUMBER(SEARCH(Country!$A$2:$A$509, Customer_Data[[#This Row],[Country]])),0 ))</f>
        <v>Asia</v>
      </c>
      <c r="G168" t="s">
        <v>975</v>
      </c>
      <c r="H168" t="s">
        <v>1254</v>
      </c>
      <c r="I168" t="s">
        <v>2215</v>
      </c>
      <c r="J168" t="s">
        <v>3207</v>
      </c>
      <c r="K168" s="1">
        <v>45832</v>
      </c>
      <c r="L168">
        <f>YEAR(Customer_Data[[#This Row],[LastPurchaseDate]])</f>
        <v>2024</v>
      </c>
      <c r="M168">
        <f>MONTH(Customer_Data[[#This Row],[LastPurchaseDate]])</f>
        <v>8</v>
      </c>
      <c r="N168" s="7">
        <v>45513</v>
      </c>
      <c r="O168">
        <v>6</v>
      </c>
      <c r="P168" s="4">
        <v>5402.1</v>
      </c>
      <c r="Q168" t="s">
        <v>4035</v>
      </c>
      <c r="R168">
        <v>2</v>
      </c>
      <c r="S168">
        <v>900.35</v>
      </c>
    </row>
    <row r="169" spans="1:19" x14ac:dyDescent="0.25">
      <c r="A169">
        <v>169</v>
      </c>
      <c r="B169" t="s">
        <v>130</v>
      </c>
      <c r="C169" t="s">
        <v>104</v>
      </c>
      <c r="D169" t="s">
        <v>851</v>
      </c>
      <c r="E169">
        <v>23</v>
      </c>
      <c r="F169" t="str" cm="1">
        <f t="array" ref="F169">INDEX(Country!$B$3:$B$250, MATCH(TRUE, ISNUMBER(SEARCH(Country!$A$2:$A$509, Customer_Data[[#This Row],[Country]])),0 ))</f>
        <v>North America</v>
      </c>
      <c r="G169" t="s">
        <v>976</v>
      </c>
      <c r="H169" t="s">
        <v>1255</v>
      </c>
      <c r="I169" t="s">
        <v>2216</v>
      </c>
      <c r="J169" t="s">
        <v>3208</v>
      </c>
      <c r="K169" s="1">
        <v>45617</v>
      </c>
      <c r="L169">
        <f>YEAR(Customer_Data[[#This Row],[LastPurchaseDate]])</f>
        <v>2024</v>
      </c>
      <c r="M169">
        <f>MONTH(Customer_Data[[#This Row],[LastPurchaseDate]])</f>
        <v>2</v>
      </c>
      <c r="N169" s="7">
        <v>45342</v>
      </c>
      <c r="O169">
        <v>41</v>
      </c>
      <c r="P169" s="4">
        <v>669.43</v>
      </c>
      <c r="Q169" t="s">
        <v>4034</v>
      </c>
      <c r="R169">
        <v>2</v>
      </c>
      <c r="S169">
        <v>16.329999999999998</v>
      </c>
    </row>
    <row r="170" spans="1:19" x14ac:dyDescent="0.25">
      <c r="A170">
        <v>170</v>
      </c>
      <c r="B170" t="s">
        <v>117</v>
      </c>
      <c r="C170" t="s">
        <v>495</v>
      </c>
      <c r="D170" t="s">
        <v>850</v>
      </c>
      <c r="E170">
        <v>36</v>
      </c>
      <c r="F170" t="str" cm="1">
        <f t="array" ref="F170">INDEX(Country!$B$3:$B$250, MATCH(TRUE, ISNUMBER(SEARCH(Country!$A$2:$A$509, Customer_Data[[#This Row],[Country]])),0 ))</f>
        <v>Africa</v>
      </c>
      <c r="G170" t="s">
        <v>977</v>
      </c>
      <c r="H170" t="s">
        <v>1256</v>
      </c>
      <c r="I170" t="s">
        <v>2217</v>
      </c>
      <c r="J170" t="s">
        <v>3209</v>
      </c>
      <c r="K170" s="1">
        <v>45177</v>
      </c>
      <c r="L170">
        <f>YEAR(Customer_Data[[#This Row],[LastPurchaseDate]])</f>
        <v>2024</v>
      </c>
      <c r="M170">
        <f>MONTH(Customer_Data[[#This Row],[LastPurchaseDate]])</f>
        <v>7</v>
      </c>
      <c r="N170" s="7">
        <v>45474</v>
      </c>
      <c r="O170">
        <v>25</v>
      </c>
      <c r="P170" s="4">
        <v>3751.17</v>
      </c>
      <c r="Q170" t="s">
        <v>4035</v>
      </c>
      <c r="R170">
        <v>5</v>
      </c>
      <c r="S170">
        <v>150.05000000000001</v>
      </c>
    </row>
    <row r="171" spans="1:19" x14ac:dyDescent="0.25">
      <c r="A171">
        <v>171</v>
      </c>
      <c r="B171" t="s">
        <v>131</v>
      </c>
      <c r="C171" t="s">
        <v>496</v>
      </c>
      <c r="D171" t="s">
        <v>850</v>
      </c>
      <c r="E171">
        <v>47</v>
      </c>
      <c r="F171" t="str" cm="1">
        <f t="array" ref="F171">INDEX(Country!$B$3:$B$250, MATCH(TRUE, ISNUMBER(SEARCH(Country!$A$2:$A$509, Customer_Data[[#This Row],[Country]])),0 ))</f>
        <v>Africa</v>
      </c>
      <c r="G171" t="s">
        <v>957</v>
      </c>
      <c r="H171" t="s">
        <v>1257</v>
      </c>
      <c r="I171" t="s">
        <v>2218</v>
      </c>
      <c r="J171" t="s">
        <v>3210</v>
      </c>
      <c r="K171" s="1">
        <v>45531</v>
      </c>
      <c r="L171">
        <f>YEAR(Customer_Data[[#This Row],[LastPurchaseDate]])</f>
        <v>2023</v>
      </c>
      <c r="M171">
        <f>MONTH(Customer_Data[[#This Row],[LastPurchaseDate]])</f>
        <v>11</v>
      </c>
      <c r="N171" s="7">
        <v>45235</v>
      </c>
      <c r="O171">
        <v>12</v>
      </c>
      <c r="P171" s="4">
        <v>7687.84</v>
      </c>
      <c r="Q171" t="s">
        <v>4035</v>
      </c>
      <c r="R171">
        <v>5</v>
      </c>
      <c r="S171">
        <v>640.65</v>
      </c>
    </row>
    <row r="172" spans="1:19" x14ac:dyDescent="0.25">
      <c r="A172">
        <v>172</v>
      </c>
      <c r="B172" t="s">
        <v>132</v>
      </c>
      <c r="C172" t="s">
        <v>85</v>
      </c>
      <c r="D172" t="s">
        <v>851</v>
      </c>
      <c r="E172">
        <v>28</v>
      </c>
      <c r="F172" t="str" cm="1">
        <f t="array" ref="F172">INDEX(Country!$B$3:$B$250, MATCH(TRUE, ISNUMBER(SEARCH(Country!$A$2:$A$509, Customer_Data[[#This Row],[Country]])),0 ))</f>
        <v>Africa</v>
      </c>
      <c r="G172" t="s">
        <v>978</v>
      </c>
      <c r="H172" t="s">
        <v>1258</v>
      </c>
      <c r="I172" t="s">
        <v>2219</v>
      </c>
      <c r="J172" t="s">
        <v>3211</v>
      </c>
      <c r="K172" s="1">
        <v>45848</v>
      </c>
      <c r="L172">
        <f>YEAR(Customer_Data[[#This Row],[LastPurchaseDate]])</f>
        <v>2025</v>
      </c>
      <c r="M172">
        <f>MONTH(Customer_Data[[#This Row],[LastPurchaseDate]])</f>
        <v>10</v>
      </c>
      <c r="N172" s="7">
        <v>45941</v>
      </c>
      <c r="O172">
        <v>38</v>
      </c>
      <c r="P172" s="4">
        <v>2166.5700000000002</v>
      </c>
      <c r="Q172" t="s">
        <v>4035</v>
      </c>
      <c r="R172">
        <v>4</v>
      </c>
      <c r="S172">
        <v>57.02</v>
      </c>
    </row>
    <row r="173" spans="1:19" x14ac:dyDescent="0.25">
      <c r="A173">
        <v>173</v>
      </c>
      <c r="B173" t="s">
        <v>26</v>
      </c>
      <c r="C173" t="s">
        <v>497</v>
      </c>
      <c r="D173" t="s">
        <v>850</v>
      </c>
      <c r="E173">
        <v>26</v>
      </c>
      <c r="F173" t="str" cm="1">
        <f t="array" ref="F173">INDEX(Country!$B$3:$B$250, MATCH(TRUE, ISNUMBER(SEARCH(Country!$A$2:$A$509, Customer_Data[[#This Row],[Country]])),0 ))</f>
        <v>Antarctica</v>
      </c>
      <c r="G173" t="s">
        <v>979</v>
      </c>
      <c r="H173" t="s">
        <v>1259</v>
      </c>
      <c r="I173" t="s">
        <v>2220</v>
      </c>
      <c r="J173" t="s">
        <v>3212</v>
      </c>
      <c r="K173" s="1">
        <v>45228</v>
      </c>
      <c r="L173">
        <f>YEAR(Customer_Data[[#This Row],[LastPurchaseDate]])</f>
        <v>2024</v>
      </c>
      <c r="M173">
        <f>MONTH(Customer_Data[[#This Row],[LastPurchaseDate]])</f>
        <v>6</v>
      </c>
      <c r="N173" s="7">
        <v>45447</v>
      </c>
      <c r="O173">
        <v>17</v>
      </c>
      <c r="P173" s="4">
        <v>1874.73</v>
      </c>
      <c r="Q173" t="s">
        <v>4035</v>
      </c>
      <c r="R173">
        <v>3</v>
      </c>
      <c r="S173">
        <v>110.28</v>
      </c>
    </row>
    <row r="174" spans="1:19" x14ac:dyDescent="0.25">
      <c r="A174">
        <v>174</v>
      </c>
      <c r="B174" t="s">
        <v>133</v>
      </c>
      <c r="C174" t="s">
        <v>498</v>
      </c>
      <c r="D174" t="s">
        <v>851</v>
      </c>
      <c r="E174">
        <v>74</v>
      </c>
      <c r="F174" t="str" cm="1">
        <f t="array" ref="F174">INDEX(Country!$B$3:$B$250, MATCH(TRUE, ISNUMBER(SEARCH(Country!$A$2:$A$509, Customer_Data[[#This Row],[Country]])),0 ))</f>
        <v>Europe</v>
      </c>
      <c r="G174" t="s">
        <v>922</v>
      </c>
      <c r="H174" t="s">
        <v>1260</v>
      </c>
      <c r="I174" t="s">
        <v>2221</v>
      </c>
      <c r="J174" t="s">
        <v>3213</v>
      </c>
      <c r="K174" s="1">
        <v>45674</v>
      </c>
      <c r="L174">
        <f>YEAR(Customer_Data[[#This Row],[LastPurchaseDate]])</f>
        <v>2024</v>
      </c>
      <c r="M174">
        <f>MONTH(Customer_Data[[#This Row],[LastPurchaseDate]])</f>
        <v>11</v>
      </c>
      <c r="N174" s="7">
        <v>45613</v>
      </c>
      <c r="O174">
        <v>48</v>
      </c>
      <c r="P174" s="4">
        <v>7569.77</v>
      </c>
      <c r="Q174" t="s">
        <v>4034</v>
      </c>
      <c r="R174">
        <v>3</v>
      </c>
      <c r="S174">
        <v>157.69999999999999</v>
      </c>
    </row>
    <row r="175" spans="1:19" x14ac:dyDescent="0.25">
      <c r="A175">
        <v>175</v>
      </c>
      <c r="B175" t="s">
        <v>134</v>
      </c>
      <c r="C175" t="s">
        <v>375</v>
      </c>
      <c r="D175" t="s">
        <v>850</v>
      </c>
      <c r="E175">
        <v>43</v>
      </c>
      <c r="F175" t="str" cm="1">
        <f t="array" ref="F175">INDEX(Country!$B$3:$B$250, MATCH(TRUE, ISNUMBER(SEARCH(Country!$A$2:$A$509, Customer_Data[[#This Row],[Country]])),0 ))</f>
        <v>Africa</v>
      </c>
      <c r="G175" t="s">
        <v>980</v>
      </c>
      <c r="H175" t="s">
        <v>1261</v>
      </c>
      <c r="I175" t="s">
        <v>2222</v>
      </c>
      <c r="J175" t="s">
        <v>3214</v>
      </c>
      <c r="K175" s="1">
        <v>45348</v>
      </c>
      <c r="L175">
        <f>YEAR(Customer_Data[[#This Row],[LastPurchaseDate]])</f>
        <v>2025</v>
      </c>
      <c r="M175">
        <f>MONTH(Customer_Data[[#This Row],[LastPurchaseDate]])</f>
        <v>7</v>
      </c>
      <c r="N175" s="7">
        <v>45842</v>
      </c>
      <c r="O175">
        <v>5</v>
      </c>
      <c r="P175" s="4">
        <v>6294.8</v>
      </c>
      <c r="Q175" t="s">
        <v>4034</v>
      </c>
      <c r="R175">
        <v>4</v>
      </c>
      <c r="S175">
        <v>1258.96</v>
      </c>
    </row>
    <row r="176" spans="1:19" x14ac:dyDescent="0.25">
      <c r="A176">
        <v>176</v>
      </c>
      <c r="B176" t="s">
        <v>135</v>
      </c>
      <c r="C176" t="s">
        <v>499</v>
      </c>
      <c r="D176" t="s">
        <v>851</v>
      </c>
      <c r="E176">
        <v>38</v>
      </c>
      <c r="F176" t="str" cm="1">
        <f t="array" ref="F176">INDEX(Country!$B$3:$B$250, MATCH(TRUE, ISNUMBER(SEARCH(Country!$A$2:$A$509, Customer_Data[[#This Row],[Country]])),0 ))</f>
        <v>Europe</v>
      </c>
      <c r="G176" t="s">
        <v>981</v>
      </c>
      <c r="H176" t="s">
        <v>1262</v>
      </c>
      <c r="I176" t="s">
        <v>2223</v>
      </c>
      <c r="J176" t="s">
        <v>3215</v>
      </c>
      <c r="K176" s="1">
        <v>45779</v>
      </c>
      <c r="L176">
        <f>YEAR(Customer_Data[[#This Row],[LastPurchaseDate]])</f>
        <v>2025</v>
      </c>
      <c r="M176">
        <f>MONTH(Customer_Data[[#This Row],[LastPurchaseDate]])</f>
        <v>4</v>
      </c>
      <c r="N176" s="7">
        <v>45757</v>
      </c>
      <c r="O176">
        <v>45</v>
      </c>
      <c r="P176" s="4">
        <v>6546.85</v>
      </c>
      <c r="Q176" t="s">
        <v>4035</v>
      </c>
      <c r="R176">
        <v>3</v>
      </c>
      <c r="S176">
        <v>145.49</v>
      </c>
    </row>
    <row r="177" spans="1:19" x14ac:dyDescent="0.25">
      <c r="A177">
        <v>177</v>
      </c>
      <c r="B177" t="s">
        <v>61</v>
      </c>
      <c r="C177" t="s">
        <v>379</v>
      </c>
      <c r="D177" t="s">
        <v>850</v>
      </c>
      <c r="E177">
        <v>66</v>
      </c>
      <c r="F177" t="str" cm="1">
        <f t="array" ref="F177">INDEX(Country!$B$3:$B$250, MATCH(TRUE, ISNUMBER(SEARCH(Country!$A$2:$A$509, Customer_Data[[#This Row],[Country]])),0 ))</f>
        <v>Europe</v>
      </c>
      <c r="G177" t="s">
        <v>982</v>
      </c>
      <c r="H177" t="s">
        <v>1263</v>
      </c>
      <c r="I177" t="s">
        <v>2224</v>
      </c>
      <c r="J177" t="s">
        <v>3216</v>
      </c>
      <c r="K177" s="1">
        <v>44997</v>
      </c>
      <c r="L177">
        <f>YEAR(Customer_Data[[#This Row],[LastPurchaseDate]])</f>
        <v>2024</v>
      </c>
      <c r="M177">
        <f>MONTH(Customer_Data[[#This Row],[LastPurchaseDate]])</f>
        <v>3</v>
      </c>
      <c r="N177" s="7">
        <v>45370</v>
      </c>
      <c r="O177">
        <v>2</v>
      </c>
      <c r="P177" s="4">
        <v>7680.21</v>
      </c>
      <c r="Q177" t="s">
        <v>4034</v>
      </c>
      <c r="R177">
        <v>2</v>
      </c>
      <c r="S177">
        <v>3840.1</v>
      </c>
    </row>
    <row r="178" spans="1:19" x14ac:dyDescent="0.25">
      <c r="A178">
        <v>178</v>
      </c>
      <c r="B178" t="s">
        <v>85</v>
      </c>
      <c r="C178" t="s">
        <v>500</v>
      </c>
      <c r="D178" t="s">
        <v>851</v>
      </c>
      <c r="E178">
        <v>56</v>
      </c>
      <c r="F178" t="str" cm="1">
        <f t="array" ref="F178">INDEX(Country!$B$3:$B$250, MATCH(TRUE, ISNUMBER(SEARCH(Country!$A$2:$A$509, Customer_Data[[#This Row],[Country]])),0 ))</f>
        <v>Oceania</v>
      </c>
      <c r="G178" t="s">
        <v>983</v>
      </c>
      <c r="H178" t="s">
        <v>1264</v>
      </c>
      <c r="I178" t="s">
        <v>2225</v>
      </c>
      <c r="J178" t="s">
        <v>3217</v>
      </c>
      <c r="K178" s="1">
        <v>45146</v>
      </c>
      <c r="L178">
        <f>YEAR(Customer_Data[[#This Row],[LastPurchaseDate]])</f>
        <v>2024</v>
      </c>
      <c r="M178">
        <f>MONTH(Customer_Data[[#This Row],[LastPurchaseDate]])</f>
        <v>10</v>
      </c>
      <c r="N178" s="7">
        <v>45585</v>
      </c>
      <c r="O178">
        <v>36</v>
      </c>
      <c r="P178" s="4">
        <v>8440.49</v>
      </c>
      <c r="Q178" t="s">
        <v>4035</v>
      </c>
      <c r="R178">
        <v>4</v>
      </c>
      <c r="S178">
        <v>234.46</v>
      </c>
    </row>
    <row r="179" spans="1:19" x14ac:dyDescent="0.25">
      <c r="A179">
        <v>179</v>
      </c>
      <c r="B179" t="s">
        <v>136</v>
      </c>
      <c r="C179" t="s">
        <v>501</v>
      </c>
      <c r="D179" t="s">
        <v>851</v>
      </c>
      <c r="E179">
        <v>74</v>
      </c>
      <c r="F179" t="str" cm="1">
        <f t="array" ref="F179">INDEX(Country!$B$3:$B$250, MATCH(TRUE, ISNUMBER(SEARCH(Country!$A$2:$A$509, Customer_Data[[#This Row],[Country]])),0 ))</f>
        <v>Africa</v>
      </c>
      <c r="G179" t="s">
        <v>984</v>
      </c>
      <c r="H179" t="s">
        <v>1265</v>
      </c>
      <c r="I179" t="s">
        <v>2226</v>
      </c>
      <c r="J179" t="s">
        <v>3218</v>
      </c>
      <c r="K179" s="1">
        <v>45332</v>
      </c>
      <c r="L179">
        <f>YEAR(Customer_Data[[#This Row],[LastPurchaseDate]])</f>
        <v>2024</v>
      </c>
      <c r="M179">
        <f>MONTH(Customer_Data[[#This Row],[LastPurchaseDate]])</f>
        <v>6</v>
      </c>
      <c r="N179" s="7">
        <v>45451</v>
      </c>
      <c r="O179">
        <v>10</v>
      </c>
      <c r="P179" s="4">
        <v>9324.83</v>
      </c>
      <c r="Q179" t="s">
        <v>4035</v>
      </c>
      <c r="R179">
        <v>1</v>
      </c>
      <c r="S179">
        <v>932.48</v>
      </c>
    </row>
    <row r="180" spans="1:19" x14ac:dyDescent="0.25">
      <c r="A180">
        <v>180</v>
      </c>
      <c r="B180" t="s">
        <v>97</v>
      </c>
      <c r="C180" t="s">
        <v>404</v>
      </c>
      <c r="D180" t="s">
        <v>851</v>
      </c>
      <c r="E180">
        <v>37</v>
      </c>
      <c r="F180" t="str" cm="1">
        <f t="array" ref="F180">INDEX(Country!$B$3:$B$250, MATCH(TRUE, ISNUMBER(SEARCH(Country!$A$2:$A$509, Customer_Data[[#This Row],[Country]])),0 ))</f>
        <v>Asia</v>
      </c>
      <c r="G180" t="s">
        <v>985</v>
      </c>
      <c r="H180" t="s">
        <v>1266</v>
      </c>
      <c r="I180" t="s">
        <v>2227</v>
      </c>
      <c r="J180" t="s">
        <v>3219</v>
      </c>
      <c r="K180" s="1">
        <v>44966</v>
      </c>
      <c r="L180">
        <f>YEAR(Customer_Data[[#This Row],[LastPurchaseDate]])</f>
        <v>2025</v>
      </c>
      <c r="M180">
        <f>MONTH(Customer_Data[[#This Row],[LastPurchaseDate]])</f>
        <v>4</v>
      </c>
      <c r="N180" s="7">
        <v>45768</v>
      </c>
      <c r="O180">
        <v>19</v>
      </c>
      <c r="P180" s="4">
        <v>1467.3</v>
      </c>
      <c r="Q180" t="s">
        <v>4035</v>
      </c>
      <c r="R180">
        <v>3</v>
      </c>
      <c r="S180">
        <v>77.23</v>
      </c>
    </row>
    <row r="181" spans="1:19" x14ac:dyDescent="0.25">
      <c r="A181">
        <v>181</v>
      </c>
      <c r="B181" t="s">
        <v>34</v>
      </c>
      <c r="C181" t="s">
        <v>424</v>
      </c>
      <c r="D181" t="s">
        <v>851</v>
      </c>
      <c r="E181">
        <v>21</v>
      </c>
      <c r="F181" t="str" cm="1">
        <f t="array" ref="F181">INDEX(Country!$B$3:$B$250, MATCH(TRUE, ISNUMBER(SEARCH(Country!$A$2:$A$509, Customer_Data[[#This Row],[Country]])),0 ))</f>
        <v>Europe</v>
      </c>
      <c r="G181" t="s">
        <v>982</v>
      </c>
      <c r="H181" t="s">
        <v>1267</v>
      </c>
      <c r="I181" t="s">
        <v>2228</v>
      </c>
      <c r="J181" t="s">
        <v>3220</v>
      </c>
      <c r="K181" s="1">
        <v>45077</v>
      </c>
      <c r="L181">
        <f>YEAR(Customer_Data[[#This Row],[LastPurchaseDate]])</f>
        <v>2024</v>
      </c>
      <c r="M181">
        <f>MONTH(Customer_Data[[#This Row],[LastPurchaseDate]])</f>
        <v>7</v>
      </c>
      <c r="N181" s="7">
        <v>45475</v>
      </c>
      <c r="O181">
        <v>3</v>
      </c>
      <c r="P181" s="4">
        <v>6515.77</v>
      </c>
      <c r="Q181" t="s">
        <v>4034</v>
      </c>
      <c r="R181">
        <v>1</v>
      </c>
      <c r="S181">
        <v>2171.92</v>
      </c>
    </row>
    <row r="182" spans="1:19" x14ac:dyDescent="0.25">
      <c r="A182">
        <v>182</v>
      </c>
      <c r="B182" t="s">
        <v>137</v>
      </c>
      <c r="C182" t="s">
        <v>487</v>
      </c>
      <c r="D182" t="s">
        <v>850</v>
      </c>
      <c r="E182">
        <v>34</v>
      </c>
      <c r="F182" t="str" cm="1">
        <f t="array" ref="F182">INDEX(Country!$B$3:$B$250, MATCH(TRUE, ISNUMBER(SEARCH(Country!$A$2:$A$509, Customer_Data[[#This Row],[Country]])),0 ))</f>
        <v>Europe</v>
      </c>
      <c r="G182" t="s">
        <v>927</v>
      </c>
      <c r="H182" t="s">
        <v>1268</v>
      </c>
      <c r="I182" t="s">
        <v>2229</v>
      </c>
      <c r="J182" t="s">
        <v>3221</v>
      </c>
      <c r="K182" s="1">
        <v>44940</v>
      </c>
      <c r="L182">
        <f>YEAR(Customer_Data[[#This Row],[LastPurchaseDate]])</f>
        <v>2024</v>
      </c>
      <c r="M182">
        <f>MONTH(Customer_Data[[#This Row],[LastPurchaseDate]])</f>
        <v>2</v>
      </c>
      <c r="N182" s="7">
        <v>45340</v>
      </c>
      <c r="O182">
        <v>43</v>
      </c>
      <c r="P182" s="4">
        <v>1170.9000000000001</v>
      </c>
      <c r="Q182" t="s">
        <v>4034</v>
      </c>
      <c r="R182">
        <v>2</v>
      </c>
      <c r="S182">
        <v>27.23</v>
      </c>
    </row>
    <row r="183" spans="1:19" x14ac:dyDescent="0.25">
      <c r="A183">
        <v>183</v>
      </c>
      <c r="B183" t="s">
        <v>55</v>
      </c>
      <c r="C183" t="s">
        <v>502</v>
      </c>
      <c r="D183" t="s">
        <v>851</v>
      </c>
      <c r="E183">
        <v>22</v>
      </c>
      <c r="F183" t="str" cm="1">
        <f t="array" ref="F183">INDEX(Country!$B$3:$B$250, MATCH(TRUE, ISNUMBER(SEARCH(Country!$A$2:$A$509, Customer_Data[[#This Row],[Country]])),0 ))</f>
        <v>Asia</v>
      </c>
      <c r="G183" t="s">
        <v>943</v>
      </c>
      <c r="H183" t="s">
        <v>1269</v>
      </c>
      <c r="I183" t="s">
        <v>2230</v>
      </c>
      <c r="J183" t="s">
        <v>3222</v>
      </c>
      <c r="K183" s="1">
        <v>45403</v>
      </c>
      <c r="L183">
        <f>YEAR(Customer_Data[[#This Row],[LastPurchaseDate]])</f>
        <v>2024</v>
      </c>
      <c r="M183">
        <f>MONTH(Customer_Data[[#This Row],[LastPurchaseDate]])</f>
        <v>7</v>
      </c>
      <c r="N183" s="7">
        <v>45501</v>
      </c>
      <c r="O183">
        <v>38</v>
      </c>
      <c r="P183" s="4">
        <v>690.06</v>
      </c>
      <c r="Q183" t="s">
        <v>4035</v>
      </c>
      <c r="R183">
        <v>5</v>
      </c>
      <c r="S183">
        <v>18.16</v>
      </c>
    </row>
    <row r="184" spans="1:19" x14ac:dyDescent="0.25">
      <c r="A184">
        <v>184</v>
      </c>
      <c r="B184" t="s">
        <v>138</v>
      </c>
      <c r="C184" t="s">
        <v>503</v>
      </c>
      <c r="D184" t="s">
        <v>851</v>
      </c>
      <c r="E184">
        <v>49</v>
      </c>
      <c r="F184" t="str" cm="1">
        <f t="array" ref="F184">INDEX(Country!$B$3:$B$250, MATCH(TRUE, ISNUMBER(SEARCH(Country!$A$2:$A$509, Customer_Data[[#This Row],[Country]])),0 ))</f>
        <v>South America</v>
      </c>
      <c r="G184" t="s">
        <v>972</v>
      </c>
      <c r="H184" t="s">
        <v>1270</v>
      </c>
      <c r="I184" t="s">
        <v>2231</v>
      </c>
      <c r="J184" t="s">
        <v>3223</v>
      </c>
      <c r="K184" s="1">
        <v>45242</v>
      </c>
      <c r="L184">
        <f>YEAR(Customer_Data[[#This Row],[LastPurchaseDate]])</f>
        <v>2024</v>
      </c>
      <c r="M184">
        <f>MONTH(Customer_Data[[#This Row],[LastPurchaseDate]])</f>
        <v>3</v>
      </c>
      <c r="N184" s="7">
        <v>45382</v>
      </c>
      <c r="O184">
        <v>7</v>
      </c>
      <c r="P184" s="4">
        <v>5885.09</v>
      </c>
      <c r="Q184" t="s">
        <v>4035</v>
      </c>
      <c r="R184">
        <v>3</v>
      </c>
      <c r="S184">
        <v>840.73</v>
      </c>
    </row>
    <row r="185" spans="1:19" x14ac:dyDescent="0.25">
      <c r="A185">
        <v>185</v>
      </c>
      <c r="B185" t="s">
        <v>139</v>
      </c>
      <c r="C185" t="s">
        <v>504</v>
      </c>
      <c r="D185" t="s">
        <v>850</v>
      </c>
      <c r="E185">
        <v>48</v>
      </c>
      <c r="F185" t="str" cm="1">
        <f t="array" ref="F185">INDEX(Country!$B$3:$B$250, MATCH(TRUE, ISNUMBER(SEARCH(Country!$A$2:$A$509, Customer_Data[[#This Row],[Country]])),0 ))</f>
        <v>Africa</v>
      </c>
      <c r="G185" t="s">
        <v>933</v>
      </c>
      <c r="H185" t="s">
        <v>1271</v>
      </c>
      <c r="I185" t="s">
        <v>2232</v>
      </c>
      <c r="J185" t="s">
        <v>3224</v>
      </c>
      <c r="K185" s="1">
        <v>45469</v>
      </c>
      <c r="L185">
        <f>YEAR(Customer_Data[[#This Row],[LastPurchaseDate]])</f>
        <v>2023</v>
      </c>
      <c r="M185">
        <f>MONTH(Customer_Data[[#This Row],[LastPurchaseDate]])</f>
        <v>12</v>
      </c>
      <c r="N185" s="7">
        <v>45264</v>
      </c>
      <c r="O185">
        <v>49</v>
      </c>
      <c r="P185" s="4">
        <v>7293.14</v>
      </c>
      <c r="Q185" t="s">
        <v>4035</v>
      </c>
      <c r="R185">
        <v>2</v>
      </c>
      <c r="S185">
        <v>148.84</v>
      </c>
    </row>
    <row r="186" spans="1:19" x14ac:dyDescent="0.25">
      <c r="A186">
        <v>186</v>
      </c>
      <c r="B186" t="s">
        <v>140</v>
      </c>
      <c r="C186" t="s">
        <v>339</v>
      </c>
      <c r="D186" t="s">
        <v>851</v>
      </c>
      <c r="E186">
        <v>70</v>
      </c>
      <c r="F186" t="str" cm="1">
        <f t="array" ref="F186">INDEX(Country!$B$3:$B$250, MATCH(TRUE, ISNUMBER(SEARCH(Country!$A$2:$A$509, Customer_Data[[#This Row],[Country]])),0 ))</f>
        <v>Antarctica</v>
      </c>
      <c r="G186" t="s">
        <v>986</v>
      </c>
      <c r="H186" t="s">
        <v>1272</v>
      </c>
      <c r="I186" t="s">
        <v>2233</v>
      </c>
      <c r="J186" t="s">
        <v>3225</v>
      </c>
      <c r="K186" s="1">
        <v>45429</v>
      </c>
      <c r="L186">
        <f>YEAR(Customer_Data[[#This Row],[LastPurchaseDate]])</f>
        <v>2025</v>
      </c>
      <c r="M186">
        <f>MONTH(Customer_Data[[#This Row],[LastPurchaseDate]])</f>
        <v>6</v>
      </c>
      <c r="N186" s="7">
        <v>45810</v>
      </c>
      <c r="O186">
        <v>5</v>
      </c>
      <c r="P186" s="4">
        <v>7672.28</v>
      </c>
      <c r="Q186" t="s">
        <v>4035</v>
      </c>
      <c r="R186">
        <v>3</v>
      </c>
      <c r="S186">
        <v>1534.46</v>
      </c>
    </row>
    <row r="187" spans="1:19" x14ac:dyDescent="0.25">
      <c r="A187">
        <v>187</v>
      </c>
      <c r="B187" t="s">
        <v>141</v>
      </c>
      <c r="C187" t="s">
        <v>505</v>
      </c>
      <c r="D187" t="s">
        <v>851</v>
      </c>
      <c r="E187">
        <v>62</v>
      </c>
      <c r="F187" t="str" cm="1">
        <f t="array" ref="F187">INDEX(Country!$B$3:$B$250, MATCH(TRUE, ISNUMBER(SEARCH(Country!$A$2:$A$509, Customer_Data[[#This Row],[Country]])),0 ))</f>
        <v>Europe</v>
      </c>
      <c r="G187" t="s">
        <v>896</v>
      </c>
      <c r="H187" t="s">
        <v>1273</v>
      </c>
      <c r="I187" t="s">
        <v>2234</v>
      </c>
      <c r="J187" t="s">
        <v>3226</v>
      </c>
      <c r="K187" s="1">
        <v>45244</v>
      </c>
      <c r="L187">
        <f>YEAR(Customer_Data[[#This Row],[LastPurchaseDate]])</f>
        <v>2024</v>
      </c>
      <c r="M187">
        <f>MONTH(Customer_Data[[#This Row],[LastPurchaseDate]])</f>
        <v>5</v>
      </c>
      <c r="N187" s="7">
        <v>45416</v>
      </c>
      <c r="O187">
        <v>20</v>
      </c>
      <c r="P187" s="4">
        <v>882.38</v>
      </c>
      <c r="Q187" t="s">
        <v>4034</v>
      </c>
      <c r="R187">
        <v>3</v>
      </c>
      <c r="S187">
        <v>44.12</v>
      </c>
    </row>
    <row r="188" spans="1:19" x14ac:dyDescent="0.25">
      <c r="A188">
        <v>188</v>
      </c>
      <c r="B188" t="s">
        <v>43</v>
      </c>
      <c r="C188" t="s">
        <v>482</v>
      </c>
      <c r="D188" t="s">
        <v>851</v>
      </c>
      <c r="E188">
        <v>47</v>
      </c>
      <c r="F188" t="str" cm="1">
        <f t="array" ref="F188">INDEX(Country!$B$3:$B$250, MATCH(TRUE, ISNUMBER(SEARCH(Country!$A$2:$A$509, Customer_Data[[#This Row],[Country]])),0 ))</f>
        <v>Africa</v>
      </c>
      <c r="G188" t="s">
        <v>877</v>
      </c>
      <c r="H188" t="s">
        <v>1274</v>
      </c>
      <c r="I188" t="s">
        <v>2235</v>
      </c>
      <c r="J188" t="s">
        <v>3227</v>
      </c>
      <c r="K188" s="1">
        <v>45944</v>
      </c>
      <c r="L188">
        <f>YEAR(Customer_Data[[#This Row],[LastPurchaseDate]])</f>
        <v>2024</v>
      </c>
      <c r="M188">
        <f>MONTH(Customer_Data[[#This Row],[LastPurchaseDate]])</f>
        <v>9</v>
      </c>
      <c r="N188" s="7">
        <v>45554</v>
      </c>
      <c r="O188">
        <v>10</v>
      </c>
      <c r="P188" s="4">
        <v>1198.0899999999999</v>
      </c>
      <c r="Q188" t="s">
        <v>4035</v>
      </c>
      <c r="R188">
        <v>2</v>
      </c>
      <c r="S188">
        <v>119.81</v>
      </c>
    </row>
    <row r="189" spans="1:19" x14ac:dyDescent="0.25">
      <c r="A189">
        <v>189</v>
      </c>
      <c r="B189" t="s">
        <v>68</v>
      </c>
      <c r="C189" t="s">
        <v>506</v>
      </c>
      <c r="D189" t="s">
        <v>851</v>
      </c>
      <c r="E189">
        <v>38</v>
      </c>
      <c r="F189" t="str" cm="1">
        <f t="array" ref="F189">INDEX(Country!$B$3:$B$250, MATCH(TRUE, ISNUMBER(SEARCH(Country!$A$2:$A$509, Customer_Data[[#This Row],[Country]])),0 ))</f>
        <v>Africa</v>
      </c>
      <c r="G189" t="s">
        <v>967</v>
      </c>
      <c r="H189" t="s">
        <v>1275</v>
      </c>
      <c r="I189" t="s">
        <v>2236</v>
      </c>
      <c r="J189" t="s">
        <v>3228</v>
      </c>
      <c r="K189" s="1">
        <v>45813</v>
      </c>
      <c r="L189">
        <f>YEAR(Customer_Data[[#This Row],[LastPurchaseDate]])</f>
        <v>2025</v>
      </c>
      <c r="M189">
        <f>MONTH(Customer_Data[[#This Row],[LastPurchaseDate]])</f>
        <v>1</v>
      </c>
      <c r="N189" s="7">
        <v>45674</v>
      </c>
      <c r="O189">
        <v>35</v>
      </c>
      <c r="P189" s="4">
        <v>1934.47</v>
      </c>
      <c r="Q189" t="s">
        <v>4035</v>
      </c>
      <c r="R189">
        <v>5</v>
      </c>
      <c r="S189">
        <v>55.27</v>
      </c>
    </row>
    <row r="190" spans="1:19" x14ac:dyDescent="0.25">
      <c r="A190">
        <v>190</v>
      </c>
      <c r="B190" t="s">
        <v>142</v>
      </c>
      <c r="C190" t="s">
        <v>454</v>
      </c>
      <c r="D190" t="s">
        <v>851</v>
      </c>
      <c r="E190">
        <v>26</v>
      </c>
      <c r="F190" t="str" cm="1">
        <f t="array" ref="F190">INDEX(Country!$B$3:$B$250, MATCH(TRUE, ISNUMBER(SEARCH(Country!$A$2:$A$509, Customer_Data[[#This Row],[Country]])),0 ))</f>
        <v>North America</v>
      </c>
      <c r="G190" t="s">
        <v>976</v>
      </c>
      <c r="H190" t="s">
        <v>1276</v>
      </c>
      <c r="I190" t="s">
        <v>2237</v>
      </c>
      <c r="J190" t="s">
        <v>3229</v>
      </c>
      <c r="K190" s="1">
        <v>44913</v>
      </c>
      <c r="L190">
        <f>YEAR(Customer_Data[[#This Row],[LastPurchaseDate]])</f>
        <v>2023</v>
      </c>
      <c r="M190">
        <f>MONTH(Customer_Data[[#This Row],[LastPurchaseDate]])</f>
        <v>11</v>
      </c>
      <c r="N190" s="7">
        <v>45237</v>
      </c>
      <c r="O190">
        <v>37</v>
      </c>
      <c r="P190" s="4">
        <v>349.73</v>
      </c>
      <c r="Q190" t="s">
        <v>4035</v>
      </c>
      <c r="R190">
        <v>1</v>
      </c>
      <c r="S190">
        <v>9.4499999999999993</v>
      </c>
    </row>
    <row r="191" spans="1:19" x14ac:dyDescent="0.25">
      <c r="A191">
        <v>191</v>
      </c>
      <c r="B191" t="s">
        <v>143</v>
      </c>
      <c r="C191" t="s">
        <v>507</v>
      </c>
      <c r="D191" t="s">
        <v>851</v>
      </c>
      <c r="E191">
        <v>38</v>
      </c>
      <c r="F191" t="str" cm="1">
        <f t="array" ref="F191">INDEX(Country!$B$3:$B$250, MATCH(TRUE, ISNUMBER(SEARCH(Country!$A$2:$A$509, Customer_Data[[#This Row],[Country]])),0 ))</f>
        <v>North America</v>
      </c>
      <c r="G191" t="s">
        <v>889</v>
      </c>
      <c r="H191" t="s">
        <v>1277</v>
      </c>
      <c r="I191" t="s">
        <v>2238</v>
      </c>
      <c r="J191" t="s">
        <v>3230</v>
      </c>
      <c r="K191" s="1">
        <v>45947</v>
      </c>
      <c r="L191">
        <f>YEAR(Customer_Data[[#This Row],[LastPurchaseDate]])</f>
        <v>2024</v>
      </c>
      <c r="M191">
        <f>MONTH(Customer_Data[[#This Row],[LastPurchaseDate]])</f>
        <v>11</v>
      </c>
      <c r="N191" s="7">
        <v>45610</v>
      </c>
      <c r="O191">
        <v>41</v>
      </c>
      <c r="P191" s="4">
        <v>7853.92</v>
      </c>
      <c r="Q191" t="s">
        <v>4035</v>
      </c>
      <c r="R191">
        <v>3</v>
      </c>
      <c r="S191">
        <v>191.56</v>
      </c>
    </row>
    <row r="192" spans="1:19" x14ac:dyDescent="0.25">
      <c r="A192">
        <v>192</v>
      </c>
      <c r="B192" t="s">
        <v>144</v>
      </c>
      <c r="C192" t="s">
        <v>508</v>
      </c>
      <c r="D192" t="s">
        <v>850</v>
      </c>
      <c r="E192">
        <v>63</v>
      </c>
      <c r="F192" t="str" cm="1">
        <f t="array" ref="F192">INDEX(Country!$B$3:$B$250, MATCH(TRUE, ISNUMBER(SEARCH(Country!$A$2:$A$509, Customer_Data[[#This Row],[Country]])),0 ))</f>
        <v>North America</v>
      </c>
      <c r="G192" t="s">
        <v>987</v>
      </c>
      <c r="H192" t="s">
        <v>1278</v>
      </c>
      <c r="I192" t="s">
        <v>2239</v>
      </c>
      <c r="J192" t="s">
        <v>3231</v>
      </c>
      <c r="K192" s="1">
        <v>45021</v>
      </c>
      <c r="L192">
        <f>YEAR(Customer_Data[[#This Row],[LastPurchaseDate]])</f>
        <v>2023</v>
      </c>
      <c r="M192">
        <f>MONTH(Customer_Data[[#This Row],[LastPurchaseDate]])</f>
        <v>11</v>
      </c>
      <c r="N192" s="7">
        <v>45235</v>
      </c>
      <c r="O192">
        <v>40</v>
      </c>
      <c r="P192" s="4">
        <v>2351.38</v>
      </c>
      <c r="Q192" t="s">
        <v>4034</v>
      </c>
      <c r="R192">
        <v>1</v>
      </c>
      <c r="S192">
        <v>58.78</v>
      </c>
    </row>
    <row r="193" spans="1:19" x14ac:dyDescent="0.25">
      <c r="A193">
        <v>193</v>
      </c>
      <c r="B193" t="s">
        <v>19</v>
      </c>
      <c r="C193" t="s">
        <v>307</v>
      </c>
      <c r="D193" t="s">
        <v>850</v>
      </c>
      <c r="E193">
        <v>43</v>
      </c>
      <c r="F193" t="str" cm="1">
        <f t="array" ref="F193">INDEX(Country!$B$3:$B$250, MATCH(TRUE, ISNUMBER(SEARCH(Country!$A$2:$A$509, Customer_Data[[#This Row],[Country]])),0 ))</f>
        <v>South America</v>
      </c>
      <c r="G193" t="s">
        <v>988</v>
      </c>
      <c r="H193" t="s">
        <v>1279</v>
      </c>
      <c r="I193" t="s">
        <v>2240</v>
      </c>
      <c r="J193" t="s">
        <v>3232</v>
      </c>
      <c r="K193" s="1">
        <v>44868</v>
      </c>
      <c r="L193">
        <f>YEAR(Customer_Data[[#This Row],[LastPurchaseDate]])</f>
        <v>2024</v>
      </c>
      <c r="M193">
        <f>MONTH(Customer_Data[[#This Row],[LastPurchaseDate]])</f>
        <v>6</v>
      </c>
      <c r="N193" s="7">
        <v>45463</v>
      </c>
      <c r="O193">
        <v>17</v>
      </c>
      <c r="P193" s="4">
        <v>9982.15</v>
      </c>
      <c r="Q193" t="s">
        <v>4034</v>
      </c>
      <c r="R193">
        <v>3</v>
      </c>
      <c r="S193">
        <v>587.19000000000005</v>
      </c>
    </row>
    <row r="194" spans="1:19" x14ac:dyDescent="0.25">
      <c r="A194">
        <v>194</v>
      </c>
      <c r="B194" t="s">
        <v>68</v>
      </c>
      <c r="C194" t="s">
        <v>509</v>
      </c>
      <c r="D194" t="s">
        <v>850</v>
      </c>
      <c r="E194">
        <v>39</v>
      </c>
      <c r="F194" t="str" cm="1">
        <f t="array" ref="F194">INDEX(Country!$B$3:$B$250, MATCH(TRUE, ISNUMBER(SEARCH(Country!$A$2:$A$509, Customer_Data[[#This Row],[Country]])),0 ))</f>
        <v>Africa</v>
      </c>
      <c r="G194" t="s">
        <v>857</v>
      </c>
      <c r="H194" t="s">
        <v>1280</v>
      </c>
      <c r="I194" t="s">
        <v>2241</v>
      </c>
      <c r="J194" t="s">
        <v>3233</v>
      </c>
      <c r="K194" s="1">
        <v>45428</v>
      </c>
      <c r="L194">
        <f>YEAR(Customer_Data[[#This Row],[LastPurchaseDate]])</f>
        <v>2024</v>
      </c>
      <c r="M194">
        <f>MONTH(Customer_Data[[#This Row],[LastPurchaseDate]])</f>
        <v>11</v>
      </c>
      <c r="N194" s="7">
        <v>45616</v>
      </c>
      <c r="O194">
        <v>14</v>
      </c>
      <c r="P194" s="4">
        <v>9232.0300000000007</v>
      </c>
      <c r="Q194" t="s">
        <v>4035</v>
      </c>
      <c r="R194">
        <v>4</v>
      </c>
      <c r="S194">
        <v>659.43</v>
      </c>
    </row>
    <row r="195" spans="1:19" x14ac:dyDescent="0.25">
      <c r="A195">
        <v>195</v>
      </c>
      <c r="B195" t="s">
        <v>145</v>
      </c>
      <c r="C195" t="s">
        <v>386</v>
      </c>
      <c r="D195" t="s">
        <v>851</v>
      </c>
      <c r="E195">
        <v>24</v>
      </c>
      <c r="F195" t="str" cm="1">
        <f t="array" ref="F195">INDEX(Country!$B$3:$B$250, MATCH(TRUE, ISNUMBER(SEARCH(Country!$A$2:$A$509, Customer_Data[[#This Row],[Country]])),0 ))</f>
        <v>Africa</v>
      </c>
      <c r="G195" t="s">
        <v>957</v>
      </c>
      <c r="H195" t="s">
        <v>1281</v>
      </c>
      <c r="I195" t="s">
        <v>2242</v>
      </c>
      <c r="J195" t="s">
        <v>3234</v>
      </c>
      <c r="K195" s="1">
        <v>45344</v>
      </c>
      <c r="L195">
        <f>YEAR(Customer_Data[[#This Row],[LastPurchaseDate]])</f>
        <v>2025</v>
      </c>
      <c r="M195">
        <f>MONTH(Customer_Data[[#This Row],[LastPurchaseDate]])</f>
        <v>6</v>
      </c>
      <c r="N195" s="7">
        <v>45813</v>
      </c>
      <c r="O195">
        <v>12</v>
      </c>
      <c r="P195" s="4">
        <v>6920.76</v>
      </c>
      <c r="Q195" t="s">
        <v>4034</v>
      </c>
      <c r="R195">
        <v>1</v>
      </c>
      <c r="S195">
        <v>576.73</v>
      </c>
    </row>
    <row r="196" spans="1:19" x14ac:dyDescent="0.25">
      <c r="A196">
        <v>196</v>
      </c>
      <c r="B196" t="s">
        <v>146</v>
      </c>
      <c r="C196" t="s">
        <v>510</v>
      </c>
      <c r="D196" t="s">
        <v>851</v>
      </c>
      <c r="E196">
        <v>54</v>
      </c>
      <c r="F196" t="str" cm="1">
        <f t="array" ref="F196">INDEX(Country!$B$3:$B$250, MATCH(TRUE, ISNUMBER(SEARCH(Country!$A$2:$A$509, Customer_Data[[#This Row],[Country]])),0 ))</f>
        <v>Europe</v>
      </c>
      <c r="G196" t="s">
        <v>989</v>
      </c>
      <c r="H196" t="s">
        <v>1282</v>
      </c>
      <c r="I196" t="s">
        <v>2243</v>
      </c>
      <c r="J196" t="s">
        <v>3235</v>
      </c>
      <c r="K196" s="1">
        <v>45956</v>
      </c>
      <c r="L196">
        <f>YEAR(Customer_Data[[#This Row],[LastPurchaseDate]])</f>
        <v>2025</v>
      </c>
      <c r="M196">
        <f>MONTH(Customer_Data[[#This Row],[LastPurchaseDate]])</f>
        <v>4</v>
      </c>
      <c r="N196" s="7">
        <v>45777</v>
      </c>
      <c r="O196">
        <v>11</v>
      </c>
      <c r="P196" s="4">
        <v>8241.43</v>
      </c>
      <c r="Q196" t="s">
        <v>4034</v>
      </c>
      <c r="R196">
        <v>3</v>
      </c>
      <c r="S196">
        <v>749.22</v>
      </c>
    </row>
    <row r="197" spans="1:19" x14ac:dyDescent="0.25">
      <c r="A197">
        <v>197</v>
      </c>
      <c r="B197" t="s">
        <v>147</v>
      </c>
      <c r="C197" t="s">
        <v>511</v>
      </c>
      <c r="D197" t="s">
        <v>851</v>
      </c>
      <c r="E197">
        <v>25</v>
      </c>
      <c r="F197" t="str" cm="1">
        <f t="array" ref="F197">INDEX(Country!$B$3:$B$250, MATCH(TRUE, ISNUMBER(SEARCH(Country!$A$2:$A$509, Customer_Data[[#This Row],[Country]])),0 ))</f>
        <v>Oceania</v>
      </c>
      <c r="G197" t="s">
        <v>990</v>
      </c>
      <c r="H197" t="s">
        <v>1283</v>
      </c>
      <c r="I197" t="s">
        <v>2244</v>
      </c>
      <c r="J197" t="s">
        <v>3236</v>
      </c>
      <c r="K197" s="1">
        <v>45062</v>
      </c>
      <c r="L197">
        <f>YEAR(Customer_Data[[#This Row],[LastPurchaseDate]])</f>
        <v>2025</v>
      </c>
      <c r="M197">
        <f>MONTH(Customer_Data[[#This Row],[LastPurchaseDate]])</f>
        <v>3</v>
      </c>
      <c r="N197" s="7">
        <v>45729</v>
      </c>
      <c r="O197">
        <v>9</v>
      </c>
      <c r="P197" s="4">
        <v>6190.51</v>
      </c>
      <c r="Q197" t="s">
        <v>4035</v>
      </c>
      <c r="R197">
        <v>3</v>
      </c>
      <c r="S197">
        <v>687.83</v>
      </c>
    </row>
    <row r="198" spans="1:19" x14ac:dyDescent="0.25">
      <c r="A198">
        <v>198</v>
      </c>
      <c r="B198" t="s">
        <v>85</v>
      </c>
      <c r="C198" t="s">
        <v>512</v>
      </c>
      <c r="D198" t="s">
        <v>851</v>
      </c>
      <c r="E198">
        <v>59</v>
      </c>
      <c r="F198" t="str" cm="1">
        <f t="array" ref="F198">INDEX(Country!$B$3:$B$250, MATCH(TRUE, ISNUMBER(SEARCH(Country!$A$2:$A$509, Customer_Data[[#This Row],[Country]])),0 ))</f>
        <v>Antarctica</v>
      </c>
      <c r="G198" t="s">
        <v>986</v>
      </c>
      <c r="H198" t="s">
        <v>1284</v>
      </c>
      <c r="I198" t="s">
        <v>2245</v>
      </c>
      <c r="J198" t="s">
        <v>3237</v>
      </c>
      <c r="K198" s="1">
        <v>45129</v>
      </c>
      <c r="L198">
        <f>YEAR(Customer_Data[[#This Row],[LastPurchaseDate]])</f>
        <v>2024</v>
      </c>
      <c r="M198">
        <f>MONTH(Customer_Data[[#This Row],[LastPurchaseDate]])</f>
        <v>3</v>
      </c>
      <c r="N198" s="7">
        <v>45377</v>
      </c>
      <c r="O198">
        <v>4</v>
      </c>
      <c r="P198" s="4">
        <v>2814.95</v>
      </c>
      <c r="Q198" t="s">
        <v>4034</v>
      </c>
      <c r="R198">
        <v>5</v>
      </c>
      <c r="S198">
        <v>703.74</v>
      </c>
    </row>
    <row r="199" spans="1:19" x14ac:dyDescent="0.25">
      <c r="A199">
        <v>199</v>
      </c>
      <c r="B199" t="s">
        <v>148</v>
      </c>
      <c r="C199" t="s">
        <v>513</v>
      </c>
      <c r="D199" t="s">
        <v>851</v>
      </c>
      <c r="E199">
        <v>71</v>
      </c>
      <c r="F199" t="str" cm="1">
        <f t="array" ref="F199">INDEX(Country!$B$3:$B$250, MATCH(TRUE, ISNUMBER(SEARCH(Country!$A$2:$A$509, Customer_Data[[#This Row],[Country]])),0 ))</f>
        <v>Europe</v>
      </c>
      <c r="G199" t="s">
        <v>982</v>
      </c>
      <c r="H199" t="s">
        <v>1285</v>
      </c>
      <c r="I199" t="s">
        <v>2246</v>
      </c>
      <c r="J199" t="s">
        <v>3238</v>
      </c>
      <c r="K199" s="1">
        <v>45151</v>
      </c>
      <c r="L199">
        <f>YEAR(Customer_Data[[#This Row],[LastPurchaseDate]])</f>
        <v>2023</v>
      </c>
      <c r="M199">
        <f>MONTH(Customer_Data[[#This Row],[LastPurchaseDate]])</f>
        <v>12</v>
      </c>
      <c r="N199" s="7">
        <v>45284</v>
      </c>
      <c r="O199">
        <v>7</v>
      </c>
      <c r="P199" s="4">
        <v>9229.2999999999993</v>
      </c>
      <c r="Q199" t="s">
        <v>4035</v>
      </c>
      <c r="R199">
        <v>1</v>
      </c>
      <c r="S199">
        <v>1318.47</v>
      </c>
    </row>
    <row r="200" spans="1:19" x14ac:dyDescent="0.25">
      <c r="A200">
        <v>200</v>
      </c>
      <c r="B200" t="s">
        <v>91</v>
      </c>
      <c r="C200" t="s">
        <v>466</v>
      </c>
      <c r="D200" t="s">
        <v>851</v>
      </c>
      <c r="E200">
        <v>18</v>
      </c>
      <c r="F200" t="str" cm="1">
        <f t="array" ref="F200">INDEX(Country!$B$3:$B$250, MATCH(TRUE, ISNUMBER(SEARCH(Country!$A$2:$A$509, Customer_Data[[#This Row],[Country]])),0 ))</f>
        <v>North America</v>
      </c>
      <c r="G200" t="s">
        <v>991</v>
      </c>
      <c r="H200" t="s">
        <v>1286</v>
      </c>
      <c r="I200" t="s">
        <v>2247</v>
      </c>
      <c r="J200" t="s">
        <v>3239</v>
      </c>
      <c r="K200" s="1">
        <v>45956</v>
      </c>
      <c r="L200">
        <f>YEAR(Customer_Data[[#This Row],[LastPurchaseDate]])</f>
        <v>2024</v>
      </c>
      <c r="M200">
        <f>MONTH(Customer_Data[[#This Row],[LastPurchaseDate]])</f>
        <v>10</v>
      </c>
      <c r="N200" s="7">
        <v>45584</v>
      </c>
      <c r="O200">
        <v>29</v>
      </c>
      <c r="P200" s="4">
        <v>4155.3100000000004</v>
      </c>
      <c r="Q200" t="s">
        <v>4035</v>
      </c>
      <c r="R200">
        <v>3</v>
      </c>
      <c r="S200">
        <v>143.29</v>
      </c>
    </row>
    <row r="201" spans="1:19" x14ac:dyDescent="0.25">
      <c r="A201">
        <v>201</v>
      </c>
      <c r="B201" t="s">
        <v>149</v>
      </c>
      <c r="C201" t="s">
        <v>514</v>
      </c>
      <c r="D201" t="s">
        <v>850</v>
      </c>
      <c r="E201">
        <v>44</v>
      </c>
      <c r="F201" t="str" cm="1">
        <f t="array" ref="F201">INDEX(Country!$B$3:$B$250, MATCH(TRUE, ISNUMBER(SEARCH(Country!$A$2:$A$509, Customer_Data[[#This Row],[Country]])),0 ))</f>
        <v>North America</v>
      </c>
      <c r="G201" t="s">
        <v>992</v>
      </c>
      <c r="H201" t="s">
        <v>1287</v>
      </c>
      <c r="I201" t="s">
        <v>2248</v>
      </c>
      <c r="J201" t="s">
        <v>3240</v>
      </c>
      <c r="K201" s="1">
        <v>45360</v>
      </c>
      <c r="L201">
        <f>YEAR(Customer_Data[[#This Row],[LastPurchaseDate]])</f>
        <v>2025</v>
      </c>
      <c r="M201">
        <f>MONTH(Customer_Data[[#This Row],[LastPurchaseDate]])</f>
        <v>2</v>
      </c>
      <c r="N201" s="7">
        <v>45697</v>
      </c>
      <c r="O201">
        <v>32</v>
      </c>
      <c r="P201" s="4">
        <v>1016.54</v>
      </c>
      <c r="Q201" t="s">
        <v>4034</v>
      </c>
      <c r="R201">
        <v>4</v>
      </c>
      <c r="S201">
        <v>31.77</v>
      </c>
    </row>
    <row r="202" spans="1:19" x14ac:dyDescent="0.25">
      <c r="A202">
        <v>202</v>
      </c>
      <c r="B202" t="s">
        <v>150</v>
      </c>
      <c r="C202" t="s">
        <v>371</v>
      </c>
      <c r="D202" t="s">
        <v>850</v>
      </c>
      <c r="E202">
        <v>27</v>
      </c>
      <c r="F202" t="str" cm="1">
        <f t="array" ref="F202">INDEX(Country!$B$3:$B$250, MATCH(TRUE, ISNUMBER(SEARCH(Country!$A$2:$A$509, Customer_Data[[#This Row],[Country]])),0 ))</f>
        <v>North America</v>
      </c>
      <c r="G202" t="s">
        <v>993</v>
      </c>
      <c r="H202" t="s">
        <v>1288</v>
      </c>
      <c r="I202" t="s">
        <v>2249</v>
      </c>
      <c r="J202" t="s">
        <v>3241</v>
      </c>
      <c r="K202" s="1">
        <v>45686</v>
      </c>
      <c r="L202">
        <f>YEAR(Customer_Data[[#This Row],[LastPurchaseDate]])</f>
        <v>2024</v>
      </c>
      <c r="M202">
        <f>MONTH(Customer_Data[[#This Row],[LastPurchaseDate]])</f>
        <v>10</v>
      </c>
      <c r="N202" s="7">
        <v>45590</v>
      </c>
      <c r="O202">
        <v>27</v>
      </c>
      <c r="P202" s="4">
        <v>7421.85</v>
      </c>
      <c r="Q202" t="s">
        <v>4034</v>
      </c>
      <c r="R202">
        <v>5</v>
      </c>
      <c r="S202">
        <v>274.88</v>
      </c>
    </row>
    <row r="203" spans="1:19" x14ac:dyDescent="0.25">
      <c r="A203">
        <v>203</v>
      </c>
      <c r="B203" t="s">
        <v>151</v>
      </c>
      <c r="C203" t="s">
        <v>474</v>
      </c>
      <c r="D203" t="s">
        <v>850</v>
      </c>
      <c r="E203">
        <v>38</v>
      </c>
      <c r="F203" t="str" cm="1">
        <f t="array" ref="F203">INDEX(Country!$B$3:$B$250, MATCH(TRUE, ISNUMBER(SEARCH(Country!$A$2:$A$509, Customer_Data[[#This Row],[Country]])),0 ))</f>
        <v>Asia</v>
      </c>
      <c r="G203" t="s">
        <v>994</v>
      </c>
      <c r="H203" t="s">
        <v>1289</v>
      </c>
      <c r="I203" t="s">
        <v>2250</v>
      </c>
      <c r="J203" t="s">
        <v>3242</v>
      </c>
      <c r="K203" s="1">
        <v>45615</v>
      </c>
      <c r="L203">
        <f>YEAR(Customer_Data[[#This Row],[LastPurchaseDate]])</f>
        <v>2023</v>
      </c>
      <c r="M203">
        <f>MONTH(Customer_Data[[#This Row],[LastPurchaseDate]])</f>
        <v>11</v>
      </c>
      <c r="N203" s="7">
        <v>45254</v>
      </c>
      <c r="O203">
        <v>29</v>
      </c>
      <c r="P203" s="4">
        <v>5224.32</v>
      </c>
      <c r="Q203" t="s">
        <v>4035</v>
      </c>
      <c r="R203">
        <v>3</v>
      </c>
      <c r="S203">
        <v>180.15</v>
      </c>
    </row>
    <row r="204" spans="1:19" x14ac:dyDescent="0.25">
      <c r="A204">
        <v>204</v>
      </c>
      <c r="B204" t="s">
        <v>53</v>
      </c>
      <c r="C204" t="s">
        <v>416</v>
      </c>
      <c r="D204" t="s">
        <v>850</v>
      </c>
      <c r="E204">
        <v>62</v>
      </c>
      <c r="F204" t="str" cm="1">
        <f t="array" ref="F204">INDEX(Country!$B$3:$B$250, MATCH(TRUE, ISNUMBER(SEARCH(Country!$A$2:$A$509, Customer_Data[[#This Row],[Country]])),0 ))</f>
        <v>North America</v>
      </c>
      <c r="G204" t="s">
        <v>863</v>
      </c>
      <c r="H204" t="s">
        <v>1290</v>
      </c>
      <c r="I204" t="s">
        <v>2251</v>
      </c>
      <c r="J204" t="s">
        <v>3243</v>
      </c>
      <c r="K204" s="1">
        <v>45210</v>
      </c>
      <c r="L204">
        <f>YEAR(Customer_Data[[#This Row],[LastPurchaseDate]])</f>
        <v>2025</v>
      </c>
      <c r="M204">
        <f>MONTH(Customer_Data[[#This Row],[LastPurchaseDate]])</f>
        <v>7</v>
      </c>
      <c r="N204" s="7">
        <v>45851</v>
      </c>
      <c r="O204">
        <v>41</v>
      </c>
      <c r="P204" s="4">
        <v>950.87</v>
      </c>
      <c r="Q204" t="s">
        <v>4034</v>
      </c>
      <c r="R204">
        <v>1</v>
      </c>
      <c r="S204">
        <v>23.19</v>
      </c>
    </row>
    <row r="205" spans="1:19" x14ac:dyDescent="0.25">
      <c r="A205">
        <v>205</v>
      </c>
      <c r="B205" t="s">
        <v>152</v>
      </c>
      <c r="C205" t="s">
        <v>416</v>
      </c>
      <c r="D205" t="s">
        <v>850</v>
      </c>
      <c r="E205">
        <v>60</v>
      </c>
      <c r="F205" t="str" cm="1">
        <f t="array" ref="F205">INDEX(Country!$B$3:$B$250, MATCH(TRUE, ISNUMBER(SEARCH(Country!$A$2:$A$509, Customer_Data[[#This Row],[Country]])),0 ))</f>
        <v>Africa</v>
      </c>
      <c r="G205" t="s">
        <v>995</v>
      </c>
      <c r="H205" t="s">
        <v>1291</v>
      </c>
      <c r="I205" t="s">
        <v>2252</v>
      </c>
      <c r="J205" t="s">
        <v>3244</v>
      </c>
      <c r="K205" s="1">
        <v>45092</v>
      </c>
      <c r="L205">
        <f>YEAR(Customer_Data[[#This Row],[LastPurchaseDate]])</f>
        <v>2024</v>
      </c>
      <c r="M205">
        <f>MONTH(Customer_Data[[#This Row],[LastPurchaseDate]])</f>
        <v>8</v>
      </c>
      <c r="N205" s="7">
        <v>45512</v>
      </c>
      <c r="O205">
        <v>22</v>
      </c>
      <c r="P205" s="4">
        <v>6891.97</v>
      </c>
      <c r="Q205" t="s">
        <v>4034</v>
      </c>
      <c r="R205">
        <v>1</v>
      </c>
      <c r="S205">
        <v>313.27</v>
      </c>
    </row>
    <row r="206" spans="1:19" x14ac:dyDescent="0.25">
      <c r="A206">
        <v>206</v>
      </c>
      <c r="B206" t="s">
        <v>153</v>
      </c>
      <c r="C206" t="s">
        <v>515</v>
      </c>
      <c r="D206" t="s">
        <v>850</v>
      </c>
      <c r="E206">
        <v>46</v>
      </c>
      <c r="F206" t="str" cm="1">
        <f t="array" ref="F206">INDEX(Country!$B$3:$B$250, MATCH(TRUE, ISNUMBER(SEARCH(Country!$A$2:$A$509, Customer_Data[[#This Row],[Country]])),0 ))</f>
        <v>Europe</v>
      </c>
      <c r="G206" t="s">
        <v>996</v>
      </c>
      <c r="H206" t="s">
        <v>1292</v>
      </c>
      <c r="I206" t="s">
        <v>2253</v>
      </c>
      <c r="J206" t="s">
        <v>3245</v>
      </c>
      <c r="K206" s="1">
        <v>45868</v>
      </c>
      <c r="L206">
        <f>YEAR(Customer_Data[[#This Row],[LastPurchaseDate]])</f>
        <v>2025</v>
      </c>
      <c r="M206">
        <f>MONTH(Customer_Data[[#This Row],[LastPurchaseDate]])</f>
        <v>7</v>
      </c>
      <c r="N206" s="7">
        <v>45865</v>
      </c>
      <c r="O206">
        <v>49</v>
      </c>
      <c r="P206" s="4">
        <v>125.93</v>
      </c>
      <c r="Q206" t="s">
        <v>4035</v>
      </c>
      <c r="R206">
        <v>5</v>
      </c>
      <c r="S206">
        <v>2.57</v>
      </c>
    </row>
    <row r="207" spans="1:19" x14ac:dyDescent="0.25">
      <c r="A207">
        <v>207</v>
      </c>
      <c r="B207" t="s">
        <v>60</v>
      </c>
      <c r="C207" t="s">
        <v>416</v>
      </c>
      <c r="D207" t="s">
        <v>851</v>
      </c>
      <c r="E207">
        <v>19</v>
      </c>
      <c r="F207" t="str" cm="1">
        <f t="array" ref="F207">INDEX(Country!$B$3:$B$250, MATCH(TRUE, ISNUMBER(SEARCH(Country!$A$2:$A$509, Customer_Data[[#This Row],[Country]])),0 ))</f>
        <v>North America</v>
      </c>
      <c r="G207" t="s">
        <v>969</v>
      </c>
      <c r="H207" t="s">
        <v>1293</v>
      </c>
      <c r="I207" t="s">
        <v>2254</v>
      </c>
      <c r="J207" t="s">
        <v>3246</v>
      </c>
      <c r="K207" s="1">
        <v>45492</v>
      </c>
      <c r="L207">
        <f>YEAR(Customer_Data[[#This Row],[LastPurchaseDate]])</f>
        <v>2025</v>
      </c>
      <c r="M207">
        <f>MONTH(Customer_Data[[#This Row],[LastPurchaseDate]])</f>
        <v>10</v>
      </c>
      <c r="N207" s="7">
        <v>45938</v>
      </c>
      <c r="O207">
        <v>33</v>
      </c>
      <c r="P207" s="4">
        <v>1422.62</v>
      </c>
      <c r="Q207" t="s">
        <v>4035</v>
      </c>
      <c r="R207">
        <v>2</v>
      </c>
      <c r="S207">
        <v>43.11</v>
      </c>
    </row>
    <row r="208" spans="1:19" x14ac:dyDescent="0.25">
      <c r="A208">
        <v>208</v>
      </c>
      <c r="B208" t="s">
        <v>103</v>
      </c>
      <c r="C208" t="s">
        <v>516</v>
      </c>
      <c r="D208" t="s">
        <v>850</v>
      </c>
      <c r="E208">
        <v>62</v>
      </c>
      <c r="F208" t="str" cm="1">
        <f t="array" ref="F208">INDEX(Country!$B$3:$B$250, MATCH(TRUE, ISNUMBER(SEARCH(Country!$A$2:$A$509, Customer_Data[[#This Row],[Country]])),0 ))</f>
        <v>North America</v>
      </c>
      <c r="G208" t="s">
        <v>991</v>
      </c>
      <c r="H208" t="s">
        <v>1294</v>
      </c>
      <c r="I208" t="s">
        <v>2255</v>
      </c>
      <c r="J208" t="s">
        <v>3247</v>
      </c>
      <c r="K208" s="1">
        <v>45550</v>
      </c>
      <c r="L208">
        <f>YEAR(Customer_Data[[#This Row],[LastPurchaseDate]])</f>
        <v>2025</v>
      </c>
      <c r="M208">
        <f>MONTH(Customer_Data[[#This Row],[LastPurchaseDate]])</f>
        <v>5</v>
      </c>
      <c r="N208" s="7">
        <v>45806</v>
      </c>
      <c r="O208">
        <v>33</v>
      </c>
      <c r="P208" s="4">
        <v>9958.18</v>
      </c>
      <c r="Q208" t="s">
        <v>4034</v>
      </c>
      <c r="R208">
        <v>2</v>
      </c>
      <c r="S208">
        <v>301.76</v>
      </c>
    </row>
    <row r="209" spans="1:19" x14ac:dyDescent="0.25">
      <c r="A209">
        <v>209</v>
      </c>
      <c r="B209" t="s">
        <v>63</v>
      </c>
      <c r="C209" t="s">
        <v>386</v>
      </c>
      <c r="D209" t="s">
        <v>851</v>
      </c>
      <c r="E209">
        <v>20</v>
      </c>
      <c r="F209" t="str" cm="1">
        <f t="array" ref="F209">INDEX(Country!$B$3:$B$250, MATCH(TRUE, ISNUMBER(SEARCH(Country!$A$2:$A$509, Customer_Data[[#This Row],[Country]])),0 ))</f>
        <v>Europe</v>
      </c>
      <c r="G209" t="s">
        <v>923</v>
      </c>
      <c r="H209" t="s">
        <v>1295</v>
      </c>
      <c r="I209" t="s">
        <v>2256</v>
      </c>
      <c r="J209" t="s">
        <v>3248</v>
      </c>
      <c r="K209" s="1">
        <v>45488</v>
      </c>
      <c r="L209">
        <f>YEAR(Customer_Data[[#This Row],[LastPurchaseDate]])</f>
        <v>2024</v>
      </c>
      <c r="M209">
        <f>MONTH(Customer_Data[[#This Row],[LastPurchaseDate]])</f>
        <v>2</v>
      </c>
      <c r="N209" s="7">
        <v>45344</v>
      </c>
      <c r="O209">
        <v>9</v>
      </c>
      <c r="P209" s="4">
        <v>406.35</v>
      </c>
      <c r="Q209" t="s">
        <v>4035</v>
      </c>
      <c r="R209">
        <v>2</v>
      </c>
      <c r="S209">
        <v>45.15</v>
      </c>
    </row>
    <row r="210" spans="1:19" x14ac:dyDescent="0.25">
      <c r="A210">
        <v>210</v>
      </c>
      <c r="B210" t="s">
        <v>154</v>
      </c>
      <c r="C210" t="s">
        <v>485</v>
      </c>
      <c r="D210" t="s">
        <v>851</v>
      </c>
      <c r="E210">
        <v>46</v>
      </c>
      <c r="F210" t="str" cm="1">
        <f t="array" ref="F210">INDEX(Country!$B$3:$B$250, MATCH(TRUE, ISNUMBER(SEARCH(Country!$A$2:$A$509, Customer_Data[[#This Row],[Country]])),0 ))</f>
        <v>Europe</v>
      </c>
      <c r="G210" t="s">
        <v>960</v>
      </c>
      <c r="H210" t="s">
        <v>1296</v>
      </c>
      <c r="I210" t="s">
        <v>2257</v>
      </c>
      <c r="J210" t="s">
        <v>3249</v>
      </c>
      <c r="K210" s="1">
        <v>45844</v>
      </c>
      <c r="L210">
        <f>YEAR(Customer_Data[[#This Row],[LastPurchaseDate]])</f>
        <v>2025</v>
      </c>
      <c r="M210">
        <f>MONTH(Customer_Data[[#This Row],[LastPurchaseDate]])</f>
        <v>3</v>
      </c>
      <c r="N210" s="7">
        <v>45742</v>
      </c>
      <c r="O210">
        <v>3</v>
      </c>
      <c r="P210" s="4">
        <v>1159.05</v>
      </c>
      <c r="Q210" t="s">
        <v>4035</v>
      </c>
      <c r="R210">
        <v>1</v>
      </c>
      <c r="S210">
        <v>386.35</v>
      </c>
    </row>
    <row r="211" spans="1:19" x14ac:dyDescent="0.25">
      <c r="A211">
        <v>211</v>
      </c>
      <c r="B211" t="s">
        <v>155</v>
      </c>
      <c r="C211" t="s">
        <v>517</v>
      </c>
      <c r="D211" t="s">
        <v>851</v>
      </c>
      <c r="E211">
        <v>22</v>
      </c>
      <c r="F211" t="str" cm="1">
        <f t="array" ref="F211">INDEX(Country!$B$3:$B$250, MATCH(TRUE, ISNUMBER(SEARCH(Country!$A$2:$A$509, Customer_Data[[#This Row],[Country]])),0 ))</f>
        <v>Africa</v>
      </c>
      <c r="G211" t="s">
        <v>908</v>
      </c>
      <c r="H211" t="s">
        <v>1297</v>
      </c>
      <c r="I211" t="s">
        <v>2258</v>
      </c>
      <c r="J211" t="s">
        <v>3250</v>
      </c>
      <c r="K211" s="1">
        <v>45169</v>
      </c>
      <c r="L211">
        <f>YEAR(Customer_Data[[#This Row],[LastPurchaseDate]])</f>
        <v>2025</v>
      </c>
      <c r="M211">
        <f>MONTH(Customer_Data[[#This Row],[LastPurchaseDate]])</f>
        <v>1</v>
      </c>
      <c r="N211" s="7">
        <v>45668</v>
      </c>
      <c r="O211">
        <v>4</v>
      </c>
      <c r="P211" s="4">
        <v>1026.3499999999999</v>
      </c>
      <c r="Q211" t="s">
        <v>4035</v>
      </c>
      <c r="R211">
        <v>1</v>
      </c>
      <c r="S211">
        <v>256.58999999999997</v>
      </c>
    </row>
    <row r="212" spans="1:19" x14ac:dyDescent="0.25">
      <c r="A212">
        <v>212</v>
      </c>
      <c r="B212" t="s">
        <v>156</v>
      </c>
      <c r="C212" t="s">
        <v>518</v>
      </c>
      <c r="D212" t="s">
        <v>851</v>
      </c>
      <c r="E212">
        <v>32</v>
      </c>
      <c r="F212" t="str" cm="1">
        <f t="array" ref="F212">INDEX(Country!$B$3:$B$250, MATCH(TRUE, ISNUMBER(SEARCH(Country!$A$2:$A$509, Customer_Data[[#This Row],[Country]])),0 ))</f>
        <v>Asia</v>
      </c>
      <c r="G212" t="s">
        <v>997</v>
      </c>
      <c r="H212" t="s">
        <v>1298</v>
      </c>
      <c r="I212" t="s">
        <v>2259</v>
      </c>
      <c r="J212" t="s">
        <v>3251</v>
      </c>
      <c r="K212" s="1">
        <v>45562</v>
      </c>
      <c r="L212">
        <f>YEAR(Customer_Data[[#This Row],[LastPurchaseDate]])</f>
        <v>2024</v>
      </c>
      <c r="M212">
        <f>MONTH(Customer_Data[[#This Row],[LastPurchaseDate]])</f>
        <v>4</v>
      </c>
      <c r="N212" s="7">
        <v>45394</v>
      </c>
      <c r="O212">
        <v>29</v>
      </c>
      <c r="P212" s="4">
        <v>3365.83</v>
      </c>
      <c r="Q212" t="s">
        <v>4034</v>
      </c>
      <c r="R212">
        <v>3</v>
      </c>
      <c r="S212">
        <v>116.06</v>
      </c>
    </row>
    <row r="213" spans="1:19" x14ac:dyDescent="0.25">
      <c r="A213">
        <v>213</v>
      </c>
      <c r="B213" t="s">
        <v>143</v>
      </c>
      <c r="C213" t="s">
        <v>519</v>
      </c>
      <c r="D213" t="s">
        <v>851</v>
      </c>
      <c r="E213">
        <v>47</v>
      </c>
      <c r="F213" t="str" cm="1">
        <f t="array" ref="F213">INDEX(Country!$B$3:$B$250, MATCH(TRUE, ISNUMBER(SEARCH(Country!$A$2:$A$509, Customer_Data[[#This Row],[Country]])),0 ))</f>
        <v>North America</v>
      </c>
      <c r="G213" t="s">
        <v>964</v>
      </c>
      <c r="H213" t="s">
        <v>1299</v>
      </c>
      <c r="I213" t="s">
        <v>2260</v>
      </c>
      <c r="J213" t="s">
        <v>3252</v>
      </c>
      <c r="K213" s="1">
        <v>45239</v>
      </c>
      <c r="L213">
        <f>YEAR(Customer_Data[[#This Row],[LastPurchaseDate]])</f>
        <v>2025</v>
      </c>
      <c r="M213">
        <f>MONTH(Customer_Data[[#This Row],[LastPurchaseDate]])</f>
        <v>8</v>
      </c>
      <c r="N213" s="7">
        <v>45898</v>
      </c>
      <c r="O213">
        <v>27</v>
      </c>
      <c r="P213" s="4">
        <v>5018.6899999999996</v>
      </c>
      <c r="Q213" t="s">
        <v>4035</v>
      </c>
      <c r="R213">
        <v>3</v>
      </c>
      <c r="S213">
        <v>185.88</v>
      </c>
    </row>
    <row r="214" spans="1:19" x14ac:dyDescent="0.25">
      <c r="A214">
        <v>214</v>
      </c>
      <c r="B214" t="s">
        <v>157</v>
      </c>
      <c r="C214" t="s">
        <v>520</v>
      </c>
      <c r="D214" t="s">
        <v>851</v>
      </c>
      <c r="E214">
        <v>48</v>
      </c>
      <c r="F214" t="str" cm="1">
        <f t="array" ref="F214">INDEX(Country!$B$3:$B$250, MATCH(TRUE, ISNUMBER(SEARCH(Country!$A$2:$A$509, Customer_Data[[#This Row],[Country]])),0 ))</f>
        <v>Europe</v>
      </c>
      <c r="G214" t="s">
        <v>998</v>
      </c>
      <c r="H214" t="s">
        <v>1300</v>
      </c>
      <c r="I214" t="s">
        <v>2261</v>
      </c>
      <c r="J214" t="s">
        <v>3253</v>
      </c>
      <c r="K214" s="1">
        <v>45541</v>
      </c>
      <c r="L214">
        <f>YEAR(Customer_Data[[#This Row],[LastPurchaseDate]])</f>
        <v>2024</v>
      </c>
      <c r="M214">
        <f>MONTH(Customer_Data[[#This Row],[LastPurchaseDate]])</f>
        <v>12</v>
      </c>
      <c r="N214" s="7">
        <v>45627</v>
      </c>
      <c r="O214">
        <v>6</v>
      </c>
      <c r="P214" s="4">
        <v>3320.5</v>
      </c>
      <c r="Q214" t="s">
        <v>4035</v>
      </c>
      <c r="R214">
        <v>4</v>
      </c>
      <c r="S214">
        <v>553.41999999999996</v>
      </c>
    </row>
    <row r="215" spans="1:19" x14ac:dyDescent="0.25">
      <c r="A215">
        <v>215</v>
      </c>
      <c r="B215" t="s">
        <v>158</v>
      </c>
      <c r="C215" t="s">
        <v>521</v>
      </c>
      <c r="D215" t="s">
        <v>850</v>
      </c>
      <c r="E215">
        <v>46</v>
      </c>
      <c r="F215" t="str" cm="1">
        <f t="array" ref="F215">INDEX(Country!$B$3:$B$250, MATCH(TRUE, ISNUMBER(SEARCH(Country!$A$2:$A$509, Customer_Data[[#This Row],[Country]])),0 ))</f>
        <v>Africa</v>
      </c>
      <c r="G215" t="s">
        <v>999</v>
      </c>
      <c r="H215" t="s">
        <v>1301</v>
      </c>
      <c r="I215" t="s">
        <v>2262</v>
      </c>
      <c r="J215" t="s">
        <v>3254</v>
      </c>
      <c r="K215" s="1">
        <v>45671</v>
      </c>
      <c r="L215">
        <f>YEAR(Customer_Data[[#This Row],[LastPurchaseDate]])</f>
        <v>2025</v>
      </c>
      <c r="M215">
        <f>MONTH(Customer_Data[[#This Row],[LastPurchaseDate]])</f>
        <v>7</v>
      </c>
      <c r="N215" s="7">
        <v>45849</v>
      </c>
      <c r="O215">
        <v>36</v>
      </c>
      <c r="P215" s="4">
        <v>9744.61</v>
      </c>
      <c r="Q215" t="s">
        <v>4035</v>
      </c>
      <c r="R215">
        <v>2</v>
      </c>
      <c r="S215">
        <v>270.68</v>
      </c>
    </row>
    <row r="216" spans="1:19" x14ac:dyDescent="0.25">
      <c r="A216">
        <v>217</v>
      </c>
      <c r="B216" t="s">
        <v>159</v>
      </c>
      <c r="C216" t="s">
        <v>523</v>
      </c>
      <c r="D216" t="s">
        <v>851</v>
      </c>
      <c r="E216">
        <v>55</v>
      </c>
      <c r="F216" t="str" cm="1">
        <f t="array" ref="F216">INDEX(Country!$B$3:$B$250, MATCH(TRUE, ISNUMBER(SEARCH(Country!$A$2:$A$509, Customer_Data[[#This Row],[Country]])),0 ))</f>
        <v>North America</v>
      </c>
      <c r="G216" t="s">
        <v>1001</v>
      </c>
      <c r="H216" t="s">
        <v>1302</v>
      </c>
      <c r="I216" t="s">
        <v>2263</v>
      </c>
      <c r="J216" t="s">
        <v>3255</v>
      </c>
      <c r="K216" s="1">
        <v>45475</v>
      </c>
      <c r="L216">
        <f>YEAR(Customer_Data[[#This Row],[LastPurchaseDate]])</f>
        <v>2025</v>
      </c>
      <c r="M216">
        <f>MONTH(Customer_Data[[#This Row],[LastPurchaseDate]])</f>
        <v>8</v>
      </c>
      <c r="N216" s="7">
        <v>45892</v>
      </c>
      <c r="O216">
        <v>1</v>
      </c>
      <c r="P216" s="4">
        <v>2009.78</v>
      </c>
      <c r="Q216" t="s">
        <v>4035</v>
      </c>
      <c r="R216">
        <v>3</v>
      </c>
      <c r="S216">
        <v>2009.78</v>
      </c>
    </row>
    <row r="217" spans="1:19" x14ac:dyDescent="0.25">
      <c r="A217">
        <v>218</v>
      </c>
      <c r="B217" t="s">
        <v>160</v>
      </c>
      <c r="C217" t="s">
        <v>524</v>
      </c>
      <c r="D217" t="s">
        <v>850</v>
      </c>
      <c r="E217">
        <v>36</v>
      </c>
      <c r="F217" t="str" cm="1">
        <f t="array" ref="F217">INDEX(Country!$B$3:$B$250, MATCH(TRUE, ISNUMBER(SEARCH(Country!$A$2:$A$509, Customer_Data[[#This Row],[Country]])),0 ))</f>
        <v>South America</v>
      </c>
      <c r="G217" t="s">
        <v>958</v>
      </c>
      <c r="H217" t="s">
        <v>1303</v>
      </c>
      <c r="I217" t="s">
        <v>2264</v>
      </c>
      <c r="J217" t="s">
        <v>3256</v>
      </c>
      <c r="K217" s="1">
        <v>45597</v>
      </c>
      <c r="L217">
        <f>YEAR(Customer_Data[[#This Row],[LastPurchaseDate]])</f>
        <v>2024</v>
      </c>
      <c r="M217">
        <f>MONTH(Customer_Data[[#This Row],[LastPurchaseDate]])</f>
        <v>8</v>
      </c>
      <c r="N217" s="7">
        <v>45520</v>
      </c>
      <c r="O217">
        <v>2</v>
      </c>
      <c r="P217" s="4">
        <v>8983.34</v>
      </c>
      <c r="Q217" t="s">
        <v>4034</v>
      </c>
      <c r="R217">
        <v>2</v>
      </c>
      <c r="S217">
        <v>4491.67</v>
      </c>
    </row>
    <row r="218" spans="1:19" x14ac:dyDescent="0.25">
      <c r="A218">
        <v>219</v>
      </c>
      <c r="B218" t="s">
        <v>91</v>
      </c>
      <c r="C218" t="s">
        <v>525</v>
      </c>
      <c r="D218" t="s">
        <v>850</v>
      </c>
      <c r="E218">
        <v>69</v>
      </c>
      <c r="F218" t="str" cm="1">
        <f t="array" ref="F218">INDEX(Country!$B$3:$B$250, MATCH(TRUE, ISNUMBER(SEARCH(Country!$A$2:$A$509, Customer_Data[[#This Row],[Country]])),0 ))</f>
        <v>Asia</v>
      </c>
      <c r="G218" t="s">
        <v>942</v>
      </c>
      <c r="H218" t="s">
        <v>1304</v>
      </c>
      <c r="I218" t="s">
        <v>2265</v>
      </c>
      <c r="J218" t="s">
        <v>3257</v>
      </c>
      <c r="K218" s="1">
        <v>45326</v>
      </c>
      <c r="L218">
        <f>YEAR(Customer_Data[[#This Row],[LastPurchaseDate]])</f>
        <v>2024</v>
      </c>
      <c r="M218">
        <f>MONTH(Customer_Data[[#This Row],[LastPurchaseDate]])</f>
        <v>11</v>
      </c>
      <c r="N218" s="7">
        <v>45603</v>
      </c>
      <c r="O218">
        <v>35</v>
      </c>
      <c r="P218" s="4">
        <v>7054.17</v>
      </c>
      <c r="Q218" t="s">
        <v>4034</v>
      </c>
      <c r="R218">
        <v>3</v>
      </c>
      <c r="S218">
        <v>201.55</v>
      </c>
    </row>
    <row r="219" spans="1:19" x14ac:dyDescent="0.25">
      <c r="A219">
        <v>220</v>
      </c>
      <c r="B219" t="s">
        <v>120</v>
      </c>
      <c r="C219" t="s">
        <v>517</v>
      </c>
      <c r="D219" t="s">
        <v>851</v>
      </c>
      <c r="E219">
        <v>50</v>
      </c>
      <c r="F219" t="str" cm="1">
        <f t="array" ref="F219">INDEX(Country!$B$3:$B$250, MATCH(TRUE, ISNUMBER(SEARCH(Country!$A$2:$A$509, Customer_Data[[#This Row],[Country]])),0 ))</f>
        <v>Africa</v>
      </c>
      <c r="G219" t="s">
        <v>977</v>
      </c>
      <c r="H219" t="s">
        <v>1305</v>
      </c>
      <c r="I219" t="s">
        <v>2266</v>
      </c>
      <c r="J219" t="s">
        <v>3258</v>
      </c>
      <c r="K219" s="1">
        <v>45596</v>
      </c>
      <c r="L219">
        <f>YEAR(Customer_Data[[#This Row],[LastPurchaseDate]])</f>
        <v>2024</v>
      </c>
      <c r="M219">
        <f>MONTH(Customer_Data[[#This Row],[LastPurchaseDate]])</f>
        <v>6</v>
      </c>
      <c r="N219" s="7">
        <v>45468</v>
      </c>
      <c r="O219">
        <v>7</v>
      </c>
      <c r="P219" s="4">
        <v>9672.77</v>
      </c>
      <c r="Q219" t="s">
        <v>4035</v>
      </c>
      <c r="R219">
        <v>4</v>
      </c>
      <c r="S219">
        <v>1381.82</v>
      </c>
    </row>
    <row r="220" spans="1:19" x14ac:dyDescent="0.25">
      <c r="A220">
        <v>221</v>
      </c>
      <c r="B220" t="s">
        <v>161</v>
      </c>
      <c r="C220" t="s">
        <v>407</v>
      </c>
      <c r="D220" t="s">
        <v>851</v>
      </c>
      <c r="E220">
        <v>74</v>
      </c>
      <c r="F220" t="str" cm="1">
        <f t="array" ref="F220">INDEX(Country!$B$3:$B$250, MATCH(TRUE, ISNUMBER(SEARCH(Country!$A$2:$A$509, Customer_Data[[#This Row],[Country]])),0 ))</f>
        <v>Europe</v>
      </c>
      <c r="G220" t="s">
        <v>855</v>
      </c>
      <c r="H220" t="s">
        <v>1306</v>
      </c>
      <c r="I220" t="s">
        <v>2267</v>
      </c>
      <c r="J220" t="s">
        <v>3259</v>
      </c>
      <c r="K220" s="1">
        <v>45266</v>
      </c>
      <c r="L220">
        <f>YEAR(Customer_Data[[#This Row],[LastPurchaseDate]])</f>
        <v>2024</v>
      </c>
      <c r="M220">
        <f>MONTH(Customer_Data[[#This Row],[LastPurchaseDate]])</f>
        <v>8</v>
      </c>
      <c r="N220" s="7">
        <v>45529</v>
      </c>
      <c r="O220">
        <v>20</v>
      </c>
      <c r="P220" s="4">
        <v>748.58</v>
      </c>
      <c r="Q220" t="s">
        <v>4035</v>
      </c>
      <c r="R220">
        <v>5</v>
      </c>
      <c r="S220">
        <v>37.43</v>
      </c>
    </row>
    <row r="221" spans="1:19" x14ac:dyDescent="0.25">
      <c r="A221">
        <v>222</v>
      </c>
      <c r="B221" t="s">
        <v>147</v>
      </c>
      <c r="C221" t="s">
        <v>379</v>
      </c>
      <c r="D221" t="s">
        <v>852</v>
      </c>
      <c r="E221">
        <v>36</v>
      </c>
      <c r="F221" t="str" cm="1">
        <f t="array" ref="F221">INDEX(Country!$B$3:$B$250, MATCH(TRUE, ISNUMBER(SEARCH(Country!$A$2:$A$509, Customer_Data[[#This Row],[Country]])),0 ))</f>
        <v>Oceania</v>
      </c>
      <c r="G221" t="s">
        <v>932</v>
      </c>
      <c r="H221" t="s">
        <v>1307</v>
      </c>
      <c r="I221" t="s">
        <v>2268</v>
      </c>
      <c r="J221" t="s">
        <v>3260</v>
      </c>
      <c r="K221" s="1">
        <v>45461</v>
      </c>
      <c r="L221">
        <f>YEAR(Customer_Data[[#This Row],[LastPurchaseDate]])</f>
        <v>2025</v>
      </c>
      <c r="M221">
        <f>MONTH(Customer_Data[[#This Row],[LastPurchaseDate]])</f>
        <v>7</v>
      </c>
      <c r="N221" s="7">
        <v>45864</v>
      </c>
      <c r="O221">
        <v>41</v>
      </c>
      <c r="P221" s="4">
        <v>3732.47</v>
      </c>
      <c r="Q221" t="s">
        <v>4035</v>
      </c>
      <c r="R221">
        <v>1</v>
      </c>
      <c r="S221">
        <v>91.04</v>
      </c>
    </row>
    <row r="222" spans="1:19" x14ac:dyDescent="0.25">
      <c r="A222">
        <v>223</v>
      </c>
      <c r="B222" t="s">
        <v>162</v>
      </c>
      <c r="C222" t="s">
        <v>526</v>
      </c>
      <c r="D222" t="s">
        <v>851</v>
      </c>
      <c r="E222">
        <v>29</v>
      </c>
      <c r="F222" t="str" cm="1">
        <f t="array" ref="F222">INDEX(Country!$B$3:$B$250, MATCH(TRUE, ISNUMBER(SEARCH(Country!$A$2:$A$509, Customer_Data[[#This Row],[Country]])),0 ))</f>
        <v>Asia</v>
      </c>
      <c r="G222" t="s">
        <v>893</v>
      </c>
      <c r="H222" t="s">
        <v>1308</v>
      </c>
      <c r="I222" t="s">
        <v>2269</v>
      </c>
      <c r="J222" t="s">
        <v>3261</v>
      </c>
      <c r="K222" s="1">
        <v>45673</v>
      </c>
      <c r="L222">
        <f>YEAR(Customer_Data[[#This Row],[LastPurchaseDate]])</f>
        <v>2024</v>
      </c>
      <c r="M222">
        <f>MONTH(Customer_Data[[#This Row],[LastPurchaseDate]])</f>
        <v>11</v>
      </c>
      <c r="N222" s="7">
        <v>45615</v>
      </c>
      <c r="O222">
        <v>48</v>
      </c>
      <c r="P222" s="4">
        <v>3641.81</v>
      </c>
      <c r="Q222" t="s">
        <v>4035</v>
      </c>
      <c r="R222">
        <v>2</v>
      </c>
      <c r="S222">
        <v>75.87</v>
      </c>
    </row>
    <row r="223" spans="1:19" x14ac:dyDescent="0.25">
      <c r="A223">
        <v>224</v>
      </c>
      <c r="B223" t="s">
        <v>78</v>
      </c>
      <c r="C223" t="s">
        <v>527</v>
      </c>
      <c r="D223" t="s">
        <v>850</v>
      </c>
      <c r="E223">
        <v>31</v>
      </c>
      <c r="F223" t="str" cm="1">
        <f t="array" ref="F223">INDEX(Country!$B$3:$B$250, MATCH(TRUE, ISNUMBER(SEARCH(Country!$A$2:$A$509, Customer_Data[[#This Row],[Country]])),0 ))</f>
        <v>Asia</v>
      </c>
      <c r="G223" t="s">
        <v>943</v>
      </c>
      <c r="H223" t="s">
        <v>1309</v>
      </c>
      <c r="I223" t="s">
        <v>2270</v>
      </c>
      <c r="J223" t="s">
        <v>3262</v>
      </c>
      <c r="K223" s="1">
        <v>45480</v>
      </c>
      <c r="L223">
        <f>YEAR(Customer_Data[[#This Row],[LastPurchaseDate]])</f>
        <v>2024</v>
      </c>
      <c r="M223">
        <f>MONTH(Customer_Data[[#This Row],[LastPurchaseDate]])</f>
        <v>1</v>
      </c>
      <c r="N223" s="7">
        <v>45317</v>
      </c>
      <c r="O223">
        <v>20</v>
      </c>
      <c r="P223" s="4">
        <v>3070.04</v>
      </c>
      <c r="Q223" t="s">
        <v>4034</v>
      </c>
      <c r="R223">
        <v>1</v>
      </c>
      <c r="S223">
        <v>153.5</v>
      </c>
    </row>
    <row r="224" spans="1:19" x14ac:dyDescent="0.25">
      <c r="A224">
        <v>225</v>
      </c>
      <c r="B224" t="s">
        <v>163</v>
      </c>
      <c r="C224" t="s">
        <v>528</v>
      </c>
      <c r="D224" t="s">
        <v>850</v>
      </c>
      <c r="E224">
        <v>27</v>
      </c>
      <c r="F224" t="str" cm="1">
        <f t="array" ref="F224">INDEX(Country!$B$3:$B$250, MATCH(TRUE, ISNUMBER(SEARCH(Country!$A$2:$A$509, Customer_Data[[#This Row],[Country]])),0 ))</f>
        <v>Asia</v>
      </c>
      <c r="G224" t="s">
        <v>997</v>
      </c>
      <c r="H224" t="s">
        <v>1310</v>
      </c>
      <c r="I224" t="s">
        <v>2271</v>
      </c>
      <c r="J224" t="s">
        <v>3263</v>
      </c>
      <c r="K224" s="1">
        <v>45319</v>
      </c>
      <c r="L224">
        <f>YEAR(Customer_Data[[#This Row],[LastPurchaseDate]])</f>
        <v>2025</v>
      </c>
      <c r="M224">
        <f>MONTH(Customer_Data[[#This Row],[LastPurchaseDate]])</f>
        <v>2</v>
      </c>
      <c r="N224" s="7">
        <v>45701</v>
      </c>
      <c r="O224">
        <v>27</v>
      </c>
      <c r="P224" s="4">
        <v>3892.66</v>
      </c>
      <c r="Q224" t="s">
        <v>4035</v>
      </c>
      <c r="R224">
        <v>5</v>
      </c>
      <c r="S224">
        <v>144.16999999999999</v>
      </c>
    </row>
    <row r="225" spans="1:19" x14ac:dyDescent="0.25">
      <c r="A225">
        <v>226</v>
      </c>
      <c r="B225" t="s">
        <v>164</v>
      </c>
      <c r="C225" t="s">
        <v>529</v>
      </c>
      <c r="D225" t="s">
        <v>850</v>
      </c>
      <c r="E225">
        <v>73</v>
      </c>
      <c r="F225" t="str" cm="1">
        <f t="array" ref="F225">INDEX(Country!$B$3:$B$250, MATCH(TRUE, ISNUMBER(SEARCH(Country!$A$2:$A$509, Customer_Data[[#This Row],[Country]])),0 ))</f>
        <v>Africa</v>
      </c>
      <c r="G225" t="s">
        <v>887</v>
      </c>
      <c r="H225" t="s">
        <v>1311</v>
      </c>
      <c r="I225" t="s">
        <v>2272</v>
      </c>
      <c r="J225" t="s">
        <v>3264</v>
      </c>
      <c r="K225" s="1">
        <v>45316</v>
      </c>
      <c r="L225">
        <f>YEAR(Customer_Data[[#This Row],[LastPurchaseDate]])</f>
        <v>2025</v>
      </c>
      <c r="M225">
        <f>MONTH(Customer_Data[[#This Row],[LastPurchaseDate]])</f>
        <v>8</v>
      </c>
      <c r="N225" s="7">
        <v>45890</v>
      </c>
      <c r="O225">
        <v>13</v>
      </c>
      <c r="P225" s="4">
        <v>8015.31</v>
      </c>
      <c r="Q225" t="s">
        <v>4034</v>
      </c>
      <c r="R225">
        <v>3</v>
      </c>
      <c r="S225">
        <v>616.55999999999995</v>
      </c>
    </row>
    <row r="226" spans="1:19" x14ac:dyDescent="0.25">
      <c r="A226">
        <v>227</v>
      </c>
      <c r="B226" t="s">
        <v>136</v>
      </c>
      <c r="C226" t="s">
        <v>530</v>
      </c>
      <c r="D226" t="s">
        <v>851</v>
      </c>
      <c r="E226">
        <v>38</v>
      </c>
      <c r="F226" t="str" cm="1">
        <f t="array" ref="F226">INDEX(Country!$B$3:$B$250, MATCH(TRUE, ISNUMBER(SEARCH(Country!$A$2:$A$509, Customer_Data[[#This Row],[Country]])),0 ))</f>
        <v>Asia</v>
      </c>
      <c r="G226" t="s">
        <v>1002</v>
      </c>
      <c r="H226" t="s">
        <v>1312</v>
      </c>
      <c r="I226" t="s">
        <v>2273</v>
      </c>
      <c r="J226" t="s">
        <v>3265</v>
      </c>
      <c r="K226" s="1">
        <v>45269</v>
      </c>
      <c r="L226">
        <f>YEAR(Customer_Data[[#This Row],[LastPurchaseDate]])</f>
        <v>2024</v>
      </c>
      <c r="M226">
        <f>MONTH(Customer_Data[[#This Row],[LastPurchaseDate]])</f>
        <v>11</v>
      </c>
      <c r="N226" s="7">
        <v>45619</v>
      </c>
      <c r="O226">
        <v>3</v>
      </c>
      <c r="P226" s="4">
        <v>8776.1299999999992</v>
      </c>
      <c r="Q226" t="s">
        <v>4035</v>
      </c>
      <c r="R226">
        <v>4</v>
      </c>
      <c r="S226">
        <v>2925.38</v>
      </c>
    </row>
    <row r="227" spans="1:19" x14ac:dyDescent="0.25">
      <c r="A227">
        <v>228</v>
      </c>
      <c r="B227" t="s">
        <v>88</v>
      </c>
      <c r="C227" t="s">
        <v>531</v>
      </c>
      <c r="D227" t="s">
        <v>850</v>
      </c>
      <c r="E227">
        <v>54</v>
      </c>
      <c r="F227" t="str" cm="1">
        <f t="array" ref="F227">INDEX(Country!$B$3:$B$250, MATCH(TRUE, ISNUMBER(SEARCH(Country!$A$2:$A$509, Customer_Data[[#This Row],[Country]])),0 ))</f>
        <v>North America</v>
      </c>
      <c r="G227" t="s">
        <v>969</v>
      </c>
      <c r="H227" t="s">
        <v>1313</v>
      </c>
      <c r="I227" t="s">
        <v>2274</v>
      </c>
      <c r="J227" t="s">
        <v>3266</v>
      </c>
      <c r="K227" s="1">
        <v>45900</v>
      </c>
      <c r="L227">
        <f>YEAR(Customer_Data[[#This Row],[LastPurchaseDate]])</f>
        <v>2025</v>
      </c>
      <c r="M227">
        <f>MONTH(Customer_Data[[#This Row],[LastPurchaseDate]])</f>
        <v>10</v>
      </c>
      <c r="N227" s="7">
        <v>45938</v>
      </c>
      <c r="O227">
        <v>17</v>
      </c>
      <c r="P227" s="4">
        <v>8289.98</v>
      </c>
      <c r="Q227" t="s">
        <v>4035</v>
      </c>
      <c r="R227">
        <v>2</v>
      </c>
      <c r="S227">
        <v>487.65</v>
      </c>
    </row>
    <row r="228" spans="1:19" x14ac:dyDescent="0.25">
      <c r="A228">
        <v>229</v>
      </c>
      <c r="B228" t="s">
        <v>165</v>
      </c>
      <c r="C228" t="s">
        <v>532</v>
      </c>
      <c r="D228" t="s">
        <v>850</v>
      </c>
      <c r="E228">
        <v>50</v>
      </c>
      <c r="F228" t="str" cm="1">
        <f t="array" ref="F228">INDEX(Country!$B$3:$B$250, MATCH(TRUE, ISNUMBER(SEARCH(Country!$A$2:$A$509, Customer_Data[[#This Row],[Country]])),0 ))</f>
        <v>Africa</v>
      </c>
      <c r="G228" t="s">
        <v>856</v>
      </c>
      <c r="H228" t="s">
        <v>1314</v>
      </c>
      <c r="I228" t="s">
        <v>2275</v>
      </c>
      <c r="J228" t="s">
        <v>3267</v>
      </c>
      <c r="K228" s="1">
        <v>45081</v>
      </c>
      <c r="L228">
        <f>YEAR(Customer_Data[[#This Row],[LastPurchaseDate]])</f>
        <v>2025</v>
      </c>
      <c r="M228">
        <f>MONTH(Customer_Data[[#This Row],[LastPurchaseDate]])</f>
        <v>8</v>
      </c>
      <c r="N228" s="7">
        <v>45897</v>
      </c>
      <c r="O228">
        <v>29</v>
      </c>
      <c r="P228" s="4">
        <v>3807.01</v>
      </c>
      <c r="Q228" t="s">
        <v>4035</v>
      </c>
      <c r="R228">
        <v>4</v>
      </c>
      <c r="S228">
        <v>131.28</v>
      </c>
    </row>
    <row r="229" spans="1:19" x14ac:dyDescent="0.25">
      <c r="A229">
        <v>230</v>
      </c>
      <c r="B229" t="s">
        <v>166</v>
      </c>
      <c r="C229" t="s">
        <v>533</v>
      </c>
      <c r="D229" t="s">
        <v>851</v>
      </c>
      <c r="E229">
        <v>52</v>
      </c>
      <c r="F229" t="str" cm="1">
        <f t="array" ref="F229">INDEX(Country!$B$3:$B$250, MATCH(TRUE, ISNUMBER(SEARCH(Country!$A$2:$A$509, Customer_Data[[#This Row],[Country]])),0 ))</f>
        <v>Europe</v>
      </c>
      <c r="G229" t="s">
        <v>880</v>
      </c>
      <c r="H229" t="s">
        <v>1315</v>
      </c>
      <c r="I229" t="s">
        <v>2276</v>
      </c>
      <c r="J229" t="s">
        <v>3268</v>
      </c>
      <c r="K229" s="1">
        <v>45287</v>
      </c>
      <c r="L229">
        <f>YEAR(Customer_Data[[#This Row],[LastPurchaseDate]])</f>
        <v>2025</v>
      </c>
      <c r="M229">
        <f>MONTH(Customer_Data[[#This Row],[LastPurchaseDate]])</f>
        <v>8</v>
      </c>
      <c r="N229" s="7">
        <v>45894</v>
      </c>
      <c r="O229">
        <v>27</v>
      </c>
      <c r="P229" s="4">
        <v>1931.12</v>
      </c>
      <c r="Q229" t="s">
        <v>4035</v>
      </c>
      <c r="R229">
        <v>4</v>
      </c>
      <c r="S229">
        <v>71.52</v>
      </c>
    </row>
    <row r="230" spans="1:19" x14ac:dyDescent="0.25">
      <c r="A230">
        <v>231</v>
      </c>
      <c r="B230" t="s">
        <v>54</v>
      </c>
      <c r="C230" t="s">
        <v>297</v>
      </c>
      <c r="D230" t="s">
        <v>850</v>
      </c>
      <c r="E230">
        <v>37</v>
      </c>
      <c r="F230" t="str" cm="1">
        <f t="array" ref="F230">INDEX(Country!$B$3:$B$250, MATCH(TRUE, ISNUMBER(SEARCH(Country!$A$2:$A$509, Customer_Data[[#This Row],[Country]])),0 ))</f>
        <v>Asia</v>
      </c>
      <c r="G230" t="s">
        <v>1003</v>
      </c>
      <c r="H230" t="s">
        <v>1316</v>
      </c>
      <c r="I230" t="s">
        <v>2277</v>
      </c>
      <c r="J230" t="s">
        <v>3269</v>
      </c>
      <c r="K230" s="1">
        <v>45922</v>
      </c>
      <c r="L230">
        <f>YEAR(Customer_Data[[#This Row],[LastPurchaseDate]])</f>
        <v>2024</v>
      </c>
      <c r="M230">
        <f>MONTH(Customer_Data[[#This Row],[LastPurchaseDate]])</f>
        <v>2</v>
      </c>
      <c r="N230" s="7">
        <v>45343</v>
      </c>
      <c r="O230">
        <v>37</v>
      </c>
      <c r="P230" s="4">
        <v>4132.6499999999996</v>
      </c>
      <c r="Q230" t="s">
        <v>4035</v>
      </c>
      <c r="R230">
        <v>3</v>
      </c>
      <c r="S230">
        <v>111.69</v>
      </c>
    </row>
    <row r="231" spans="1:19" x14ac:dyDescent="0.25">
      <c r="A231">
        <v>232</v>
      </c>
      <c r="B231" t="s">
        <v>101</v>
      </c>
      <c r="C231" t="s">
        <v>379</v>
      </c>
      <c r="D231" t="s">
        <v>850</v>
      </c>
      <c r="E231">
        <v>71</v>
      </c>
      <c r="F231" t="str" cm="1">
        <f t="array" ref="F231">INDEX(Country!$B$3:$B$250, MATCH(TRUE, ISNUMBER(SEARCH(Country!$A$2:$A$509, Customer_Data[[#This Row],[Country]])),0 ))</f>
        <v>North America</v>
      </c>
      <c r="G231" t="s">
        <v>1004</v>
      </c>
      <c r="H231" t="s">
        <v>1317</v>
      </c>
      <c r="I231" t="s">
        <v>2278</v>
      </c>
      <c r="J231" t="s">
        <v>3270</v>
      </c>
      <c r="K231" s="1">
        <v>45300</v>
      </c>
      <c r="L231">
        <f>YEAR(Customer_Data[[#This Row],[LastPurchaseDate]])</f>
        <v>2025</v>
      </c>
      <c r="M231">
        <f>MONTH(Customer_Data[[#This Row],[LastPurchaseDate]])</f>
        <v>3</v>
      </c>
      <c r="N231" s="7">
        <v>45735</v>
      </c>
      <c r="O231">
        <v>40</v>
      </c>
      <c r="P231" s="4">
        <v>4308.32</v>
      </c>
      <c r="Q231" t="s">
        <v>4034</v>
      </c>
      <c r="R231">
        <v>5</v>
      </c>
      <c r="S231">
        <v>107.71</v>
      </c>
    </row>
    <row r="232" spans="1:19" x14ac:dyDescent="0.25">
      <c r="A232">
        <v>233</v>
      </c>
      <c r="B232" t="s">
        <v>167</v>
      </c>
      <c r="C232" t="s">
        <v>534</v>
      </c>
      <c r="D232" t="s">
        <v>851</v>
      </c>
      <c r="E232">
        <v>68</v>
      </c>
      <c r="F232" t="str" cm="1">
        <f t="array" ref="F232">INDEX(Country!$B$3:$B$250, MATCH(TRUE, ISNUMBER(SEARCH(Country!$A$2:$A$509, Customer_Data[[#This Row],[Country]])),0 ))</f>
        <v>North America</v>
      </c>
      <c r="G232" t="s">
        <v>1005</v>
      </c>
      <c r="H232" t="s">
        <v>1318</v>
      </c>
      <c r="I232" t="s">
        <v>2279</v>
      </c>
      <c r="J232" t="s">
        <v>3271</v>
      </c>
      <c r="K232" s="1">
        <v>45486</v>
      </c>
      <c r="L232">
        <f>YEAR(Customer_Data[[#This Row],[LastPurchaseDate]])</f>
        <v>2025</v>
      </c>
      <c r="M232">
        <f>MONTH(Customer_Data[[#This Row],[LastPurchaseDate]])</f>
        <v>5</v>
      </c>
      <c r="N232" s="7">
        <v>45808</v>
      </c>
      <c r="O232">
        <v>19</v>
      </c>
      <c r="P232" s="4">
        <v>4309.8599999999997</v>
      </c>
      <c r="Q232" t="s">
        <v>4035</v>
      </c>
      <c r="R232">
        <v>1</v>
      </c>
      <c r="S232">
        <v>226.83</v>
      </c>
    </row>
    <row r="233" spans="1:19" x14ac:dyDescent="0.25">
      <c r="A233">
        <v>234</v>
      </c>
      <c r="B233" t="s">
        <v>168</v>
      </c>
      <c r="C233" t="s">
        <v>535</v>
      </c>
      <c r="D233" t="s">
        <v>851</v>
      </c>
      <c r="E233">
        <v>52</v>
      </c>
      <c r="F233" t="str" cm="1">
        <f t="array" ref="F233">INDEX(Country!$B$3:$B$250, MATCH(TRUE, ISNUMBER(SEARCH(Country!$A$2:$A$509, Customer_Data[[#This Row],[Country]])),0 ))</f>
        <v>Asia</v>
      </c>
      <c r="G233" t="s">
        <v>888</v>
      </c>
      <c r="H233" t="s">
        <v>1319</v>
      </c>
      <c r="I233" t="s">
        <v>2280</v>
      </c>
      <c r="J233" t="s">
        <v>3272</v>
      </c>
      <c r="K233" s="1">
        <v>45540</v>
      </c>
      <c r="L233">
        <f>YEAR(Customer_Data[[#This Row],[LastPurchaseDate]])</f>
        <v>2025</v>
      </c>
      <c r="M233">
        <f>MONTH(Customer_Data[[#This Row],[LastPurchaseDate]])</f>
        <v>10</v>
      </c>
      <c r="N233" s="7">
        <v>45944</v>
      </c>
      <c r="O233">
        <v>36</v>
      </c>
      <c r="P233" s="4">
        <v>8230.43</v>
      </c>
      <c r="Q233" t="s">
        <v>4035</v>
      </c>
      <c r="R233">
        <v>4</v>
      </c>
      <c r="S233">
        <v>228.62</v>
      </c>
    </row>
    <row r="234" spans="1:19" x14ac:dyDescent="0.25">
      <c r="A234">
        <v>235</v>
      </c>
      <c r="B234" t="s">
        <v>80</v>
      </c>
      <c r="C234" t="s">
        <v>536</v>
      </c>
      <c r="D234" t="s">
        <v>851</v>
      </c>
      <c r="E234">
        <v>48</v>
      </c>
      <c r="F234" t="str" cm="1">
        <f t="array" ref="F234">INDEX(Country!$B$3:$B$250, MATCH(TRUE, ISNUMBER(SEARCH(Country!$A$2:$A$509, Customer_Data[[#This Row],[Country]])),0 ))</f>
        <v>Asia</v>
      </c>
      <c r="G234" t="s">
        <v>924</v>
      </c>
      <c r="H234" t="s">
        <v>1320</v>
      </c>
      <c r="I234" t="s">
        <v>2281</v>
      </c>
      <c r="J234" t="s">
        <v>3273</v>
      </c>
      <c r="K234" s="1">
        <v>45819</v>
      </c>
      <c r="L234">
        <f>YEAR(Customer_Data[[#This Row],[LastPurchaseDate]])</f>
        <v>2024</v>
      </c>
      <c r="M234">
        <f>MONTH(Customer_Data[[#This Row],[LastPurchaseDate]])</f>
        <v>7</v>
      </c>
      <c r="N234" s="7">
        <v>45497</v>
      </c>
      <c r="O234">
        <v>24</v>
      </c>
      <c r="P234" s="4">
        <v>3137.25</v>
      </c>
      <c r="Q234" t="s">
        <v>4035</v>
      </c>
      <c r="R234">
        <v>4</v>
      </c>
      <c r="S234">
        <v>130.72</v>
      </c>
    </row>
    <row r="235" spans="1:19" x14ac:dyDescent="0.25">
      <c r="A235">
        <v>236</v>
      </c>
      <c r="B235" t="s">
        <v>169</v>
      </c>
      <c r="C235" t="s">
        <v>537</v>
      </c>
      <c r="D235" t="s">
        <v>851</v>
      </c>
      <c r="E235">
        <v>51</v>
      </c>
      <c r="F235" t="str" cm="1">
        <f t="array" ref="F235">INDEX(Country!$B$3:$B$250, MATCH(TRUE, ISNUMBER(SEARCH(Country!$A$2:$A$509, Customer_Data[[#This Row],[Country]])),0 ))</f>
        <v>Africa</v>
      </c>
      <c r="G235" t="s">
        <v>890</v>
      </c>
      <c r="H235" t="s">
        <v>1321</v>
      </c>
      <c r="I235" t="s">
        <v>2282</v>
      </c>
      <c r="J235" t="s">
        <v>3274</v>
      </c>
      <c r="K235" s="1">
        <v>44997</v>
      </c>
      <c r="L235">
        <f>YEAR(Customer_Data[[#This Row],[LastPurchaseDate]])</f>
        <v>2024</v>
      </c>
      <c r="M235">
        <f>MONTH(Customer_Data[[#This Row],[LastPurchaseDate]])</f>
        <v>9</v>
      </c>
      <c r="N235" s="7">
        <v>45558</v>
      </c>
      <c r="O235">
        <v>16</v>
      </c>
      <c r="P235" s="4">
        <v>4112.47</v>
      </c>
      <c r="Q235" t="s">
        <v>4034</v>
      </c>
      <c r="R235">
        <v>3</v>
      </c>
      <c r="S235">
        <v>257.02999999999997</v>
      </c>
    </row>
    <row r="236" spans="1:19" x14ac:dyDescent="0.25">
      <c r="A236">
        <v>237</v>
      </c>
      <c r="B236" t="s">
        <v>45</v>
      </c>
      <c r="C236" t="s">
        <v>538</v>
      </c>
      <c r="D236" t="s">
        <v>850</v>
      </c>
      <c r="E236">
        <v>49</v>
      </c>
      <c r="F236" t="str" cm="1">
        <f t="array" ref="F236">INDEX(Country!$B$3:$B$250, MATCH(TRUE, ISNUMBER(SEARCH(Country!$A$2:$A$509, Customer_Data[[#This Row],[Country]])),0 ))</f>
        <v>Africa</v>
      </c>
      <c r="G236" t="s">
        <v>978</v>
      </c>
      <c r="H236" t="s">
        <v>1322</v>
      </c>
      <c r="I236" t="s">
        <v>2283</v>
      </c>
      <c r="J236" t="s">
        <v>3275</v>
      </c>
      <c r="K236" s="1">
        <v>45704</v>
      </c>
      <c r="L236">
        <f>YEAR(Customer_Data[[#This Row],[LastPurchaseDate]])</f>
        <v>2024</v>
      </c>
      <c r="M236">
        <f>MONTH(Customer_Data[[#This Row],[LastPurchaseDate]])</f>
        <v>12</v>
      </c>
      <c r="N236" s="7">
        <v>45631</v>
      </c>
      <c r="O236">
        <v>25</v>
      </c>
      <c r="P236" s="4">
        <v>935.16</v>
      </c>
      <c r="Q236" t="s">
        <v>4035</v>
      </c>
      <c r="R236">
        <v>1</v>
      </c>
      <c r="S236">
        <v>37.409999999999997</v>
      </c>
    </row>
    <row r="237" spans="1:19" x14ac:dyDescent="0.25">
      <c r="A237">
        <v>238</v>
      </c>
      <c r="B237" t="s">
        <v>23</v>
      </c>
      <c r="C237" t="s">
        <v>523</v>
      </c>
      <c r="D237" t="s">
        <v>851</v>
      </c>
      <c r="E237">
        <v>68</v>
      </c>
      <c r="F237" t="str" cm="1">
        <f t="array" ref="F237">INDEX(Country!$B$3:$B$250, MATCH(TRUE, ISNUMBER(SEARCH(Country!$A$2:$A$509, Customer_Data[[#This Row],[Country]])),0 ))</f>
        <v>North America</v>
      </c>
      <c r="G237" t="s">
        <v>1006</v>
      </c>
      <c r="H237" t="s">
        <v>1323</v>
      </c>
      <c r="I237" t="s">
        <v>2284</v>
      </c>
      <c r="J237" t="s">
        <v>3276</v>
      </c>
      <c r="K237" s="1">
        <v>45606</v>
      </c>
      <c r="L237">
        <f>YEAR(Customer_Data[[#This Row],[LastPurchaseDate]])</f>
        <v>2025</v>
      </c>
      <c r="M237">
        <f>MONTH(Customer_Data[[#This Row],[LastPurchaseDate]])</f>
        <v>5</v>
      </c>
      <c r="N237" s="7">
        <v>45803</v>
      </c>
      <c r="O237">
        <v>40</v>
      </c>
      <c r="P237" s="4">
        <v>359.16</v>
      </c>
      <c r="Q237" t="s">
        <v>4034</v>
      </c>
      <c r="R237">
        <v>1</v>
      </c>
      <c r="S237">
        <v>8.98</v>
      </c>
    </row>
    <row r="238" spans="1:19" x14ac:dyDescent="0.25">
      <c r="A238">
        <v>239</v>
      </c>
      <c r="B238" t="s">
        <v>170</v>
      </c>
      <c r="C238" t="s">
        <v>539</v>
      </c>
      <c r="D238" t="s">
        <v>850</v>
      </c>
      <c r="E238">
        <v>29</v>
      </c>
      <c r="F238" t="str" cm="1">
        <f t="array" ref="F238">INDEX(Country!$B$3:$B$250, MATCH(TRUE, ISNUMBER(SEARCH(Country!$A$2:$A$509, Customer_Data[[#This Row],[Country]])),0 ))</f>
        <v>Asia</v>
      </c>
      <c r="G238" t="s">
        <v>1007</v>
      </c>
      <c r="H238" t="s">
        <v>1324</v>
      </c>
      <c r="I238" t="s">
        <v>2285</v>
      </c>
      <c r="J238" t="s">
        <v>3277</v>
      </c>
      <c r="K238" s="1">
        <v>45666</v>
      </c>
      <c r="L238">
        <f>YEAR(Customer_Data[[#This Row],[LastPurchaseDate]])</f>
        <v>2024</v>
      </c>
      <c r="M238">
        <f>MONTH(Customer_Data[[#This Row],[LastPurchaseDate]])</f>
        <v>9</v>
      </c>
      <c r="N238" s="7">
        <v>45565</v>
      </c>
      <c r="O238">
        <v>32</v>
      </c>
      <c r="P238" s="4">
        <v>4465.3999999999996</v>
      </c>
      <c r="Q238" t="s">
        <v>4034</v>
      </c>
      <c r="R238">
        <v>5</v>
      </c>
      <c r="S238">
        <v>139.54</v>
      </c>
    </row>
    <row r="239" spans="1:19" x14ac:dyDescent="0.25">
      <c r="A239">
        <v>240</v>
      </c>
      <c r="B239" t="s">
        <v>171</v>
      </c>
      <c r="C239" t="s">
        <v>540</v>
      </c>
      <c r="D239" t="s">
        <v>852</v>
      </c>
      <c r="E239">
        <v>66</v>
      </c>
      <c r="F239" t="str" cm="1">
        <f t="array" ref="F239">INDEX(Country!$B$3:$B$250, MATCH(TRUE, ISNUMBER(SEARCH(Country!$A$2:$A$509, Customer_Data[[#This Row],[Country]])),0 ))</f>
        <v>Europe</v>
      </c>
      <c r="G239" t="s">
        <v>965</v>
      </c>
      <c r="H239" t="s">
        <v>1325</v>
      </c>
      <c r="I239" t="s">
        <v>2286</v>
      </c>
      <c r="J239" t="s">
        <v>3278</v>
      </c>
      <c r="K239" s="1">
        <v>45046</v>
      </c>
      <c r="L239">
        <f>YEAR(Customer_Data[[#This Row],[LastPurchaseDate]])</f>
        <v>2024</v>
      </c>
      <c r="M239">
        <f>MONTH(Customer_Data[[#This Row],[LastPurchaseDate]])</f>
        <v>8</v>
      </c>
      <c r="N239" s="7">
        <v>45525</v>
      </c>
      <c r="O239">
        <v>1</v>
      </c>
      <c r="P239" s="4">
        <v>5187.9399999999996</v>
      </c>
      <c r="Q239" t="s">
        <v>4035</v>
      </c>
      <c r="R239">
        <v>2</v>
      </c>
      <c r="S239">
        <v>5187.9399999999996</v>
      </c>
    </row>
    <row r="240" spans="1:19" x14ac:dyDescent="0.25">
      <c r="A240">
        <v>241</v>
      </c>
      <c r="B240" t="s">
        <v>116</v>
      </c>
      <c r="C240" t="s">
        <v>437</v>
      </c>
      <c r="D240" t="s">
        <v>850</v>
      </c>
      <c r="E240">
        <v>39</v>
      </c>
      <c r="F240" t="str" cm="1">
        <f t="array" ref="F240">INDEX(Country!$B$3:$B$250, MATCH(TRUE, ISNUMBER(SEARCH(Country!$A$2:$A$509, Customer_Data[[#This Row],[Country]])),0 ))</f>
        <v>Africa</v>
      </c>
      <c r="G240" t="s">
        <v>881</v>
      </c>
      <c r="H240" t="s">
        <v>1326</v>
      </c>
      <c r="I240" t="s">
        <v>2287</v>
      </c>
      <c r="J240" t="s">
        <v>3279</v>
      </c>
      <c r="K240" s="1">
        <v>44942</v>
      </c>
      <c r="L240">
        <f>YEAR(Customer_Data[[#This Row],[LastPurchaseDate]])</f>
        <v>2025</v>
      </c>
      <c r="M240">
        <f>MONTH(Customer_Data[[#This Row],[LastPurchaseDate]])</f>
        <v>1</v>
      </c>
      <c r="N240" s="7">
        <v>45676</v>
      </c>
      <c r="O240">
        <v>2</v>
      </c>
      <c r="P240" s="4">
        <v>8783.7199999999993</v>
      </c>
      <c r="Q240" t="s">
        <v>4034</v>
      </c>
      <c r="R240">
        <v>1</v>
      </c>
      <c r="S240">
        <v>4391.8599999999997</v>
      </c>
    </row>
    <row r="241" spans="1:19" x14ac:dyDescent="0.25">
      <c r="A241">
        <v>242</v>
      </c>
      <c r="B241" t="s">
        <v>172</v>
      </c>
      <c r="C241" t="s">
        <v>541</v>
      </c>
      <c r="D241" t="s">
        <v>850</v>
      </c>
      <c r="E241">
        <v>34</v>
      </c>
      <c r="F241" t="str" cm="1">
        <f t="array" ref="F241">INDEX(Country!$B$3:$B$250, MATCH(TRUE, ISNUMBER(SEARCH(Country!$A$2:$A$509, Customer_Data[[#This Row],[Country]])),0 ))</f>
        <v>Africa</v>
      </c>
      <c r="G241" t="s">
        <v>1008</v>
      </c>
      <c r="H241" t="s">
        <v>1327</v>
      </c>
      <c r="I241" t="s">
        <v>2288</v>
      </c>
      <c r="J241" t="s">
        <v>3280</v>
      </c>
      <c r="K241" s="1">
        <v>45280</v>
      </c>
      <c r="L241">
        <f>YEAR(Customer_Data[[#This Row],[LastPurchaseDate]])</f>
        <v>2023</v>
      </c>
      <c r="M241">
        <f>MONTH(Customer_Data[[#This Row],[LastPurchaseDate]])</f>
        <v>11</v>
      </c>
      <c r="N241" s="7">
        <v>45255</v>
      </c>
      <c r="O241">
        <v>29</v>
      </c>
      <c r="P241" s="4">
        <v>3556.37</v>
      </c>
      <c r="Q241" t="s">
        <v>4034</v>
      </c>
      <c r="R241">
        <v>3</v>
      </c>
      <c r="S241">
        <v>122.63</v>
      </c>
    </row>
    <row r="242" spans="1:19" x14ac:dyDescent="0.25">
      <c r="A242">
        <v>243</v>
      </c>
      <c r="B242" t="s">
        <v>173</v>
      </c>
      <c r="C242" t="s">
        <v>404</v>
      </c>
      <c r="D242" t="s">
        <v>851</v>
      </c>
      <c r="E242">
        <v>21</v>
      </c>
      <c r="F242" t="str" cm="1">
        <f t="array" ref="F242">INDEX(Country!$B$3:$B$250, MATCH(TRUE, ISNUMBER(SEARCH(Country!$A$2:$A$509, Customer_Data[[#This Row],[Country]])),0 ))</f>
        <v>Africa</v>
      </c>
      <c r="G242" t="s">
        <v>1009</v>
      </c>
      <c r="H242" t="s">
        <v>1328</v>
      </c>
      <c r="I242" t="s">
        <v>2289</v>
      </c>
      <c r="J242" t="s">
        <v>3281</v>
      </c>
      <c r="K242" s="1">
        <v>45220</v>
      </c>
      <c r="L242">
        <f>YEAR(Customer_Data[[#This Row],[LastPurchaseDate]])</f>
        <v>2024</v>
      </c>
      <c r="M242">
        <f>MONTH(Customer_Data[[#This Row],[LastPurchaseDate]])</f>
        <v>6</v>
      </c>
      <c r="N242" s="7">
        <v>45467</v>
      </c>
      <c r="O242">
        <v>7</v>
      </c>
      <c r="P242" s="4">
        <v>7150.5</v>
      </c>
      <c r="Q242" t="s">
        <v>4035</v>
      </c>
      <c r="R242">
        <v>3</v>
      </c>
      <c r="S242">
        <v>1021.5</v>
      </c>
    </row>
    <row r="243" spans="1:19" x14ac:dyDescent="0.25">
      <c r="A243">
        <v>244</v>
      </c>
      <c r="B243" t="s">
        <v>174</v>
      </c>
      <c r="C243" t="s">
        <v>297</v>
      </c>
      <c r="D243" t="s">
        <v>851</v>
      </c>
      <c r="E243">
        <v>58</v>
      </c>
      <c r="F243" t="str" cm="1">
        <f t="array" ref="F243">INDEX(Country!$B$3:$B$250, MATCH(TRUE, ISNUMBER(SEARCH(Country!$A$2:$A$509, Customer_Data[[#This Row],[Country]])),0 ))</f>
        <v>Asia</v>
      </c>
      <c r="G243" t="s">
        <v>898</v>
      </c>
      <c r="H243" t="s">
        <v>1329</v>
      </c>
      <c r="I243" t="s">
        <v>2290</v>
      </c>
      <c r="J243" t="s">
        <v>3282</v>
      </c>
      <c r="K243" s="1">
        <v>45345</v>
      </c>
      <c r="L243">
        <f>YEAR(Customer_Data[[#This Row],[LastPurchaseDate]])</f>
        <v>2025</v>
      </c>
      <c r="M243">
        <f>MONTH(Customer_Data[[#This Row],[LastPurchaseDate]])</f>
        <v>5</v>
      </c>
      <c r="N243" s="7">
        <v>45783</v>
      </c>
      <c r="O243">
        <v>17</v>
      </c>
      <c r="P243" s="4">
        <v>5023.63</v>
      </c>
      <c r="Q243" t="s">
        <v>4034</v>
      </c>
      <c r="R243">
        <v>1</v>
      </c>
      <c r="S243">
        <v>295.51</v>
      </c>
    </row>
    <row r="244" spans="1:19" x14ac:dyDescent="0.25">
      <c r="A244">
        <v>245</v>
      </c>
      <c r="B244" t="s">
        <v>42</v>
      </c>
      <c r="C244" t="s">
        <v>381</v>
      </c>
      <c r="D244" t="s">
        <v>851</v>
      </c>
      <c r="E244">
        <v>46</v>
      </c>
      <c r="F244" t="str" cm="1">
        <f t="array" ref="F244">INDEX(Country!$B$3:$B$250, MATCH(TRUE, ISNUMBER(SEARCH(Country!$A$2:$A$509, Customer_Data[[#This Row],[Country]])),0 ))</f>
        <v>Africa</v>
      </c>
      <c r="G244" t="s">
        <v>1010</v>
      </c>
      <c r="H244" t="s">
        <v>1330</v>
      </c>
      <c r="I244" t="s">
        <v>2291</v>
      </c>
      <c r="J244" t="s">
        <v>3283</v>
      </c>
      <c r="K244" s="1">
        <v>45507</v>
      </c>
      <c r="L244">
        <f>YEAR(Customer_Data[[#This Row],[LastPurchaseDate]])</f>
        <v>2024</v>
      </c>
      <c r="M244">
        <f>MONTH(Customer_Data[[#This Row],[LastPurchaseDate]])</f>
        <v>11</v>
      </c>
      <c r="N244" s="7">
        <v>45612</v>
      </c>
      <c r="O244">
        <v>11</v>
      </c>
      <c r="P244" s="4">
        <v>8830.85</v>
      </c>
      <c r="Q244" t="s">
        <v>4035</v>
      </c>
      <c r="R244">
        <v>4</v>
      </c>
      <c r="S244">
        <v>802.8</v>
      </c>
    </row>
    <row r="245" spans="1:19" x14ac:dyDescent="0.25">
      <c r="A245">
        <v>246</v>
      </c>
      <c r="B245" t="s">
        <v>121</v>
      </c>
      <c r="C245" t="s">
        <v>542</v>
      </c>
      <c r="D245" t="s">
        <v>852</v>
      </c>
      <c r="E245">
        <v>52</v>
      </c>
      <c r="F245" t="str" cm="1">
        <f t="array" ref="F245">INDEX(Country!$B$3:$B$250, MATCH(TRUE, ISNUMBER(SEARCH(Country!$A$2:$A$509, Customer_Data[[#This Row],[Country]])),0 ))</f>
        <v>Oceania</v>
      </c>
      <c r="G245" t="s">
        <v>990</v>
      </c>
      <c r="H245" t="s">
        <v>1331</v>
      </c>
      <c r="I245" t="s">
        <v>2292</v>
      </c>
      <c r="J245" t="s">
        <v>3284</v>
      </c>
      <c r="K245" s="1">
        <v>45599</v>
      </c>
      <c r="L245">
        <f>YEAR(Customer_Data[[#This Row],[LastPurchaseDate]])</f>
        <v>2023</v>
      </c>
      <c r="M245">
        <f>MONTH(Customer_Data[[#This Row],[LastPurchaseDate]])</f>
        <v>12</v>
      </c>
      <c r="N245" s="7">
        <v>45275</v>
      </c>
      <c r="O245">
        <v>44</v>
      </c>
      <c r="P245" s="4">
        <v>9237.7900000000009</v>
      </c>
      <c r="Q245" t="s">
        <v>4035</v>
      </c>
      <c r="R245">
        <v>2</v>
      </c>
      <c r="S245">
        <v>209.95</v>
      </c>
    </row>
    <row r="246" spans="1:19" x14ac:dyDescent="0.25">
      <c r="A246">
        <v>247</v>
      </c>
      <c r="B246" t="s">
        <v>61</v>
      </c>
      <c r="C246" t="s">
        <v>543</v>
      </c>
      <c r="D246" t="s">
        <v>850</v>
      </c>
      <c r="E246">
        <v>43</v>
      </c>
      <c r="F246" t="str" cm="1">
        <f t="array" ref="F246">INDEX(Country!$B$3:$B$250, MATCH(TRUE, ISNUMBER(SEARCH(Country!$A$2:$A$509, Customer_Data[[#This Row],[Country]])),0 ))</f>
        <v>Asia</v>
      </c>
      <c r="G246" t="s">
        <v>985</v>
      </c>
      <c r="H246" t="s">
        <v>1096</v>
      </c>
      <c r="I246" t="s">
        <v>2293</v>
      </c>
      <c r="J246" t="s">
        <v>3285</v>
      </c>
      <c r="K246" s="1">
        <v>45064</v>
      </c>
      <c r="L246">
        <f>YEAR(Customer_Data[[#This Row],[LastPurchaseDate]])</f>
        <v>2025</v>
      </c>
      <c r="M246">
        <f>MONTH(Customer_Data[[#This Row],[LastPurchaseDate]])</f>
        <v>7</v>
      </c>
      <c r="N246" s="7">
        <v>45856</v>
      </c>
      <c r="O246">
        <v>20</v>
      </c>
      <c r="P246" s="4">
        <v>7624.96</v>
      </c>
      <c r="Q246" t="s">
        <v>4035</v>
      </c>
      <c r="R246">
        <v>4</v>
      </c>
      <c r="S246">
        <v>381.25</v>
      </c>
    </row>
    <row r="247" spans="1:19" x14ac:dyDescent="0.25">
      <c r="A247">
        <v>248</v>
      </c>
      <c r="B247" t="s">
        <v>43</v>
      </c>
      <c r="C247" t="s">
        <v>487</v>
      </c>
      <c r="D247" t="s">
        <v>850</v>
      </c>
      <c r="E247">
        <v>41</v>
      </c>
      <c r="F247" t="str" cm="1">
        <f t="array" ref="F247">INDEX(Country!$B$3:$B$250, MATCH(TRUE, ISNUMBER(SEARCH(Country!$A$2:$A$509, Customer_Data[[#This Row],[Country]])),0 ))</f>
        <v>Antarctica</v>
      </c>
      <c r="G247" t="s">
        <v>1011</v>
      </c>
      <c r="H247" t="s">
        <v>1332</v>
      </c>
      <c r="I247" t="s">
        <v>2294</v>
      </c>
      <c r="J247" t="s">
        <v>3286</v>
      </c>
      <c r="K247" s="1">
        <v>45452</v>
      </c>
      <c r="L247">
        <f>YEAR(Customer_Data[[#This Row],[LastPurchaseDate]])</f>
        <v>2024</v>
      </c>
      <c r="M247">
        <f>MONTH(Customer_Data[[#This Row],[LastPurchaseDate]])</f>
        <v>9</v>
      </c>
      <c r="N247" s="7">
        <v>45556</v>
      </c>
      <c r="O247">
        <v>23</v>
      </c>
      <c r="P247" s="4">
        <v>713.79</v>
      </c>
      <c r="Q247" t="s">
        <v>4035</v>
      </c>
      <c r="R247">
        <v>3</v>
      </c>
      <c r="S247">
        <v>31.03</v>
      </c>
    </row>
    <row r="248" spans="1:19" x14ac:dyDescent="0.25">
      <c r="A248">
        <v>249</v>
      </c>
      <c r="B248" t="s">
        <v>154</v>
      </c>
      <c r="C248" t="s">
        <v>407</v>
      </c>
      <c r="D248" t="s">
        <v>850</v>
      </c>
      <c r="E248">
        <v>51</v>
      </c>
      <c r="F248" t="str" cm="1">
        <f t="array" ref="F248">INDEX(Country!$B$3:$B$250, MATCH(TRUE, ISNUMBER(SEARCH(Country!$A$2:$A$509, Customer_Data[[#This Row],[Country]])),0 ))</f>
        <v>Europe</v>
      </c>
      <c r="G248" t="s">
        <v>982</v>
      </c>
      <c r="H248" t="s">
        <v>1333</v>
      </c>
      <c r="I248" t="s">
        <v>2295</v>
      </c>
      <c r="J248" t="s">
        <v>3287</v>
      </c>
      <c r="K248" s="1">
        <v>45901</v>
      </c>
      <c r="L248">
        <f>YEAR(Customer_Data[[#This Row],[LastPurchaseDate]])</f>
        <v>2024</v>
      </c>
      <c r="M248">
        <f>MONTH(Customer_Data[[#This Row],[LastPurchaseDate]])</f>
        <v>2</v>
      </c>
      <c r="N248" s="7">
        <v>45347</v>
      </c>
      <c r="O248">
        <v>10</v>
      </c>
      <c r="P248" s="4">
        <v>2086.56</v>
      </c>
      <c r="Q248" t="s">
        <v>4035</v>
      </c>
      <c r="R248">
        <v>3</v>
      </c>
      <c r="S248">
        <v>208.66</v>
      </c>
    </row>
    <row r="249" spans="1:19" x14ac:dyDescent="0.25">
      <c r="A249">
        <v>250</v>
      </c>
      <c r="B249" t="s">
        <v>34</v>
      </c>
      <c r="C249" t="s">
        <v>544</v>
      </c>
      <c r="D249" t="s">
        <v>851</v>
      </c>
      <c r="E249">
        <v>56</v>
      </c>
      <c r="F249" t="str" cm="1">
        <f t="array" ref="F249">INDEX(Country!$B$3:$B$250, MATCH(TRUE, ISNUMBER(SEARCH(Country!$A$2:$A$509, Customer_Data[[#This Row],[Country]])),0 ))</f>
        <v>Europe</v>
      </c>
      <c r="G249" t="s">
        <v>935</v>
      </c>
      <c r="H249" t="s">
        <v>1334</v>
      </c>
      <c r="I249" t="s">
        <v>2296</v>
      </c>
      <c r="J249" t="s">
        <v>3288</v>
      </c>
      <c r="K249" s="1">
        <v>45198</v>
      </c>
      <c r="L249">
        <f>YEAR(Customer_Data[[#This Row],[LastPurchaseDate]])</f>
        <v>2025</v>
      </c>
      <c r="M249">
        <f>MONTH(Customer_Data[[#This Row],[LastPurchaseDate]])</f>
        <v>10</v>
      </c>
      <c r="N249" s="7">
        <v>45941</v>
      </c>
      <c r="O249">
        <v>24</v>
      </c>
      <c r="P249" s="4">
        <v>5209.18</v>
      </c>
      <c r="Q249" t="s">
        <v>4035</v>
      </c>
      <c r="R249">
        <v>4</v>
      </c>
      <c r="S249">
        <v>217.05</v>
      </c>
    </row>
    <row r="250" spans="1:19" x14ac:dyDescent="0.25">
      <c r="A250">
        <v>251</v>
      </c>
      <c r="B250" t="s">
        <v>58</v>
      </c>
      <c r="C250" t="s">
        <v>511</v>
      </c>
      <c r="D250" t="s">
        <v>850</v>
      </c>
      <c r="E250">
        <v>34</v>
      </c>
      <c r="F250" t="str" cm="1">
        <f t="array" ref="F250">INDEX(Country!$B$3:$B$250, MATCH(TRUE, ISNUMBER(SEARCH(Country!$A$2:$A$509, Customer_Data[[#This Row],[Country]])),0 ))</f>
        <v>Oceania</v>
      </c>
      <c r="G250" t="s">
        <v>1012</v>
      </c>
      <c r="H250" t="s">
        <v>1335</v>
      </c>
      <c r="I250" t="s">
        <v>2297</v>
      </c>
      <c r="J250" t="s">
        <v>3289</v>
      </c>
      <c r="K250" s="1">
        <v>45439</v>
      </c>
      <c r="L250">
        <f>YEAR(Customer_Data[[#This Row],[LastPurchaseDate]])</f>
        <v>2023</v>
      </c>
      <c r="M250">
        <f>MONTH(Customer_Data[[#This Row],[LastPurchaseDate]])</f>
        <v>11</v>
      </c>
      <c r="N250" s="7">
        <v>45257</v>
      </c>
      <c r="O250">
        <v>9</v>
      </c>
      <c r="P250" s="4">
        <v>4455.92</v>
      </c>
      <c r="Q250" t="s">
        <v>4034</v>
      </c>
      <c r="R250">
        <v>4</v>
      </c>
      <c r="S250">
        <v>495.1</v>
      </c>
    </row>
    <row r="251" spans="1:19" x14ac:dyDescent="0.25">
      <c r="A251">
        <v>252</v>
      </c>
      <c r="B251" t="s">
        <v>175</v>
      </c>
      <c r="C251" t="s">
        <v>399</v>
      </c>
      <c r="D251" t="s">
        <v>850</v>
      </c>
      <c r="E251">
        <v>68</v>
      </c>
      <c r="F251" t="str" cm="1">
        <f t="array" ref="F251">INDEX(Country!$B$3:$B$250, MATCH(TRUE, ISNUMBER(SEARCH(Country!$A$2:$A$509, Customer_Data[[#This Row],[Country]])),0 ))</f>
        <v>Africa</v>
      </c>
      <c r="G251" t="s">
        <v>1013</v>
      </c>
      <c r="H251" t="s">
        <v>1336</v>
      </c>
      <c r="I251" t="s">
        <v>2298</v>
      </c>
      <c r="J251" t="s">
        <v>3290</v>
      </c>
      <c r="K251" s="1">
        <v>45515</v>
      </c>
      <c r="L251">
        <f>YEAR(Customer_Data[[#This Row],[LastPurchaseDate]])</f>
        <v>2025</v>
      </c>
      <c r="M251">
        <f>MONTH(Customer_Data[[#This Row],[LastPurchaseDate]])</f>
        <v>2</v>
      </c>
      <c r="N251" s="7">
        <v>45703</v>
      </c>
      <c r="O251">
        <v>47</v>
      </c>
      <c r="P251" s="4">
        <v>398.76</v>
      </c>
      <c r="Q251" t="s">
        <v>4035</v>
      </c>
      <c r="R251">
        <v>4</v>
      </c>
      <c r="S251">
        <v>8.48</v>
      </c>
    </row>
    <row r="252" spans="1:19" x14ac:dyDescent="0.25">
      <c r="A252">
        <v>253</v>
      </c>
      <c r="B252" t="s">
        <v>176</v>
      </c>
      <c r="C252" t="s">
        <v>545</v>
      </c>
      <c r="D252" t="s">
        <v>852</v>
      </c>
      <c r="E252">
        <v>66</v>
      </c>
      <c r="F252" t="str" cm="1">
        <f t="array" ref="F252">INDEX(Country!$B$3:$B$250, MATCH(TRUE, ISNUMBER(SEARCH(Country!$A$2:$A$509, Customer_Data[[#This Row],[Country]])),0 ))</f>
        <v>Africa</v>
      </c>
      <c r="G252" t="s">
        <v>1014</v>
      </c>
      <c r="H252" t="s">
        <v>1337</v>
      </c>
      <c r="I252" t="s">
        <v>2299</v>
      </c>
      <c r="J252" t="s">
        <v>3291</v>
      </c>
      <c r="K252" s="1">
        <v>45854</v>
      </c>
      <c r="L252">
        <f>YEAR(Customer_Data[[#This Row],[LastPurchaseDate]])</f>
        <v>2024</v>
      </c>
      <c r="M252">
        <f>MONTH(Customer_Data[[#This Row],[LastPurchaseDate]])</f>
        <v>12</v>
      </c>
      <c r="N252" s="7">
        <v>45640</v>
      </c>
      <c r="O252">
        <v>35</v>
      </c>
      <c r="P252" s="4">
        <v>6046.94</v>
      </c>
      <c r="Q252" t="s">
        <v>4035</v>
      </c>
      <c r="R252">
        <v>4</v>
      </c>
      <c r="S252">
        <v>172.77</v>
      </c>
    </row>
    <row r="253" spans="1:19" x14ac:dyDescent="0.25">
      <c r="A253">
        <v>254</v>
      </c>
      <c r="B253" t="s">
        <v>177</v>
      </c>
      <c r="C253" t="s">
        <v>546</v>
      </c>
      <c r="D253" t="s">
        <v>850</v>
      </c>
      <c r="E253">
        <v>37</v>
      </c>
      <c r="F253" t="str" cm="1">
        <f t="array" ref="F253">INDEX(Country!$B$3:$B$250, MATCH(TRUE, ISNUMBER(SEARCH(Country!$A$2:$A$509, Customer_Data[[#This Row],[Country]])),0 ))</f>
        <v>Oceania</v>
      </c>
      <c r="G253" t="s">
        <v>1015</v>
      </c>
      <c r="H253" t="s">
        <v>1338</v>
      </c>
      <c r="I253" t="s">
        <v>2300</v>
      </c>
      <c r="J253" t="s">
        <v>3292</v>
      </c>
      <c r="K253" s="1">
        <v>45277</v>
      </c>
      <c r="L253">
        <f>YEAR(Customer_Data[[#This Row],[LastPurchaseDate]])</f>
        <v>2024</v>
      </c>
      <c r="M253">
        <f>MONTH(Customer_Data[[#This Row],[LastPurchaseDate]])</f>
        <v>11</v>
      </c>
      <c r="N253" s="7">
        <v>45622</v>
      </c>
      <c r="O253">
        <v>10</v>
      </c>
      <c r="P253" s="4">
        <v>4138.3</v>
      </c>
      <c r="Q253" t="s">
        <v>4034</v>
      </c>
      <c r="R253">
        <v>3</v>
      </c>
      <c r="S253">
        <v>413.83</v>
      </c>
    </row>
    <row r="254" spans="1:19" x14ac:dyDescent="0.25">
      <c r="A254">
        <v>255</v>
      </c>
      <c r="B254" t="s">
        <v>178</v>
      </c>
      <c r="C254" t="s">
        <v>547</v>
      </c>
      <c r="D254" t="s">
        <v>850</v>
      </c>
      <c r="E254">
        <v>32</v>
      </c>
      <c r="F254" t="str" cm="1">
        <f t="array" ref="F254">INDEX(Country!$B$3:$B$250, MATCH(TRUE, ISNUMBER(SEARCH(Country!$A$2:$A$509, Customer_Data[[#This Row],[Country]])),0 ))</f>
        <v>Oceania</v>
      </c>
      <c r="G254" t="s">
        <v>917</v>
      </c>
      <c r="H254" t="s">
        <v>1339</v>
      </c>
      <c r="I254" t="s">
        <v>2301</v>
      </c>
      <c r="J254" t="s">
        <v>3293</v>
      </c>
      <c r="K254" s="1">
        <v>45107</v>
      </c>
      <c r="L254">
        <f>YEAR(Customer_Data[[#This Row],[LastPurchaseDate]])</f>
        <v>2025</v>
      </c>
      <c r="M254">
        <f>MONTH(Customer_Data[[#This Row],[LastPurchaseDate]])</f>
        <v>1</v>
      </c>
      <c r="N254" s="7">
        <v>45664</v>
      </c>
      <c r="O254">
        <v>48</v>
      </c>
      <c r="P254" s="4">
        <v>3614.16</v>
      </c>
      <c r="Q254" t="s">
        <v>4035</v>
      </c>
      <c r="R254">
        <v>4</v>
      </c>
      <c r="S254">
        <v>75.3</v>
      </c>
    </row>
    <row r="255" spans="1:19" x14ac:dyDescent="0.25">
      <c r="A255">
        <v>256</v>
      </c>
      <c r="B255" t="s">
        <v>149</v>
      </c>
      <c r="C255" t="s">
        <v>548</v>
      </c>
      <c r="D255" t="s">
        <v>851</v>
      </c>
      <c r="E255">
        <v>26</v>
      </c>
      <c r="F255" t="str" cm="1">
        <f t="array" ref="F255">INDEX(Country!$B$3:$B$250, MATCH(TRUE, ISNUMBER(SEARCH(Country!$A$2:$A$509, Customer_Data[[#This Row],[Country]])),0 ))</f>
        <v>Oceania</v>
      </c>
      <c r="G255" t="s">
        <v>883</v>
      </c>
      <c r="H255" t="s">
        <v>1340</v>
      </c>
      <c r="I255" t="s">
        <v>2302</v>
      </c>
      <c r="J255" t="s">
        <v>3294</v>
      </c>
      <c r="K255" s="1">
        <v>45088</v>
      </c>
      <c r="L255">
        <f>YEAR(Customer_Data[[#This Row],[LastPurchaseDate]])</f>
        <v>2024</v>
      </c>
      <c r="M255">
        <f>MONTH(Customer_Data[[#This Row],[LastPurchaseDate]])</f>
        <v>11</v>
      </c>
      <c r="N255" s="7">
        <v>45605</v>
      </c>
      <c r="O255">
        <v>25</v>
      </c>
      <c r="P255" s="4">
        <v>9911.23</v>
      </c>
      <c r="Q255" t="s">
        <v>4034</v>
      </c>
      <c r="R255">
        <v>3</v>
      </c>
      <c r="S255">
        <v>396.45</v>
      </c>
    </row>
    <row r="256" spans="1:19" x14ac:dyDescent="0.25">
      <c r="A256">
        <v>257</v>
      </c>
      <c r="B256" t="s">
        <v>179</v>
      </c>
      <c r="C256" t="s">
        <v>513</v>
      </c>
      <c r="D256" t="s">
        <v>851</v>
      </c>
      <c r="E256">
        <v>28</v>
      </c>
      <c r="F256" t="str" cm="1">
        <f t="array" ref="F256">INDEX(Country!$B$3:$B$250, MATCH(TRUE, ISNUMBER(SEARCH(Country!$A$2:$A$509, Customer_Data[[#This Row],[Country]])),0 ))</f>
        <v>Africa</v>
      </c>
      <c r="G256" t="s">
        <v>1016</v>
      </c>
      <c r="H256" t="s">
        <v>1341</v>
      </c>
      <c r="I256" t="s">
        <v>2303</v>
      </c>
      <c r="J256" t="s">
        <v>3295</v>
      </c>
      <c r="K256" s="1">
        <v>45753</v>
      </c>
      <c r="L256">
        <f>YEAR(Customer_Data[[#This Row],[LastPurchaseDate]])</f>
        <v>2025</v>
      </c>
      <c r="M256">
        <f>MONTH(Customer_Data[[#This Row],[LastPurchaseDate]])</f>
        <v>7</v>
      </c>
      <c r="N256" s="7">
        <v>45852</v>
      </c>
      <c r="O256">
        <v>42</v>
      </c>
      <c r="P256" s="4">
        <v>8052.32</v>
      </c>
      <c r="Q256" t="s">
        <v>4035</v>
      </c>
      <c r="R256">
        <v>2</v>
      </c>
      <c r="S256">
        <v>191.72</v>
      </c>
    </row>
    <row r="257" spans="1:19" x14ac:dyDescent="0.25">
      <c r="A257">
        <v>258</v>
      </c>
      <c r="B257" t="s">
        <v>180</v>
      </c>
      <c r="C257" t="s">
        <v>549</v>
      </c>
      <c r="D257" t="s">
        <v>851</v>
      </c>
      <c r="E257">
        <v>23</v>
      </c>
      <c r="F257" t="str" cm="1">
        <f t="array" ref="F257">INDEX(Country!$B$3:$B$250, MATCH(TRUE, ISNUMBER(SEARCH(Country!$A$2:$A$509, Customer_Data[[#This Row],[Country]])),0 ))</f>
        <v>Asia</v>
      </c>
      <c r="G257" t="s">
        <v>893</v>
      </c>
      <c r="H257" t="s">
        <v>1342</v>
      </c>
      <c r="I257" t="s">
        <v>2304</v>
      </c>
      <c r="J257" t="s">
        <v>3296</v>
      </c>
      <c r="K257" s="1">
        <v>45244</v>
      </c>
      <c r="L257">
        <f>YEAR(Customer_Data[[#This Row],[LastPurchaseDate]])</f>
        <v>2024</v>
      </c>
      <c r="M257">
        <f>MONTH(Customer_Data[[#This Row],[LastPurchaseDate]])</f>
        <v>10</v>
      </c>
      <c r="N257" s="7">
        <v>45595</v>
      </c>
      <c r="O257">
        <v>22</v>
      </c>
      <c r="P257" s="4">
        <v>3219.76</v>
      </c>
      <c r="Q257" t="s">
        <v>4034</v>
      </c>
      <c r="R257">
        <v>5</v>
      </c>
      <c r="S257">
        <v>146.35</v>
      </c>
    </row>
    <row r="258" spans="1:19" x14ac:dyDescent="0.25">
      <c r="A258">
        <v>259</v>
      </c>
      <c r="B258" t="s">
        <v>61</v>
      </c>
      <c r="C258" t="s">
        <v>495</v>
      </c>
      <c r="D258" t="s">
        <v>851</v>
      </c>
      <c r="E258">
        <v>35</v>
      </c>
      <c r="F258" t="str" cm="1">
        <f t="array" ref="F258">INDEX(Country!$B$3:$B$250, MATCH(TRUE, ISNUMBER(SEARCH(Country!$A$2:$A$509, Customer_Data[[#This Row],[Country]])),0 ))</f>
        <v>Oceania</v>
      </c>
      <c r="G258" t="s">
        <v>882</v>
      </c>
      <c r="H258" t="s">
        <v>1343</v>
      </c>
      <c r="I258" t="s">
        <v>2305</v>
      </c>
      <c r="J258" t="s">
        <v>3297</v>
      </c>
      <c r="K258" s="1">
        <v>45417</v>
      </c>
      <c r="L258">
        <f>YEAR(Customer_Data[[#This Row],[LastPurchaseDate]])</f>
        <v>2025</v>
      </c>
      <c r="M258">
        <f>MONTH(Customer_Data[[#This Row],[LastPurchaseDate]])</f>
        <v>1</v>
      </c>
      <c r="N258" s="7">
        <v>45665</v>
      </c>
      <c r="O258">
        <v>28</v>
      </c>
      <c r="P258" s="4">
        <v>9608.41</v>
      </c>
      <c r="Q258" t="s">
        <v>4034</v>
      </c>
      <c r="R258">
        <v>1</v>
      </c>
      <c r="S258">
        <v>343.16</v>
      </c>
    </row>
    <row r="259" spans="1:19" x14ac:dyDescent="0.25">
      <c r="A259">
        <v>260</v>
      </c>
      <c r="B259" t="s">
        <v>181</v>
      </c>
      <c r="C259" t="s">
        <v>386</v>
      </c>
      <c r="D259" t="s">
        <v>850</v>
      </c>
      <c r="E259">
        <v>25</v>
      </c>
      <c r="F259" t="str" cm="1">
        <f t="array" ref="F259">INDEX(Country!$B$3:$B$250, MATCH(TRUE, ISNUMBER(SEARCH(Country!$A$2:$A$509, Customer_Data[[#This Row],[Country]])),0 ))</f>
        <v>Asia</v>
      </c>
      <c r="G259" t="s">
        <v>159</v>
      </c>
      <c r="H259" t="s">
        <v>1344</v>
      </c>
      <c r="I259" t="s">
        <v>2306</v>
      </c>
      <c r="J259" t="s">
        <v>3298</v>
      </c>
      <c r="K259" s="1">
        <v>44941</v>
      </c>
      <c r="L259">
        <f>YEAR(Customer_Data[[#This Row],[LastPurchaseDate]])</f>
        <v>2025</v>
      </c>
      <c r="M259">
        <f>MONTH(Customer_Data[[#This Row],[LastPurchaseDate]])</f>
        <v>6</v>
      </c>
      <c r="N259" s="7">
        <v>45828</v>
      </c>
      <c r="O259">
        <v>41</v>
      </c>
      <c r="P259" s="4">
        <v>6377.21</v>
      </c>
      <c r="Q259" t="s">
        <v>4035</v>
      </c>
      <c r="R259">
        <v>3</v>
      </c>
      <c r="S259">
        <v>155.54</v>
      </c>
    </row>
    <row r="260" spans="1:19" x14ac:dyDescent="0.25">
      <c r="A260">
        <v>261</v>
      </c>
      <c r="B260" t="s">
        <v>48</v>
      </c>
      <c r="C260" t="s">
        <v>487</v>
      </c>
      <c r="D260" t="s">
        <v>850</v>
      </c>
      <c r="E260">
        <v>70</v>
      </c>
      <c r="F260" t="str" cm="1">
        <f t="array" ref="F260">INDEX(Country!$B$3:$B$250, MATCH(TRUE, ISNUMBER(SEARCH(Country!$A$2:$A$509, Customer_Data[[#This Row],[Country]])),0 ))</f>
        <v>North America</v>
      </c>
      <c r="G260" t="s">
        <v>987</v>
      </c>
      <c r="H260" t="s">
        <v>1345</v>
      </c>
      <c r="I260" t="s">
        <v>2307</v>
      </c>
      <c r="J260" t="s">
        <v>3299</v>
      </c>
      <c r="K260" s="1">
        <v>45060</v>
      </c>
      <c r="L260">
        <f>YEAR(Customer_Data[[#This Row],[LastPurchaseDate]])</f>
        <v>2025</v>
      </c>
      <c r="M260">
        <f>MONTH(Customer_Data[[#This Row],[LastPurchaseDate]])</f>
        <v>10</v>
      </c>
      <c r="N260" s="7">
        <v>45953</v>
      </c>
      <c r="O260">
        <v>29</v>
      </c>
      <c r="P260" s="4">
        <v>2645.04</v>
      </c>
      <c r="Q260" t="s">
        <v>4035</v>
      </c>
      <c r="R260">
        <v>5</v>
      </c>
      <c r="S260">
        <v>91.21</v>
      </c>
    </row>
    <row r="261" spans="1:19" x14ac:dyDescent="0.25">
      <c r="A261">
        <v>262</v>
      </c>
      <c r="B261" t="s">
        <v>182</v>
      </c>
      <c r="C261" t="s">
        <v>550</v>
      </c>
      <c r="D261" t="s">
        <v>851</v>
      </c>
      <c r="E261">
        <v>68</v>
      </c>
      <c r="F261" t="str" cm="1">
        <f t="array" ref="F261">INDEX(Country!$B$3:$B$250, MATCH(TRUE, ISNUMBER(SEARCH(Country!$A$2:$A$509, Customer_Data[[#This Row],[Country]])),0 ))</f>
        <v>Africa</v>
      </c>
      <c r="G261" t="s">
        <v>857</v>
      </c>
      <c r="H261" t="s">
        <v>1346</v>
      </c>
      <c r="I261" t="s">
        <v>2308</v>
      </c>
      <c r="J261" t="s">
        <v>3300</v>
      </c>
      <c r="K261" s="1">
        <v>45798</v>
      </c>
      <c r="L261">
        <f>YEAR(Customer_Data[[#This Row],[LastPurchaseDate]])</f>
        <v>2023</v>
      </c>
      <c r="M261">
        <f>MONTH(Customer_Data[[#This Row],[LastPurchaseDate]])</f>
        <v>12</v>
      </c>
      <c r="N261" s="7">
        <v>45262</v>
      </c>
      <c r="O261">
        <v>26</v>
      </c>
      <c r="P261" s="4">
        <v>9718.6200000000008</v>
      </c>
      <c r="Q261" t="s">
        <v>4035</v>
      </c>
      <c r="R261">
        <v>1</v>
      </c>
      <c r="S261">
        <v>373.79</v>
      </c>
    </row>
    <row r="262" spans="1:19" x14ac:dyDescent="0.25">
      <c r="A262">
        <v>263</v>
      </c>
      <c r="B262" t="s">
        <v>53</v>
      </c>
      <c r="C262" t="s">
        <v>551</v>
      </c>
      <c r="D262" t="s">
        <v>852</v>
      </c>
      <c r="E262">
        <v>19</v>
      </c>
      <c r="F262" t="str" cm="1">
        <f t="array" ref="F262">INDEX(Country!$B$3:$B$250, MATCH(TRUE, ISNUMBER(SEARCH(Country!$A$2:$A$509, Customer_Data[[#This Row],[Country]])),0 ))</f>
        <v>Oceania</v>
      </c>
      <c r="G262" t="s">
        <v>1012</v>
      </c>
      <c r="H262" t="s">
        <v>1347</v>
      </c>
      <c r="I262" t="s">
        <v>2309</v>
      </c>
      <c r="J262" t="s">
        <v>3301</v>
      </c>
      <c r="K262" s="1">
        <v>45196</v>
      </c>
      <c r="L262">
        <f>YEAR(Customer_Data[[#This Row],[LastPurchaseDate]])</f>
        <v>2024</v>
      </c>
      <c r="M262">
        <f>MONTH(Customer_Data[[#This Row],[LastPurchaseDate]])</f>
        <v>8</v>
      </c>
      <c r="N262" s="7">
        <v>45509</v>
      </c>
      <c r="O262">
        <v>36</v>
      </c>
      <c r="P262" s="4">
        <v>6173.08</v>
      </c>
      <c r="Q262" t="s">
        <v>4035</v>
      </c>
      <c r="R262">
        <v>1</v>
      </c>
      <c r="S262">
        <v>171.47</v>
      </c>
    </row>
    <row r="263" spans="1:19" x14ac:dyDescent="0.25">
      <c r="A263">
        <v>264</v>
      </c>
      <c r="B263" t="s">
        <v>183</v>
      </c>
      <c r="C263" t="s">
        <v>195</v>
      </c>
      <c r="D263" t="s">
        <v>850</v>
      </c>
      <c r="E263">
        <v>53</v>
      </c>
      <c r="F263" t="str" cm="1">
        <f t="array" ref="F263">INDEX(Country!$B$3:$B$250, MATCH(TRUE, ISNUMBER(SEARCH(Country!$A$2:$A$509, Customer_Data[[#This Row],[Country]])),0 ))</f>
        <v>Africa</v>
      </c>
      <c r="G263" t="s">
        <v>1017</v>
      </c>
      <c r="H263" t="s">
        <v>1348</v>
      </c>
      <c r="I263" t="s">
        <v>2310</v>
      </c>
      <c r="J263" t="s">
        <v>3302</v>
      </c>
      <c r="K263" s="1">
        <v>44971</v>
      </c>
      <c r="L263">
        <f>YEAR(Customer_Data[[#This Row],[LastPurchaseDate]])</f>
        <v>2025</v>
      </c>
      <c r="M263">
        <f>MONTH(Customer_Data[[#This Row],[LastPurchaseDate]])</f>
        <v>5</v>
      </c>
      <c r="N263" s="7">
        <v>45786</v>
      </c>
      <c r="O263">
        <v>32</v>
      </c>
      <c r="P263" s="4">
        <v>432.25</v>
      </c>
      <c r="Q263" t="s">
        <v>4034</v>
      </c>
      <c r="R263">
        <v>1</v>
      </c>
      <c r="S263">
        <v>13.51</v>
      </c>
    </row>
    <row r="264" spans="1:19" x14ac:dyDescent="0.25">
      <c r="A264">
        <v>265</v>
      </c>
      <c r="B264" t="s">
        <v>28</v>
      </c>
      <c r="C264" t="s">
        <v>552</v>
      </c>
      <c r="D264" t="s">
        <v>850</v>
      </c>
      <c r="E264">
        <v>64</v>
      </c>
      <c r="F264" t="str" cm="1">
        <f t="array" ref="F264">INDEX(Country!$B$3:$B$250, MATCH(TRUE, ISNUMBER(SEARCH(Country!$A$2:$A$509, Customer_Data[[#This Row],[Country]])),0 ))</f>
        <v>South America</v>
      </c>
      <c r="G264" t="s">
        <v>949</v>
      </c>
      <c r="H264" t="s">
        <v>1349</v>
      </c>
      <c r="I264" t="s">
        <v>2311</v>
      </c>
      <c r="J264" t="s">
        <v>3303</v>
      </c>
      <c r="K264" s="1">
        <v>45594</v>
      </c>
      <c r="L264">
        <f>YEAR(Customer_Data[[#This Row],[LastPurchaseDate]])</f>
        <v>2023</v>
      </c>
      <c r="M264">
        <f>MONTH(Customer_Data[[#This Row],[LastPurchaseDate]])</f>
        <v>12</v>
      </c>
      <c r="N264" s="7">
        <v>45271</v>
      </c>
      <c r="O264">
        <v>1</v>
      </c>
      <c r="P264" s="4">
        <v>898.22</v>
      </c>
      <c r="Q264" t="s">
        <v>4034</v>
      </c>
      <c r="R264">
        <v>5</v>
      </c>
      <c r="S264">
        <v>898.22</v>
      </c>
    </row>
    <row r="265" spans="1:19" x14ac:dyDescent="0.25">
      <c r="A265">
        <v>266</v>
      </c>
      <c r="B265" t="s">
        <v>132</v>
      </c>
      <c r="C265" t="s">
        <v>553</v>
      </c>
      <c r="D265" t="s">
        <v>851</v>
      </c>
      <c r="E265">
        <v>61</v>
      </c>
      <c r="F265" t="str" cm="1">
        <f t="array" ref="F265">INDEX(Country!$B$3:$B$250, MATCH(TRUE, ISNUMBER(SEARCH(Country!$A$2:$A$509, Customer_Data[[#This Row],[Country]])),0 ))</f>
        <v>Asia</v>
      </c>
      <c r="G265" t="s">
        <v>975</v>
      </c>
      <c r="H265" t="s">
        <v>1350</v>
      </c>
      <c r="I265" t="s">
        <v>2312</v>
      </c>
      <c r="J265" t="s">
        <v>3304</v>
      </c>
      <c r="K265" s="1">
        <v>44951</v>
      </c>
      <c r="L265">
        <f>YEAR(Customer_Data[[#This Row],[LastPurchaseDate]])</f>
        <v>2025</v>
      </c>
      <c r="M265">
        <f>MONTH(Customer_Data[[#This Row],[LastPurchaseDate]])</f>
        <v>9</v>
      </c>
      <c r="N265" s="7">
        <v>45902</v>
      </c>
      <c r="O265">
        <v>34</v>
      </c>
      <c r="P265" s="4">
        <v>921.85</v>
      </c>
      <c r="Q265" t="s">
        <v>4034</v>
      </c>
      <c r="R265">
        <v>3</v>
      </c>
      <c r="S265">
        <v>27.11</v>
      </c>
    </row>
    <row r="266" spans="1:19" x14ac:dyDescent="0.25">
      <c r="A266">
        <v>267</v>
      </c>
      <c r="B266" t="s">
        <v>37</v>
      </c>
      <c r="C266" t="s">
        <v>437</v>
      </c>
      <c r="D266" t="s">
        <v>851</v>
      </c>
      <c r="E266">
        <v>18</v>
      </c>
      <c r="F266" t="str" cm="1">
        <f t="array" ref="F266">INDEX(Country!$B$3:$B$250, MATCH(TRUE, ISNUMBER(SEARCH(Country!$A$2:$A$509, Customer_Data[[#This Row],[Country]])),0 ))</f>
        <v>North America</v>
      </c>
      <c r="G266" t="s">
        <v>1004</v>
      </c>
      <c r="H266" t="s">
        <v>1351</v>
      </c>
      <c r="I266" t="s">
        <v>2313</v>
      </c>
      <c r="J266" t="s">
        <v>3305</v>
      </c>
      <c r="K266" s="1">
        <v>45193</v>
      </c>
      <c r="L266">
        <f>YEAR(Customer_Data[[#This Row],[LastPurchaseDate]])</f>
        <v>2025</v>
      </c>
      <c r="M266">
        <f>MONTH(Customer_Data[[#This Row],[LastPurchaseDate]])</f>
        <v>7</v>
      </c>
      <c r="N266" s="7">
        <v>45846</v>
      </c>
      <c r="O266">
        <v>40</v>
      </c>
      <c r="P266" s="4">
        <v>3206.62</v>
      </c>
      <c r="Q266" t="s">
        <v>4034</v>
      </c>
      <c r="R266">
        <v>3</v>
      </c>
      <c r="S266">
        <v>80.17</v>
      </c>
    </row>
    <row r="267" spans="1:19" x14ac:dyDescent="0.25">
      <c r="A267">
        <v>268</v>
      </c>
      <c r="B267" t="s">
        <v>184</v>
      </c>
      <c r="C267" t="s">
        <v>554</v>
      </c>
      <c r="D267" t="s">
        <v>850</v>
      </c>
      <c r="E267">
        <v>29</v>
      </c>
      <c r="F267" t="str" cm="1">
        <f t="array" ref="F267">INDEX(Country!$B$3:$B$250, MATCH(TRUE, ISNUMBER(SEARCH(Country!$A$2:$A$509, Customer_Data[[#This Row],[Country]])),0 ))</f>
        <v>Asia</v>
      </c>
      <c r="G267" t="s">
        <v>1018</v>
      </c>
      <c r="H267" t="s">
        <v>1352</v>
      </c>
      <c r="I267" t="s">
        <v>2314</v>
      </c>
      <c r="J267" t="s">
        <v>3306</v>
      </c>
      <c r="K267" s="1">
        <v>44902</v>
      </c>
      <c r="L267">
        <f>YEAR(Customer_Data[[#This Row],[LastPurchaseDate]])</f>
        <v>2024</v>
      </c>
      <c r="M267">
        <f>MONTH(Customer_Data[[#This Row],[LastPurchaseDate]])</f>
        <v>2</v>
      </c>
      <c r="N267" s="7">
        <v>45342</v>
      </c>
      <c r="O267">
        <v>26</v>
      </c>
      <c r="P267" s="4">
        <v>9995.41</v>
      </c>
      <c r="Q267" t="s">
        <v>4035</v>
      </c>
      <c r="R267">
        <v>5</v>
      </c>
      <c r="S267">
        <v>384.44</v>
      </c>
    </row>
    <row r="268" spans="1:19" x14ac:dyDescent="0.25">
      <c r="A268">
        <v>269</v>
      </c>
      <c r="B268" t="s">
        <v>185</v>
      </c>
      <c r="C268" t="s">
        <v>555</v>
      </c>
      <c r="D268" t="s">
        <v>851</v>
      </c>
      <c r="E268">
        <v>71</v>
      </c>
      <c r="F268" t="str" cm="1">
        <f t="array" ref="F268">INDEX(Country!$B$3:$B$250, MATCH(TRUE, ISNUMBER(SEARCH(Country!$A$2:$A$509, Customer_Data[[#This Row],[Country]])),0 ))</f>
        <v>Asia</v>
      </c>
      <c r="G268" t="s">
        <v>893</v>
      </c>
      <c r="H268" t="s">
        <v>1353</v>
      </c>
      <c r="I268" t="s">
        <v>2315</v>
      </c>
      <c r="J268" t="s">
        <v>3307</v>
      </c>
      <c r="K268" s="1">
        <v>45015</v>
      </c>
      <c r="L268">
        <f>YEAR(Customer_Data[[#This Row],[LastPurchaseDate]])</f>
        <v>2023</v>
      </c>
      <c r="M268">
        <f>MONTH(Customer_Data[[#This Row],[LastPurchaseDate]])</f>
        <v>11</v>
      </c>
      <c r="N268" s="7">
        <v>45247</v>
      </c>
      <c r="O268">
        <v>38</v>
      </c>
      <c r="P268" s="4">
        <v>4674.96</v>
      </c>
      <c r="Q268" t="s">
        <v>4034</v>
      </c>
      <c r="R268">
        <v>2</v>
      </c>
      <c r="S268">
        <v>123.03</v>
      </c>
    </row>
    <row r="269" spans="1:19" x14ac:dyDescent="0.25">
      <c r="A269">
        <v>270</v>
      </c>
      <c r="B269" t="s">
        <v>93</v>
      </c>
      <c r="C269" t="s">
        <v>556</v>
      </c>
      <c r="D269" t="s">
        <v>851</v>
      </c>
      <c r="E269">
        <v>31</v>
      </c>
      <c r="F269" t="str" cm="1">
        <f t="array" ref="F269">INDEX(Country!$B$3:$B$250, MATCH(TRUE, ISNUMBER(SEARCH(Country!$A$2:$A$509, Customer_Data[[#This Row],[Country]])),0 ))</f>
        <v>South America</v>
      </c>
      <c r="G269" t="s">
        <v>1019</v>
      </c>
      <c r="H269" t="s">
        <v>1354</v>
      </c>
      <c r="I269" t="s">
        <v>2316</v>
      </c>
      <c r="J269" t="s">
        <v>3308</v>
      </c>
      <c r="K269" s="1">
        <v>45131</v>
      </c>
      <c r="L269">
        <f>YEAR(Customer_Data[[#This Row],[LastPurchaseDate]])</f>
        <v>2024</v>
      </c>
      <c r="M269">
        <f>MONTH(Customer_Data[[#This Row],[LastPurchaseDate]])</f>
        <v>11</v>
      </c>
      <c r="N269" s="7">
        <v>45599</v>
      </c>
      <c r="O269">
        <v>31</v>
      </c>
      <c r="P269" s="4">
        <v>4840.34</v>
      </c>
      <c r="Q269" t="s">
        <v>4034</v>
      </c>
      <c r="R269">
        <v>1</v>
      </c>
      <c r="S269">
        <v>156.13999999999999</v>
      </c>
    </row>
    <row r="270" spans="1:19" x14ac:dyDescent="0.25">
      <c r="A270">
        <v>271</v>
      </c>
      <c r="B270" t="s">
        <v>186</v>
      </c>
      <c r="C270" t="s">
        <v>557</v>
      </c>
      <c r="D270" t="s">
        <v>851</v>
      </c>
      <c r="E270">
        <v>68</v>
      </c>
      <c r="F270" t="str" cm="1">
        <f t="array" ref="F270">INDEX(Country!$B$3:$B$250, MATCH(TRUE, ISNUMBER(SEARCH(Country!$A$2:$A$509, Customer_Data[[#This Row],[Country]])),0 ))</f>
        <v>Africa</v>
      </c>
      <c r="G270" t="s">
        <v>1017</v>
      </c>
      <c r="H270" t="s">
        <v>1355</v>
      </c>
      <c r="I270" t="s">
        <v>2317</v>
      </c>
      <c r="J270" t="s">
        <v>3309</v>
      </c>
      <c r="K270" s="1">
        <v>45792</v>
      </c>
      <c r="L270">
        <f>YEAR(Customer_Data[[#This Row],[LastPurchaseDate]])</f>
        <v>2023</v>
      </c>
      <c r="M270">
        <f>MONTH(Customer_Data[[#This Row],[LastPurchaseDate]])</f>
        <v>11</v>
      </c>
      <c r="N270" s="7">
        <v>45251</v>
      </c>
      <c r="O270">
        <v>36</v>
      </c>
      <c r="P270" s="4">
        <v>2322.75</v>
      </c>
      <c r="Q270" t="s">
        <v>4034</v>
      </c>
      <c r="R270">
        <v>1</v>
      </c>
      <c r="S270">
        <v>64.52</v>
      </c>
    </row>
    <row r="271" spans="1:19" x14ac:dyDescent="0.25">
      <c r="A271">
        <v>272</v>
      </c>
      <c r="B271" t="s">
        <v>132</v>
      </c>
      <c r="C271" t="s">
        <v>449</v>
      </c>
      <c r="D271" t="s">
        <v>852</v>
      </c>
      <c r="E271">
        <v>34</v>
      </c>
      <c r="F271" t="str" cm="1">
        <f t="array" ref="F271">INDEX(Country!$B$3:$B$250, MATCH(TRUE, ISNUMBER(SEARCH(Country!$A$2:$A$509, Customer_Data[[#This Row],[Country]])),0 ))</f>
        <v>Africa</v>
      </c>
      <c r="G271" t="s">
        <v>1020</v>
      </c>
      <c r="H271" t="s">
        <v>1356</v>
      </c>
      <c r="I271" t="s">
        <v>2318</v>
      </c>
      <c r="J271" t="s">
        <v>3310</v>
      </c>
      <c r="K271" s="1">
        <v>45143</v>
      </c>
      <c r="L271">
        <f>YEAR(Customer_Data[[#This Row],[LastPurchaseDate]])</f>
        <v>2024</v>
      </c>
      <c r="M271">
        <f>MONTH(Customer_Data[[#This Row],[LastPurchaseDate]])</f>
        <v>7</v>
      </c>
      <c r="N271" s="7">
        <v>45478</v>
      </c>
      <c r="O271">
        <v>5</v>
      </c>
      <c r="P271" s="4">
        <v>5506.86</v>
      </c>
      <c r="Q271" t="s">
        <v>4034</v>
      </c>
      <c r="R271">
        <v>2</v>
      </c>
      <c r="S271">
        <v>1101.3699999999999</v>
      </c>
    </row>
    <row r="272" spans="1:19" x14ac:dyDescent="0.25">
      <c r="A272">
        <v>273</v>
      </c>
      <c r="B272" t="s">
        <v>156</v>
      </c>
      <c r="C272" t="s">
        <v>558</v>
      </c>
      <c r="D272" t="s">
        <v>851</v>
      </c>
      <c r="E272">
        <v>52</v>
      </c>
      <c r="F272" t="str" cm="1">
        <f t="array" ref="F272">INDEX(Country!$B$3:$B$250, MATCH(TRUE, ISNUMBER(SEARCH(Country!$A$2:$A$509, Customer_Data[[#This Row],[Country]])),0 ))</f>
        <v>Asia</v>
      </c>
      <c r="G272" t="s">
        <v>994</v>
      </c>
      <c r="H272" t="s">
        <v>1357</v>
      </c>
      <c r="I272" t="s">
        <v>2319</v>
      </c>
      <c r="J272" t="s">
        <v>3311</v>
      </c>
      <c r="K272" s="1">
        <v>45097</v>
      </c>
      <c r="L272">
        <f>YEAR(Customer_Data[[#This Row],[LastPurchaseDate]])</f>
        <v>2024</v>
      </c>
      <c r="M272">
        <f>MONTH(Customer_Data[[#This Row],[LastPurchaseDate]])</f>
        <v>12</v>
      </c>
      <c r="N272" s="7">
        <v>45651</v>
      </c>
      <c r="O272">
        <v>3</v>
      </c>
      <c r="P272" s="4">
        <v>3631.99</v>
      </c>
      <c r="Q272" t="s">
        <v>4034</v>
      </c>
      <c r="R272">
        <v>1</v>
      </c>
      <c r="S272">
        <v>1210.6600000000001</v>
      </c>
    </row>
    <row r="273" spans="1:19" x14ac:dyDescent="0.25">
      <c r="A273">
        <v>274</v>
      </c>
      <c r="B273" t="s">
        <v>187</v>
      </c>
      <c r="C273" t="s">
        <v>425</v>
      </c>
      <c r="D273" t="s">
        <v>850</v>
      </c>
      <c r="E273">
        <v>18</v>
      </c>
      <c r="F273" t="str" cm="1">
        <f t="array" ref="F273">INDEX(Country!$B$3:$B$250, MATCH(TRUE, ISNUMBER(SEARCH(Country!$A$2:$A$509, Customer_Data[[#This Row],[Country]])),0 ))</f>
        <v>Europe</v>
      </c>
      <c r="G273" t="s">
        <v>896</v>
      </c>
      <c r="H273" t="s">
        <v>1358</v>
      </c>
      <c r="I273" t="s">
        <v>2320</v>
      </c>
      <c r="J273" t="s">
        <v>3312</v>
      </c>
      <c r="K273" s="1">
        <v>45381</v>
      </c>
      <c r="L273">
        <f>YEAR(Customer_Data[[#This Row],[LastPurchaseDate]])</f>
        <v>2024</v>
      </c>
      <c r="M273">
        <f>MONTH(Customer_Data[[#This Row],[LastPurchaseDate]])</f>
        <v>2</v>
      </c>
      <c r="N273" s="7">
        <v>45332</v>
      </c>
      <c r="O273">
        <v>8</v>
      </c>
      <c r="P273" s="4">
        <v>4739.9799999999996</v>
      </c>
      <c r="Q273" t="s">
        <v>4035</v>
      </c>
      <c r="R273">
        <v>5</v>
      </c>
      <c r="S273">
        <v>592.5</v>
      </c>
    </row>
    <row r="274" spans="1:19" x14ac:dyDescent="0.25">
      <c r="A274">
        <v>275</v>
      </c>
      <c r="B274" t="s">
        <v>188</v>
      </c>
      <c r="C274" t="s">
        <v>376</v>
      </c>
      <c r="D274" t="s">
        <v>850</v>
      </c>
      <c r="E274">
        <v>52</v>
      </c>
      <c r="F274" t="str" cm="1">
        <f t="array" ref="F274">INDEX(Country!$B$3:$B$250, MATCH(TRUE, ISNUMBER(SEARCH(Country!$A$2:$A$509, Customer_Data[[#This Row],[Country]])),0 ))</f>
        <v>North America</v>
      </c>
      <c r="G274" t="s">
        <v>872</v>
      </c>
      <c r="H274" t="s">
        <v>1359</v>
      </c>
      <c r="I274" t="s">
        <v>2321</v>
      </c>
      <c r="J274" t="s">
        <v>3313</v>
      </c>
      <c r="K274" s="1">
        <v>45547</v>
      </c>
      <c r="L274">
        <f>YEAR(Customer_Data[[#This Row],[LastPurchaseDate]])</f>
        <v>2025</v>
      </c>
      <c r="M274">
        <f>MONTH(Customer_Data[[#This Row],[LastPurchaseDate]])</f>
        <v>3</v>
      </c>
      <c r="N274" s="7">
        <v>45732</v>
      </c>
      <c r="O274">
        <v>37</v>
      </c>
      <c r="P274" s="4">
        <v>5552.79</v>
      </c>
      <c r="Q274" t="s">
        <v>4035</v>
      </c>
      <c r="R274">
        <v>5</v>
      </c>
      <c r="S274">
        <v>150.08000000000001</v>
      </c>
    </row>
    <row r="275" spans="1:19" x14ac:dyDescent="0.25">
      <c r="A275">
        <v>276</v>
      </c>
      <c r="B275" t="s">
        <v>23</v>
      </c>
      <c r="C275" t="s">
        <v>559</v>
      </c>
      <c r="D275" t="s">
        <v>851</v>
      </c>
      <c r="E275">
        <v>62</v>
      </c>
      <c r="F275" t="str" cm="1">
        <f t="array" ref="F275">INDEX(Country!$B$3:$B$250, MATCH(TRUE, ISNUMBER(SEARCH(Country!$A$2:$A$509, Customer_Data[[#This Row],[Country]])),0 ))</f>
        <v>South America</v>
      </c>
      <c r="G275" t="s">
        <v>958</v>
      </c>
      <c r="H275" t="s">
        <v>1360</v>
      </c>
      <c r="I275" t="s">
        <v>2322</v>
      </c>
      <c r="J275" t="s">
        <v>3314</v>
      </c>
      <c r="K275" s="1">
        <v>44976</v>
      </c>
      <c r="L275">
        <f>YEAR(Customer_Data[[#This Row],[LastPurchaseDate]])</f>
        <v>2024</v>
      </c>
      <c r="M275">
        <f>MONTH(Customer_Data[[#This Row],[LastPurchaseDate]])</f>
        <v>3</v>
      </c>
      <c r="N275" s="7">
        <v>45360</v>
      </c>
      <c r="O275">
        <v>32</v>
      </c>
      <c r="P275" s="4">
        <v>1397.16</v>
      </c>
      <c r="Q275" t="s">
        <v>4035</v>
      </c>
      <c r="R275">
        <v>4</v>
      </c>
      <c r="S275">
        <v>43.66</v>
      </c>
    </row>
    <row r="276" spans="1:19" x14ac:dyDescent="0.25">
      <c r="A276">
        <v>277</v>
      </c>
      <c r="B276" t="s">
        <v>189</v>
      </c>
      <c r="C276" t="s">
        <v>133</v>
      </c>
      <c r="D276" t="s">
        <v>850</v>
      </c>
      <c r="E276">
        <v>53</v>
      </c>
      <c r="F276" t="str" cm="1">
        <f t="array" ref="F276">INDEX(Country!$B$3:$B$250, MATCH(TRUE, ISNUMBER(SEARCH(Country!$A$2:$A$509, Customer_Data[[#This Row],[Country]])),0 ))</f>
        <v>North America</v>
      </c>
      <c r="G276" t="s">
        <v>910</v>
      </c>
      <c r="H276" t="s">
        <v>1361</v>
      </c>
      <c r="I276" t="s">
        <v>2323</v>
      </c>
      <c r="J276" t="s">
        <v>3315</v>
      </c>
      <c r="K276" s="1">
        <v>45281</v>
      </c>
      <c r="L276">
        <f>YEAR(Customer_Data[[#This Row],[LastPurchaseDate]])</f>
        <v>2025</v>
      </c>
      <c r="M276">
        <f>MONTH(Customer_Data[[#This Row],[LastPurchaseDate]])</f>
        <v>2</v>
      </c>
      <c r="N276" s="7">
        <v>45714</v>
      </c>
      <c r="O276">
        <v>18</v>
      </c>
      <c r="P276" s="4">
        <v>4097.1099999999997</v>
      </c>
      <c r="Q276" t="s">
        <v>4035</v>
      </c>
      <c r="R276">
        <v>3</v>
      </c>
      <c r="S276">
        <v>227.62</v>
      </c>
    </row>
    <row r="277" spans="1:19" x14ac:dyDescent="0.25">
      <c r="A277">
        <v>278</v>
      </c>
      <c r="B277" t="s">
        <v>190</v>
      </c>
      <c r="C277" t="s">
        <v>560</v>
      </c>
      <c r="D277" t="s">
        <v>850</v>
      </c>
      <c r="E277">
        <v>24</v>
      </c>
      <c r="F277" t="str" cm="1">
        <f t="array" ref="F277">INDEX(Country!$B$3:$B$250, MATCH(TRUE, ISNUMBER(SEARCH(Country!$A$2:$A$509, Customer_Data[[#This Row],[Country]])),0 ))</f>
        <v>North America</v>
      </c>
      <c r="G277" t="s">
        <v>1021</v>
      </c>
      <c r="H277" t="s">
        <v>1362</v>
      </c>
      <c r="I277" t="s">
        <v>2324</v>
      </c>
      <c r="J277" t="s">
        <v>3316</v>
      </c>
      <c r="K277" s="1">
        <v>45734</v>
      </c>
      <c r="L277">
        <f>YEAR(Customer_Data[[#This Row],[LastPurchaseDate]])</f>
        <v>2024</v>
      </c>
      <c r="M277">
        <f>MONTH(Customer_Data[[#This Row],[LastPurchaseDate]])</f>
        <v>5</v>
      </c>
      <c r="N277" s="7">
        <v>45436</v>
      </c>
      <c r="O277">
        <v>24</v>
      </c>
      <c r="P277" s="4">
        <v>5033.2299999999996</v>
      </c>
      <c r="Q277" t="s">
        <v>4034</v>
      </c>
      <c r="R277">
        <v>1</v>
      </c>
      <c r="S277">
        <v>209.72</v>
      </c>
    </row>
    <row r="278" spans="1:19" x14ac:dyDescent="0.25">
      <c r="A278">
        <v>279</v>
      </c>
      <c r="B278" t="s">
        <v>191</v>
      </c>
      <c r="C278" t="s">
        <v>561</v>
      </c>
      <c r="D278" t="s">
        <v>851</v>
      </c>
      <c r="E278">
        <v>21</v>
      </c>
      <c r="F278" t="str" cm="1">
        <f t="array" ref="F278">INDEX(Country!$B$3:$B$250, MATCH(TRUE, ISNUMBER(SEARCH(Country!$A$2:$A$509, Customer_Data[[#This Row],[Country]])),0 ))</f>
        <v>South America</v>
      </c>
      <c r="G278" t="s">
        <v>884</v>
      </c>
      <c r="H278" t="s">
        <v>1363</v>
      </c>
      <c r="I278" t="s">
        <v>2325</v>
      </c>
      <c r="J278" t="s">
        <v>3317</v>
      </c>
      <c r="K278" s="1">
        <v>45870</v>
      </c>
      <c r="L278">
        <f>YEAR(Customer_Data[[#This Row],[LastPurchaseDate]])</f>
        <v>2024</v>
      </c>
      <c r="M278">
        <f>MONTH(Customer_Data[[#This Row],[LastPurchaseDate]])</f>
        <v>7</v>
      </c>
      <c r="N278" s="7">
        <v>45484</v>
      </c>
      <c r="O278">
        <v>30</v>
      </c>
      <c r="P278" s="4">
        <v>4130.62</v>
      </c>
      <c r="Q278" t="s">
        <v>4035</v>
      </c>
      <c r="R278">
        <v>1</v>
      </c>
      <c r="S278">
        <v>137.69</v>
      </c>
    </row>
    <row r="279" spans="1:19" x14ac:dyDescent="0.25">
      <c r="A279">
        <v>280</v>
      </c>
      <c r="B279" t="s">
        <v>192</v>
      </c>
      <c r="C279" t="s">
        <v>386</v>
      </c>
      <c r="D279" t="s">
        <v>851</v>
      </c>
      <c r="E279">
        <v>71</v>
      </c>
      <c r="F279" t="str" cm="1">
        <f t="array" ref="F279">INDEX(Country!$B$3:$B$250, MATCH(TRUE, ISNUMBER(SEARCH(Country!$A$2:$A$509, Customer_Data[[#This Row],[Country]])),0 ))</f>
        <v>North America</v>
      </c>
      <c r="G279" t="s">
        <v>987</v>
      </c>
      <c r="H279" t="s">
        <v>1364</v>
      </c>
      <c r="I279" t="s">
        <v>2326</v>
      </c>
      <c r="J279" t="s">
        <v>3318</v>
      </c>
      <c r="K279" s="1">
        <v>45837</v>
      </c>
      <c r="L279">
        <f>YEAR(Customer_Data[[#This Row],[LastPurchaseDate]])</f>
        <v>2025</v>
      </c>
      <c r="M279">
        <f>MONTH(Customer_Data[[#This Row],[LastPurchaseDate]])</f>
        <v>7</v>
      </c>
      <c r="N279" s="7">
        <v>45864</v>
      </c>
      <c r="O279">
        <v>48</v>
      </c>
      <c r="P279" s="4">
        <v>4591.97</v>
      </c>
      <c r="Q279" t="s">
        <v>4035</v>
      </c>
      <c r="R279">
        <v>2</v>
      </c>
      <c r="S279">
        <v>95.67</v>
      </c>
    </row>
    <row r="280" spans="1:19" x14ac:dyDescent="0.25">
      <c r="A280">
        <v>281</v>
      </c>
      <c r="B280" t="s">
        <v>41</v>
      </c>
      <c r="C280" t="s">
        <v>562</v>
      </c>
      <c r="D280" t="s">
        <v>851</v>
      </c>
      <c r="E280">
        <v>61</v>
      </c>
      <c r="F280" t="str" cm="1">
        <f t="array" ref="F280">INDEX(Country!$B$3:$B$250, MATCH(TRUE, ISNUMBER(SEARCH(Country!$A$2:$A$509, Customer_Data[[#This Row],[Country]])),0 ))</f>
        <v>Africa</v>
      </c>
      <c r="G280" t="s">
        <v>933</v>
      </c>
      <c r="H280" t="s">
        <v>1365</v>
      </c>
      <c r="I280" t="s">
        <v>2327</v>
      </c>
      <c r="J280" t="s">
        <v>3319</v>
      </c>
      <c r="K280" s="1">
        <v>45021</v>
      </c>
      <c r="L280">
        <f>YEAR(Customer_Data[[#This Row],[LastPurchaseDate]])</f>
        <v>2025</v>
      </c>
      <c r="M280">
        <f>MONTH(Customer_Data[[#This Row],[LastPurchaseDate]])</f>
        <v>1</v>
      </c>
      <c r="N280" s="7">
        <v>45659</v>
      </c>
      <c r="O280">
        <v>28</v>
      </c>
      <c r="P280" s="4">
        <v>4333.2</v>
      </c>
      <c r="Q280" t="s">
        <v>4035</v>
      </c>
      <c r="R280">
        <v>2</v>
      </c>
      <c r="S280">
        <v>154.76</v>
      </c>
    </row>
    <row r="281" spans="1:19" x14ac:dyDescent="0.25">
      <c r="A281">
        <v>282</v>
      </c>
      <c r="B281" t="s">
        <v>193</v>
      </c>
      <c r="C281" t="s">
        <v>563</v>
      </c>
      <c r="D281" t="s">
        <v>851</v>
      </c>
      <c r="E281">
        <v>45</v>
      </c>
      <c r="F281" t="str" cm="1">
        <f t="array" ref="F281">INDEX(Country!$B$3:$B$250, MATCH(TRUE, ISNUMBER(SEARCH(Country!$A$2:$A$509, Customer_Data[[#This Row],[Country]])),0 ))</f>
        <v>North America</v>
      </c>
      <c r="G281" t="s">
        <v>969</v>
      </c>
      <c r="H281" t="s">
        <v>1366</v>
      </c>
      <c r="I281" t="s">
        <v>2328</v>
      </c>
      <c r="J281" t="s">
        <v>3320</v>
      </c>
      <c r="K281" s="1">
        <v>45037</v>
      </c>
      <c r="L281">
        <f>YEAR(Customer_Data[[#This Row],[LastPurchaseDate]])</f>
        <v>2024</v>
      </c>
      <c r="M281">
        <f>MONTH(Customer_Data[[#This Row],[LastPurchaseDate]])</f>
        <v>4</v>
      </c>
      <c r="N281" s="7">
        <v>45403</v>
      </c>
      <c r="O281">
        <v>22</v>
      </c>
      <c r="P281" s="4">
        <v>1833.39</v>
      </c>
      <c r="Q281" t="s">
        <v>4035</v>
      </c>
      <c r="R281">
        <v>1</v>
      </c>
      <c r="S281">
        <v>83.34</v>
      </c>
    </row>
    <row r="282" spans="1:19" x14ac:dyDescent="0.25">
      <c r="A282">
        <v>283</v>
      </c>
      <c r="B282" t="s">
        <v>100</v>
      </c>
      <c r="C282" t="s">
        <v>564</v>
      </c>
      <c r="D282" t="s">
        <v>851</v>
      </c>
      <c r="E282">
        <v>48</v>
      </c>
      <c r="F282" t="str" cm="1">
        <f t="array" ref="F282">INDEX(Country!$B$3:$B$250, MATCH(TRUE, ISNUMBER(SEARCH(Country!$A$2:$A$509, Customer_Data[[#This Row],[Country]])),0 ))</f>
        <v>Oceania</v>
      </c>
      <c r="G282" t="s">
        <v>1012</v>
      </c>
      <c r="H282" t="s">
        <v>1367</v>
      </c>
      <c r="I282" t="s">
        <v>2329</v>
      </c>
      <c r="J282" t="s">
        <v>3321</v>
      </c>
      <c r="K282" s="1">
        <v>45530</v>
      </c>
      <c r="L282">
        <f>YEAR(Customer_Data[[#This Row],[LastPurchaseDate]])</f>
        <v>2025</v>
      </c>
      <c r="M282">
        <f>MONTH(Customer_Data[[#This Row],[LastPurchaseDate]])</f>
        <v>7</v>
      </c>
      <c r="N282" s="7">
        <v>45845</v>
      </c>
      <c r="O282">
        <v>32</v>
      </c>
      <c r="P282" s="4">
        <v>3063.83</v>
      </c>
      <c r="Q282" t="s">
        <v>4035</v>
      </c>
      <c r="R282">
        <v>5</v>
      </c>
      <c r="S282">
        <v>95.74</v>
      </c>
    </row>
    <row r="283" spans="1:19" x14ac:dyDescent="0.25">
      <c r="A283">
        <v>284</v>
      </c>
      <c r="B283" t="s">
        <v>92</v>
      </c>
      <c r="C283" t="s">
        <v>140</v>
      </c>
      <c r="D283" t="s">
        <v>850</v>
      </c>
      <c r="E283">
        <v>30</v>
      </c>
      <c r="F283" t="str" cm="1">
        <f t="array" ref="F283">INDEX(Country!$B$3:$B$250, MATCH(TRUE, ISNUMBER(SEARCH(Country!$A$2:$A$509, Customer_Data[[#This Row],[Country]])),0 ))</f>
        <v>Europe</v>
      </c>
      <c r="G283" t="s">
        <v>1022</v>
      </c>
      <c r="H283" t="s">
        <v>1368</v>
      </c>
      <c r="I283" t="s">
        <v>2330</v>
      </c>
      <c r="J283" t="s">
        <v>3322</v>
      </c>
      <c r="K283" s="1">
        <v>45792</v>
      </c>
      <c r="L283">
        <f>YEAR(Customer_Data[[#This Row],[LastPurchaseDate]])</f>
        <v>2024</v>
      </c>
      <c r="M283">
        <f>MONTH(Customer_Data[[#This Row],[LastPurchaseDate]])</f>
        <v>10</v>
      </c>
      <c r="N283" s="7">
        <v>45570</v>
      </c>
      <c r="O283">
        <v>47</v>
      </c>
      <c r="P283" s="4">
        <v>81.19</v>
      </c>
      <c r="Q283" t="s">
        <v>4035</v>
      </c>
      <c r="R283">
        <v>2</v>
      </c>
      <c r="S283">
        <v>1.73</v>
      </c>
    </row>
    <row r="284" spans="1:19" x14ac:dyDescent="0.25">
      <c r="A284">
        <v>285</v>
      </c>
      <c r="B284" t="s">
        <v>139</v>
      </c>
      <c r="C284" t="s">
        <v>565</v>
      </c>
      <c r="D284" t="s">
        <v>851</v>
      </c>
      <c r="E284">
        <v>24</v>
      </c>
      <c r="F284" t="str" cm="1">
        <f t="array" ref="F284">INDEX(Country!$B$3:$B$250, MATCH(TRUE, ISNUMBER(SEARCH(Country!$A$2:$A$509, Customer_Data[[#This Row],[Country]])),0 ))</f>
        <v>North America</v>
      </c>
      <c r="G284" t="s">
        <v>993</v>
      </c>
      <c r="H284" t="s">
        <v>1369</v>
      </c>
      <c r="I284" t="s">
        <v>2331</v>
      </c>
      <c r="J284" t="s">
        <v>3323</v>
      </c>
      <c r="K284" s="1">
        <v>44944</v>
      </c>
      <c r="L284">
        <f>YEAR(Customer_Data[[#This Row],[LastPurchaseDate]])</f>
        <v>2024</v>
      </c>
      <c r="M284">
        <f>MONTH(Customer_Data[[#This Row],[LastPurchaseDate]])</f>
        <v>5</v>
      </c>
      <c r="N284" s="7">
        <v>45443</v>
      </c>
      <c r="O284">
        <v>26</v>
      </c>
      <c r="P284" s="4">
        <v>7392.36</v>
      </c>
      <c r="Q284" t="s">
        <v>4034</v>
      </c>
      <c r="R284">
        <v>2</v>
      </c>
      <c r="S284">
        <v>284.32</v>
      </c>
    </row>
    <row r="285" spans="1:19" x14ac:dyDescent="0.25">
      <c r="A285">
        <v>286</v>
      </c>
      <c r="B285" t="s">
        <v>194</v>
      </c>
      <c r="C285" t="s">
        <v>416</v>
      </c>
      <c r="D285" t="s">
        <v>852</v>
      </c>
      <c r="E285">
        <v>28</v>
      </c>
      <c r="F285" t="str" cm="1">
        <f t="array" ref="F285">INDEX(Country!$B$3:$B$250, MATCH(TRUE, ISNUMBER(SEARCH(Country!$A$2:$A$509, Customer_Data[[#This Row],[Country]])),0 ))</f>
        <v>North America</v>
      </c>
      <c r="G285" t="s">
        <v>954</v>
      </c>
      <c r="H285" t="s">
        <v>1202</v>
      </c>
      <c r="I285" t="s">
        <v>2332</v>
      </c>
      <c r="J285" t="s">
        <v>3324</v>
      </c>
      <c r="K285" s="1">
        <v>44906</v>
      </c>
      <c r="L285">
        <f>YEAR(Customer_Data[[#This Row],[LastPurchaseDate]])</f>
        <v>2024</v>
      </c>
      <c r="M285">
        <f>MONTH(Customer_Data[[#This Row],[LastPurchaseDate]])</f>
        <v>10</v>
      </c>
      <c r="N285" s="7">
        <v>45578</v>
      </c>
      <c r="O285">
        <v>6</v>
      </c>
      <c r="P285" s="4">
        <v>3048.4</v>
      </c>
      <c r="Q285" t="s">
        <v>4035</v>
      </c>
      <c r="R285">
        <v>4</v>
      </c>
      <c r="S285">
        <v>508.07</v>
      </c>
    </row>
    <row r="286" spans="1:19" x14ac:dyDescent="0.25">
      <c r="A286">
        <v>287</v>
      </c>
      <c r="B286" t="s">
        <v>195</v>
      </c>
      <c r="C286" t="s">
        <v>566</v>
      </c>
      <c r="D286" t="s">
        <v>851</v>
      </c>
      <c r="E286">
        <v>65</v>
      </c>
      <c r="F286" t="str" cm="1">
        <f t="array" ref="F286">INDEX(Country!$B$3:$B$250, MATCH(TRUE, ISNUMBER(SEARCH(Country!$A$2:$A$509, Customer_Data[[#This Row],[Country]])),0 ))</f>
        <v>Europe</v>
      </c>
      <c r="G286" t="s">
        <v>1023</v>
      </c>
      <c r="H286" t="s">
        <v>1370</v>
      </c>
      <c r="I286" t="s">
        <v>2333</v>
      </c>
      <c r="J286" t="s">
        <v>3325</v>
      </c>
      <c r="K286" s="1">
        <v>45450</v>
      </c>
      <c r="L286">
        <f>YEAR(Customer_Data[[#This Row],[LastPurchaseDate]])</f>
        <v>2024</v>
      </c>
      <c r="M286">
        <f>MONTH(Customer_Data[[#This Row],[LastPurchaseDate]])</f>
        <v>11</v>
      </c>
      <c r="N286" s="7">
        <v>45613</v>
      </c>
      <c r="O286">
        <v>49</v>
      </c>
      <c r="P286" s="4">
        <v>3687.12</v>
      </c>
      <c r="Q286" t="s">
        <v>4035</v>
      </c>
      <c r="R286">
        <v>1</v>
      </c>
      <c r="S286">
        <v>75.25</v>
      </c>
    </row>
    <row r="287" spans="1:19" x14ac:dyDescent="0.25">
      <c r="A287">
        <v>288</v>
      </c>
      <c r="B287" t="s">
        <v>196</v>
      </c>
      <c r="C287" t="s">
        <v>386</v>
      </c>
      <c r="D287" t="s">
        <v>850</v>
      </c>
      <c r="E287">
        <v>74</v>
      </c>
      <c r="F287" t="str" cm="1">
        <f t="array" ref="F287">INDEX(Country!$B$3:$B$250, MATCH(TRUE, ISNUMBER(SEARCH(Country!$A$2:$A$509, Customer_Data[[#This Row],[Country]])),0 ))</f>
        <v>Europe</v>
      </c>
      <c r="G287" t="s">
        <v>1024</v>
      </c>
      <c r="H287" t="s">
        <v>1371</v>
      </c>
      <c r="I287" t="s">
        <v>2334</v>
      </c>
      <c r="J287" t="s">
        <v>3326</v>
      </c>
      <c r="K287" s="1">
        <v>45683</v>
      </c>
      <c r="L287">
        <f>YEAR(Customer_Data[[#This Row],[LastPurchaseDate]])</f>
        <v>2025</v>
      </c>
      <c r="M287">
        <f>MONTH(Customer_Data[[#This Row],[LastPurchaseDate]])</f>
        <v>10</v>
      </c>
      <c r="N287" s="7">
        <v>45937</v>
      </c>
      <c r="O287">
        <v>4</v>
      </c>
      <c r="P287" s="4">
        <v>3870.69</v>
      </c>
      <c r="Q287" t="s">
        <v>4034</v>
      </c>
      <c r="R287">
        <v>2</v>
      </c>
      <c r="S287">
        <v>967.67</v>
      </c>
    </row>
    <row r="288" spans="1:19" x14ac:dyDescent="0.25">
      <c r="A288">
        <v>289</v>
      </c>
      <c r="B288" t="s">
        <v>103</v>
      </c>
      <c r="C288" t="s">
        <v>371</v>
      </c>
      <c r="D288" t="s">
        <v>851</v>
      </c>
      <c r="E288">
        <v>71</v>
      </c>
      <c r="F288" t="str" cm="1">
        <f t="array" ref="F288">INDEX(Country!$B$3:$B$250, MATCH(TRUE, ISNUMBER(SEARCH(Country!$A$2:$A$509, Customer_Data[[#This Row],[Country]])),0 ))</f>
        <v>Africa</v>
      </c>
      <c r="G288" t="s">
        <v>957</v>
      </c>
      <c r="H288" t="s">
        <v>1372</v>
      </c>
      <c r="I288" t="s">
        <v>2335</v>
      </c>
      <c r="J288" t="s">
        <v>3327</v>
      </c>
      <c r="K288" s="1">
        <v>45780</v>
      </c>
      <c r="L288">
        <f>YEAR(Customer_Data[[#This Row],[LastPurchaseDate]])</f>
        <v>2025</v>
      </c>
      <c r="M288">
        <f>MONTH(Customer_Data[[#This Row],[LastPurchaseDate]])</f>
        <v>3</v>
      </c>
      <c r="N288" s="7">
        <v>45731</v>
      </c>
      <c r="O288">
        <v>19</v>
      </c>
      <c r="P288" s="4">
        <v>945.85</v>
      </c>
      <c r="Q288" t="s">
        <v>4034</v>
      </c>
      <c r="R288">
        <v>4</v>
      </c>
      <c r="S288">
        <v>49.78</v>
      </c>
    </row>
    <row r="289" spans="1:19" x14ac:dyDescent="0.25">
      <c r="A289">
        <v>290</v>
      </c>
      <c r="B289" t="s">
        <v>115</v>
      </c>
      <c r="C289" t="s">
        <v>567</v>
      </c>
      <c r="D289" t="s">
        <v>850</v>
      </c>
      <c r="E289">
        <v>40</v>
      </c>
      <c r="F289" t="str" cm="1">
        <f t="array" ref="F289">INDEX(Country!$B$3:$B$250, MATCH(TRUE, ISNUMBER(SEARCH(Country!$A$2:$A$509, Customer_Data[[#This Row],[Country]])),0 ))</f>
        <v>Europe</v>
      </c>
      <c r="G289" t="s">
        <v>1022</v>
      </c>
      <c r="H289" t="s">
        <v>1373</v>
      </c>
      <c r="I289" t="s">
        <v>2336</v>
      </c>
      <c r="J289" t="s">
        <v>3328</v>
      </c>
      <c r="K289" s="1">
        <v>45829</v>
      </c>
      <c r="L289">
        <f>YEAR(Customer_Data[[#This Row],[LastPurchaseDate]])</f>
        <v>2025</v>
      </c>
      <c r="M289">
        <f>MONTH(Customer_Data[[#This Row],[LastPurchaseDate]])</f>
        <v>2</v>
      </c>
      <c r="N289" s="7">
        <v>45707</v>
      </c>
      <c r="O289">
        <v>49</v>
      </c>
      <c r="P289" s="4">
        <v>3052.01</v>
      </c>
      <c r="Q289" t="s">
        <v>4035</v>
      </c>
      <c r="R289">
        <v>2</v>
      </c>
      <c r="S289">
        <v>62.29</v>
      </c>
    </row>
    <row r="290" spans="1:19" x14ac:dyDescent="0.25">
      <c r="A290">
        <v>292</v>
      </c>
      <c r="B290" t="s">
        <v>155</v>
      </c>
      <c r="C290" t="s">
        <v>456</v>
      </c>
      <c r="D290" t="s">
        <v>850</v>
      </c>
      <c r="E290">
        <v>54</v>
      </c>
      <c r="F290" t="str" cm="1">
        <f t="array" ref="F290">INDEX(Country!$B$3:$B$250, MATCH(TRUE, ISNUMBER(SEARCH(Country!$A$2:$A$509, Customer_Data[[#This Row],[Country]])),0 ))</f>
        <v>South America</v>
      </c>
      <c r="G290" t="s">
        <v>949</v>
      </c>
      <c r="H290" t="s">
        <v>1374</v>
      </c>
      <c r="I290" t="s">
        <v>2337</v>
      </c>
      <c r="J290" t="s">
        <v>3329</v>
      </c>
      <c r="K290" s="1">
        <v>44916</v>
      </c>
      <c r="L290">
        <f>YEAR(Customer_Data[[#This Row],[LastPurchaseDate]])</f>
        <v>2025</v>
      </c>
      <c r="M290">
        <f>MONTH(Customer_Data[[#This Row],[LastPurchaseDate]])</f>
        <v>3</v>
      </c>
      <c r="N290" s="7">
        <v>45733</v>
      </c>
      <c r="O290">
        <v>20</v>
      </c>
      <c r="P290" s="4">
        <v>878.5</v>
      </c>
      <c r="Q290" t="s">
        <v>4035</v>
      </c>
      <c r="R290">
        <v>3</v>
      </c>
      <c r="S290">
        <v>43.92</v>
      </c>
    </row>
    <row r="291" spans="1:19" x14ac:dyDescent="0.25">
      <c r="A291">
        <v>293</v>
      </c>
      <c r="B291" t="s">
        <v>93</v>
      </c>
      <c r="C291" t="s">
        <v>568</v>
      </c>
      <c r="D291" t="s">
        <v>850</v>
      </c>
      <c r="E291">
        <v>72</v>
      </c>
      <c r="F291" t="str" cm="1">
        <f t="array" ref="F291">INDEX(Country!$B$3:$B$250, MATCH(TRUE, ISNUMBER(SEARCH(Country!$A$2:$A$509, Customer_Data[[#This Row],[Country]])),0 ))</f>
        <v>Asia</v>
      </c>
      <c r="G291" t="s">
        <v>895</v>
      </c>
      <c r="H291" t="s">
        <v>1375</v>
      </c>
      <c r="I291" t="s">
        <v>2338</v>
      </c>
      <c r="J291" t="s">
        <v>3330</v>
      </c>
      <c r="K291" s="1">
        <v>45458</v>
      </c>
      <c r="L291">
        <f>YEAR(Customer_Data[[#This Row],[LastPurchaseDate]])</f>
        <v>2025</v>
      </c>
      <c r="M291">
        <f>MONTH(Customer_Data[[#This Row],[LastPurchaseDate]])</f>
        <v>5</v>
      </c>
      <c r="N291" s="7">
        <v>45806</v>
      </c>
      <c r="O291">
        <v>23</v>
      </c>
      <c r="P291" s="4">
        <v>9765.25</v>
      </c>
      <c r="Q291" t="s">
        <v>4035</v>
      </c>
      <c r="R291">
        <v>1</v>
      </c>
      <c r="S291">
        <v>424.58</v>
      </c>
    </row>
    <row r="292" spans="1:19" x14ac:dyDescent="0.25">
      <c r="A292">
        <v>294</v>
      </c>
      <c r="B292" t="s">
        <v>197</v>
      </c>
      <c r="C292" t="s">
        <v>523</v>
      </c>
      <c r="D292" t="s">
        <v>851</v>
      </c>
      <c r="E292">
        <v>30</v>
      </c>
      <c r="F292" t="str" cm="1">
        <f t="array" ref="F292">INDEX(Country!$B$3:$B$250, MATCH(TRUE, ISNUMBER(SEARCH(Country!$A$2:$A$509, Customer_Data[[#This Row],[Country]])),0 ))</f>
        <v>Europe</v>
      </c>
      <c r="G292" t="s">
        <v>1025</v>
      </c>
      <c r="H292" t="s">
        <v>1376</v>
      </c>
      <c r="I292" t="s">
        <v>2339</v>
      </c>
      <c r="J292" t="s">
        <v>3331</v>
      </c>
      <c r="K292" s="1">
        <v>44970</v>
      </c>
      <c r="L292">
        <f>YEAR(Customer_Data[[#This Row],[LastPurchaseDate]])</f>
        <v>2025</v>
      </c>
      <c r="M292">
        <f>MONTH(Customer_Data[[#This Row],[LastPurchaseDate]])</f>
        <v>10</v>
      </c>
      <c r="N292" s="7">
        <v>45937</v>
      </c>
      <c r="O292">
        <v>11</v>
      </c>
      <c r="P292" s="4">
        <v>7670.63</v>
      </c>
      <c r="Q292" t="s">
        <v>4035</v>
      </c>
      <c r="R292">
        <v>1</v>
      </c>
      <c r="S292">
        <v>697.33</v>
      </c>
    </row>
    <row r="293" spans="1:19" x14ac:dyDescent="0.25">
      <c r="A293">
        <v>295</v>
      </c>
      <c r="B293" t="s">
        <v>28</v>
      </c>
      <c r="C293" t="s">
        <v>569</v>
      </c>
      <c r="D293" t="s">
        <v>851</v>
      </c>
      <c r="E293">
        <v>31</v>
      </c>
      <c r="F293" t="str" cm="1">
        <f t="array" ref="F293">INDEX(Country!$B$3:$B$250, MATCH(TRUE, ISNUMBER(SEARCH(Country!$A$2:$A$509, Customer_Data[[#This Row],[Country]])),0 ))</f>
        <v>North America</v>
      </c>
      <c r="G293" t="s">
        <v>906</v>
      </c>
      <c r="H293" t="s">
        <v>1377</v>
      </c>
      <c r="I293" t="s">
        <v>2340</v>
      </c>
      <c r="J293" t="s">
        <v>3332</v>
      </c>
      <c r="K293" s="1">
        <v>44911</v>
      </c>
      <c r="L293">
        <f>YEAR(Customer_Data[[#This Row],[LastPurchaseDate]])</f>
        <v>2023</v>
      </c>
      <c r="M293">
        <f>MONTH(Customer_Data[[#This Row],[LastPurchaseDate]])</f>
        <v>11</v>
      </c>
      <c r="N293" s="7">
        <v>45237</v>
      </c>
      <c r="O293">
        <v>47</v>
      </c>
      <c r="P293" s="4">
        <v>1748.53</v>
      </c>
      <c r="Q293" t="s">
        <v>4035</v>
      </c>
      <c r="R293">
        <v>5</v>
      </c>
      <c r="S293">
        <v>37.200000000000003</v>
      </c>
    </row>
    <row r="294" spans="1:19" x14ac:dyDescent="0.25">
      <c r="A294">
        <v>296</v>
      </c>
      <c r="B294" t="s">
        <v>33</v>
      </c>
      <c r="C294" t="s">
        <v>565</v>
      </c>
      <c r="D294" t="s">
        <v>850</v>
      </c>
      <c r="E294">
        <v>70</v>
      </c>
      <c r="F294" t="str" cm="1">
        <f t="array" ref="F294">INDEX(Country!$B$3:$B$250, MATCH(TRUE, ISNUMBER(SEARCH(Country!$A$2:$A$509, Customer_Data[[#This Row],[Country]])),0 ))</f>
        <v>Antarctica</v>
      </c>
      <c r="G294" t="s">
        <v>1011</v>
      </c>
      <c r="H294" t="s">
        <v>1378</v>
      </c>
      <c r="I294" t="s">
        <v>2341</v>
      </c>
      <c r="J294" t="s">
        <v>3333</v>
      </c>
      <c r="K294" s="1">
        <v>45771</v>
      </c>
      <c r="L294">
        <f>YEAR(Customer_Data[[#This Row],[LastPurchaseDate]])</f>
        <v>2025</v>
      </c>
      <c r="M294">
        <f>MONTH(Customer_Data[[#This Row],[LastPurchaseDate]])</f>
        <v>9</v>
      </c>
      <c r="N294" s="7">
        <v>45903</v>
      </c>
      <c r="O294">
        <v>40</v>
      </c>
      <c r="P294" s="4">
        <v>5707.89</v>
      </c>
      <c r="Q294" t="s">
        <v>4034</v>
      </c>
      <c r="R294">
        <v>2</v>
      </c>
      <c r="S294">
        <v>142.69999999999999</v>
      </c>
    </row>
    <row r="295" spans="1:19" x14ac:dyDescent="0.25">
      <c r="A295">
        <v>297</v>
      </c>
      <c r="B295" t="s">
        <v>85</v>
      </c>
      <c r="C295" t="s">
        <v>441</v>
      </c>
      <c r="D295" t="s">
        <v>850</v>
      </c>
      <c r="E295">
        <v>52</v>
      </c>
      <c r="F295" t="str" cm="1">
        <f t="array" ref="F295">INDEX(Country!$B$3:$B$250, MATCH(TRUE, ISNUMBER(SEARCH(Country!$A$2:$A$509, Customer_Data[[#This Row],[Country]])),0 ))</f>
        <v>Europe</v>
      </c>
      <c r="G295" t="s">
        <v>996</v>
      </c>
      <c r="H295" t="s">
        <v>1379</v>
      </c>
      <c r="I295" t="s">
        <v>2342</v>
      </c>
      <c r="J295" t="s">
        <v>3334</v>
      </c>
      <c r="K295" s="1">
        <v>45319</v>
      </c>
      <c r="L295">
        <f>YEAR(Customer_Data[[#This Row],[LastPurchaseDate]])</f>
        <v>2024</v>
      </c>
      <c r="M295">
        <f>MONTH(Customer_Data[[#This Row],[LastPurchaseDate]])</f>
        <v>2</v>
      </c>
      <c r="N295" s="7">
        <v>45325</v>
      </c>
      <c r="O295">
        <v>18</v>
      </c>
      <c r="P295" s="4">
        <v>7316.78</v>
      </c>
      <c r="Q295" t="s">
        <v>4035</v>
      </c>
      <c r="R295">
        <v>4</v>
      </c>
      <c r="S295">
        <v>406.49</v>
      </c>
    </row>
    <row r="296" spans="1:19" x14ac:dyDescent="0.25">
      <c r="A296">
        <v>298</v>
      </c>
      <c r="B296" t="s">
        <v>198</v>
      </c>
      <c r="C296" t="s">
        <v>570</v>
      </c>
      <c r="D296" t="s">
        <v>851</v>
      </c>
      <c r="E296">
        <v>66</v>
      </c>
      <c r="F296" t="str" cm="1">
        <f t="array" ref="F296">INDEX(Country!$B$3:$B$250, MATCH(TRUE, ISNUMBER(SEARCH(Country!$A$2:$A$509, Customer_Data[[#This Row],[Country]])),0 ))</f>
        <v>Oceania</v>
      </c>
      <c r="G296" t="s">
        <v>862</v>
      </c>
      <c r="H296" t="s">
        <v>1380</v>
      </c>
      <c r="I296" t="s">
        <v>2343</v>
      </c>
      <c r="J296" t="s">
        <v>3335</v>
      </c>
      <c r="K296" s="1">
        <v>44899</v>
      </c>
      <c r="L296">
        <f>YEAR(Customer_Data[[#This Row],[LastPurchaseDate]])</f>
        <v>2024</v>
      </c>
      <c r="M296">
        <f>MONTH(Customer_Data[[#This Row],[LastPurchaseDate]])</f>
        <v>1</v>
      </c>
      <c r="N296" s="7">
        <v>45303</v>
      </c>
      <c r="O296">
        <v>27</v>
      </c>
      <c r="P296" s="4">
        <v>9843.84</v>
      </c>
      <c r="Q296" t="s">
        <v>4035</v>
      </c>
      <c r="R296">
        <v>4</v>
      </c>
      <c r="S296">
        <v>364.59</v>
      </c>
    </row>
    <row r="297" spans="1:19" x14ac:dyDescent="0.25">
      <c r="A297">
        <v>299</v>
      </c>
      <c r="B297" t="s">
        <v>32</v>
      </c>
      <c r="C297" t="s">
        <v>76</v>
      </c>
      <c r="D297" t="s">
        <v>851</v>
      </c>
      <c r="E297">
        <v>30</v>
      </c>
      <c r="F297" t="str" cm="1">
        <f t="array" ref="F297">INDEX(Country!$B$3:$B$250, MATCH(TRUE, ISNUMBER(SEARCH(Country!$A$2:$A$509, Customer_Data[[#This Row],[Country]])),0 ))</f>
        <v>Oceania</v>
      </c>
      <c r="G297" t="s">
        <v>1012</v>
      </c>
      <c r="H297" t="s">
        <v>1381</v>
      </c>
      <c r="I297" t="s">
        <v>2344</v>
      </c>
      <c r="J297" t="s">
        <v>3336</v>
      </c>
      <c r="K297" s="1">
        <v>45718</v>
      </c>
      <c r="L297">
        <f>YEAR(Customer_Data[[#This Row],[LastPurchaseDate]])</f>
        <v>2025</v>
      </c>
      <c r="M297">
        <f>MONTH(Customer_Data[[#This Row],[LastPurchaseDate]])</f>
        <v>7</v>
      </c>
      <c r="N297" s="7">
        <v>45855</v>
      </c>
      <c r="O297">
        <v>7</v>
      </c>
      <c r="P297" s="4">
        <v>5987.05</v>
      </c>
      <c r="Q297" t="s">
        <v>4034</v>
      </c>
      <c r="R297">
        <v>4</v>
      </c>
      <c r="S297">
        <v>855.29</v>
      </c>
    </row>
    <row r="298" spans="1:19" x14ac:dyDescent="0.25">
      <c r="A298">
        <v>300</v>
      </c>
      <c r="B298" t="s">
        <v>199</v>
      </c>
      <c r="C298" t="s">
        <v>378</v>
      </c>
      <c r="D298" t="s">
        <v>851</v>
      </c>
      <c r="E298">
        <v>54</v>
      </c>
      <c r="F298" t="str" cm="1">
        <f t="array" ref="F298">INDEX(Country!$B$3:$B$250, MATCH(TRUE, ISNUMBER(SEARCH(Country!$A$2:$A$509, Customer_Data[[#This Row],[Country]])),0 ))</f>
        <v>Asia</v>
      </c>
      <c r="G298" t="s">
        <v>985</v>
      </c>
      <c r="H298" t="s">
        <v>1382</v>
      </c>
      <c r="I298" t="s">
        <v>2345</v>
      </c>
      <c r="J298" t="s">
        <v>3337</v>
      </c>
      <c r="K298" s="1">
        <v>45036</v>
      </c>
      <c r="L298">
        <f>YEAR(Customer_Data[[#This Row],[LastPurchaseDate]])</f>
        <v>2024</v>
      </c>
      <c r="M298">
        <f>MONTH(Customer_Data[[#This Row],[LastPurchaseDate]])</f>
        <v>3</v>
      </c>
      <c r="N298" s="7">
        <v>45379</v>
      </c>
      <c r="O298">
        <v>43</v>
      </c>
      <c r="P298" s="4">
        <v>1604.28</v>
      </c>
      <c r="Q298" t="s">
        <v>4034</v>
      </c>
      <c r="R298">
        <v>4</v>
      </c>
      <c r="S298">
        <v>37.31</v>
      </c>
    </row>
    <row r="299" spans="1:19" x14ac:dyDescent="0.25">
      <c r="A299">
        <v>301</v>
      </c>
      <c r="B299" t="s">
        <v>68</v>
      </c>
      <c r="C299" t="s">
        <v>571</v>
      </c>
      <c r="D299" t="s">
        <v>850</v>
      </c>
      <c r="E299">
        <v>55</v>
      </c>
      <c r="F299" t="str" cm="1">
        <f t="array" ref="F299">INDEX(Country!$B$3:$B$250, MATCH(TRUE, ISNUMBER(SEARCH(Country!$A$2:$A$509, Customer_Data[[#This Row],[Country]])),0 ))</f>
        <v>Europe</v>
      </c>
      <c r="G299" t="s">
        <v>1022</v>
      </c>
      <c r="H299" t="s">
        <v>1383</v>
      </c>
      <c r="I299" t="s">
        <v>2346</v>
      </c>
      <c r="J299" t="s">
        <v>3338</v>
      </c>
      <c r="K299" s="1">
        <v>45198</v>
      </c>
      <c r="L299">
        <f>YEAR(Customer_Data[[#This Row],[LastPurchaseDate]])</f>
        <v>2024</v>
      </c>
      <c r="M299">
        <f>MONTH(Customer_Data[[#This Row],[LastPurchaseDate]])</f>
        <v>3</v>
      </c>
      <c r="N299" s="7">
        <v>45373</v>
      </c>
      <c r="O299">
        <v>16</v>
      </c>
      <c r="P299" s="4">
        <v>4938.51</v>
      </c>
      <c r="Q299" t="s">
        <v>4035</v>
      </c>
      <c r="R299">
        <v>3</v>
      </c>
      <c r="S299">
        <v>308.66000000000003</v>
      </c>
    </row>
    <row r="300" spans="1:19" x14ac:dyDescent="0.25">
      <c r="A300">
        <v>302</v>
      </c>
      <c r="B300" t="s">
        <v>49</v>
      </c>
      <c r="C300" t="s">
        <v>495</v>
      </c>
      <c r="D300" t="s">
        <v>850</v>
      </c>
      <c r="E300">
        <v>43</v>
      </c>
      <c r="F300" t="str" cm="1">
        <f t="array" ref="F300">INDEX(Country!$B$3:$B$250, MATCH(TRUE, ISNUMBER(SEARCH(Country!$A$2:$A$509, Customer_Data[[#This Row],[Country]])),0 ))</f>
        <v>North America</v>
      </c>
      <c r="G300" t="s">
        <v>987</v>
      </c>
      <c r="H300" t="s">
        <v>1270</v>
      </c>
      <c r="I300" t="s">
        <v>2347</v>
      </c>
      <c r="J300" t="s">
        <v>3339</v>
      </c>
      <c r="K300" s="1">
        <v>45109</v>
      </c>
      <c r="L300">
        <f>YEAR(Customer_Data[[#This Row],[LastPurchaseDate]])</f>
        <v>2025</v>
      </c>
      <c r="M300">
        <f>MONTH(Customer_Data[[#This Row],[LastPurchaseDate]])</f>
        <v>9</v>
      </c>
      <c r="N300" s="7">
        <v>45919</v>
      </c>
      <c r="O300">
        <v>31</v>
      </c>
      <c r="P300" s="4">
        <v>81.16</v>
      </c>
      <c r="Q300" t="s">
        <v>4035</v>
      </c>
      <c r="R300">
        <v>5</v>
      </c>
      <c r="S300">
        <v>2.62</v>
      </c>
    </row>
    <row r="301" spans="1:19" x14ac:dyDescent="0.25">
      <c r="A301">
        <v>303</v>
      </c>
      <c r="B301" t="s">
        <v>200</v>
      </c>
      <c r="C301" t="s">
        <v>572</v>
      </c>
      <c r="D301" t="s">
        <v>851</v>
      </c>
      <c r="E301">
        <v>73</v>
      </c>
      <c r="F301" t="str" cm="1">
        <f t="array" ref="F301">INDEX(Country!$B$3:$B$250, MATCH(TRUE, ISNUMBER(SEARCH(Country!$A$2:$A$509, Customer_Data[[#This Row],[Country]])),0 ))</f>
        <v>North America</v>
      </c>
      <c r="G301" t="s">
        <v>1026</v>
      </c>
      <c r="H301" t="s">
        <v>1384</v>
      </c>
      <c r="I301" t="s">
        <v>2348</v>
      </c>
      <c r="J301" t="s">
        <v>3340</v>
      </c>
      <c r="K301" s="1">
        <v>45880</v>
      </c>
      <c r="L301">
        <f>YEAR(Customer_Data[[#This Row],[LastPurchaseDate]])</f>
        <v>2024</v>
      </c>
      <c r="M301">
        <f>MONTH(Customer_Data[[#This Row],[LastPurchaseDate]])</f>
        <v>5</v>
      </c>
      <c r="N301" s="7">
        <v>45437</v>
      </c>
      <c r="O301">
        <v>49</v>
      </c>
      <c r="P301" s="4">
        <v>3306.5</v>
      </c>
      <c r="Q301" t="s">
        <v>4035</v>
      </c>
      <c r="R301">
        <v>3</v>
      </c>
      <c r="S301">
        <v>67.48</v>
      </c>
    </row>
    <row r="302" spans="1:19" x14ac:dyDescent="0.25">
      <c r="A302">
        <v>304</v>
      </c>
      <c r="B302" t="s">
        <v>116</v>
      </c>
      <c r="C302" t="s">
        <v>451</v>
      </c>
      <c r="D302" t="s">
        <v>850</v>
      </c>
      <c r="E302">
        <v>71</v>
      </c>
      <c r="F302" t="str" cm="1">
        <f t="array" ref="F302">INDEX(Country!$B$3:$B$250, MATCH(TRUE, ISNUMBER(SEARCH(Country!$A$2:$A$509, Customer_Data[[#This Row],[Country]])),0 ))</f>
        <v>Oceania</v>
      </c>
      <c r="G302" t="s">
        <v>936</v>
      </c>
      <c r="H302" t="s">
        <v>1385</v>
      </c>
      <c r="I302" t="s">
        <v>2349</v>
      </c>
      <c r="J302" t="s">
        <v>3341</v>
      </c>
      <c r="K302" s="1">
        <v>45542</v>
      </c>
      <c r="L302">
        <f>YEAR(Customer_Data[[#This Row],[LastPurchaseDate]])</f>
        <v>2025</v>
      </c>
      <c r="M302">
        <f>MONTH(Customer_Data[[#This Row],[LastPurchaseDate]])</f>
        <v>7</v>
      </c>
      <c r="N302" s="7">
        <v>45840</v>
      </c>
      <c r="O302">
        <v>20</v>
      </c>
      <c r="P302" s="4">
        <v>9024.23</v>
      </c>
      <c r="Q302" t="s">
        <v>4035</v>
      </c>
      <c r="R302">
        <v>2</v>
      </c>
      <c r="S302">
        <v>451.21</v>
      </c>
    </row>
    <row r="303" spans="1:19" x14ac:dyDescent="0.25">
      <c r="A303">
        <v>305</v>
      </c>
      <c r="B303" t="s">
        <v>128</v>
      </c>
      <c r="C303" t="s">
        <v>411</v>
      </c>
      <c r="D303" t="s">
        <v>851</v>
      </c>
      <c r="E303">
        <v>55</v>
      </c>
      <c r="F303" t="str" cm="1">
        <f t="array" ref="F303">INDEX(Country!$B$3:$B$250, MATCH(TRUE, ISNUMBER(SEARCH(Country!$A$2:$A$509, Customer_Data[[#This Row],[Country]])),0 ))</f>
        <v>North America</v>
      </c>
      <c r="G303" t="s">
        <v>1027</v>
      </c>
      <c r="H303" t="s">
        <v>1386</v>
      </c>
      <c r="I303" t="s">
        <v>2350</v>
      </c>
      <c r="J303" t="s">
        <v>3342</v>
      </c>
      <c r="K303" s="1">
        <v>45405</v>
      </c>
      <c r="L303">
        <f>YEAR(Customer_Data[[#This Row],[LastPurchaseDate]])</f>
        <v>2025</v>
      </c>
      <c r="M303">
        <f>MONTH(Customer_Data[[#This Row],[LastPurchaseDate]])</f>
        <v>3</v>
      </c>
      <c r="N303" s="7">
        <v>45736</v>
      </c>
      <c r="O303">
        <v>39</v>
      </c>
      <c r="P303" s="4">
        <v>7978.15</v>
      </c>
      <c r="Q303" t="s">
        <v>4034</v>
      </c>
      <c r="R303">
        <v>1</v>
      </c>
      <c r="S303">
        <v>204.57</v>
      </c>
    </row>
    <row r="304" spans="1:19" x14ac:dyDescent="0.25">
      <c r="A304">
        <v>306</v>
      </c>
      <c r="B304" t="s">
        <v>201</v>
      </c>
      <c r="C304" t="s">
        <v>449</v>
      </c>
      <c r="D304" t="s">
        <v>850</v>
      </c>
      <c r="E304">
        <v>63</v>
      </c>
      <c r="F304" t="str" cm="1">
        <f t="array" ref="F304">INDEX(Country!$B$3:$B$250, MATCH(TRUE, ISNUMBER(SEARCH(Country!$A$2:$A$509, Customer_Data[[#This Row],[Country]])),0 ))</f>
        <v>North America</v>
      </c>
      <c r="G304" t="s">
        <v>1028</v>
      </c>
      <c r="H304" t="s">
        <v>1387</v>
      </c>
      <c r="I304" t="s">
        <v>2351</v>
      </c>
      <c r="J304" t="s">
        <v>3343</v>
      </c>
      <c r="K304" s="1">
        <v>45341</v>
      </c>
      <c r="L304">
        <f>YEAR(Customer_Data[[#This Row],[LastPurchaseDate]])</f>
        <v>2024</v>
      </c>
      <c r="M304">
        <f>MONTH(Customer_Data[[#This Row],[LastPurchaseDate]])</f>
        <v>6</v>
      </c>
      <c r="N304" s="7">
        <v>45464</v>
      </c>
      <c r="O304">
        <v>43</v>
      </c>
      <c r="P304" s="4">
        <v>9736.69</v>
      </c>
      <c r="Q304" t="s">
        <v>4035</v>
      </c>
      <c r="R304">
        <v>2</v>
      </c>
      <c r="S304">
        <v>226.43</v>
      </c>
    </row>
    <row r="305" spans="1:19" x14ac:dyDescent="0.25">
      <c r="A305">
        <v>307</v>
      </c>
      <c r="B305" t="s">
        <v>110</v>
      </c>
      <c r="C305" t="s">
        <v>564</v>
      </c>
      <c r="D305" t="s">
        <v>851</v>
      </c>
      <c r="E305">
        <v>52</v>
      </c>
      <c r="F305" t="str" cm="1">
        <f t="array" ref="F305">INDEX(Country!$B$3:$B$250, MATCH(TRUE, ISNUMBER(SEARCH(Country!$A$2:$A$509, Customer_Data[[#This Row],[Country]])),0 ))</f>
        <v>South America</v>
      </c>
      <c r="G305" t="s">
        <v>891</v>
      </c>
      <c r="H305" t="s">
        <v>1388</v>
      </c>
      <c r="I305" t="s">
        <v>2352</v>
      </c>
      <c r="J305" t="s">
        <v>3344</v>
      </c>
      <c r="K305" s="1">
        <v>45043</v>
      </c>
      <c r="L305">
        <f>YEAR(Customer_Data[[#This Row],[LastPurchaseDate]])</f>
        <v>2025</v>
      </c>
      <c r="M305">
        <f>MONTH(Customer_Data[[#This Row],[LastPurchaseDate]])</f>
        <v>2</v>
      </c>
      <c r="N305" s="7">
        <v>45693</v>
      </c>
      <c r="O305">
        <v>29</v>
      </c>
      <c r="P305" s="4">
        <v>3352.3</v>
      </c>
      <c r="Q305" t="s">
        <v>4035</v>
      </c>
      <c r="R305">
        <v>3</v>
      </c>
      <c r="S305">
        <v>115.6</v>
      </c>
    </row>
    <row r="306" spans="1:19" x14ac:dyDescent="0.25">
      <c r="A306">
        <v>308</v>
      </c>
      <c r="B306" t="s">
        <v>42</v>
      </c>
      <c r="C306" t="s">
        <v>573</v>
      </c>
      <c r="D306" t="s">
        <v>851</v>
      </c>
      <c r="E306">
        <v>62</v>
      </c>
      <c r="F306" t="str" cm="1">
        <f t="array" ref="F306">INDEX(Country!$B$3:$B$250, MATCH(TRUE, ISNUMBER(SEARCH(Country!$A$2:$A$509, Customer_Data[[#This Row],[Country]])),0 ))</f>
        <v>Asia</v>
      </c>
      <c r="G306" t="s">
        <v>1002</v>
      </c>
      <c r="H306" t="s">
        <v>1389</v>
      </c>
      <c r="I306" t="s">
        <v>2353</v>
      </c>
      <c r="J306" t="s">
        <v>3345</v>
      </c>
      <c r="K306" s="1">
        <v>45324</v>
      </c>
      <c r="L306">
        <f>YEAR(Customer_Data[[#This Row],[LastPurchaseDate]])</f>
        <v>2025</v>
      </c>
      <c r="M306">
        <f>MONTH(Customer_Data[[#This Row],[LastPurchaseDate]])</f>
        <v>2</v>
      </c>
      <c r="N306" s="7">
        <v>45707</v>
      </c>
      <c r="O306">
        <v>12</v>
      </c>
      <c r="P306" s="4">
        <v>5582.85</v>
      </c>
      <c r="Q306" t="s">
        <v>4034</v>
      </c>
      <c r="R306">
        <v>1</v>
      </c>
      <c r="S306">
        <v>465.24</v>
      </c>
    </row>
    <row r="307" spans="1:19" x14ac:dyDescent="0.25">
      <c r="A307">
        <v>309</v>
      </c>
      <c r="B307" t="s">
        <v>103</v>
      </c>
      <c r="C307" t="s">
        <v>407</v>
      </c>
      <c r="D307" t="s">
        <v>851</v>
      </c>
      <c r="E307">
        <v>23</v>
      </c>
      <c r="F307" t="str" cm="1">
        <f t="array" ref="F307">INDEX(Country!$B$3:$B$250, MATCH(TRUE, ISNUMBER(SEARCH(Country!$A$2:$A$509, Customer_Data[[#This Row],[Country]])),0 ))</f>
        <v>Europe</v>
      </c>
      <c r="G307" t="s">
        <v>1029</v>
      </c>
      <c r="H307" t="s">
        <v>1390</v>
      </c>
      <c r="I307" t="s">
        <v>2354</v>
      </c>
      <c r="J307" t="s">
        <v>3346</v>
      </c>
      <c r="K307" s="1">
        <v>45237</v>
      </c>
      <c r="L307">
        <f>YEAR(Customer_Data[[#This Row],[LastPurchaseDate]])</f>
        <v>2024</v>
      </c>
      <c r="M307">
        <f>MONTH(Customer_Data[[#This Row],[LastPurchaseDate]])</f>
        <v>10</v>
      </c>
      <c r="N307" s="7">
        <v>45590</v>
      </c>
      <c r="O307">
        <v>33</v>
      </c>
      <c r="P307" s="4">
        <v>4304.58</v>
      </c>
      <c r="Q307" t="s">
        <v>4034</v>
      </c>
      <c r="R307">
        <v>2</v>
      </c>
      <c r="S307">
        <v>130.44</v>
      </c>
    </row>
    <row r="308" spans="1:19" x14ac:dyDescent="0.25">
      <c r="A308">
        <v>310</v>
      </c>
      <c r="B308" t="s">
        <v>202</v>
      </c>
      <c r="C308" t="s">
        <v>574</v>
      </c>
      <c r="D308" t="s">
        <v>851</v>
      </c>
      <c r="E308">
        <v>42</v>
      </c>
      <c r="F308" t="str" cm="1">
        <f t="array" ref="F308">INDEX(Country!$B$3:$B$250, MATCH(TRUE, ISNUMBER(SEARCH(Country!$A$2:$A$509, Customer_Data[[#This Row],[Country]])),0 ))</f>
        <v>North America</v>
      </c>
      <c r="G308" t="s">
        <v>1026</v>
      </c>
      <c r="H308" t="s">
        <v>1391</v>
      </c>
      <c r="I308" t="s">
        <v>2355</v>
      </c>
      <c r="J308" t="s">
        <v>3347</v>
      </c>
      <c r="K308" s="1">
        <v>45873</v>
      </c>
      <c r="L308">
        <f>YEAR(Customer_Data[[#This Row],[LastPurchaseDate]])</f>
        <v>2024</v>
      </c>
      <c r="M308">
        <f>MONTH(Customer_Data[[#This Row],[LastPurchaseDate]])</f>
        <v>12</v>
      </c>
      <c r="N308" s="7">
        <v>45656</v>
      </c>
      <c r="O308">
        <v>32</v>
      </c>
      <c r="P308" s="4">
        <v>1167.07</v>
      </c>
      <c r="Q308" t="s">
        <v>4034</v>
      </c>
      <c r="R308">
        <v>4</v>
      </c>
      <c r="S308">
        <v>36.47</v>
      </c>
    </row>
    <row r="309" spans="1:19" x14ac:dyDescent="0.25">
      <c r="A309">
        <v>311</v>
      </c>
      <c r="B309" t="s">
        <v>53</v>
      </c>
      <c r="C309" t="s">
        <v>398</v>
      </c>
      <c r="D309" t="s">
        <v>851</v>
      </c>
      <c r="E309">
        <v>44</v>
      </c>
      <c r="F309" t="str" cm="1">
        <f t="array" ref="F309">INDEX(Country!$B$3:$B$250, MATCH(TRUE, ISNUMBER(SEARCH(Country!$A$2:$A$509, Customer_Data[[#This Row],[Country]])),0 ))</f>
        <v>Africa</v>
      </c>
      <c r="G309" t="s">
        <v>856</v>
      </c>
      <c r="H309" t="s">
        <v>1392</v>
      </c>
      <c r="I309" t="s">
        <v>2356</v>
      </c>
      <c r="J309" t="s">
        <v>3348</v>
      </c>
      <c r="K309" s="1">
        <v>44884</v>
      </c>
      <c r="L309">
        <f>YEAR(Customer_Data[[#This Row],[LastPurchaseDate]])</f>
        <v>2024</v>
      </c>
      <c r="M309">
        <f>MONTH(Customer_Data[[#This Row],[LastPurchaseDate]])</f>
        <v>3</v>
      </c>
      <c r="N309" s="7">
        <v>45364</v>
      </c>
      <c r="O309">
        <v>43</v>
      </c>
      <c r="P309" s="4">
        <v>5018.55</v>
      </c>
      <c r="Q309" t="s">
        <v>4035</v>
      </c>
      <c r="R309">
        <v>2</v>
      </c>
      <c r="S309">
        <v>116.71</v>
      </c>
    </row>
    <row r="310" spans="1:19" x14ac:dyDescent="0.25">
      <c r="A310">
        <v>312</v>
      </c>
      <c r="B310" t="s">
        <v>95</v>
      </c>
      <c r="C310" t="s">
        <v>575</v>
      </c>
      <c r="D310" t="s">
        <v>851</v>
      </c>
      <c r="E310">
        <v>35</v>
      </c>
      <c r="F310" t="str" cm="1">
        <f t="array" ref="F310">INDEX(Country!$B$3:$B$250, MATCH(TRUE, ISNUMBER(SEARCH(Country!$A$2:$A$509, Customer_Data[[#This Row],[Country]])),0 ))</f>
        <v>Oceania</v>
      </c>
      <c r="G310" t="s">
        <v>897</v>
      </c>
      <c r="H310" t="s">
        <v>1393</v>
      </c>
      <c r="I310" t="s">
        <v>2357</v>
      </c>
      <c r="J310" t="s">
        <v>3349</v>
      </c>
      <c r="K310" s="1">
        <v>45909</v>
      </c>
      <c r="L310">
        <f>YEAR(Customer_Data[[#This Row],[LastPurchaseDate]])</f>
        <v>2024</v>
      </c>
      <c r="M310">
        <f>MONTH(Customer_Data[[#This Row],[LastPurchaseDate]])</f>
        <v>10</v>
      </c>
      <c r="N310" s="7">
        <v>45567</v>
      </c>
      <c r="O310">
        <v>21</v>
      </c>
      <c r="P310" s="4">
        <v>984.41</v>
      </c>
      <c r="Q310" t="s">
        <v>4035</v>
      </c>
      <c r="R310">
        <v>3</v>
      </c>
      <c r="S310">
        <v>46.88</v>
      </c>
    </row>
    <row r="311" spans="1:19" x14ac:dyDescent="0.25">
      <c r="A311">
        <v>313</v>
      </c>
      <c r="B311" t="s">
        <v>203</v>
      </c>
      <c r="C311" t="s">
        <v>576</v>
      </c>
      <c r="D311" t="s">
        <v>851</v>
      </c>
      <c r="E311">
        <v>33</v>
      </c>
      <c r="F311" t="str" cm="1">
        <f t="array" ref="F311">INDEX(Country!$B$3:$B$250, MATCH(TRUE, ISNUMBER(SEARCH(Country!$A$2:$A$509, Customer_Data[[#This Row],[Country]])),0 ))</f>
        <v>Europe</v>
      </c>
      <c r="G311" t="s">
        <v>1030</v>
      </c>
      <c r="H311" t="s">
        <v>1394</v>
      </c>
      <c r="I311" t="s">
        <v>2358</v>
      </c>
      <c r="J311" t="s">
        <v>3350</v>
      </c>
      <c r="K311" s="1">
        <v>44937</v>
      </c>
      <c r="L311">
        <f>YEAR(Customer_Data[[#This Row],[LastPurchaseDate]])</f>
        <v>2024</v>
      </c>
      <c r="M311">
        <f>MONTH(Customer_Data[[#This Row],[LastPurchaseDate]])</f>
        <v>8</v>
      </c>
      <c r="N311" s="7">
        <v>45519</v>
      </c>
      <c r="O311">
        <v>22</v>
      </c>
      <c r="P311" s="4">
        <v>2925.49</v>
      </c>
      <c r="Q311" t="s">
        <v>4035</v>
      </c>
      <c r="R311">
        <v>5</v>
      </c>
      <c r="S311">
        <v>132.97999999999999</v>
      </c>
    </row>
    <row r="312" spans="1:19" x14ac:dyDescent="0.25">
      <c r="A312">
        <v>314</v>
      </c>
      <c r="B312" t="s">
        <v>105</v>
      </c>
      <c r="C312" t="s">
        <v>467</v>
      </c>
      <c r="D312" t="s">
        <v>852</v>
      </c>
      <c r="E312">
        <v>27</v>
      </c>
      <c r="F312" t="str" cm="1">
        <f t="array" ref="F312">INDEX(Country!$B$3:$B$250, MATCH(TRUE, ISNUMBER(SEARCH(Country!$A$2:$A$509, Customer_Data[[#This Row],[Country]])),0 ))</f>
        <v>North America</v>
      </c>
      <c r="G312" t="s">
        <v>987</v>
      </c>
      <c r="H312" t="s">
        <v>1395</v>
      </c>
      <c r="I312" t="s">
        <v>2359</v>
      </c>
      <c r="J312" t="s">
        <v>3351</v>
      </c>
      <c r="K312" s="1">
        <v>45233</v>
      </c>
      <c r="L312">
        <f>YEAR(Customer_Data[[#This Row],[LastPurchaseDate]])</f>
        <v>2025</v>
      </c>
      <c r="M312">
        <f>MONTH(Customer_Data[[#This Row],[LastPurchaseDate]])</f>
        <v>4</v>
      </c>
      <c r="N312" s="7">
        <v>45758</v>
      </c>
      <c r="O312">
        <v>9</v>
      </c>
      <c r="P312" s="4">
        <v>5052.3100000000004</v>
      </c>
      <c r="Q312" t="s">
        <v>4035</v>
      </c>
      <c r="R312">
        <v>1</v>
      </c>
      <c r="S312">
        <v>561.37</v>
      </c>
    </row>
    <row r="313" spans="1:19" x14ac:dyDescent="0.25">
      <c r="A313">
        <v>315</v>
      </c>
      <c r="B313" t="s">
        <v>66</v>
      </c>
      <c r="C313" t="s">
        <v>356</v>
      </c>
      <c r="D313" t="s">
        <v>851</v>
      </c>
      <c r="E313">
        <v>29</v>
      </c>
      <c r="F313" t="str" cm="1">
        <f t="array" ref="F313">INDEX(Country!$B$3:$B$250, MATCH(TRUE, ISNUMBER(SEARCH(Country!$A$2:$A$509, Customer_Data[[#This Row],[Country]])),0 ))</f>
        <v>Asia</v>
      </c>
      <c r="G313" t="s">
        <v>1002</v>
      </c>
      <c r="H313" t="s">
        <v>1396</v>
      </c>
      <c r="I313" t="s">
        <v>2360</v>
      </c>
      <c r="J313" t="s">
        <v>3352</v>
      </c>
      <c r="K313" s="1">
        <v>45476</v>
      </c>
      <c r="L313">
        <f>YEAR(Customer_Data[[#This Row],[LastPurchaseDate]])</f>
        <v>2025</v>
      </c>
      <c r="M313">
        <f>MONTH(Customer_Data[[#This Row],[LastPurchaseDate]])</f>
        <v>2</v>
      </c>
      <c r="N313" s="7">
        <v>45701</v>
      </c>
      <c r="O313">
        <v>28</v>
      </c>
      <c r="P313" s="4">
        <v>9928.33</v>
      </c>
      <c r="Q313" t="s">
        <v>4034</v>
      </c>
      <c r="R313">
        <v>1</v>
      </c>
      <c r="S313">
        <v>354.58</v>
      </c>
    </row>
    <row r="314" spans="1:19" x14ac:dyDescent="0.25">
      <c r="A314">
        <v>316</v>
      </c>
      <c r="B314" t="s">
        <v>113</v>
      </c>
      <c r="C314" t="s">
        <v>577</v>
      </c>
      <c r="D314" t="s">
        <v>851</v>
      </c>
      <c r="E314">
        <v>38</v>
      </c>
      <c r="F314" t="str" cm="1">
        <f t="array" ref="F314">INDEX(Country!$B$3:$B$250, MATCH(TRUE, ISNUMBER(SEARCH(Country!$A$2:$A$509, Customer_Data[[#This Row],[Country]])),0 ))</f>
        <v>Oceania</v>
      </c>
      <c r="G314" t="s">
        <v>930</v>
      </c>
      <c r="H314" t="s">
        <v>1397</v>
      </c>
      <c r="I314" t="s">
        <v>2361</v>
      </c>
      <c r="J314" t="s">
        <v>3353</v>
      </c>
      <c r="K314" s="1">
        <v>45540</v>
      </c>
      <c r="L314">
        <f>YEAR(Customer_Data[[#This Row],[LastPurchaseDate]])</f>
        <v>2024</v>
      </c>
      <c r="M314">
        <f>MONTH(Customer_Data[[#This Row],[LastPurchaseDate]])</f>
        <v>6</v>
      </c>
      <c r="N314" s="7">
        <v>45454</v>
      </c>
      <c r="O314">
        <v>23</v>
      </c>
      <c r="P314" s="4">
        <v>3084</v>
      </c>
      <c r="Q314" t="s">
        <v>4034</v>
      </c>
      <c r="R314">
        <v>5</v>
      </c>
      <c r="S314">
        <v>134.09</v>
      </c>
    </row>
    <row r="315" spans="1:19" x14ac:dyDescent="0.25">
      <c r="A315">
        <v>317</v>
      </c>
      <c r="B315" t="s">
        <v>55</v>
      </c>
      <c r="C315" t="s">
        <v>578</v>
      </c>
      <c r="D315" t="s">
        <v>850</v>
      </c>
      <c r="E315">
        <v>26</v>
      </c>
      <c r="F315" t="str" cm="1">
        <f t="array" ref="F315">INDEX(Country!$B$3:$B$250, MATCH(TRUE, ISNUMBER(SEARCH(Country!$A$2:$A$509, Customer_Data[[#This Row],[Country]])),0 ))</f>
        <v>Africa</v>
      </c>
      <c r="G315" t="s">
        <v>933</v>
      </c>
      <c r="H315" t="s">
        <v>1398</v>
      </c>
      <c r="I315" t="s">
        <v>2362</v>
      </c>
      <c r="J315" t="s">
        <v>3354</v>
      </c>
      <c r="K315" s="1">
        <v>45581</v>
      </c>
      <c r="L315">
        <f>YEAR(Customer_Data[[#This Row],[LastPurchaseDate]])</f>
        <v>2024</v>
      </c>
      <c r="M315">
        <f>MONTH(Customer_Data[[#This Row],[LastPurchaseDate]])</f>
        <v>11</v>
      </c>
      <c r="N315" s="7">
        <v>45625</v>
      </c>
      <c r="O315">
        <v>8</v>
      </c>
      <c r="P315" s="4">
        <v>8260.6</v>
      </c>
      <c r="Q315" t="s">
        <v>4034</v>
      </c>
      <c r="R315">
        <v>3</v>
      </c>
      <c r="S315">
        <v>1032.58</v>
      </c>
    </row>
    <row r="316" spans="1:19" x14ac:dyDescent="0.25">
      <c r="A316">
        <v>318</v>
      </c>
      <c r="B316" t="s">
        <v>130</v>
      </c>
      <c r="C316" t="s">
        <v>579</v>
      </c>
      <c r="D316" t="s">
        <v>850</v>
      </c>
      <c r="E316">
        <v>46</v>
      </c>
      <c r="F316" t="str" cm="1">
        <f t="array" ref="F316">INDEX(Country!$B$3:$B$250, MATCH(TRUE, ISNUMBER(SEARCH(Country!$A$2:$A$509, Customer_Data[[#This Row],[Country]])),0 ))</f>
        <v>Europe</v>
      </c>
      <c r="G316" t="s">
        <v>1031</v>
      </c>
      <c r="H316" t="s">
        <v>1399</v>
      </c>
      <c r="I316" t="s">
        <v>2363</v>
      </c>
      <c r="J316" t="s">
        <v>3355</v>
      </c>
      <c r="K316" s="1">
        <v>45860</v>
      </c>
      <c r="L316">
        <f>YEAR(Customer_Data[[#This Row],[LastPurchaseDate]])</f>
        <v>2024</v>
      </c>
      <c r="M316">
        <f>MONTH(Customer_Data[[#This Row],[LastPurchaseDate]])</f>
        <v>10</v>
      </c>
      <c r="N316" s="7">
        <v>45567</v>
      </c>
      <c r="O316">
        <v>28</v>
      </c>
      <c r="P316" s="4">
        <v>7258.7</v>
      </c>
      <c r="Q316" t="s">
        <v>4034</v>
      </c>
      <c r="R316">
        <v>4</v>
      </c>
      <c r="S316">
        <v>259.24</v>
      </c>
    </row>
    <row r="317" spans="1:19" x14ac:dyDescent="0.25">
      <c r="A317">
        <v>319</v>
      </c>
      <c r="B317" t="s">
        <v>34</v>
      </c>
      <c r="C317" t="s">
        <v>580</v>
      </c>
      <c r="D317" t="s">
        <v>850</v>
      </c>
      <c r="E317">
        <v>19</v>
      </c>
      <c r="F317" t="str" cm="1">
        <f t="array" ref="F317">INDEX(Country!$B$3:$B$250, MATCH(TRUE, ISNUMBER(SEARCH(Country!$A$2:$A$509, Customer_Data[[#This Row],[Country]])),0 ))</f>
        <v>Africa</v>
      </c>
      <c r="G317" t="s">
        <v>1009</v>
      </c>
      <c r="H317" t="s">
        <v>1326</v>
      </c>
      <c r="I317" t="s">
        <v>2364</v>
      </c>
      <c r="J317" t="s">
        <v>3356</v>
      </c>
      <c r="K317" s="1">
        <v>45217</v>
      </c>
      <c r="L317">
        <f>YEAR(Customer_Data[[#This Row],[LastPurchaseDate]])</f>
        <v>2024</v>
      </c>
      <c r="M317">
        <f>MONTH(Customer_Data[[#This Row],[LastPurchaseDate]])</f>
        <v>7</v>
      </c>
      <c r="N317" s="7">
        <v>45480</v>
      </c>
      <c r="O317">
        <v>27</v>
      </c>
      <c r="P317" s="4">
        <v>1100.77</v>
      </c>
      <c r="Q317" t="s">
        <v>4034</v>
      </c>
      <c r="R317">
        <v>5</v>
      </c>
      <c r="S317">
        <v>40.770000000000003</v>
      </c>
    </row>
    <row r="318" spans="1:19" x14ac:dyDescent="0.25">
      <c r="A318">
        <v>320</v>
      </c>
      <c r="B318" t="s">
        <v>204</v>
      </c>
      <c r="C318" t="s">
        <v>487</v>
      </c>
      <c r="D318" t="s">
        <v>852</v>
      </c>
      <c r="E318">
        <v>35</v>
      </c>
      <c r="F318" t="str" cm="1">
        <f t="array" ref="F318">INDEX(Country!$B$3:$B$250, MATCH(TRUE, ISNUMBER(SEARCH(Country!$A$2:$A$509, Customer_Data[[#This Row],[Country]])),0 ))</f>
        <v>Europe</v>
      </c>
      <c r="G318" t="s">
        <v>1032</v>
      </c>
      <c r="H318" t="s">
        <v>1400</v>
      </c>
      <c r="I318" t="s">
        <v>2365</v>
      </c>
      <c r="J318" t="s">
        <v>3357</v>
      </c>
      <c r="K318" s="1">
        <v>45169</v>
      </c>
      <c r="L318">
        <f>YEAR(Customer_Data[[#This Row],[LastPurchaseDate]])</f>
        <v>2025</v>
      </c>
      <c r="M318">
        <f>MONTH(Customer_Data[[#This Row],[LastPurchaseDate]])</f>
        <v>4</v>
      </c>
      <c r="N318" s="7">
        <v>45750</v>
      </c>
      <c r="O318">
        <v>16</v>
      </c>
      <c r="P318" s="4">
        <v>3528.54</v>
      </c>
      <c r="Q318" t="s">
        <v>4035</v>
      </c>
      <c r="R318">
        <v>1</v>
      </c>
      <c r="S318">
        <v>220.53</v>
      </c>
    </row>
    <row r="319" spans="1:19" x14ac:dyDescent="0.25">
      <c r="A319">
        <v>321</v>
      </c>
      <c r="B319" t="s">
        <v>205</v>
      </c>
      <c r="C319" t="s">
        <v>581</v>
      </c>
      <c r="D319" t="s">
        <v>850</v>
      </c>
      <c r="E319">
        <v>39</v>
      </c>
      <c r="F319" t="str" cm="1">
        <f t="array" ref="F319">INDEX(Country!$B$3:$B$250, MATCH(TRUE, ISNUMBER(SEARCH(Country!$A$2:$A$509, Customer_Data[[#This Row],[Country]])),0 ))</f>
        <v>North America</v>
      </c>
      <c r="G319" t="s">
        <v>860</v>
      </c>
      <c r="H319" t="s">
        <v>1401</v>
      </c>
      <c r="I319" t="s">
        <v>2366</v>
      </c>
      <c r="J319" t="s">
        <v>3358</v>
      </c>
      <c r="K319" s="1">
        <v>45476</v>
      </c>
      <c r="L319">
        <f>YEAR(Customer_Data[[#This Row],[LastPurchaseDate]])</f>
        <v>2025</v>
      </c>
      <c r="M319">
        <f>MONTH(Customer_Data[[#This Row],[LastPurchaseDate]])</f>
        <v>1</v>
      </c>
      <c r="N319" s="7">
        <v>45659</v>
      </c>
      <c r="O319">
        <v>47</v>
      </c>
      <c r="P319" s="4">
        <v>8947.9599999999991</v>
      </c>
      <c r="Q319" t="s">
        <v>4035</v>
      </c>
      <c r="R319">
        <v>5</v>
      </c>
      <c r="S319">
        <v>190.38</v>
      </c>
    </row>
    <row r="320" spans="1:19" x14ac:dyDescent="0.25">
      <c r="A320">
        <v>322</v>
      </c>
      <c r="B320" t="s">
        <v>183</v>
      </c>
      <c r="C320" t="s">
        <v>582</v>
      </c>
      <c r="D320" t="s">
        <v>851</v>
      </c>
      <c r="E320">
        <v>23</v>
      </c>
      <c r="F320" t="str" cm="1">
        <f t="array" ref="F320">INDEX(Country!$B$3:$B$250, MATCH(TRUE, ISNUMBER(SEARCH(Country!$A$2:$A$509, Customer_Data[[#This Row],[Country]])),0 ))</f>
        <v>North America</v>
      </c>
      <c r="G320" t="s">
        <v>931</v>
      </c>
      <c r="H320" t="s">
        <v>1402</v>
      </c>
      <c r="I320" t="s">
        <v>2367</v>
      </c>
      <c r="J320" t="s">
        <v>3359</v>
      </c>
      <c r="K320" s="1">
        <v>45901</v>
      </c>
      <c r="L320">
        <f>YEAR(Customer_Data[[#This Row],[LastPurchaseDate]])</f>
        <v>2024</v>
      </c>
      <c r="M320">
        <f>MONTH(Customer_Data[[#This Row],[LastPurchaseDate]])</f>
        <v>6</v>
      </c>
      <c r="N320" s="7">
        <v>45457</v>
      </c>
      <c r="O320">
        <v>18</v>
      </c>
      <c r="P320" s="4">
        <v>5998.97</v>
      </c>
      <c r="Q320" t="s">
        <v>4035</v>
      </c>
      <c r="R320">
        <v>5</v>
      </c>
      <c r="S320">
        <v>333.28</v>
      </c>
    </row>
    <row r="321" spans="1:19" x14ac:dyDescent="0.25">
      <c r="A321">
        <v>323</v>
      </c>
      <c r="B321" t="s">
        <v>18</v>
      </c>
      <c r="C321" t="s">
        <v>583</v>
      </c>
      <c r="D321" t="s">
        <v>851</v>
      </c>
      <c r="E321">
        <v>43</v>
      </c>
      <c r="F321" t="str" cm="1">
        <f t="array" ref="F321">INDEX(Country!$B$3:$B$250, MATCH(TRUE, ISNUMBER(SEARCH(Country!$A$2:$A$509, Customer_Data[[#This Row],[Country]])),0 ))</f>
        <v>North America</v>
      </c>
      <c r="G321" t="s">
        <v>1004</v>
      </c>
      <c r="H321" t="s">
        <v>1403</v>
      </c>
      <c r="I321" t="s">
        <v>2368</v>
      </c>
      <c r="J321" t="s">
        <v>3360</v>
      </c>
      <c r="K321" s="1">
        <v>45902</v>
      </c>
      <c r="L321">
        <f>YEAR(Customer_Data[[#This Row],[LastPurchaseDate]])</f>
        <v>2024</v>
      </c>
      <c r="M321">
        <f>MONTH(Customer_Data[[#This Row],[LastPurchaseDate]])</f>
        <v>12</v>
      </c>
      <c r="N321" s="7">
        <v>45631</v>
      </c>
      <c r="O321">
        <v>1</v>
      </c>
      <c r="P321" s="4">
        <v>207.67</v>
      </c>
      <c r="Q321" t="s">
        <v>4034</v>
      </c>
      <c r="R321">
        <v>1</v>
      </c>
      <c r="S321">
        <v>207.67</v>
      </c>
    </row>
    <row r="322" spans="1:19" x14ac:dyDescent="0.25">
      <c r="A322">
        <v>324</v>
      </c>
      <c r="B322" t="s">
        <v>27</v>
      </c>
      <c r="C322" t="s">
        <v>584</v>
      </c>
      <c r="D322" t="s">
        <v>850</v>
      </c>
      <c r="E322">
        <v>20</v>
      </c>
      <c r="F322" t="str" cm="1">
        <f t="array" ref="F322">INDEX(Country!$B$3:$B$250, MATCH(TRUE, ISNUMBER(SEARCH(Country!$A$2:$A$509, Customer_Data[[#This Row],[Country]])),0 ))</f>
        <v>Asia</v>
      </c>
      <c r="G322" t="s">
        <v>1033</v>
      </c>
      <c r="H322" t="s">
        <v>1404</v>
      </c>
      <c r="I322" t="s">
        <v>2369</v>
      </c>
      <c r="J322" t="s">
        <v>3361</v>
      </c>
      <c r="K322" s="1">
        <v>44892</v>
      </c>
      <c r="L322">
        <f>YEAR(Customer_Data[[#This Row],[LastPurchaseDate]])</f>
        <v>2025</v>
      </c>
      <c r="M322">
        <f>MONTH(Customer_Data[[#This Row],[LastPurchaseDate]])</f>
        <v>5</v>
      </c>
      <c r="N322" s="7">
        <v>45798</v>
      </c>
      <c r="O322">
        <v>22</v>
      </c>
      <c r="P322" s="4">
        <v>5223.28</v>
      </c>
      <c r="Q322" t="s">
        <v>4035</v>
      </c>
      <c r="R322">
        <v>5</v>
      </c>
      <c r="S322">
        <v>237.42</v>
      </c>
    </row>
    <row r="323" spans="1:19" x14ac:dyDescent="0.25">
      <c r="A323">
        <v>325</v>
      </c>
      <c r="B323" t="s">
        <v>108</v>
      </c>
      <c r="C323" t="s">
        <v>585</v>
      </c>
      <c r="D323" t="s">
        <v>850</v>
      </c>
      <c r="E323">
        <v>61</v>
      </c>
      <c r="F323" t="str" cm="1">
        <f t="array" ref="F323">INDEX(Country!$B$3:$B$250, MATCH(TRUE, ISNUMBER(SEARCH(Country!$A$2:$A$509, Customer_Data[[#This Row],[Country]])),0 ))</f>
        <v>Asia</v>
      </c>
      <c r="G323" t="s">
        <v>159</v>
      </c>
      <c r="H323" t="s">
        <v>1405</v>
      </c>
      <c r="I323" t="s">
        <v>2370</v>
      </c>
      <c r="J323" t="s">
        <v>3362</v>
      </c>
      <c r="K323" s="1">
        <v>45890</v>
      </c>
      <c r="L323">
        <f>YEAR(Customer_Data[[#This Row],[LastPurchaseDate]])</f>
        <v>2024</v>
      </c>
      <c r="M323">
        <f>MONTH(Customer_Data[[#This Row],[LastPurchaseDate]])</f>
        <v>11</v>
      </c>
      <c r="N323" s="7">
        <v>45622</v>
      </c>
      <c r="O323">
        <v>24</v>
      </c>
      <c r="P323" s="4">
        <v>7625.31</v>
      </c>
      <c r="Q323" t="s">
        <v>4035</v>
      </c>
      <c r="R323">
        <v>3</v>
      </c>
      <c r="S323">
        <v>317.72000000000003</v>
      </c>
    </row>
    <row r="324" spans="1:19" x14ac:dyDescent="0.25">
      <c r="A324">
        <v>326</v>
      </c>
      <c r="B324" t="s">
        <v>206</v>
      </c>
      <c r="C324" t="s">
        <v>586</v>
      </c>
      <c r="D324" t="s">
        <v>850</v>
      </c>
      <c r="E324">
        <v>23</v>
      </c>
      <c r="F324" t="str" cm="1">
        <f t="array" ref="F324">INDEX(Country!$B$3:$B$250, MATCH(TRUE, ISNUMBER(SEARCH(Country!$A$2:$A$509, Customer_Data[[#This Row],[Country]])),0 ))</f>
        <v>South America</v>
      </c>
      <c r="G324" t="s">
        <v>958</v>
      </c>
      <c r="H324" t="s">
        <v>1406</v>
      </c>
      <c r="I324" t="s">
        <v>2371</v>
      </c>
      <c r="J324" t="s">
        <v>3363</v>
      </c>
      <c r="K324" s="1">
        <v>45430</v>
      </c>
      <c r="L324">
        <f>YEAR(Customer_Data[[#This Row],[LastPurchaseDate]])</f>
        <v>2023</v>
      </c>
      <c r="M324">
        <f>MONTH(Customer_Data[[#This Row],[LastPurchaseDate]])</f>
        <v>12</v>
      </c>
      <c r="N324" s="7">
        <v>45281</v>
      </c>
      <c r="O324">
        <v>34</v>
      </c>
      <c r="P324" s="4">
        <v>8404.85</v>
      </c>
      <c r="Q324" t="s">
        <v>4034</v>
      </c>
      <c r="R324">
        <v>3</v>
      </c>
      <c r="S324">
        <v>247.2</v>
      </c>
    </row>
    <row r="325" spans="1:19" x14ac:dyDescent="0.25">
      <c r="A325">
        <v>327</v>
      </c>
      <c r="B325" t="s">
        <v>207</v>
      </c>
      <c r="C325" t="s">
        <v>587</v>
      </c>
      <c r="D325" t="s">
        <v>851</v>
      </c>
      <c r="E325">
        <v>42</v>
      </c>
      <c r="F325" t="str" cm="1">
        <f t="array" ref="F325">INDEX(Country!$B$3:$B$250, MATCH(TRUE, ISNUMBER(SEARCH(Country!$A$2:$A$509, Customer_Data[[#This Row],[Country]])),0 ))</f>
        <v>South America</v>
      </c>
      <c r="G325" t="s">
        <v>1034</v>
      </c>
      <c r="H325" t="s">
        <v>1407</v>
      </c>
      <c r="I325" t="s">
        <v>2372</v>
      </c>
      <c r="J325" t="s">
        <v>3364</v>
      </c>
      <c r="K325" s="1">
        <v>45838</v>
      </c>
      <c r="L325">
        <f>YEAR(Customer_Data[[#This Row],[LastPurchaseDate]])</f>
        <v>2023</v>
      </c>
      <c r="M325">
        <f>MONTH(Customer_Data[[#This Row],[LastPurchaseDate]])</f>
        <v>11</v>
      </c>
      <c r="N325" s="7">
        <v>45251</v>
      </c>
      <c r="O325">
        <v>30</v>
      </c>
      <c r="P325" s="4">
        <v>3357.43</v>
      </c>
      <c r="Q325" t="s">
        <v>4034</v>
      </c>
      <c r="R325">
        <v>2</v>
      </c>
      <c r="S325">
        <v>111.91</v>
      </c>
    </row>
    <row r="326" spans="1:19" x14ac:dyDescent="0.25">
      <c r="A326">
        <v>328</v>
      </c>
      <c r="B326" t="s">
        <v>58</v>
      </c>
      <c r="C326" t="s">
        <v>588</v>
      </c>
      <c r="D326" t="s">
        <v>850</v>
      </c>
      <c r="E326">
        <v>51</v>
      </c>
      <c r="F326" t="str" cm="1">
        <f t="array" ref="F326">INDEX(Country!$B$3:$B$250, MATCH(TRUE, ISNUMBER(SEARCH(Country!$A$2:$A$509, Customer_Data[[#This Row],[Country]])),0 ))</f>
        <v>North America</v>
      </c>
      <c r="G326" t="s">
        <v>947</v>
      </c>
      <c r="H326" t="s">
        <v>1408</v>
      </c>
      <c r="I326" t="s">
        <v>2373</v>
      </c>
      <c r="J326" t="s">
        <v>3365</v>
      </c>
      <c r="K326" s="1">
        <v>45840</v>
      </c>
      <c r="L326">
        <f>YEAR(Customer_Data[[#This Row],[LastPurchaseDate]])</f>
        <v>2024</v>
      </c>
      <c r="M326">
        <f>MONTH(Customer_Data[[#This Row],[LastPurchaseDate]])</f>
        <v>7</v>
      </c>
      <c r="N326" s="7">
        <v>45491</v>
      </c>
      <c r="O326">
        <v>3</v>
      </c>
      <c r="P326" s="4">
        <v>5663.05</v>
      </c>
      <c r="Q326" t="s">
        <v>4034</v>
      </c>
      <c r="R326">
        <v>3</v>
      </c>
      <c r="S326">
        <v>1887.68</v>
      </c>
    </row>
    <row r="327" spans="1:19" x14ac:dyDescent="0.25">
      <c r="A327">
        <v>329</v>
      </c>
      <c r="B327" t="s">
        <v>178</v>
      </c>
      <c r="C327" t="s">
        <v>482</v>
      </c>
      <c r="D327" t="s">
        <v>850</v>
      </c>
      <c r="E327">
        <v>45</v>
      </c>
      <c r="F327" t="str" cm="1">
        <f t="array" ref="F327">INDEX(Country!$B$3:$B$250, MATCH(TRUE, ISNUMBER(SEARCH(Country!$A$2:$A$509, Customer_Data[[#This Row],[Country]])),0 ))</f>
        <v>Europe</v>
      </c>
      <c r="G327" t="s">
        <v>922</v>
      </c>
      <c r="H327" t="s">
        <v>1409</v>
      </c>
      <c r="I327" t="s">
        <v>2374</v>
      </c>
      <c r="J327" t="s">
        <v>3366</v>
      </c>
      <c r="K327" s="1">
        <v>45319</v>
      </c>
      <c r="L327">
        <f>YEAR(Customer_Data[[#This Row],[LastPurchaseDate]])</f>
        <v>2024</v>
      </c>
      <c r="M327">
        <f>MONTH(Customer_Data[[#This Row],[LastPurchaseDate]])</f>
        <v>10</v>
      </c>
      <c r="N327" s="7">
        <v>45569</v>
      </c>
      <c r="O327">
        <v>6</v>
      </c>
      <c r="P327" s="4">
        <v>4231.9399999999996</v>
      </c>
      <c r="Q327" t="s">
        <v>4035</v>
      </c>
      <c r="R327">
        <v>5</v>
      </c>
      <c r="S327">
        <v>705.32</v>
      </c>
    </row>
    <row r="328" spans="1:19" x14ac:dyDescent="0.25">
      <c r="A328">
        <v>330</v>
      </c>
      <c r="B328" t="s">
        <v>99</v>
      </c>
      <c r="C328" t="s">
        <v>573</v>
      </c>
      <c r="D328" t="s">
        <v>851</v>
      </c>
      <c r="E328">
        <v>55</v>
      </c>
      <c r="F328" t="str" cm="1">
        <f t="array" ref="F328">INDEX(Country!$B$3:$B$250, MATCH(TRUE, ISNUMBER(SEARCH(Country!$A$2:$A$509, Customer_Data[[#This Row],[Country]])),0 ))</f>
        <v>Asia</v>
      </c>
      <c r="G328" t="s">
        <v>1033</v>
      </c>
      <c r="H328" t="s">
        <v>1410</v>
      </c>
      <c r="I328" t="s">
        <v>2375</v>
      </c>
      <c r="J328" t="s">
        <v>3367</v>
      </c>
      <c r="K328" s="1">
        <v>45297</v>
      </c>
      <c r="L328">
        <f>YEAR(Customer_Data[[#This Row],[LastPurchaseDate]])</f>
        <v>2023</v>
      </c>
      <c r="M328">
        <f>MONTH(Customer_Data[[#This Row],[LastPurchaseDate]])</f>
        <v>12</v>
      </c>
      <c r="N328" s="7">
        <v>45285</v>
      </c>
      <c r="O328">
        <v>43</v>
      </c>
      <c r="P328" s="4">
        <v>7732.88</v>
      </c>
      <c r="Q328" t="s">
        <v>4034</v>
      </c>
      <c r="R328">
        <v>4</v>
      </c>
      <c r="S328">
        <v>179.83</v>
      </c>
    </row>
    <row r="329" spans="1:19" x14ac:dyDescent="0.25">
      <c r="A329">
        <v>331</v>
      </c>
      <c r="B329" t="s">
        <v>208</v>
      </c>
      <c r="C329" t="s">
        <v>589</v>
      </c>
      <c r="D329" t="s">
        <v>850</v>
      </c>
      <c r="E329">
        <v>61</v>
      </c>
      <c r="F329" t="str" cm="1">
        <f t="array" ref="F329">INDEX(Country!$B$3:$B$250, MATCH(TRUE, ISNUMBER(SEARCH(Country!$A$2:$A$509, Customer_Data[[#This Row],[Country]])),0 ))</f>
        <v>Asia</v>
      </c>
      <c r="G329" t="s">
        <v>909</v>
      </c>
      <c r="H329" t="s">
        <v>1411</v>
      </c>
      <c r="I329" t="s">
        <v>2376</v>
      </c>
      <c r="J329" t="s">
        <v>3368</v>
      </c>
      <c r="K329" s="1">
        <v>45750</v>
      </c>
      <c r="L329">
        <f>YEAR(Customer_Data[[#This Row],[LastPurchaseDate]])</f>
        <v>2025</v>
      </c>
      <c r="M329">
        <f>MONTH(Customer_Data[[#This Row],[LastPurchaseDate]])</f>
        <v>1</v>
      </c>
      <c r="N329" s="7">
        <v>45684</v>
      </c>
      <c r="O329">
        <v>15</v>
      </c>
      <c r="P329" s="4">
        <v>9988.92</v>
      </c>
      <c r="Q329" t="s">
        <v>4034</v>
      </c>
      <c r="R329">
        <v>2</v>
      </c>
      <c r="S329">
        <v>665.93</v>
      </c>
    </row>
    <row r="330" spans="1:19" x14ac:dyDescent="0.25">
      <c r="A330">
        <v>332</v>
      </c>
      <c r="B330" t="s">
        <v>63</v>
      </c>
      <c r="C330" t="s">
        <v>590</v>
      </c>
      <c r="D330" t="s">
        <v>851</v>
      </c>
      <c r="E330">
        <v>58</v>
      </c>
      <c r="F330" t="str" cm="1">
        <f t="array" ref="F330">INDEX(Country!$B$3:$B$250, MATCH(TRUE, ISNUMBER(SEARCH(Country!$A$2:$A$509, Customer_Data[[#This Row],[Country]])),0 ))</f>
        <v>Oceania</v>
      </c>
      <c r="G330" t="s">
        <v>1035</v>
      </c>
      <c r="H330" t="s">
        <v>1412</v>
      </c>
      <c r="I330" t="s">
        <v>2377</v>
      </c>
      <c r="J330" t="s">
        <v>3369</v>
      </c>
      <c r="K330" s="1">
        <v>45333</v>
      </c>
      <c r="L330">
        <f>YEAR(Customer_Data[[#This Row],[LastPurchaseDate]])</f>
        <v>2024</v>
      </c>
      <c r="M330">
        <f>MONTH(Customer_Data[[#This Row],[LastPurchaseDate]])</f>
        <v>11</v>
      </c>
      <c r="N330" s="7">
        <v>45625</v>
      </c>
      <c r="O330">
        <v>3</v>
      </c>
      <c r="P330" s="4">
        <v>5545.09</v>
      </c>
      <c r="Q330" t="s">
        <v>4035</v>
      </c>
      <c r="R330">
        <v>2</v>
      </c>
      <c r="S330">
        <v>1848.36</v>
      </c>
    </row>
    <row r="331" spans="1:19" x14ac:dyDescent="0.25">
      <c r="A331">
        <v>333</v>
      </c>
      <c r="B331" t="s">
        <v>104</v>
      </c>
      <c r="C331" t="s">
        <v>591</v>
      </c>
      <c r="D331" t="s">
        <v>850</v>
      </c>
      <c r="E331">
        <v>28</v>
      </c>
      <c r="F331" t="str" cm="1">
        <f t="array" ref="F331">INDEX(Country!$B$3:$B$250, MATCH(TRUE, ISNUMBER(SEARCH(Country!$A$2:$A$509, Customer_Data[[#This Row],[Country]])),0 ))</f>
        <v>Asia</v>
      </c>
      <c r="G331" t="s">
        <v>913</v>
      </c>
      <c r="H331" t="s">
        <v>1413</v>
      </c>
      <c r="I331" t="s">
        <v>2378</v>
      </c>
      <c r="J331" t="s">
        <v>3370</v>
      </c>
      <c r="K331" s="1">
        <v>45374</v>
      </c>
      <c r="L331">
        <f>YEAR(Customer_Data[[#This Row],[LastPurchaseDate]])</f>
        <v>2024</v>
      </c>
      <c r="M331">
        <f>MONTH(Customer_Data[[#This Row],[LastPurchaseDate]])</f>
        <v>3</v>
      </c>
      <c r="N331" s="7">
        <v>45364</v>
      </c>
      <c r="O331">
        <v>47</v>
      </c>
      <c r="P331" s="4">
        <v>4902.8500000000004</v>
      </c>
      <c r="Q331" t="s">
        <v>4035</v>
      </c>
      <c r="R331">
        <v>2</v>
      </c>
      <c r="S331">
        <v>104.32</v>
      </c>
    </row>
    <row r="332" spans="1:19" x14ac:dyDescent="0.25">
      <c r="A332">
        <v>334</v>
      </c>
      <c r="B332" t="s">
        <v>58</v>
      </c>
      <c r="C332" t="s">
        <v>539</v>
      </c>
      <c r="D332" t="s">
        <v>852</v>
      </c>
      <c r="E332">
        <v>30</v>
      </c>
      <c r="F332" t="str" cm="1">
        <f t="array" ref="F332">INDEX(Country!$B$3:$B$250, MATCH(TRUE, ISNUMBER(SEARCH(Country!$A$2:$A$509, Customer_Data[[#This Row],[Country]])),0 ))</f>
        <v>Africa</v>
      </c>
      <c r="G332" t="s">
        <v>1036</v>
      </c>
      <c r="H332" t="s">
        <v>1414</v>
      </c>
      <c r="I332" t="s">
        <v>2379</v>
      </c>
      <c r="J332" t="s">
        <v>3371</v>
      </c>
      <c r="K332" s="1">
        <v>45649</v>
      </c>
      <c r="L332">
        <f>YEAR(Customer_Data[[#This Row],[LastPurchaseDate]])</f>
        <v>2025</v>
      </c>
      <c r="M332">
        <f>MONTH(Customer_Data[[#This Row],[LastPurchaseDate]])</f>
        <v>9</v>
      </c>
      <c r="N332" s="7">
        <v>45911</v>
      </c>
      <c r="O332">
        <v>7</v>
      </c>
      <c r="P332" s="4">
        <v>1496.41</v>
      </c>
      <c r="Q332" t="s">
        <v>4035</v>
      </c>
      <c r="R332">
        <v>4</v>
      </c>
      <c r="S332">
        <v>213.77</v>
      </c>
    </row>
    <row r="333" spans="1:19" x14ac:dyDescent="0.25">
      <c r="A333">
        <v>335</v>
      </c>
      <c r="B333" t="s">
        <v>209</v>
      </c>
      <c r="C333" t="s">
        <v>424</v>
      </c>
      <c r="D333" t="s">
        <v>851</v>
      </c>
      <c r="E333">
        <v>66</v>
      </c>
      <c r="F333" t="str" cm="1">
        <f t="array" ref="F333">INDEX(Country!$B$3:$B$250, MATCH(TRUE, ISNUMBER(SEARCH(Country!$A$2:$A$509, Customer_Data[[#This Row],[Country]])),0 ))</f>
        <v>Africa</v>
      </c>
      <c r="G333" t="s">
        <v>1014</v>
      </c>
      <c r="H333" t="s">
        <v>1415</v>
      </c>
      <c r="I333" t="s">
        <v>2380</v>
      </c>
      <c r="J333" t="s">
        <v>3372</v>
      </c>
      <c r="K333" s="1">
        <v>45337</v>
      </c>
      <c r="L333">
        <f>YEAR(Customer_Data[[#This Row],[LastPurchaseDate]])</f>
        <v>2025</v>
      </c>
      <c r="M333">
        <f>MONTH(Customer_Data[[#This Row],[LastPurchaseDate]])</f>
        <v>2</v>
      </c>
      <c r="N333" s="7">
        <v>45696</v>
      </c>
      <c r="O333">
        <v>9</v>
      </c>
      <c r="P333" s="4">
        <v>8310.7199999999993</v>
      </c>
      <c r="Q333" t="s">
        <v>4034</v>
      </c>
      <c r="R333">
        <v>5</v>
      </c>
      <c r="S333">
        <v>923.41</v>
      </c>
    </row>
    <row r="334" spans="1:19" x14ac:dyDescent="0.25">
      <c r="A334">
        <v>336</v>
      </c>
      <c r="B334" t="s">
        <v>51</v>
      </c>
      <c r="C334" t="s">
        <v>592</v>
      </c>
      <c r="D334" t="s">
        <v>850</v>
      </c>
      <c r="E334">
        <v>56</v>
      </c>
      <c r="F334" t="str" cm="1">
        <f t="array" ref="F334">INDEX(Country!$B$3:$B$250, MATCH(TRUE, ISNUMBER(SEARCH(Country!$A$2:$A$509, Customer_Data[[#This Row],[Country]])),0 ))</f>
        <v>South America</v>
      </c>
      <c r="G334" t="s">
        <v>884</v>
      </c>
      <c r="H334" t="s">
        <v>1416</v>
      </c>
      <c r="I334" t="s">
        <v>2381</v>
      </c>
      <c r="J334" t="s">
        <v>3373</v>
      </c>
      <c r="K334" s="1">
        <v>44879</v>
      </c>
      <c r="L334">
        <f>YEAR(Customer_Data[[#This Row],[LastPurchaseDate]])</f>
        <v>2025</v>
      </c>
      <c r="M334">
        <f>MONTH(Customer_Data[[#This Row],[LastPurchaseDate]])</f>
        <v>3</v>
      </c>
      <c r="N334" s="7">
        <v>45736</v>
      </c>
      <c r="O334">
        <v>26</v>
      </c>
      <c r="P334" s="4">
        <v>8271.2199999999993</v>
      </c>
      <c r="Q334" t="s">
        <v>4034</v>
      </c>
      <c r="R334">
        <v>4</v>
      </c>
      <c r="S334">
        <v>318.12</v>
      </c>
    </row>
    <row r="335" spans="1:19" x14ac:dyDescent="0.25">
      <c r="A335">
        <v>337</v>
      </c>
      <c r="B335" t="s">
        <v>74</v>
      </c>
      <c r="C335" t="s">
        <v>544</v>
      </c>
      <c r="D335" t="s">
        <v>851</v>
      </c>
      <c r="E335">
        <v>63</v>
      </c>
      <c r="F335" t="str" cm="1">
        <f t="array" ref="F335">INDEX(Country!$B$3:$B$250, MATCH(TRUE, ISNUMBER(SEARCH(Country!$A$2:$A$509, Customer_Data[[#This Row],[Country]])),0 ))</f>
        <v>Africa</v>
      </c>
      <c r="G335" t="s">
        <v>857</v>
      </c>
      <c r="H335" t="s">
        <v>1417</v>
      </c>
      <c r="I335" t="s">
        <v>2382</v>
      </c>
      <c r="J335" t="s">
        <v>3374</v>
      </c>
      <c r="K335" s="1">
        <v>45709</v>
      </c>
      <c r="L335">
        <f>YEAR(Customer_Data[[#This Row],[LastPurchaseDate]])</f>
        <v>2025</v>
      </c>
      <c r="M335">
        <f>MONTH(Customer_Data[[#This Row],[LastPurchaseDate]])</f>
        <v>1</v>
      </c>
      <c r="N335" s="7">
        <v>45662</v>
      </c>
      <c r="O335">
        <v>25</v>
      </c>
      <c r="P335" s="4">
        <v>2580.56</v>
      </c>
      <c r="Q335" t="s">
        <v>4035</v>
      </c>
      <c r="R335">
        <v>1</v>
      </c>
      <c r="S335">
        <v>103.22</v>
      </c>
    </row>
    <row r="336" spans="1:19" x14ac:dyDescent="0.25">
      <c r="A336">
        <v>338</v>
      </c>
      <c r="B336" t="s">
        <v>33</v>
      </c>
      <c r="C336" t="s">
        <v>416</v>
      </c>
      <c r="D336" t="s">
        <v>851</v>
      </c>
      <c r="E336">
        <v>63</v>
      </c>
      <c r="F336" t="str" cm="1">
        <f t="array" ref="F336">INDEX(Country!$B$3:$B$250, MATCH(TRUE, ISNUMBER(SEARCH(Country!$A$2:$A$509, Customer_Data[[#This Row],[Country]])),0 ))</f>
        <v>Asia</v>
      </c>
      <c r="G336" t="s">
        <v>865</v>
      </c>
      <c r="H336" t="s">
        <v>1418</v>
      </c>
      <c r="I336" t="s">
        <v>2383</v>
      </c>
      <c r="J336" t="s">
        <v>3375</v>
      </c>
      <c r="K336" s="1">
        <v>45736</v>
      </c>
      <c r="L336">
        <f>YEAR(Customer_Data[[#This Row],[LastPurchaseDate]])</f>
        <v>2025</v>
      </c>
      <c r="M336">
        <f>MONTH(Customer_Data[[#This Row],[LastPurchaseDate]])</f>
        <v>6</v>
      </c>
      <c r="N336" s="7">
        <v>45825</v>
      </c>
      <c r="O336">
        <v>35</v>
      </c>
      <c r="P336" s="4">
        <v>678.98</v>
      </c>
      <c r="Q336" t="s">
        <v>4035</v>
      </c>
      <c r="R336">
        <v>2</v>
      </c>
      <c r="S336">
        <v>19.399999999999999</v>
      </c>
    </row>
    <row r="337" spans="1:19" x14ac:dyDescent="0.25">
      <c r="A337">
        <v>339</v>
      </c>
      <c r="B337" t="s">
        <v>132</v>
      </c>
      <c r="C337" t="s">
        <v>593</v>
      </c>
      <c r="D337" t="s">
        <v>851</v>
      </c>
      <c r="E337">
        <v>64</v>
      </c>
      <c r="F337" t="str" cm="1">
        <f t="array" ref="F337">INDEX(Country!$B$3:$B$250, MATCH(TRUE, ISNUMBER(SEARCH(Country!$A$2:$A$509, Customer_Data[[#This Row],[Country]])),0 ))</f>
        <v>Oceania</v>
      </c>
      <c r="G337" t="s">
        <v>862</v>
      </c>
      <c r="H337" t="s">
        <v>1419</v>
      </c>
      <c r="I337" t="s">
        <v>2384</v>
      </c>
      <c r="J337" t="s">
        <v>3376</v>
      </c>
      <c r="K337" s="1">
        <v>45172</v>
      </c>
      <c r="L337">
        <f>YEAR(Customer_Data[[#This Row],[LastPurchaseDate]])</f>
        <v>2025</v>
      </c>
      <c r="M337">
        <f>MONTH(Customer_Data[[#This Row],[LastPurchaseDate]])</f>
        <v>7</v>
      </c>
      <c r="N337" s="7">
        <v>45847</v>
      </c>
      <c r="O337">
        <v>39</v>
      </c>
      <c r="P337" s="4">
        <v>6621.29</v>
      </c>
      <c r="Q337" t="s">
        <v>4034</v>
      </c>
      <c r="R337">
        <v>2</v>
      </c>
      <c r="S337">
        <v>169.78</v>
      </c>
    </row>
    <row r="338" spans="1:19" x14ac:dyDescent="0.25">
      <c r="A338">
        <v>340</v>
      </c>
      <c r="B338" t="s">
        <v>111</v>
      </c>
      <c r="C338" t="s">
        <v>85</v>
      </c>
      <c r="D338" t="s">
        <v>850</v>
      </c>
      <c r="E338">
        <v>60</v>
      </c>
      <c r="F338" t="str" cm="1">
        <f t="array" ref="F338">INDEX(Country!$B$3:$B$250, MATCH(TRUE, ISNUMBER(SEARCH(Country!$A$2:$A$509, Customer_Data[[#This Row],[Country]])),0 ))</f>
        <v>North America</v>
      </c>
      <c r="G338" t="s">
        <v>947</v>
      </c>
      <c r="H338" t="s">
        <v>1420</v>
      </c>
      <c r="I338" t="s">
        <v>2385</v>
      </c>
      <c r="J338" t="s">
        <v>3377</v>
      </c>
      <c r="K338" s="1">
        <v>45545</v>
      </c>
      <c r="L338">
        <f>YEAR(Customer_Data[[#This Row],[LastPurchaseDate]])</f>
        <v>2024</v>
      </c>
      <c r="M338">
        <f>MONTH(Customer_Data[[#This Row],[LastPurchaseDate]])</f>
        <v>9</v>
      </c>
      <c r="N338" s="7">
        <v>45557</v>
      </c>
      <c r="O338">
        <v>24</v>
      </c>
      <c r="P338" s="4">
        <v>9142.89</v>
      </c>
      <c r="Q338" t="s">
        <v>4035</v>
      </c>
      <c r="R338">
        <v>1</v>
      </c>
      <c r="S338">
        <v>380.95</v>
      </c>
    </row>
    <row r="339" spans="1:19" x14ac:dyDescent="0.25">
      <c r="A339">
        <v>341</v>
      </c>
      <c r="B339" t="s">
        <v>199</v>
      </c>
      <c r="C339" t="s">
        <v>594</v>
      </c>
      <c r="D339" t="s">
        <v>850</v>
      </c>
      <c r="E339">
        <v>57</v>
      </c>
      <c r="F339" t="str" cm="1">
        <f t="array" ref="F339">INDEX(Country!$B$3:$B$250, MATCH(TRUE, ISNUMBER(SEARCH(Country!$A$2:$A$509, Customer_Data[[#This Row],[Country]])),0 ))</f>
        <v>North America</v>
      </c>
      <c r="G339" t="s">
        <v>872</v>
      </c>
      <c r="H339" t="s">
        <v>1118</v>
      </c>
      <c r="I339" t="s">
        <v>2386</v>
      </c>
      <c r="J339" t="s">
        <v>3378</v>
      </c>
      <c r="K339" s="1">
        <v>44971</v>
      </c>
      <c r="L339">
        <f>YEAR(Customer_Data[[#This Row],[LastPurchaseDate]])</f>
        <v>2024</v>
      </c>
      <c r="M339">
        <f>MONTH(Customer_Data[[#This Row],[LastPurchaseDate]])</f>
        <v>9</v>
      </c>
      <c r="N339" s="7">
        <v>45546</v>
      </c>
      <c r="O339">
        <v>23</v>
      </c>
      <c r="P339" s="4">
        <v>1296.92</v>
      </c>
      <c r="Q339" t="s">
        <v>4035</v>
      </c>
      <c r="R339">
        <v>5</v>
      </c>
      <c r="S339">
        <v>56.39</v>
      </c>
    </row>
    <row r="340" spans="1:19" x14ac:dyDescent="0.25">
      <c r="A340">
        <v>342</v>
      </c>
      <c r="B340" t="s">
        <v>203</v>
      </c>
      <c r="C340" t="s">
        <v>585</v>
      </c>
      <c r="D340" t="s">
        <v>850</v>
      </c>
      <c r="E340">
        <v>71</v>
      </c>
      <c r="F340" t="str" cm="1">
        <f t="array" ref="F340">INDEX(Country!$B$3:$B$250, MATCH(TRUE, ISNUMBER(SEARCH(Country!$A$2:$A$509, Customer_Data[[#This Row],[Country]])),0 ))</f>
        <v>North America</v>
      </c>
      <c r="G340" t="s">
        <v>954</v>
      </c>
      <c r="H340" t="s">
        <v>1421</v>
      </c>
      <c r="I340" t="s">
        <v>2387</v>
      </c>
      <c r="J340" t="s">
        <v>3379</v>
      </c>
      <c r="K340" s="1">
        <v>45816</v>
      </c>
      <c r="L340">
        <f>YEAR(Customer_Data[[#This Row],[LastPurchaseDate]])</f>
        <v>2024</v>
      </c>
      <c r="M340">
        <f>MONTH(Customer_Data[[#This Row],[LastPurchaseDate]])</f>
        <v>6</v>
      </c>
      <c r="N340" s="7">
        <v>45453</v>
      </c>
      <c r="O340">
        <v>20</v>
      </c>
      <c r="P340" s="4">
        <v>1135.3399999999999</v>
      </c>
      <c r="Q340" t="s">
        <v>4035</v>
      </c>
      <c r="R340">
        <v>3</v>
      </c>
      <c r="S340">
        <v>56.77</v>
      </c>
    </row>
    <row r="341" spans="1:19" x14ac:dyDescent="0.25">
      <c r="A341">
        <v>343</v>
      </c>
      <c r="B341" t="s">
        <v>210</v>
      </c>
      <c r="C341" t="s">
        <v>595</v>
      </c>
      <c r="D341" t="s">
        <v>850</v>
      </c>
      <c r="E341">
        <v>51</v>
      </c>
      <c r="F341" t="str" cm="1">
        <f t="array" ref="F341">INDEX(Country!$B$3:$B$250, MATCH(TRUE, ISNUMBER(SEARCH(Country!$A$2:$A$509, Customer_Data[[#This Row],[Country]])),0 ))</f>
        <v>South America</v>
      </c>
      <c r="G341" t="s">
        <v>885</v>
      </c>
      <c r="H341" t="s">
        <v>1422</v>
      </c>
      <c r="I341" t="s">
        <v>2388</v>
      </c>
      <c r="J341" t="s">
        <v>3380</v>
      </c>
      <c r="K341" s="1">
        <v>45449</v>
      </c>
      <c r="L341">
        <f>YEAR(Customer_Data[[#This Row],[LastPurchaseDate]])</f>
        <v>2025</v>
      </c>
      <c r="M341">
        <f>MONTH(Customer_Data[[#This Row],[LastPurchaseDate]])</f>
        <v>7</v>
      </c>
      <c r="N341" s="7">
        <v>45861</v>
      </c>
      <c r="O341">
        <v>36</v>
      </c>
      <c r="P341" s="4">
        <v>183.93</v>
      </c>
      <c r="Q341" t="s">
        <v>4035</v>
      </c>
      <c r="R341">
        <v>2</v>
      </c>
      <c r="S341">
        <v>5.1100000000000003</v>
      </c>
    </row>
    <row r="342" spans="1:19" x14ac:dyDescent="0.25">
      <c r="A342">
        <v>345</v>
      </c>
      <c r="B342" t="s">
        <v>61</v>
      </c>
      <c r="C342" t="s">
        <v>596</v>
      </c>
      <c r="D342" t="s">
        <v>850</v>
      </c>
      <c r="E342">
        <v>54</v>
      </c>
      <c r="F342" t="str" cm="1">
        <f t="array" ref="F342">INDEX(Country!$B$3:$B$250, MATCH(TRUE, ISNUMBER(SEARCH(Country!$A$2:$A$509, Customer_Data[[#This Row],[Country]])),0 ))</f>
        <v>Europe</v>
      </c>
      <c r="G342" t="s">
        <v>1022</v>
      </c>
      <c r="H342" t="s">
        <v>1423</v>
      </c>
      <c r="I342" t="s">
        <v>2389</v>
      </c>
      <c r="J342" t="s">
        <v>3381</v>
      </c>
      <c r="K342" s="1">
        <v>45733</v>
      </c>
      <c r="L342">
        <f>YEAR(Customer_Data[[#This Row],[LastPurchaseDate]])</f>
        <v>2024</v>
      </c>
      <c r="M342">
        <f>MONTH(Customer_Data[[#This Row],[LastPurchaseDate]])</f>
        <v>7</v>
      </c>
      <c r="N342" s="7">
        <v>45476</v>
      </c>
      <c r="O342">
        <v>40</v>
      </c>
      <c r="P342" s="4">
        <v>3520.65</v>
      </c>
      <c r="Q342" t="s">
        <v>4035</v>
      </c>
      <c r="R342">
        <v>3</v>
      </c>
      <c r="S342">
        <v>88.02</v>
      </c>
    </row>
    <row r="343" spans="1:19" x14ac:dyDescent="0.25">
      <c r="A343">
        <v>346</v>
      </c>
      <c r="B343" t="s">
        <v>177</v>
      </c>
      <c r="C343" t="s">
        <v>433</v>
      </c>
      <c r="D343" t="s">
        <v>850</v>
      </c>
      <c r="E343">
        <v>18</v>
      </c>
      <c r="F343" t="str" cm="1">
        <f t="array" ref="F343">INDEX(Country!$B$3:$B$250, MATCH(TRUE, ISNUMBER(SEARCH(Country!$A$2:$A$509, Customer_Data[[#This Row],[Country]])),0 ))</f>
        <v>Asia</v>
      </c>
      <c r="G343" t="s">
        <v>865</v>
      </c>
      <c r="H343" t="s">
        <v>1424</v>
      </c>
      <c r="I343" t="s">
        <v>2390</v>
      </c>
      <c r="J343" t="s">
        <v>3382</v>
      </c>
      <c r="K343" s="1">
        <v>45675</v>
      </c>
      <c r="L343">
        <f>YEAR(Customer_Data[[#This Row],[LastPurchaseDate]])</f>
        <v>2025</v>
      </c>
      <c r="M343">
        <f>MONTH(Customer_Data[[#This Row],[LastPurchaseDate]])</f>
        <v>9</v>
      </c>
      <c r="N343" s="7">
        <v>45924</v>
      </c>
      <c r="O343">
        <v>32</v>
      </c>
      <c r="P343" s="4">
        <v>5021.75</v>
      </c>
      <c r="Q343" t="s">
        <v>4035</v>
      </c>
      <c r="R343">
        <v>5</v>
      </c>
      <c r="S343">
        <v>156.93</v>
      </c>
    </row>
    <row r="344" spans="1:19" x14ac:dyDescent="0.25">
      <c r="A344">
        <v>347</v>
      </c>
      <c r="B344" t="s">
        <v>211</v>
      </c>
      <c r="C344" t="s">
        <v>364</v>
      </c>
      <c r="D344" t="s">
        <v>851</v>
      </c>
      <c r="E344">
        <v>73</v>
      </c>
      <c r="F344" t="str" cm="1">
        <f t="array" ref="F344">INDEX(Country!$B$3:$B$250, MATCH(TRUE, ISNUMBER(SEARCH(Country!$A$2:$A$509, Customer_Data[[#This Row],[Country]])),0 ))</f>
        <v>North America</v>
      </c>
      <c r="G344" t="s">
        <v>910</v>
      </c>
      <c r="H344" t="s">
        <v>1425</v>
      </c>
      <c r="I344" t="s">
        <v>2391</v>
      </c>
      <c r="J344" t="s">
        <v>3383</v>
      </c>
      <c r="K344" s="1">
        <v>45275</v>
      </c>
      <c r="L344">
        <f>YEAR(Customer_Data[[#This Row],[LastPurchaseDate]])</f>
        <v>2024</v>
      </c>
      <c r="M344">
        <f>MONTH(Customer_Data[[#This Row],[LastPurchaseDate]])</f>
        <v>1</v>
      </c>
      <c r="N344" s="7">
        <v>45300</v>
      </c>
      <c r="O344">
        <v>32</v>
      </c>
      <c r="P344" s="4">
        <v>8485.42</v>
      </c>
      <c r="Q344" t="s">
        <v>4035</v>
      </c>
      <c r="R344">
        <v>1</v>
      </c>
      <c r="S344">
        <v>265.17</v>
      </c>
    </row>
    <row r="345" spans="1:19" x14ac:dyDescent="0.25">
      <c r="A345">
        <v>348</v>
      </c>
      <c r="B345" t="s">
        <v>212</v>
      </c>
      <c r="C345" t="s">
        <v>597</v>
      </c>
      <c r="D345" t="s">
        <v>850</v>
      </c>
      <c r="E345">
        <v>67</v>
      </c>
      <c r="F345" t="str" cm="1">
        <f t="array" ref="F345">INDEX(Country!$B$3:$B$250, MATCH(TRUE, ISNUMBER(SEARCH(Country!$A$2:$A$509, Customer_Data[[#This Row],[Country]])),0 ))</f>
        <v>Africa</v>
      </c>
      <c r="G345" t="s">
        <v>1037</v>
      </c>
      <c r="H345" t="s">
        <v>1426</v>
      </c>
      <c r="I345" t="s">
        <v>2392</v>
      </c>
      <c r="J345" t="s">
        <v>3384</v>
      </c>
      <c r="K345" s="1">
        <v>45285</v>
      </c>
      <c r="L345">
        <f>YEAR(Customer_Data[[#This Row],[LastPurchaseDate]])</f>
        <v>2024</v>
      </c>
      <c r="M345">
        <f>MONTH(Customer_Data[[#This Row],[LastPurchaseDate]])</f>
        <v>12</v>
      </c>
      <c r="N345" s="7">
        <v>45643</v>
      </c>
      <c r="O345">
        <v>15</v>
      </c>
      <c r="P345" s="4">
        <v>2555.6799999999998</v>
      </c>
      <c r="Q345" t="s">
        <v>4034</v>
      </c>
      <c r="R345">
        <v>2</v>
      </c>
      <c r="S345">
        <v>170.38</v>
      </c>
    </row>
    <row r="346" spans="1:19" x14ac:dyDescent="0.25">
      <c r="A346">
        <v>349</v>
      </c>
      <c r="B346" t="s">
        <v>146</v>
      </c>
      <c r="C346" t="s">
        <v>598</v>
      </c>
      <c r="D346" t="s">
        <v>850</v>
      </c>
      <c r="E346">
        <v>57</v>
      </c>
      <c r="F346" t="str" cm="1">
        <f t="array" ref="F346">INDEX(Country!$B$3:$B$250, MATCH(TRUE, ISNUMBER(SEARCH(Country!$A$2:$A$509, Customer_Data[[#This Row],[Country]])),0 ))</f>
        <v>North America</v>
      </c>
      <c r="G346" t="s">
        <v>1004</v>
      </c>
      <c r="H346" t="s">
        <v>1427</v>
      </c>
      <c r="I346" t="s">
        <v>2393</v>
      </c>
      <c r="J346" t="s">
        <v>3385</v>
      </c>
      <c r="K346" s="1">
        <v>44977</v>
      </c>
      <c r="L346">
        <f>YEAR(Customer_Data[[#This Row],[LastPurchaseDate]])</f>
        <v>2025</v>
      </c>
      <c r="M346">
        <f>MONTH(Customer_Data[[#This Row],[LastPurchaseDate]])</f>
        <v>6</v>
      </c>
      <c r="N346" s="7">
        <v>45810</v>
      </c>
      <c r="O346">
        <v>8</v>
      </c>
      <c r="P346" s="4">
        <v>4796.99</v>
      </c>
      <c r="Q346" t="s">
        <v>4035</v>
      </c>
      <c r="R346">
        <v>3</v>
      </c>
      <c r="S346">
        <v>599.62</v>
      </c>
    </row>
    <row r="347" spans="1:19" x14ac:dyDescent="0.25">
      <c r="A347">
        <v>350</v>
      </c>
      <c r="B347" t="s">
        <v>93</v>
      </c>
      <c r="C347" t="s">
        <v>419</v>
      </c>
      <c r="D347" t="s">
        <v>851</v>
      </c>
      <c r="E347">
        <v>24</v>
      </c>
      <c r="F347" t="str" cm="1">
        <f t="array" ref="F347">INDEX(Country!$B$3:$B$250, MATCH(TRUE, ISNUMBER(SEARCH(Country!$A$2:$A$509, Customer_Data[[#This Row],[Country]])),0 ))</f>
        <v>Europe</v>
      </c>
      <c r="G347" t="s">
        <v>935</v>
      </c>
      <c r="H347" t="s">
        <v>1428</v>
      </c>
      <c r="I347" t="s">
        <v>2394</v>
      </c>
      <c r="J347" t="s">
        <v>3386</v>
      </c>
      <c r="K347" s="1">
        <v>45958</v>
      </c>
      <c r="L347">
        <f>YEAR(Customer_Data[[#This Row],[LastPurchaseDate]])</f>
        <v>2024</v>
      </c>
      <c r="M347">
        <f>MONTH(Customer_Data[[#This Row],[LastPurchaseDate]])</f>
        <v>2</v>
      </c>
      <c r="N347" s="7">
        <v>45342</v>
      </c>
      <c r="O347">
        <v>49</v>
      </c>
      <c r="P347" s="4">
        <v>1530.75</v>
      </c>
      <c r="Q347" t="s">
        <v>4035</v>
      </c>
      <c r="R347">
        <v>5</v>
      </c>
      <c r="S347">
        <v>31.24</v>
      </c>
    </row>
    <row r="348" spans="1:19" x14ac:dyDescent="0.25">
      <c r="A348">
        <v>351</v>
      </c>
      <c r="B348" t="s">
        <v>162</v>
      </c>
      <c r="C348" t="s">
        <v>599</v>
      </c>
      <c r="D348" t="s">
        <v>850</v>
      </c>
      <c r="E348">
        <v>30</v>
      </c>
      <c r="F348" t="str" cm="1">
        <f t="array" ref="F348">INDEX(Country!$B$3:$B$250, MATCH(TRUE, ISNUMBER(SEARCH(Country!$A$2:$A$509, Customer_Data[[#This Row],[Country]])),0 ))</f>
        <v>Europe</v>
      </c>
      <c r="G348" t="s">
        <v>1038</v>
      </c>
      <c r="H348" t="s">
        <v>1429</v>
      </c>
      <c r="I348" t="s">
        <v>2395</v>
      </c>
      <c r="J348" t="s">
        <v>3387</v>
      </c>
      <c r="K348" s="1">
        <v>44912</v>
      </c>
      <c r="L348">
        <f>YEAR(Customer_Data[[#This Row],[LastPurchaseDate]])</f>
        <v>2024</v>
      </c>
      <c r="M348">
        <f>MONTH(Customer_Data[[#This Row],[LastPurchaseDate]])</f>
        <v>5</v>
      </c>
      <c r="N348" s="7">
        <v>45426</v>
      </c>
      <c r="O348">
        <v>18</v>
      </c>
      <c r="P348" s="4">
        <v>6749.3</v>
      </c>
      <c r="Q348" t="s">
        <v>4035</v>
      </c>
      <c r="R348">
        <v>3</v>
      </c>
      <c r="S348">
        <v>374.96</v>
      </c>
    </row>
    <row r="349" spans="1:19" x14ac:dyDescent="0.25">
      <c r="A349">
        <v>353</v>
      </c>
      <c r="B349" t="s">
        <v>213</v>
      </c>
      <c r="C349" t="s">
        <v>600</v>
      </c>
      <c r="D349" t="s">
        <v>851</v>
      </c>
      <c r="E349">
        <v>59</v>
      </c>
      <c r="F349" t="str" cm="1">
        <f t="array" ref="F349">INDEX(Country!$B$3:$B$250, MATCH(TRUE, ISNUMBER(SEARCH(Country!$A$2:$A$509, Customer_Data[[#This Row],[Country]])),0 ))</f>
        <v>Europe</v>
      </c>
      <c r="G349" t="s">
        <v>965</v>
      </c>
      <c r="H349" t="s">
        <v>1430</v>
      </c>
      <c r="I349" t="s">
        <v>2396</v>
      </c>
      <c r="J349" t="s">
        <v>3388</v>
      </c>
      <c r="K349" s="1">
        <v>45200</v>
      </c>
      <c r="L349">
        <f>YEAR(Customer_Data[[#This Row],[LastPurchaseDate]])</f>
        <v>2025</v>
      </c>
      <c r="M349">
        <f>MONTH(Customer_Data[[#This Row],[LastPurchaseDate]])</f>
        <v>2</v>
      </c>
      <c r="N349" s="7">
        <v>45700</v>
      </c>
      <c r="O349">
        <v>47</v>
      </c>
      <c r="P349" s="4">
        <v>1356.8</v>
      </c>
      <c r="Q349" t="s">
        <v>4035</v>
      </c>
      <c r="R349">
        <v>1</v>
      </c>
      <c r="S349">
        <v>28.87</v>
      </c>
    </row>
    <row r="350" spans="1:19" x14ac:dyDescent="0.25">
      <c r="A350">
        <v>354</v>
      </c>
      <c r="B350" t="s">
        <v>214</v>
      </c>
      <c r="C350" t="s">
        <v>520</v>
      </c>
      <c r="D350" t="s">
        <v>850</v>
      </c>
      <c r="E350">
        <v>63</v>
      </c>
      <c r="F350" t="str" cm="1">
        <f t="array" ref="F350">INDEX(Country!$B$3:$B$250, MATCH(TRUE, ISNUMBER(SEARCH(Country!$A$2:$A$509, Customer_Data[[#This Row],[Country]])),0 ))</f>
        <v>North America</v>
      </c>
      <c r="G350" t="s">
        <v>1021</v>
      </c>
      <c r="H350" t="s">
        <v>1431</v>
      </c>
      <c r="I350" t="s">
        <v>2397</v>
      </c>
      <c r="J350" t="s">
        <v>3389</v>
      </c>
      <c r="K350" s="1">
        <v>45791</v>
      </c>
      <c r="L350">
        <f>YEAR(Customer_Data[[#This Row],[LastPurchaseDate]])</f>
        <v>2025</v>
      </c>
      <c r="M350">
        <f>MONTH(Customer_Data[[#This Row],[LastPurchaseDate]])</f>
        <v>6</v>
      </c>
      <c r="N350" s="7">
        <v>45809</v>
      </c>
      <c r="O350">
        <v>10</v>
      </c>
      <c r="P350" s="4">
        <v>7616.98</v>
      </c>
      <c r="Q350" t="s">
        <v>4034</v>
      </c>
      <c r="R350">
        <v>4</v>
      </c>
      <c r="S350">
        <v>761.7</v>
      </c>
    </row>
    <row r="351" spans="1:19" x14ac:dyDescent="0.25">
      <c r="A351">
        <v>355</v>
      </c>
      <c r="B351" t="s">
        <v>101</v>
      </c>
      <c r="C351" t="s">
        <v>601</v>
      </c>
      <c r="D351" t="s">
        <v>851</v>
      </c>
      <c r="E351">
        <v>24</v>
      </c>
      <c r="F351" t="str" cm="1">
        <f t="array" ref="F351">INDEX(Country!$B$3:$B$250, MATCH(TRUE, ISNUMBER(SEARCH(Country!$A$2:$A$509, Customer_Data[[#This Row],[Country]])),0 ))</f>
        <v>Europe</v>
      </c>
      <c r="G351" t="s">
        <v>892</v>
      </c>
      <c r="H351" t="s">
        <v>1432</v>
      </c>
      <c r="I351" t="s">
        <v>2398</v>
      </c>
      <c r="J351" t="s">
        <v>3390</v>
      </c>
      <c r="K351" s="1">
        <v>45744</v>
      </c>
      <c r="L351">
        <f>YEAR(Customer_Data[[#This Row],[LastPurchaseDate]])</f>
        <v>2024</v>
      </c>
      <c r="M351">
        <f>MONTH(Customer_Data[[#This Row],[LastPurchaseDate]])</f>
        <v>4</v>
      </c>
      <c r="N351" s="7">
        <v>45412</v>
      </c>
      <c r="O351">
        <v>32</v>
      </c>
      <c r="P351" s="4">
        <v>7963.22</v>
      </c>
      <c r="Q351" t="s">
        <v>4034</v>
      </c>
      <c r="R351">
        <v>5</v>
      </c>
      <c r="S351">
        <v>248.85</v>
      </c>
    </row>
    <row r="352" spans="1:19" x14ac:dyDescent="0.25">
      <c r="A352">
        <v>356</v>
      </c>
      <c r="B352" t="s">
        <v>215</v>
      </c>
      <c r="C352" t="s">
        <v>456</v>
      </c>
      <c r="D352" t="s">
        <v>851</v>
      </c>
      <c r="E352">
        <v>59</v>
      </c>
      <c r="F352" t="str" cm="1">
        <f t="array" ref="F352">INDEX(Country!$B$3:$B$250, MATCH(TRUE, ISNUMBER(SEARCH(Country!$A$2:$A$509, Customer_Data[[#This Row],[Country]])),0 ))</f>
        <v>Africa</v>
      </c>
      <c r="G352" t="s">
        <v>1009</v>
      </c>
      <c r="H352" t="s">
        <v>1433</v>
      </c>
      <c r="I352" t="s">
        <v>2399</v>
      </c>
      <c r="J352" t="s">
        <v>3391</v>
      </c>
      <c r="K352" s="1">
        <v>44950</v>
      </c>
      <c r="L352">
        <f>YEAR(Customer_Data[[#This Row],[LastPurchaseDate]])</f>
        <v>2023</v>
      </c>
      <c r="M352">
        <f>MONTH(Customer_Data[[#This Row],[LastPurchaseDate]])</f>
        <v>11</v>
      </c>
      <c r="N352" s="7">
        <v>45240</v>
      </c>
      <c r="O352">
        <v>35</v>
      </c>
      <c r="P352" s="4">
        <v>6247.26</v>
      </c>
      <c r="Q352" t="s">
        <v>4035</v>
      </c>
      <c r="R352">
        <v>2</v>
      </c>
      <c r="S352">
        <v>178.49</v>
      </c>
    </row>
    <row r="353" spans="1:19" x14ac:dyDescent="0.25">
      <c r="A353">
        <v>357</v>
      </c>
      <c r="B353" t="s">
        <v>120</v>
      </c>
      <c r="C353" t="s">
        <v>386</v>
      </c>
      <c r="D353" t="s">
        <v>850</v>
      </c>
      <c r="E353">
        <v>65</v>
      </c>
      <c r="F353" t="str" cm="1">
        <f t="array" ref="F353">INDEX(Country!$B$3:$B$250, MATCH(TRUE, ISNUMBER(SEARCH(Country!$A$2:$A$509, Customer_Data[[#This Row],[Country]])),0 ))</f>
        <v>Oceania</v>
      </c>
      <c r="G353" t="s">
        <v>862</v>
      </c>
      <c r="H353" t="s">
        <v>1434</v>
      </c>
      <c r="I353" t="s">
        <v>2400</v>
      </c>
      <c r="J353" t="s">
        <v>3392</v>
      </c>
      <c r="K353" s="1">
        <v>45339</v>
      </c>
      <c r="L353">
        <f>YEAR(Customer_Data[[#This Row],[LastPurchaseDate]])</f>
        <v>2024</v>
      </c>
      <c r="M353">
        <f>MONTH(Customer_Data[[#This Row],[LastPurchaseDate]])</f>
        <v>1</v>
      </c>
      <c r="N353" s="7">
        <v>45316</v>
      </c>
      <c r="O353">
        <v>4</v>
      </c>
      <c r="P353" s="4">
        <v>6566.7</v>
      </c>
      <c r="Q353" t="s">
        <v>4034</v>
      </c>
      <c r="R353">
        <v>5</v>
      </c>
      <c r="S353">
        <v>1641.68</v>
      </c>
    </row>
    <row r="354" spans="1:19" x14ac:dyDescent="0.25">
      <c r="A354">
        <v>358</v>
      </c>
      <c r="B354" t="s">
        <v>115</v>
      </c>
      <c r="C354" t="s">
        <v>482</v>
      </c>
      <c r="D354" t="s">
        <v>850</v>
      </c>
      <c r="E354">
        <v>73</v>
      </c>
      <c r="F354" t="str" cm="1">
        <f t="array" ref="F354">INDEX(Country!$B$3:$B$250, MATCH(TRUE, ISNUMBER(SEARCH(Country!$A$2:$A$509, Customer_Data[[#This Row],[Country]])),0 ))</f>
        <v>Oceania</v>
      </c>
      <c r="G354" t="s">
        <v>1039</v>
      </c>
      <c r="H354" t="s">
        <v>1435</v>
      </c>
      <c r="I354" t="s">
        <v>2401</v>
      </c>
      <c r="J354" t="s">
        <v>3393</v>
      </c>
      <c r="K354" s="1">
        <v>45863</v>
      </c>
      <c r="L354">
        <f>YEAR(Customer_Data[[#This Row],[LastPurchaseDate]])</f>
        <v>2024</v>
      </c>
      <c r="M354">
        <f>MONTH(Customer_Data[[#This Row],[LastPurchaseDate]])</f>
        <v>12</v>
      </c>
      <c r="N354" s="7">
        <v>45639</v>
      </c>
      <c r="O354">
        <v>1</v>
      </c>
      <c r="P354" s="4">
        <v>6763.96</v>
      </c>
      <c r="Q354" t="s">
        <v>4034</v>
      </c>
      <c r="R354">
        <v>5</v>
      </c>
      <c r="S354">
        <v>6763.96</v>
      </c>
    </row>
    <row r="355" spans="1:19" x14ac:dyDescent="0.25">
      <c r="A355">
        <v>359</v>
      </c>
      <c r="B355" t="s">
        <v>78</v>
      </c>
      <c r="C355" t="s">
        <v>474</v>
      </c>
      <c r="D355" t="s">
        <v>851</v>
      </c>
      <c r="E355">
        <v>37</v>
      </c>
      <c r="F355" t="str" cm="1">
        <f t="array" ref="F355">INDEX(Country!$B$3:$B$250, MATCH(TRUE, ISNUMBER(SEARCH(Country!$A$2:$A$509, Customer_Data[[#This Row],[Country]])),0 ))</f>
        <v>Europe</v>
      </c>
      <c r="G355" t="s">
        <v>960</v>
      </c>
      <c r="H355" t="s">
        <v>1436</v>
      </c>
      <c r="I355" t="s">
        <v>2402</v>
      </c>
      <c r="J355" t="s">
        <v>3394</v>
      </c>
      <c r="K355" s="1">
        <v>45110</v>
      </c>
      <c r="L355">
        <f>YEAR(Customer_Data[[#This Row],[LastPurchaseDate]])</f>
        <v>2024</v>
      </c>
      <c r="M355">
        <f>MONTH(Customer_Data[[#This Row],[LastPurchaseDate]])</f>
        <v>10</v>
      </c>
      <c r="N355" s="7">
        <v>45589</v>
      </c>
      <c r="O355">
        <v>40</v>
      </c>
      <c r="P355" s="4">
        <v>3991.35</v>
      </c>
      <c r="Q355" t="s">
        <v>4035</v>
      </c>
      <c r="R355">
        <v>3</v>
      </c>
      <c r="S355">
        <v>99.78</v>
      </c>
    </row>
    <row r="356" spans="1:19" x14ac:dyDescent="0.25">
      <c r="A356">
        <v>360</v>
      </c>
      <c r="B356" t="s">
        <v>54</v>
      </c>
      <c r="C356" t="s">
        <v>602</v>
      </c>
      <c r="D356" t="s">
        <v>851</v>
      </c>
      <c r="E356">
        <v>36</v>
      </c>
      <c r="F356" t="str" cm="1">
        <f t="array" ref="F356">INDEX(Country!$B$3:$B$250, MATCH(TRUE, ISNUMBER(SEARCH(Country!$A$2:$A$509, Customer_Data[[#This Row],[Country]])),0 ))</f>
        <v>Asia</v>
      </c>
      <c r="G356" t="s">
        <v>1040</v>
      </c>
      <c r="H356" t="s">
        <v>1437</v>
      </c>
      <c r="I356" t="s">
        <v>2403</v>
      </c>
      <c r="J356" t="s">
        <v>3395</v>
      </c>
      <c r="K356" s="1">
        <v>45035</v>
      </c>
      <c r="L356">
        <f>YEAR(Customer_Data[[#This Row],[LastPurchaseDate]])</f>
        <v>2024</v>
      </c>
      <c r="M356">
        <f>MONTH(Customer_Data[[#This Row],[LastPurchaseDate]])</f>
        <v>10</v>
      </c>
      <c r="N356" s="7">
        <v>45586</v>
      </c>
      <c r="O356">
        <v>11</v>
      </c>
      <c r="P356" s="4">
        <v>4951.29</v>
      </c>
      <c r="Q356" t="s">
        <v>4035</v>
      </c>
      <c r="R356">
        <v>4</v>
      </c>
      <c r="S356">
        <v>450.12</v>
      </c>
    </row>
    <row r="357" spans="1:19" x14ac:dyDescent="0.25">
      <c r="A357">
        <v>361</v>
      </c>
      <c r="B357" t="s">
        <v>216</v>
      </c>
      <c r="C357" t="s">
        <v>603</v>
      </c>
      <c r="D357" t="s">
        <v>850</v>
      </c>
      <c r="E357">
        <v>35</v>
      </c>
      <c r="F357" t="str" cm="1">
        <f t="array" ref="F357">INDEX(Country!$B$3:$B$250, MATCH(TRUE, ISNUMBER(SEARCH(Country!$A$2:$A$509, Customer_Data[[#This Row],[Country]])),0 ))</f>
        <v>Asia</v>
      </c>
      <c r="G357" t="s">
        <v>943</v>
      </c>
      <c r="H357" t="s">
        <v>1438</v>
      </c>
      <c r="I357" t="s">
        <v>2404</v>
      </c>
      <c r="J357" t="s">
        <v>3396</v>
      </c>
      <c r="K357" s="1">
        <v>45402</v>
      </c>
      <c r="L357">
        <f>YEAR(Customer_Data[[#This Row],[LastPurchaseDate]])</f>
        <v>2025</v>
      </c>
      <c r="M357">
        <f>MONTH(Customer_Data[[#This Row],[LastPurchaseDate]])</f>
        <v>10</v>
      </c>
      <c r="N357" s="7">
        <v>45960</v>
      </c>
      <c r="O357">
        <v>23</v>
      </c>
      <c r="P357" s="4">
        <v>7231.67</v>
      </c>
      <c r="Q357" t="s">
        <v>4035</v>
      </c>
      <c r="R357">
        <v>2</v>
      </c>
      <c r="S357">
        <v>314.42</v>
      </c>
    </row>
    <row r="358" spans="1:19" x14ac:dyDescent="0.25">
      <c r="A358">
        <v>362</v>
      </c>
      <c r="B358" t="s">
        <v>217</v>
      </c>
      <c r="C358" t="s">
        <v>604</v>
      </c>
      <c r="D358" t="s">
        <v>851</v>
      </c>
      <c r="E358">
        <v>31</v>
      </c>
      <c r="F358" t="str" cm="1">
        <f t="array" ref="F358">INDEX(Country!$B$3:$B$250, MATCH(TRUE, ISNUMBER(SEARCH(Country!$A$2:$A$509, Customer_Data[[#This Row],[Country]])),0 ))</f>
        <v>North America</v>
      </c>
      <c r="G358" t="s">
        <v>1028</v>
      </c>
      <c r="H358" t="s">
        <v>1439</v>
      </c>
      <c r="I358" t="s">
        <v>2405</v>
      </c>
      <c r="J358" t="s">
        <v>3397</v>
      </c>
      <c r="K358" s="1">
        <v>45848</v>
      </c>
      <c r="L358">
        <f>YEAR(Customer_Data[[#This Row],[LastPurchaseDate]])</f>
        <v>2024</v>
      </c>
      <c r="M358">
        <f>MONTH(Customer_Data[[#This Row],[LastPurchaseDate]])</f>
        <v>8</v>
      </c>
      <c r="N358" s="7">
        <v>45529</v>
      </c>
      <c r="O358">
        <v>38</v>
      </c>
      <c r="P358" s="4">
        <v>8855.89</v>
      </c>
      <c r="Q358" t="s">
        <v>4035</v>
      </c>
      <c r="R358">
        <v>1</v>
      </c>
      <c r="S358">
        <v>233.05</v>
      </c>
    </row>
    <row r="359" spans="1:19" x14ac:dyDescent="0.25">
      <c r="A359">
        <v>363</v>
      </c>
      <c r="B359" t="s">
        <v>34</v>
      </c>
      <c r="C359" t="s">
        <v>605</v>
      </c>
      <c r="D359" t="s">
        <v>850</v>
      </c>
      <c r="E359">
        <v>22</v>
      </c>
      <c r="F359" t="str" cm="1">
        <f t="array" ref="F359">INDEX(Country!$B$3:$B$250, MATCH(TRUE, ISNUMBER(SEARCH(Country!$A$2:$A$509, Customer_Data[[#This Row],[Country]])),0 ))</f>
        <v>North America</v>
      </c>
      <c r="G359" t="s">
        <v>1006</v>
      </c>
      <c r="H359" t="s">
        <v>1440</v>
      </c>
      <c r="I359" t="s">
        <v>2406</v>
      </c>
      <c r="J359" t="s">
        <v>3398</v>
      </c>
      <c r="K359" s="1">
        <v>45937</v>
      </c>
      <c r="L359">
        <f>YEAR(Customer_Data[[#This Row],[LastPurchaseDate]])</f>
        <v>2025</v>
      </c>
      <c r="M359">
        <f>MONTH(Customer_Data[[#This Row],[LastPurchaseDate]])</f>
        <v>7</v>
      </c>
      <c r="N359" s="7">
        <v>45859</v>
      </c>
      <c r="O359">
        <v>23</v>
      </c>
      <c r="P359" s="4">
        <v>6689.16</v>
      </c>
      <c r="Q359" t="s">
        <v>4035</v>
      </c>
      <c r="R359">
        <v>5</v>
      </c>
      <c r="S359">
        <v>290.83</v>
      </c>
    </row>
    <row r="360" spans="1:19" x14ac:dyDescent="0.25">
      <c r="A360">
        <v>364</v>
      </c>
      <c r="B360" t="s">
        <v>33</v>
      </c>
      <c r="C360" t="s">
        <v>606</v>
      </c>
      <c r="D360" t="s">
        <v>850</v>
      </c>
      <c r="E360">
        <v>29</v>
      </c>
      <c r="F360" t="str" cm="1">
        <f t="array" ref="F360">INDEX(Country!$B$3:$B$250, MATCH(TRUE, ISNUMBER(SEARCH(Country!$A$2:$A$509, Customer_Data[[#This Row],[Country]])),0 ))</f>
        <v>Oceania</v>
      </c>
      <c r="G360" t="s">
        <v>1041</v>
      </c>
      <c r="H360" t="s">
        <v>1441</v>
      </c>
      <c r="I360" t="s">
        <v>2407</v>
      </c>
      <c r="J360" t="s">
        <v>3399</v>
      </c>
      <c r="K360" s="1">
        <v>44925</v>
      </c>
      <c r="L360">
        <f>YEAR(Customer_Data[[#This Row],[LastPurchaseDate]])</f>
        <v>2025</v>
      </c>
      <c r="M360">
        <f>MONTH(Customer_Data[[#This Row],[LastPurchaseDate]])</f>
        <v>8</v>
      </c>
      <c r="N360" s="7">
        <v>45876</v>
      </c>
      <c r="O360">
        <v>27</v>
      </c>
      <c r="P360" s="4">
        <v>7907.62</v>
      </c>
      <c r="Q360" t="s">
        <v>4034</v>
      </c>
      <c r="R360">
        <v>3</v>
      </c>
      <c r="S360">
        <v>292.87</v>
      </c>
    </row>
    <row r="361" spans="1:19" x14ac:dyDescent="0.25">
      <c r="A361">
        <v>365</v>
      </c>
      <c r="B361" t="s">
        <v>218</v>
      </c>
      <c r="C361" t="s">
        <v>466</v>
      </c>
      <c r="D361" t="s">
        <v>851</v>
      </c>
      <c r="E361">
        <v>66</v>
      </c>
      <c r="F361" t="str" cm="1">
        <f t="array" ref="F361">INDEX(Country!$B$3:$B$250, MATCH(TRUE, ISNUMBER(SEARCH(Country!$A$2:$A$509, Customer_Data[[#This Row],[Country]])),0 ))</f>
        <v>Oceania</v>
      </c>
      <c r="G361" t="s">
        <v>1042</v>
      </c>
      <c r="H361" t="s">
        <v>1442</v>
      </c>
      <c r="I361" t="s">
        <v>2408</v>
      </c>
      <c r="J361" t="s">
        <v>3400</v>
      </c>
      <c r="K361" s="1">
        <v>45670</v>
      </c>
      <c r="L361">
        <f>YEAR(Customer_Data[[#This Row],[LastPurchaseDate]])</f>
        <v>2025</v>
      </c>
      <c r="M361">
        <f>MONTH(Customer_Data[[#This Row],[LastPurchaseDate]])</f>
        <v>3</v>
      </c>
      <c r="N361" s="7">
        <v>45724</v>
      </c>
      <c r="O361">
        <v>4</v>
      </c>
      <c r="P361" s="4">
        <v>1902.4</v>
      </c>
      <c r="Q361" t="s">
        <v>4035</v>
      </c>
      <c r="R361">
        <v>4</v>
      </c>
      <c r="S361">
        <v>475.6</v>
      </c>
    </row>
    <row r="362" spans="1:19" x14ac:dyDescent="0.25">
      <c r="A362">
        <v>366</v>
      </c>
      <c r="B362" t="s">
        <v>96</v>
      </c>
      <c r="C362" t="s">
        <v>607</v>
      </c>
      <c r="D362" t="s">
        <v>851</v>
      </c>
      <c r="E362">
        <v>66</v>
      </c>
      <c r="F362" t="str" cm="1">
        <f t="array" ref="F362">INDEX(Country!$B$3:$B$250, MATCH(TRUE, ISNUMBER(SEARCH(Country!$A$2:$A$509, Customer_Data[[#This Row],[Country]])),0 ))</f>
        <v>North America</v>
      </c>
      <c r="G362" t="s">
        <v>875</v>
      </c>
      <c r="H362" t="s">
        <v>1443</v>
      </c>
      <c r="I362" t="s">
        <v>2409</v>
      </c>
      <c r="J362" t="s">
        <v>3401</v>
      </c>
      <c r="K362" s="1">
        <v>45243</v>
      </c>
      <c r="L362">
        <f>YEAR(Customer_Data[[#This Row],[LastPurchaseDate]])</f>
        <v>2025</v>
      </c>
      <c r="M362">
        <f>MONTH(Customer_Data[[#This Row],[LastPurchaseDate]])</f>
        <v>8</v>
      </c>
      <c r="N362" s="7">
        <v>45889</v>
      </c>
      <c r="O362">
        <v>22</v>
      </c>
      <c r="P362" s="4">
        <v>9786.15</v>
      </c>
      <c r="Q362" t="s">
        <v>4035</v>
      </c>
      <c r="R362">
        <v>4</v>
      </c>
      <c r="S362">
        <v>444.82</v>
      </c>
    </row>
    <row r="363" spans="1:19" x14ac:dyDescent="0.25">
      <c r="A363">
        <v>367</v>
      </c>
      <c r="B363" t="s">
        <v>33</v>
      </c>
      <c r="C363" t="s">
        <v>608</v>
      </c>
      <c r="D363" t="s">
        <v>851</v>
      </c>
      <c r="E363">
        <v>73</v>
      </c>
      <c r="F363" t="str" cm="1">
        <f t="array" ref="F363">INDEX(Country!$B$3:$B$250, MATCH(TRUE, ISNUMBER(SEARCH(Country!$A$2:$A$509, Customer_Data[[#This Row],[Country]])),0 ))</f>
        <v>South America</v>
      </c>
      <c r="G363" t="s">
        <v>972</v>
      </c>
      <c r="H363" t="s">
        <v>1444</v>
      </c>
      <c r="I363" t="s">
        <v>2410</v>
      </c>
      <c r="J363" t="s">
        <v>3402</v>
      </c>
      <c r="K363" s="1">
        <v>45521</v>
      </c>
      <c r="L363">
        <f>YEAR(Customer_Data[[#This Row],[LastPurchaseDate]])</f>
        <v>2024</v>
      </c>
      <c r="M363">
        <f>MONTH(Customer_Data[[#This Row],[LastPurchaseDate]])</f>
        <v>7</v>
      </c>
      <c r="N363" s="7">
        <v>45482</v>
      </c>
      <c r="O363">
        <v>29</v>
      </c>
      <c r="P363" s="4">
        <v>4259.05</v>
      </c>
      <c r="Q363" t="s">
        <v>4035</v>
      </c>
      <c r="R363">
        <v>4</v>
      </c>
      <c r="S363">
        <v>146.86000000000001</v>
      </c>
    </row>
    <row r="364" spans="1:19" x14ac:dyDescent="0.25">
      <c r="A364">
        <v>368</v>
      </c>
      <c r="B364" t="s">
        <v>101</v>
      </c>
      <c r="C364" t="s">
        <v>609</v>
      </c>
      <c r="D364" t="s">
        <v>850</v>
      </c>
      <c r="E364">
        <v>20</v>
      </c>
      <c r="F364" t="str" cm="1">
        <f t="array" ref="F364">INDEX(Country!$B$3:$B$250, MATCH(TRUE, ISNUMBER(SEARCH(Country!$A$2:$A$509, Customer_Data[[#This Row],[Country]])),0 ))</f>
        <v>North America</v>
      </c>
      <c r="G364" t="s">
        <v>870</v>
      </c>
      <c r="H364" t="s">
        <v>1445</v>
      </c>
      <c r="I364" t="s">
        <v>2411</v>
      </c>
      <c r="J364" t="s">
        <v>3403</v>
      </c>
      <c r="K364" s="1">
        <v>45192</v>
      </c>
      <c r="L364">
        <f>YEAR(Customer_Data[[#This Row],[LastPurchaseDate]])</f>
        <v>2025</v>
      </c>
      <c r="M364">
        <f>MONTH(Customer_Data[[#This Row],[LastPurchaseDate]])</f>
        <v>8</v>
      </c>
      <c r="N364" s="7">
        <v>45895</v>
      </c>
      <c r="O364">
        <v>36</v>
      </c>
      <c r="P364" s="4">
        <v>6863.98</v>
      </c>
      <c r="Q364" t="s">
        <v>4034</v>
      </c>
      <c r="R364">
        <v>4</v>
      </c>
      <c r="S364">
        <v>190.67</v>
      </c>
    </row>
    <row r="365" spans="1:19" x14ac:dyDescent="0.25">
      <c r="A365">
        <v>369</v>
      </c>
      <c r="B365" t="s">
        <v>73</v>
      </c>
      <c r="C365" t="s">
        <v>376</v>
      </c>
      <c r="D365" t="s">
        <v>851</v>
      </c>
      <c r="E365">
        <v>21</v>
      </c>
      <c r="F365" t="str" cm="1">
        <f t="array" ref="F365">INDEX(Country!$B$3:$B$250, MATCH(TRUE, ISNUMBER(SEARCH(Country!$A$2:$A$509, Customer_Data[[#This Row],[Country]])),0 ))</f>
        <v>Europe</v>
      </c>
      <c r="G365" t="s">
        <v>911</v>
      </c>
      <c r="H365" t="s">
        <v>1446</v>
      </c>
      <c r="I365" t="s">
        <v>2412</v>
      </c>
      <c r="J365" t="s">
        <v>3404</v>
      </c>
      <c r="K365" s="1">
        <v>44921</v>
      </c>
      <c r="L365">
        <f>YEAR(Customer_Data[[#This Row],[LastPurchaseDate]])</f>
        <v>2024</v>
      </c>
      <c r="M365">
        <f>MONTH(Customer_Data[[#This Row],[LastPurchaseDate]])</f>
        <v>5</v>
      </c>
      <c r="N365" s="7">
        <v>45438</v>
      </c>
      <c r="O365">
        <v>8</v>
      </c>
      <c r="P365" s="4">
        <v>5702.65</v>
      </c>
      <c r="Q365" t="s">
        <v>4034</v>
      </c>
      <c r="R365">
        <v>5</v>
      </c>
      <c r="S365">
        <v>712.83</v>
      </c>
    </row>
    <row r="366" spans="1:19" x14ac:dyDescent="0.25">
      <c r="A366">
        <v>370</v>
      </c>
      <c r="B366" t="s">
        <v>40</v>
      </c>
      <c r="C366" t="s">
        <v>610</v>
      </c>
      <c r="D366" t="s">
        <v>851</v>
      </c>
      <c r="E366">
        <v>36</v>
      </c>
      <c r="F366" t="str" cm="1">
        <f t="array" ref="F366">INDEX(Country!$B$3:$B$250, MATCH(TRUE, ISNUMBER(SEARCH(Country!$A$2:$A$509, Customer_Data[[#This Row],[Country]])),0 ))</f>
        <v>South America</v>
      </c>
      <c r="G366" t="s">
        <v>884</v>
      </c>
      <c r="H366" t="s">
        <v>1419</v>
      </c>
      <c r="I366" t="s">
        <v>2413</v>
      </c>
      <c r="J366" t="s">
        <v>3405</v>
      </c>
      <c r="K366" s="1">
        <v>45170</v>
      </c>
      <c r="L366">
        <f>YEAR(Customer_Data[[#This Row],[LastPurchaseDate]])</f>
        <v>2025</v>
      </c>
      <c r="M366">
        <f>MONTH(Customer_Data[[#This Row],[LastPurchaseDate]])</f>
        <v>8</v>
      </c>
      <c r="N366" s="7">
        <v>45878</v>
      </c>
      <c r="O366">
        <v>32</v>
      </c>
      <c r="P366" s="4">
        <v>306.88</v>
      </c>
      <c r="Q366" t="s">
        <v>4035</v>
      </c>
      <c r="R366">
        <v>5</v>
      </c>
      <c r="S366">
        <v>9.59</v>
      </c>
    </row>
    <row r="367" spans="1:19" x14ac:dyDescent="0.25">
      <c r="A367">
        <v>371</v>
      </c>
      <c r="B367" t="s">
        <v>219</v>
      </c>
      <c r="C367" t="s">
        <v>79</v>
      </c>
      <c r="D367" t="s">
        <v>851</v>
      </c>
      <c r="E367">
        <v>73</v>
      </c>
      <c r="F367" t="str" cm="1">
        <f t="array" ref="F367">INDEX(Country!$B$3:$B$250, MATCH(TRUE, ISNUMBER(SEARCH(Country!$A$2:$A$509, Customer_Data[[#This Row],[Country]])),0 ))</f>
        <v>Africa</v>
      </c>
      <c r="G367" t="s">
        <v>962</v>
      </c>
      <c r="H367" t="s">
        <v>1447</v>
      </c>
      <c r="I367" t="s">
        <v>2414</v>
      </c>
      <c r="J367" t="s">
        <v>3406</v>
      </c>
      <c r="K367" s="1">
        <v>45303</v>
      </c>
      <c r="L367">
        <f>YEAR(Customer_Data[[#This Row],[LastPurchaseDate]])</f>
        <v>2025</v>
      </c>
      <c r="M367">
        <f>MONTH(Customer_Data[[#This Row],[LastPurchaseDate]])</f>
        <v>7</v>
      </c>
      <c r="N367" s="7">
        <v>45841</v>
      </c>
      <c r="O367">
        <v>31</v>
      </c>
      <c r="P367" s="4">
        <v>7104.25</v>
      </c>
      <c r="Q367" t="s">
        <v>4035</v>
      </c>
      <c r="R367">
        <v>5</v>
      </c>
      <c r="S367">
        <v>229.17</v>
      </c>
    </row>
    <row r="368" spans="1:19" x14ac:dyDescent="0.25">
      <c r="A368">
        <v>372</v>
      </c>
      <c r="B368" t="s">
        <v>220</v>
      </c>
      <c r="C368" t="s">
        <v>611</v>
      </c>
      <c r="D368" t="s">
        <v>850</v>
      </c>
      <c r="E368">
        <v>64</v>
      </c>
      <c r="F368" t="str" cm="1">
        <f t="array" ref="F368">INDEX(Country!$B$3:$B$250, MATCH(TRUE, ISNUMBER(SEARCH(Country!$A$2:$A$509, Customer_Data[[#This Row],[Country]])),0 ))</f>
        <v>Africa</v>
      </c>
      <c r="G368" t="s">
        <v>1043</v>
      </c>
      <c r="H368" t="s">
        <v>1448</v>
      </c>
      <c r="I368" t="s">
        <v>2415</v>
      </c>
      <c r="J368" t="s">
        <v>3407</v>
      </c>
      <c r="K368" s="1">
        <v>45138</v>
      </c>
      <c r="L368">
        <f>YEAR(Customer_Data[[#This Row],[LastPurchaseDate]])</f>
        <v>2024</v>
      </c>
      <c r="M368">
        <f>MONTH(Customer_Data[[#This Row],[LastPurchaseDate]])</f>
        <v>6</v>
      </c>
      <c r="N368" s="7">
        <v>45473</v>
      </c>
      <c r="O368">
        <v>9</v>
      </c>
      <c r="P368" s="4">
        <v>4202.67</v>
      </c>
      <c r="Q368" t="s">
        <v>4034</v>
      </c>
      <c r="R368">
        <v>5</v>
      </c>
      <c r="S368">
        <v>466.96</v>
      </c>
    </row>
    <row r="369" spans="1:19" x14ac:dyDescent="0.25">
      <c r="A369">
        <v>373</v>
      </c>
      <c r="B369" t="s">
        <v>221</v>
      </c>
      <c r="C369" t="s">
        <v>487</v>
      </c>
      <c r="D369" t="s">
        <v>850</v>
      </c>
      <c r="E369">
        <v>22</v>
      </c>
      <c r="F369" t="str" cm="1">
        <f t="array" ref="F369">INDEX(Country!$B$3:$B$250, MATCH(TRUE, ISNUMBER(SEARCH(Country!$A$2:$A$509, Customer_Data[[#This Row],[Country]])),0 ))</f>
        <v>Asia</v>
      </c>
      <c r="G369" t="s">
        <v>874</v>
      </c>
      <c r="H369" t="s">
        <v>1449</v>
      </c>
      <c r="I369" t="s">
        <v>2416</v>
      </c>
      <c r="J369" t="s">
        <v>3408</v>
      </c>
      <c r="K369" s="1">
        <v>45189</v>
      </c>
      <c r="L369">
        <f>YEAR(Customer_Data[[#This Row],[LastPurchaseDate]])</f>
        <v>2024</v>
      </c>
      <c r="M369">
        <f>MONTH(Customer_Data[[#This Row],[LastPurchaseDate]])</f>
        <v>5</v>
      </c>
      <c r="N369" s="7">
        <v>45442</v>
      </c>
      <c r="O369">
        <v>15</v>
      </c>
      <c r="P369" s="4">
        <v>6865.71</v>
      </c>
      <c r="Q369" t="s">
        <v>4035</v>
      </c>
      <c r="R369">
        <v>2</v>
      </c>
      <c r="S369">
        <v>457.71</v>
      </c>
    </row>
    <row r="370" spans="1:19" x14ac:dyDescent="0.25">
      <c r="A370">
        <v>374</v>
      </c>
      <c r="B370" t="s">
        <v>222</v>
      </c>
      <c r="C370" t="s">
        <v>612</v>
      </c>
      <c r="D370" t="s">
        <v>851</v>
      </c>
      <c r="E370">
        <v>57</v>
      </c>
      <c r="F370" t="str" cm="1">
        <f t="array" ref="F370">INDEX(Country!$B$3:$B$250, MATCH(TRUE, ISNUMBER(SEARCH(Country!$A$2:$A$509, Customer_Data[[#This Row],[Country]])),0 ))</f>
        <v>Asia</v>
      </c>
      <c r="G370" t="s">
        <v>861</v>
      </c>
      <c r="H370" t="s">
        <v>1450</v>
      </c>
      <c r="I370" t="s">
        <v>2417</v>
      </c>
      <c r="J370" t="s">
        <v>3409</v>
      </c>
      <c r="K370" s="1">
        <v>45392</v>
      </c>
      <c r="L370">
        <f>YEAR(Customer_Data[[#This Row],[LastPurchaseDate]])</f>
        <v>2024</v>
      </c>
      <c r="M370">
        <f>MONTH(Customer_Data[[#This Row],[LastPurchaseDate]])</f>
        <v>6</v>
      </c>
      <c r="N370" s="7">
        <v>45470</v>
      </c>
      <c r="O370">
        <v>28</v>
      </c>
      <c r="P370" s="4">
        <v>1758.68</v>
      </c>
      <c r="Q370" t="s">
        <v>4035</v>
      </c>
      <c r="R370">
        <v>4</v>
      </c>
      <c r="S370">
        <v>62.81</v>
      </c>
    </row>
    <row r="371" spans="1:19" x14ac:dyDescent="0.25">
      <c r="A371">
        <v>375</v>
      </c>
      <c r="B371" t="s">
        <v>223</v>
      </c>
      <c r="C371" t="s">
        <v>613</v>
      </c>
      <c r="D371" t="s">
        <v>851</v>
      </c>
      <c r="E371">
        <v>29</v>
      </c>
      <c r="F371" t="str" cm="1">
        <f t="array" ref="F371">INDEX(Country!$B$3:$B$250, MATCH(TRUE, ISNUMBER(SEARCH(Country!$A$2:$A$509, Customer_Data[[#This Row],[Country]])),0 ))</f>
        <v>Europe</v>
      </c>
      <c r="G371" t="s">
        <v>1024</v>
      </c>
      <c r="H371" t="s">
        <v>1451</v>
      </c>
      <c r="I371" t="s">
        <v>2418</v>
      </c>
      <c r="J371" t="s">
        <v>3410</v>
      </c>
      <c r="K371" s="1">
        <v>44962</v>
      </c>
      <c r="L371">
        <f>YEAR(Customer_Data[[#This Row],[LastPurchaseDate]])</f>
        <v>2025</v>
      </c>
      <c r="M371">
        <f>MONTH(Customer_Data[[#This Row],[LastPurchaseDate]])</f>
        <v>3</v>
      </c>
      <c r="N371" s="7">
        <v>45730</v>
      </c>
      <c r="O371">
        <v>47</v>
      </c>
      <c r="P371" s="4">
        <v>8289.25</v>
      </c>
      <c r="Q371" t="s">
        <v>4035</v>
      </c>
      <c r="R371">
        <v>4</v>
      </c>
      <c r="S371">
        <v>176.37</v>
      </c>
    </row>
    <row r="372" spans="1:19" x14ac:dyDescent="0.25">
      <c r="A372">
        <v>376</v>
      </c>
      <c r="B372" t="s">
        <v>29</v>
      </c>
      <c r="C372" t="s">
        <v>614</v>
      </c>
      <c r="D372" t="s">
        <v>851</v>
      </c>
      <c r="E372">
        <v>64</v>
      </c>
      <c r="F372" t="str" cm="1">
        <f t="array" ref="F372">INDEX(Country!$B$3:$B$250, MATCH(TRUE, ISNUMBER(SEARCH(Country!$A$2:$A$509, Customer_Data[[#This Row],[Country]])),0 ))</f>
        <v>Africa</v>
      </c>
      <c r="G372" t="s">
        <v>977</v>
      </c>
      <c r="H372" t="s">
        <v>1452</v>
      </c>
      <c r="I372" t="s">
        <v>2419</v>
      </c>
      <c r="J372" t="s">
        <v>3411</v>
      </c>
      <c r="K372" s="1">
        <v>45803</v>
      </c>
      <c r="L372">
        <f>YEAR(Customer_Data[[#This Row],[LastPurchaseDate]])</f>
        <v>2024</v>
      </c>
      <c r="M372">
        <f>MONTH(Customer_Data[[#This Row],[LastPurchaseDate]])</f>
        <v>4</v>
      </c>
      <c r="N372" s="7">
        <v>45411</v>
      </c>
      <c r="O372">
        <v>2</v>
      </c>
      <c r="P372" s="4">
        <v>6518.65</v>
      </c>
      <c r="Q372" t="s">
        <v>4035</v>
      </c>
      <c r="R372">
        <v>5</v>
      </c>
      <c r="S372">
        <v>3259.32</v>
      </c>
    </row>
    <row r="373" spans="1:19" x14ac:dyDescent="0.25">
      <c r="A373">
        <v>377</v>
      </c>
      <c r="B373" t="s">
        <v>201</v>
      </c>
      <c r="C373" t="s">
        <v>424</v>
      </c>
      <c r="D373" t="s">
        <v>851</v>
      </c>
      <c r="E373">
        <v>65</v>
      </c>
      <c r="F373" t="str" cm="1">
        <f t="array" ref="F373">INDEX(Country!$B$3:$B$250, MATCH(TRUE, ISNUMBER(SEARCH(Country!$A$2:$A$509, Customer_Data[[#This Row],[Country]])),0 ))</f>
        <v>Asia</v>
      </c>
      <c r="G373" t="s">
        <v>893</v>
      </c>
      <c r="H373" t="s">
        <v>1453</v>
      </c>
      <c r="I373" t="s">
        <v>2420</v>
      </c>
      <c r="J373" t="s">
        <v>3412</v>
      </c>
      <c r="K373" s="1">
        <v>45476</v>
      </c>
      <c r="L373">
        <f>YEAR(Customer_Data[[#This Row],[LastPurchaseDate]])</f>
        <v>2025</v>
      </c>
      <c r="M373">
        <f>MONTH(Customer_Data[[#This Row],[LastPurchaseDate]])</f>
        <v>6</v>
      </c>
      <c r="N373" s="7">
        <v>45820</v>
      </c>
      <c r="O373">
        <v>34</v>
      </c>
      <c r="P373" s="4">
        <v>4403.7700000000004</v>
      </c>
      <c r="Q373" t="s">
        <v>4035</v>
      </c>
      <c r="R373">
        <v>1</v>
      </c>
      <c r="S373">
        <v>129.52000000000001</v>
      </c>
    </row>
    <row r="374" spans="1:19" x14ac:dyDescent="0.25">
      <c r="A374">
        <v>378</v>
      </c>
      <c r="B374" t="s">
        <v>56</v>
      </c>
      <c r="C374" t="s">
        <v>496</v>
      </c>
      <c r="D374" t="s">
        <v>850</v>
      </c>
      <c r="E374">
        <v>35</v>
      </c>
      <c r="F374" t="str" cm="1">
        <f t="array" ref="F374">INDEX(Country!$B$3:$B$250, MATCH(TRUE, ISNUMBER(SEARCH(Country!$A$2:$A$509, Customer_Data[[#This Row],[Country]])),0 ))</f>
        <v>Europe</v>
      </c>
      <c r="G374" t="s">
        <v>1031</v>
      </c>
      <c r="H374" t="s">
        <v>1454</v>
      </c>
      <c r="I374" t="s">
        <v>2421</v>
      </c>
      <c r="J374" t="s">
        <v>3413</v>
      </c>
      <c r="K374" s="1">
        <v>45542</v>
      </c>
      <c r="L374">
        <f>YEAR(Customer_Data[[#This Row],[LastPurchaseDate]])</f>
        <v>2025</v>
      </c>
      <c r="M374">
        <f>MONTH(Customer_Data[[#This Row],[LastPurchaseDate]])</f>
        <v>7</v>
      </c>
      <c r="N374" s="7">
        <v>45866</v>
      </c>
      <c r="O374">
        <v>5</v>
      </c>
      <c r="P374" s="4">
        <v>6888.24</v>
      </c>
      <c r="Q374" t="s">
        <v>4035</v>
      </c>
      <c r="R374">
        <v>5</v>
      </c>
      <c r="S374">
        <v>1377.65</v>
      </c>
    </row>
    <row r="375" spans="1:19" x14ac:dyDescent="0.25">
      <c r="A375">
        <v>379</v>
      </c>
      <c r="B375" t="s">
        <v>85</v>
      </c>
      <c r="C375" t="s">
        <v>615</v>
      </c>
      <c r="D375" t="s">
        <v>852</v>
      </c>
      <c r="E375">
        <v>38</v>
      </c>
      <c r="F375" t="str" cm="1">
        <f t="array" ref="F375">INDEX(Country!$B$3:$B$250, MATCH(TRUE, ISNUMBER(SEARCH(Country!$A$2:$A$509, Customer_Data[[#This Row],[Country]])),0 ))</f>
        <v>Africa</v>
      </c>
      <c r="G375" t="s">
        <v>900</v>
      </c>
      <c r="H375" t="s">
        <v>1455</v>
      </c>
      <c r="I375" t="s">
        <v>2422</v>
      </c>
      <c r="J375" t="s">
        <v>3414</v>
      </c>
      <c r="K375" s="1">
        <v>45707</v>
      </c>
      <c r="L375">
        <f>YEAR(Customer_Data[[#This Row],[LastPurchaseDate]])</f>
        <v>2025</v>
      </c>
      <c r="M375">
        <f>MONTH(Customer_Data[[#This Row],[LastPurchaseDate]])</f>
        <v>4</v>
      </c>
      <c r="N375" s="7">
        <v>45762</v>
      </c>
      <c r="O375">
        <v>30</v>
      </c>
      <c r="P375" s="4">
        <v>1560.86</v>
      </c>
      <c r="Q375" t="s">
        <v>4034</v>
      </c>
      <c r="R375">
        <v>4</v>
      </c>
      <c r="S375">
        <v>52.03</v>
      </c>
    </row>
    <row r="376" spans="1:19" x14ac:dyDescent="0.25">
      <c r="A376">
        <v>380</v>
      </c>
      <c r="B376" t="s">
        <v>224</v>
      </c>
      <c r="C376" t="s">
        <v>371</v>
      </c>
      <c r="D376" t="s">
        <v>850</v>
      </c>
      <c r="E376">
        <v>21</v>
      </c>
      <c r="F376" t="str" cm="1">
        <f t="array" ref="F376">INDEX(Country!$B$3:$B$250, MATCH(TRUE, ISNUMBER(SEARCH(Country!$A$2:$A$509, Customer_Data[[#This Row],[Country]])),0 ))</f>
        <v>Asia</v>
      </c>
      <c r="G376" t="s">
        <v>893</v>
      </c>
      <c r="H376" t="s">
        <v>1456</v>
      </c>
      <c r="I376" t="s">
        <v>2423</v>
      </c>
      <c r="J376" t="s">
        <v>3415</v>
      </c>
      <c r="K376" s="1">
        <v>44897</v>
      </c>
      <c r="L376">
        <f>YEAR(Customer_Data[[#This Row],[LastPurchaseDate]])</f>
        <v>2023</v>
      </c>
      <c r="M376">
        <f>MONTH(Customer_Data[[#This Row],[LastPurchaseDate]])</f>
        <v>11</v>
      </c>
      <c r="N376" s="7">
        <v>45253</v>
      </c>
      <c r="O376">
        <v>11</v>
      </c>
      <c r="P376" s="4">
        <v>809.43</v>
      </c>
      <c r="Q376" t="s">
        <v>4035</v>
      </c>
      <c r="R376">
        <v>5</v>
      </c>
      <c r="S376">
        <v>73.58</v>
      </c>
    </row>
    <row r="377" spans="1:19" x14ac:dyDescent="0.25">
      <c r="A377">
        <v>381</v>
      </c>
      <c r="B377" t="s">
        <v>33</v>
      </c>
      <c r="C377" t="s">
        <v>592</v>
      </c>
      <c r="D377" t="s">
        <v>851</v>
      </c>
      <c r="E377">
        <v>68</v>
      </c>
      <c r="F377" t="str" cm="1">
        <f t="array" ref="F377">INDEX(Country!$B$3:$B$250, MATCH(TRUE, ISNUMBER(SEARCH(Country!$A$2:$A$509, Customer_Data[[#This Row],[Country]])),0 ))</f>
        <v>Oceania</v>
      </c>
      <c r="G377" t="s">
        <v>1044</v>
      </c>
      <c r="H377" t="s">
        <v>1457</v>
      </c>
      <c r="I377" t="s">
        <v>2424</v>
      </c>
      <c r="J377" t="s">
        <v>3416</v>
      </c>
      <c r="K377" s="1">
        <v>45649</v>
      </c>
      <c r="L377">
        <f>YEAR(Customer_Data[[#This Row],[LastPurchaseDate]])</f>
        <v>2025</v>
      </c>
      <c r="M377">
        <f>MONTH(Customer_Data[[#This Row],[LastPurchaseDate]])</f>
        <v>5</v>
      </c>
      <c r="N377" s="7">
        <v>45800</v>
      </c>
      <c r="O377">
        <v>7</v>
      </c>
      <c r="P377" s="4">
        <v>7774.32</v>
      </c>
      <c r="Q377" t="s">
        <v>4035</v>
      </c>
      <c r="R377">
        <v>2</v>
      </c>
      <c r="S377">
        <v>1110.6199999999999</v>
      </c>
    </row>
    <row r="378" spans="1:19" x14ac:dyDescent="0.25">
      <c r="A378">
        <v>382</v>
      </c>
      <c r="B378" t="s">
        <v>147</v>
      </c>
      <c r="C378" t="s">
        <v>379</v>
      </c>
      <c r="D378" t="s">
        <v>850</v>
      </c>
      <c r="E378">
        <v>48</v>
      </c>
      <c r="F378" t="str" cm="1">
        <f t="array" ref="F378">INDEX(Country!$B$3:$B$250, MATCH(TRUE, ISNUMBER(SEARCH(Country!$A$2:$A$509, Customer_Data[[#This Row],[Country]])),0 ))</f>
        <v>South America</v>
      </c>
      <c r="G378" t="s">
        <v>1045</v>
      </c>
      <c r="H378" t="s">
        <v>1458</v>
      </c>
      <c r="I378" t="s">
        <v>2425</v>
      </c>
      <c r="J378" t="s">
        <v>3417</v>
      </c>
      <c r="K378" s="1">
        <v>45209</v>
      </c>
      <c r="L378">
        <f>YEAR(Customer_Data[[#This Row],[LastPurchaseDate]])</f>
        <v>2024</v>
      </c>
      <c r="M378">
        <f>MONTH(Customer_Data[[#This Row],[LastPurchaseDate]])</f>
        <v>7</v>
      </c>
      <c r="N378" s="7">
        <v>45496</v>
      </c>
      <c r="O378">
        <v>3</v>
      </c>
      <c r="P378" s="4">
        <v>8312.2000000000007</v>
      </c>
      <c r="Q378" t="s">
        <v>4035</v>
      </c>
      <c r="R378">
        <v>5</v>
      </c>
      <c r="S378">
        <v>2770.73</v>
      </c>
    </row>
    <row r="379" spans="1:19" x14ac:dyDescent="0.25">
      <c r="A379">
        <v>383</v>
      </c>
      <c r="B379" t="s">
        <v>78</v>
      </c>
      <c r="C379" t="s">
        <v>616</v>
      </c>
      <c r="D379" t="s">
        <v>850</v>
      </c>
      <c r="E379">
        <v>52</v>
      </c>
      <c r="F379" t="str" cm="1">
        <f t="array" ref="F379">INDEX(Country!$B$3:$B$250, MATCH(TRUE, ISNUMBER(SEARCH(Country!$A$2:$A$509, Customer_Data[[#This Row],[Country]])),0 ))</f>
        <v>Africa</v>
      </c>
      <c r="G379" t="s">
        <v>1046</v>
      </c>
      <c r="H379" t="s">
        <v>1459</v>
      </c>
      <c r="I379" t="s">
        <v>2426</v>
      </c>
      <c r="J379" t="s">
        <v>3418</v>
      </c>
      <c r="K379" s="1">
        <v>44888</v>
      </c>
      <c r="L379">
        <f>YEAR(Customer_Data[[#This Row],[LastPurchaseDate]])</f>
        <v>2024</v>
      </c>
      <c r="M379">
        <f>MONTH(Customer_Data[[#This Row],[LastPurchaseDate]])</f>
        <v>4</v>
      </c>
      <c r="N379" s="7">
        <v>45406</v>
      </c>
      <c r="O379">
        <v>46</v>
      </c>
      <c r="P379" s="4">
        <v>1234.6400000000001</v>
      </c>
      <c r="Q379" t="s">
        <v>4034</v>
      </c>
      <c r="R379">
        <v>1</v>
      </c>
      <c r="S379">
        <v>26.84</v>
      </c>
    </row>
    <row r="380" spans="1:19" x14ac:dyDescent="0.25">
      <c r="A380">
        <v>384</v>
      </c>
      <c r="B380" t="s">
        <v>103</v>
      </c>
      <c r="C380" t="s">
        <v>617</v>
      </c>
      <c r="D380" t="s">
        <v>850</v>
      </c>
      <c r="E380">
        <v>62</v>
      </c>
      <c r="F380" t="str" cm="1">
        <f t="array" ref="F380">INDEX(Country!$B$3:$B$250, MATCH(TRUE, ISNUMBER(SEARCH(Country!$A$2:$A$509, Customer_Data[[#This Row],[Country]])),0 ))</f>
        <v>Oceania</v>
      </c>
      <c r="G380" t="s">
        <v>930</v>
      </c>
      <c r="H380" t="s">
        <v>1460</v>
      </c>
      <c r="I380" t="s">
        <v>2427</v>
      </c>
      <c r="J380" t="s">
        <v>3419</v>
      </c>
      <c r="K380" s="1">
        <v>45520</v>
      </c>
      <c r="L380">
        <f>YEAR(Customer_Data[[#This Row],[LastPurchaseDate]])</f>
        <v>2024</v>
      </c>
      <c r="M380">
        <f>MONTH(Customer_Data[[#This Row],[LastPurchaseDate]])</f>
        <v>7</v>
      </c>
      <c r="N380" s="7">
        <v>45496</v>
      </c>
      <c r="O380">
        <v>36</v>
      </c>
      <c r="P380" s="4">
        <v>2467.8200000000002</v>
      </c>
      <c r="Q380" t="s">
        <v>4035</v>
      </c>
      <c r="R380">
        <v>3</v>
      </c>
      <c r="S380">
        <v>68.55</v>
      </c>
    </row>
    <row r="381" spans="1:19" x14ac:dyDescent="0.25">
      <c r="A381">
        <v>385</v>
      </c>
      <c r="B381" t="s">
        <v>225</v>
      </c>
      <c r="C381" t="s">
        <v>607</v>
      </c>
      <c r="D381" t="s">
        <v>850</v>
      </c>
      <c r="E381">
        <v>23</v>
      </c>
      <c r="F381" t="str" cm="1">
        <f t="array" ref="F381">INDEX(Country!$B$3:$B$250, MATCH(TRUE, ISNUMBER(SEARCH(Country!$A$2:$A$509, Customer_Data[[#This Row],[Country]])),0 ))</f>
        <v>Asia</v>
      </c>
      <c r="G381" t="s">
        <v>956</v>
      </c>
      <c r="H381" t="s">
        <v>1461</v>
      </c>
      <c r="I381" t="s">
        <v>2428</v>
      </c>
      <c r="J381" t="s">
        <v>3420</v>
      </c>
      <c r="K381" s="1">
        <v>45274</v>
      </c>
      <c r="L381">
        <f>YEAR(Customer_Data[[#This Row],[LastPurchaseDate]])</f>
        <v>2023</v>
      </c>
      <c r="M381">
        <f>MONTH(Customer_Data[[#This Row],[LastPurchaseDate]])</f>
        <v>11</v>
      </c>
      <c r="N381" s="7">
        <v>45256</v>
      </c>
      <c r="O381">
        <v>30</v>
      </c>
      <c r="P381" s="4">
        <v>162.94</v>
      </c>
      <c r="Q381" t="s">
        <v>4035</v>
      </c>
      <c r="R381">
        <v>4</v>
      </c>
      <c r="S381">
        <v>5.43</v>
      </c>
    </row>
    <row r="382" spans="1:19" x14ac:dyDescent="0.25">
      <c r="A382">
        <v>386</v>
      </c>
      <c r="B382" t="s">
        <v>23</v>
      </c>
      <c r="C382" t="s">
        <v>502</v>
      </c>
      <c r="D382" t="s">
        <v>851</v>
      </c>
      <c r="E382">
        <v>37</v>
      </c>
      <c r="F382" t="str" cm="1">
        <f t="array" ref="F382">INDEX(Country!$B$3:$B$250, MATCH(TRUE, ISNUMBER(SEARCH(Country!$A$2:$A$509, Customer_Data[[#This Row],[Country]])),0 ))</f>
        <v>Africa</v>
      </c>
      <c r="G382" t="s">
        <v>957</v>
      </c>
      <c r="H382" t="s">
        <v>1462</v>
      </c>
      <c r="I382" t="s">
        <v>2429</v>
      </c>
      <c r="J382" t="s">
        <v>3421</v>
      </c>
      <c r="K382" s="1">
        <v>44899</v>
      </c>
      <c r="L382">
        <f>YEAR(Customer_Data[[#This Row],[LastPurchaseDate]])</f>
        <v>2025</v>
      </c>
      <c r="M382">
        <f>MONTH(Customer_Data[[#This Row],[LastPurchaseDate]])</f>
        <v>7</v>
      </c>
      <c r="N382" s="7">
        <v>45842</v>
      </c>
      <c r="O382">
        <v>48</v>
      </c>
      <c r="P382" s="4">
        <v>7276.6</v>
      </c>
      <c r="Q382" t="s">
        <v>4035</v>
      </c>
      <c r="R382">
        <v>2</v>
      </c>
      <c r="S382">
        <v>151.6</v>
      </c>
    </row>
    <row r="383" spans="1:19" x14ac:dyDescent="0.25">
      <c r="A383">
        <v>387</v>
      </c>
      <c r="B383" t="s">
        <v>199</v>
      </c>
      <c r="C383" t="s">
        <v>55</v>
      </c>
      <c r="D383" t="s">
        <v>850</v>
      </c>
      <c r="E383">
        <v>71</v>
      </c>
      <c r="F383" t="str" cm="1">
        <f t="array" ref="F383">INDEX(Country!$B$3:$B$250, MATCH(TRUE, ISNUMBER(SEARCH(Country!$A$2:$A$509, Customer_Data[[#This Row],[Country]])),0 ))</f>
        <v>Europe</v>
      </c>
      <c r="G383" t="s">
        <v>927</v>
      </c>
      <c r="H383" t="s">
        <v>1463</v>
      </c>
      <c r="I383" t="s">
        <v>2430</v>
      </c>
      <c r="J383" t="s">
        <v>3422</v>
      </c>
      <c r="K383" s="1">
        <v>45505</v>
      </c>
      <c r="L383">
        <f>YEAR(Customer_Data[[#This Row],[LastPurchaseDate]])</f>
        <v>2025</v>
      </c>
      <c r="M383">
        <f>MONTH(Customer_Data[[#This Row],[LastPurchaseDate]])</f>
        <v>10</v>
      </c>
      <c r="N383" s="7">
        <v>45933</v>
      </c>
      <c r="O383">
        <v>40</v>
      </c>
      <c r="P383" s="4">
        <v>9945.14</v>
      </c>
      <c r="Q383" t="s">
        <v>4035</v>
      </c>
      <c r="R383">
        <v>1</v>
      </c>
      <c r="S383">
        <v>248.63</v>
      </c>
    </row>
    <row r="384" spans="1:19" x14ac:dyDescent="0.25">
      <c r="A384">
        <v>388</v>
      </c>
      <c r="B384" t="s">
        <v>96</v>
      </c>
      <c r="C384" t="s">
        <v>618</v>
      </c>
      <c r="D384" t="s">
        <v>850</v>
      </c>
      <c r="E384">
        <v>31</v>
      </c>
      <c r="F384" t="str" cm="1">
        <f t="array" ref="F384">INDEX(Country!$B$3:$B$250, MATCH(TRUE, ISNUMBER(SEARCH(Country!$A$2:$A$509, Customer_Data[[#This Row],[Country]])),0 ))</f>
        <v>Africa</v>
      </c>
      <c r="G384" t="s">
        <v>952</v>
      </c>
      <c r="H384" t="s">
        <v>1464</v>
      </c>
      <c r="I384" t="s">
        <v>2431</v>
      </c>
      <c r="J384" t="s">
        <v>3423</v>
      </c>
      <c r="K384" s="1">
        <v>45299</v>
      </c>
      <c r="L384">
        <f>YEAR(Customer_Data[[#This Row],[LastPurchaseDate]])</f>
        <v>2023</v>
      </c>
      <c r="M384">
        <f>MONTH(Customer_Data[[#This Row],[LastPurchaseDate]])</f>
        <v>12</v>
      </c>
      <c r="N384" s="7">
        <v>45280</v>
      </c>
      <c r="O384">
        <v>36</v>
      </c>
      <c r="P384" s="4">
        <v>7629.26</v>
      </c>
      <c r="Q384" t="s">
        <v>4035</v>
      </c>
      <c r="R384">
        <v>5</v>
      </c>
      <c r="S384">
        <v>211.92</v>
      </c>
    </row>
    <row r="385" spans="1:19" x14ac:dyDescent="0.25">
      <c r="A385">
        <v>389</v>
      </c>
      <c r="B385" t="s">
        <v>53</v>
      </c>
      <c r="C385" t="s">
        <v>437</v>
      </c>
      <c r="D385" t="s">
        <v>850</v>
      </c>
      <c r="E385">
        <v>73</v>
      </c>
      <c r="F385" t="str" cm="1">
        <f t="array" ref="F385">INDEX(Country!$B$3:$B$250, MATCH(TRUE, ISNUMBER(SEARCH(Country!$A$2:$A$509, Customer_Data[[#This Row],[Country]])),0 ))</f>
        <v>North America</v>
      </c>
      <c r="G385" t="s">
        <v>875</v>
      </c>
      <c r="H385" t="s">
        <v>1465</v>
      </c>
      <c r="I385" t="s">
        <v>2432</v>
      </c>
      <c r="J385" t="s">
        <v>3424</v>
      </c>
      <c r="K385" s="1">
        <v>45063</v>
      </c>
      <c r="L385">
        <f>YEAR(Customer_Data[[#This Row],[LastPurchaseDate]])</f>
        <v>2025</v>
      </c>
      <c r="M385">
        <f>MONTH(Customer_Data[[#This Row],[LastPurchaseDate]])</f>
        <v>8</v>
      </c>
      <c r="N385" s="7">
        <v>45870</v>
      </c>
      <c r="O385">
        <v>36</v>
      </c>
      <c r="P385" s="4">
        <v>6614.02</v>
      </c>
      <c r="Q385" t="s">
        <v>4034</v>
      </c>
      <c r="R385">
        <v>5</v>
      </c>
      <c r="S385">
        <v>183.72</v>
      </c>
    </row>
    <row r="386" spans="1:19" x14ac:dyDescent="0.25">
      <c r="A386">
        <v>390</v>
      </c>
      <c r="B386" t="s">
        <v>54</v>
      </c>
      <c r="C386" t="s">
        <v>619</v>
      </c>
      <c r="D386" t="s">
        <v>850</v>
      </c>
      <c r="E386">
        <v>42</v>
      </c>
      <c r="F386" t="str" cm="1">
        <f t="array" ref="F386">INDEX(Country!$B$3:$B$250, MATCH(TRUE, ISNUMBER(SEARCH(Country!$A$2:$A$509, Customer_Data[[#This Row],[Country]])),0 ))</f>
        <v>Africa</v>
      </c>
      <c r="G386" t="s">
        <v>955</v>
      </c>
      <c r="H386" t="s">
        <v>1466</v>
      </c>
      <c r="I386" t="s">
        <v>2433</v>
      </c>
      <c r="J386" t="s">
        <v>3425</v>
      </c>
      <c r="K386" s="1">
        <v>45309</v>
      </c>
      <c r="L386">
        <f>YEAR(Customer_Data[[#This Row],[LastPurchaseDate]])</f>
        <v>2024</v>
      </c>
      <c r="M386">
        <f>MONTH(Customer_Data[[#This Row],[LastPurchaseDate]])</f>
        <v>9</v>
      </c>
      <c r="N386" s="7">
        <v>45553</v>
      </c>
      <c r="O386">
        <v>24</v>
      </c>
      <c r="P386" s="4">
        <v>4395.8900000000003</v>
      </c>
      <c r="Q386" t="s">
        <v>4035</v>
      </c>
      <c r="R386">
        <v>1</v>
      </c>
      <c r="S386">
        <v>183.16</v>
      </c>
    </row>
    <row r="387" spans="1:19" x14ac:dyDescent="0.25">
      <c r="A387">
        <v>391</v>
      </c>
      <c r="B387" t="s">
        <v>23</v>
      </c>
      <c r="C387" t="s">
        <v>620</v>
      </c>
      <c r="D387" t="s">
        <v>850</v>
      </c>
      <c r="E387">
        <v>22</v>
      </c>
      <c r="F387" t="str" cm="1">
        <f t="array" ref="F387">INDEX(Country!$B$3:$B$250, MATCH(TRUE, ISNUMBER(SEARCH(Country!$A$2:$A$509, Customer_Data[[#This Row],[Country]])),0 ))</f>
        <v>Africa</v>
      </c>
      <c r="G387" t="s">
        <v>1046</v>
      </c>
      <c r="H387" t="s">
        <v>1467</v>
      </c>
      <c r="I387" t="s">
        <v>2434</v>
      </c>
      <c r="J387" t="s">
        <v>3426</v>
      </c>
      <c r="K387" s="1">
        <v>44891</v>
      </c>
      <c r="L387">
        <f>YEAR(Customer_Data[[#This Row],[LastPurchaseDate]])</f>
        <v>2025</v>
      </c>
      <c r="M387">
        <f>MONTH(Customer_Data[[#This Row],[LastPurchaseDate]])</f>
        <v>9</v>
      </c>
      <c r="N387" s="7">
        <v>45923</v>
      </c>
      <c r="O387">
        <v>48</v>
      </c>
      <c r="P387" s="4">
        <v>1606.83</v>
      </c>
      <c r="Q387" t="s">
        <v>4034</v>
      </c>
      <c r="R387">
        <v>5</v>
      </c>
      <c r="S387">
        <v>33.479999999999997</v>
      </c>
    </row>
    <row r="388" spans="1:19" x14ac:dyDescent="0.25">
      <c r="A388">
        <v>392</v>
      </c>
      <c r="B388" t="s">
        <v>226</v>
      </c>
      <c r="C388" t="s">
        <v>536</v>
      </c>
      <c r="D388" t="s">
        <v>850</v>
      </c>
      <c r="E388">
        <v>68</v>
      </c>
      <c r="F388" t="str" cm="1">
        <f t="array" ref="F388">INDEX(Country!$B$3:$B$250, MATCH(TRUE, ISNUMBER(SEARCH(Country!$A$2:$A$509, Customer_Data[[#This Row],[Country]])),0 ))</f>
        <v>North America</v>
      </c>
      <c r="G388" t="s">
        <v>1027</v>
      </c>
      <c r="H388" t="s">
        <v>1468</v>
      </c>
      <c r="I388" t="s">
        <v>2435</v>
      </c>
      <c r="J388" t="s">
        <v>3427</v>
      </c>
      <c r="K388" s="1">
        <v>45791</v>
      </c>
      <c r="L388">
        <f>YEAR(Customer_Data[[#This Row],[LastPurchaseDate]])</f>
        <v>2023</v>
      </c>
      <c r="M388">
        <f>MONTH(Customer_Data[[#This Row],[LastPurchaseDate]])</f>
        <v>12</v>
      </c>
      <c r="N388" s="7">
        <v>45274</v>
      </c>
      <c r="O388">
        <v>31</v>
      </c>
      <c r="P388" s="4">
        <v>5740.24</v>
      </c>
      <c r="Q388" t="s">
        <v>4034</v>
      </c>
      <c r="R388">
        <v>5</v>
      </c>
      <c r="S388">
        <v>185.17</v>
      </c>
    </row>
    <row r="389" spans="1:19" x14ac:dyDescent="0.25">
      <c r="A389">
        <v>393</v>
      </c>
      <c r="B389" t="s">
        <v>58</v>
      </c>
      <c r="C389" t="s">
        <v>104</v>
      </c>
      <c r="D389" t="s">
        <v>851</v>
      </c>
      <c r="E389">
        <v>25</v>
      </c>
      <c r="F389" t="str" cm="1">
        <f t="array" ref="F389">INDEX(Country!$B$3:$B$250, MATCH(TRUE, ISNUMBER(SEARCH(Country!$A$2:$A$509, Customer_Data[[#This Row],[Country]])),0 ))</f>
        <v>North America</v>
      </c>
      <c r="G389" t="s">
        <v>864</v>
      </c>
      <c r="H389" t="s">
        <v>1469</v>
      </c>
      <c r="I389" t="s">
        <v>2436</v>
      </c>
      <c r="J389" t="s">
        <v>3428</v>
      </c>
      <c r="K389" s="1">
        <v>44869</v>
      </c>
      <c r="L389">
        <f>YEAR(Customer_Data[[#This Row],[LastPurchaseDate]])</f>
        <v>2024</v>
      </c>
      <c r="M389">
        <f>MONTH(Customer_Data[[#This Row],[LastPurchaseDate]])</f>
        <v>12</v>
      </c>
      <c r="N389" s="7">
        <v>45657</v>
      </c>
      <c r="O389">
        <v>35</v>
      </c>
      <c r="P389" s="4">
        <v>286.88</v>
      </c>
      <c r="Q389" t="s">
        <v>4035</v>
      </c>
      <c r="R389">
        <v>3</v>
      </c>
      <c r="S389">
        <v>8.1999999999999993</v>
      </c>
    </row>
    <row r="390" spans="1:19" x14ac:dyDescent="0.25">
      <c r="A390">
        <v>394</v>
      </c>
      <c r="B390" t="s">
        <v>227</v>
      </c>
      <c r="C390" t="s">
        <v>621</v>
      </c>
      <c r="D390" t="s">
        <v>851</v>
      </c>
      <c r="E390">
        <v>28</v>
      </c>
      <c r="F390" t="str" cm="1">
        <f t="array" ref="F390">INDEX(Country!$B$3:$B$250, MATCH(TRUE, ISNUMBER(SEARCH(Country!$A$2:$A$509, Customer_Data[[#This Row],[Country]])),0 ))</f>
        <v>Asia</v>
      </c>
      <c r="G390" t="s">
        <v>943</v>
      </c>
      <c r="H390" t="s">
        <v>1470</v>
      </c>
      <c r="I390" t="s">
        <v>2437</v>
      </c>
      <c r="J390" t="s">
        <v>3429</v>
      </c>
      <c r="K390" s="1">
        <v>45377</v>
      </c>
      <c r="L390">
        <f>YEAR(Customer_Data[[#This Row],[LastPurchaseDate]])</f>
        <v>2025</v>
      </c>
      <c r="M390">
        <f>MONTH(Customer_Data[[#This Row],[LastPurchaseDate]])</f>
        <v>1</v>
      </c>
      <c r="N390" s="7">
        <v>45670</v>
      </c>
      <c r="O390">
        <v>26</v>
      </c>
      <c r="P390" s="4">
        <v>763.05</v>
      </c>
      <c r="Q390" t="s">
        <v>4035</v>
      </c>
      <c r="R390">
        <v>2</v>
      </c>
      <c r="S390">
        <v>29.35</v>
      </c>
    </row>
    <row r="391" spans="1:19" x14ac:dyDescent="0.25">
      <c r="A391">
        <v>395</v>
      </c>
      <c r="B391" t="s">
        <v>228</v>
      </c>
      <c r="C391" t="s">
        <v>615</v>
      </c>
      <c r="D391" t="s">
        <v>852</v>
      </c>
      <c r="E391">
        <v>38</v>
      </c>
      <c r="F391" t="str" cm="1">
        <f t="array" ref="F391">INDEX(Country!$B$3:$B$250, MATCH(TRUE, ISNUMBER(SEARCH(Country!$A$2:$A$509, Customer_Data[[#This Row],[Country]])),0 ))</f>
        <v>Europe</v>
      </c>
      <c r="G391" t="s">
        <v>989</v>
      </c>
      <c r="H391" t="s">
        <v>1471</v>
      </c>
      <c r="I391" t="s">
        <v>2438</v>
      </c>
      <c r="J391" t="s">
        <v>3430</v>
      </c>
      <c r="K391" s="1">
        <v>45800</v>
      </c>
      <c r="L391">
        <f>YEAR(Customer_Data[[#This Row],[LastPurchaseDate]])</f>
        <v>2024</v>
      </c>
      <c r="M391">
        <f>MONTH(Customer_Data[[#This Row],[LastPurchaseDate]])</f>
        <v>2</v>
      </c>
      <c r="N391" s="7">
        <v>45325</v>
      </c>
      <c r="O391">
        <v>15</v>
      </c>
      <c r="P391" s="4">
        <v>3572.01</v>
      </c>
      <c r="Q391" t="s">
        <v>4035</v>
      </c>
      <c r="R391">
        <v>4</v>
      </c>
      <c r="S391">
        <v>238.13</v>
      </c>
    </row>
    <row r="392" spans="1:19" x14ac:dyDescent="0.25">
      <c r="A392">
        <v>396</v>
      </c>
      <c r="B392" t="s">
        <v>67</v>
      </c>
      <c r="C392" t="s">
        <v>607</v>
      </c>
      <c r="D392" t="s">
        <v>850</v>
      </c>
      <c r="E392">
        <v>28</v>
      </c>
      <c r="F392" t="str" cm="1">
        <f t="array" ref="F392">INDEX(Country!$B$3:$B$250, MATCH(TRUE, ISNUMBER(SEARCH(Country!$A$2:$A$509, Customer_Data[[#This Row],[Country]])),0 ))</f>
        <v>Asia</v>
      </c>
      <c r="G392" t="s">
        <v>959</v>
      </c>
      <c r="H392" t="s">
        <v>1472</v>
      </c>
      <c r="I392" t="s">
        <v>2439</v>
      </c>
      <c r="J392" t="s">
        <v>3431</v>
      </c>
      <c r="K392" s="1">
        <v>44867</v>
      </c>
      <c r="L392">
        <f>YEAR(Customer_Data[[#This Row],[LastPurchaseDate]])</f>
        <v>2023</v>
      </c>
      <c r="M392">
        <f>MONTH(Customer_Data[[#This Row],[LastPurchaseDate]])</f>
        <v>12</v>
      </c>
      <c r="N392" s="7">
        <v>45271</v>
      </c>
      <c r="O392">
        <v>14</v>
      </c>
      <c r="P392" s="4">
        <v>8371.93</v>
      </c>
      <c r="Q392" t="s">
        <v>4034</v>
      </c>
      <c r="R392">
        <v>4</v>
      </c>
      <c r="S392">
        <v>598</v>
      </c>
    </row>
    <row r="393" spans="1:19" x14ac:dyDescent="0.25">
      <c r="A393">
        <v>397</v>
      </c>
      <c r="B393" t="s">
        <v>148</v>
      </c>
      <c r="C393" t="s">
        <v>543</v>
      </c>
      <c r="D393" t="s">
        <v>850</v>
      </c>
      <c r="E393">
        <v>18</v>
      </c>
      <c r="F393" t="str" cm="1">
        <f t="array" ref="F393">INDEX(Country!$B$3:$B$250, MATCH(TRUE, ISNUMBER(SEARCH(Country!$A$2:$A$509, Customer_Data[[#This Row],[Country]])),0 ))</f>
        <v>Europe</v>
      </c>
      <c r="G393" t="s">
        <v>853</v>
      </c>
      <c r="H393" t="s">
        <v>1473</v>
      </c>
      <c r="I393" t="s">
        <v>2440</v>
      </c>
      <c r="J393" t="s">
        <v>3432</v>
      </c>
      <c r="K393" s="1">
        <v>45924</v>
      </c>
      <c r="L393">
        <f>YEAR(Customer_Data[[#This Row],[LastPurchaseDate]])</f>
        <v>2025</v>
      </c>
      <c r="M393">
        <f>MONTH(Customer_Data[[#This Row],[LastPurchaseDate]])</f>
        <v>4</v>
      </c>
      <c r="N393" s="7">
        <v>45752</v>
      </c>
      <c r="O393">
        <v>29</v>
      </c>
      <c r="P393" s="4">
        <v>1764.47</v>
      </c>
      <c r="Q393" t="s">
        <v>4034</v>
      </c>
      <c r="R393">
        <v>4</v>
      </c>
      <c r="S393">
        <v>60.84</v>
      </c>
    </row>
    <row r="394" spans="1:19" x14ac:dyDescent="0.25">
      <c r="A394">
        <v>398</v>
      </c>
      <c r="B394" t="s">
        <v>183</v>
      </c>
      <c r="C394" t="s">
        <v>622</v>
      </c>
      <c r="D394" t="s">
        <v>851</v>
      </c>
      <c r="E394">
        <v>21</v>
      </c>
      <c r="F394" t="str" cm="1">
        <f t="array" ref="F394">INDEX(Country!$B$3:$B$250, MATCH(TRUE, ISNUMBER(SEARCH(Country!$A$2:$A$509, Customer_Data[[#This Row],[Country]])),0 ))</f>
        <v>South America</v>
      </c>
      <c r="G394" t="s">
        <v>974</v>
      </c>
      <c r="H394" t="s">
        <v>1474</v>
      </c>
      <c r="I394" t="s">
        <v>2441</v>
      </c>
      <c r="J394" t="s">
        <v>3433</v>
      </c>
      <c r="K394" s="1">
        <v>45184</v>
      </c>
      <c r="L394">
        <f>YEAR(Customer_Data[[#This Row],[LastPurchaseDate]])</f>
        <v>2025</v>
      </c>
      <c r="M394">
        <f>MONTH(Customer_Data[[#This Row],[LastPurchaseDate]])</f>
        <v>9</v>
      </c>
      <c r="N394" s="7">
        <v>45920</v>
      </c>
      <c r="O394">
        <v>45</v>
      </c>
      <c r="P394" s="4">
        <v>4277.6899999999996</v>
      </c>
      <c r="Q394" t="s">
        <v>4035</v>
      </c>
      <c r="R394">
        <v>4</v>
      </c>
      <c r="S394">
        <v>95.06</v>
      </c>
    </row>
    <row r="395" spans="1:19" x14ac:dyDescent="0.25">
      <c r="A395">
        <v>399</v>
      </c>
      <c r="B395" t="s">
        <v>229</v>
      </c>
      <c r="C395" t="s">
        <v>623</v>
      </c>
      <c r="D395" t="s">
        <v>850</v>
      </c>
      <c r="E395">
        <v>34</v>
      </c>
      <c r="F395" t="str" cm="1">
        <f t="array" ref="F395">INDEX(Country!$B$3:$B$250, MATCH(TRUE, ISNUMBER(SEARCH(Country!$A$2:$A$509, Customer_Data[[#This Row],[Country]])),0 ))</f>
        <v>South America</v>
      </c>
      <c r="G395" t="s">
        <v>1047</v>
      </c>
      <c r="H395" t="s">
        <v>1475</v>
      </c>
      <c r="I395" t="s">
        <v>2442</v>
      </c>
      <c r="J395" t="s">
        <v>3434</v>
      </c>
      <c r="K395" s="1">
        <v>45714</v>
      </c>
      <c r="L395">
        <f>YEAR(Customer_Data[[#This Row],[LastPurchaseDate]])</f>
        <v>2025</v>
      </c>
      <c r="M395">
        <f>MONTH(Customer_Data[[#This Row],[LastPurchaseDate]])</f>
        <v>6</v>
      </c>
      <c r="N395" s="7">
        <v>45819</v>
      </c>
      <c r="O395">
        <v>48</v>
      </c>
      <c r="P395" s="4">
        <v>4435.8500000000004</v>
      </c>
      <c r="Q395" t="s">
        <v>4034</v>
      </c>
      <c r="R395">
        <v>2</v>
      </c>
      <c r="S395">
        <v>92.41</v>
      </c>
    </row>
    <row r="396" spans="1:19" x14ac:dyDescent="0.25">
      <c r="A396">
        <v>400</v>
      </c>
      <c r="B396" t="s">
        <v>91</v>
      </c>
      <c r="C396" t="s">
        <v>416</v>
      </c>
      <c r="D396" t="s">
        <v>851</v>
      </c>
      <c r="E396">
        <v>19</v>
      </c>
      <c r="F396" t="str" cm="1">
        <f t="array" ref="F396">INDEX(Country!$B$3:$B$250, MATCH(TRUE, ISNUMBER(SEARCH(Country!$A$2:$A$509, Customer_Data[[#This Row],[Country]])),0 ))</f>
        <v>South America</v>
      </c>
      <c r="G396" t="s">
        <v>972</v>
      </c>
      <c r="H396" t="s">
        <v>1476</v>
      </c>
      <c r="I396" t="s">
        <v>2443</v>
      </c>
      <c r="J396" t="s">
        <v>3435</v>
      </c>
      <c r="K396" s="1">
        <v>45647</v>
      </c>
      <c r="L396">
        <f>YEAR(Customer_Data[[#This Row],[LastPurchaseDate]])</f>
        <v>2024</v>
      </c>
      <c r="M396">
        <f>MONTH(Customer_Data[[#This Row],[LastPurchaseDate]])</f>
        <v>3</v>
      </c>
      <c r="N396" s="7">
        <v>45365</v>
      </c>
      <c r="O396">
        <v>3</v>
      </c>
      <c r="P396" s="4">
        <v>9732.51</v>
      </c>
      <c r="Q396" t="s">
        <v>4035</v>
      </c>
      <c r="R396">
        <v>5</v>
      </c>
      <c r="S396">
        <v>3244.17</v>
      </c>
    </row>
    <row r="397" spans="1:19" x14ac:dyDescent="0.25">
      <c r="A397">
        <v>401</v>
      </c>
      <c r="B397" t="s">
        <v>120</v>
      </c>
      <c r="C397" t="s">
        <v>602</v>
      </c>
      <c r="D397" t="s">
        <v>850</v>
      </c>
      <c r="E397">
        <v>53</v>
      </c>
      <c r="F397" t="str" cm="1">
        <f t="array" ref="F397">INDEX(Country!$B$3:$B$250, MATCH(TRUE, ISNUMBER(SEARCH(Country!$A$2:$A$509, Customer_Data[[#This Row],[Country]])),0 ))</f>
        <v>Oceania</v>
      </c>
      <c r="G397" t="s">
        <v>934</v>
      </c>
      <c r="H397" t="s">
        <v>1477</v>
      </c>
      <c r="I397" t="s">
        <v>2444</v>
      </c>
      <c r="J397" t="s">
        <v>3436</v>
      </c>
      <c r="K397" s="1">
        <v>45629</v>
      </c>
      <c r="L397">
        <f>YEAR(Customer_Data[[#This Row],[LastPurchaseDate]])</f>
        <v>2025</v>
      </c>
      <c r="M397">
        <f>MONTH(Customer_Data[[#This Row],[LastPurchaseDate]])</f>
        <v>6</v>
      </c>
      <c r="N397" s="7">
        <v>45831</v>
      </c>
      <c r="O397">
        <v>35</v>
      </c>
      <c r="P397" s="4">
        <v>9421.17</v>
      </c>
      <c r="Q397" t="s">
        <v>4035</v>
      </c>
      <c r="R397">
        <v>2</v>
      </c>
      <c r="S397">
        <v>269.18</v>
      </c>
    </row>
    <row r="398" spans="1:19" x14ac:dyDescent="0.25">
      <c r="A398">
        <v>402</v>
      </c>
      <c r="B398" t="s">
        <v>116</v>
      </c>
      <c r="C398" t="s">
        <v>624</v>
      </c>
      <c r="D398" t="s">
        <v>851</v>
      </c>
      <c r="E398">
        <v>64</v>
      </c>
      <c r="F398" t="str" cm="1">
        <f t="array" ref="F398">INDEX(Country!$B$3:$B$250, MATCH(TRUE, ISNUMBER(SEARCH(Country!$A$2:$A$509, Customer_Data[[#This Row],[Country]])),0 ))</f>
        <v>Africa</v>
      </c>
      <c r="G398" t="s">
        <v>868</v>
      </c>
      <c r="H398" t="s">
        <v>1478</v>
      </c>
      <c r="I398" t="s">
        <v>2445</v>
      </c>
      <c r="J398" t="s">
        <v>3437</v>
      </c>
      <c r="K398" s="1">
        <v>45293</v>
      </c>
      <c r="L398">
        <f>YEAR(Customer_Data[[#This Row],[LastPurchaseDate]])</f>
        <v>2025</v>
      </c>
      <c r="M398">
        <f>MONTH(Customer_Data[[#This Row],[LastPurchaseDate]])</f>
        <v>9</v>
      </c>
      <c r="N398" s="7">
        <v>45908</v>
      </c>
      <c r="O398">
        <v>48</v>
      </c>
      <c r="P398" s="4">
        <v>374.75</v>
      </c>
      <c r="Q398" t="s">
        <v>4035</v>
      </c>
      <c r="R398">
        <v>2</v>
      </c>
      <c r="S398">
        <v>7.81</v>
      </c>
    </row>
    <row r="399" spans="1:19" x14ac:dyDescent="0.25">
      <c r="A399">
        <v>403</v>
      </c>
      <c r="B399" t="s">
        <v>198</v>
      </c>
      <c r="C399" t="s">
        <v>517</v>
      </c>
      <c r="D399" t="s">
        <v>852</v>
      </c>
      <c r="E399">
        <v>38</v>
      </c>
      <c r="F399" t="str" cm="1">
        <f t="array" ref="F399">INDEX(Country!$B$3:$B$250, MATCH(TRUE, ISNUMBER(SEARCH(Country!$A$2:$A$509, Customer_Data[[#This Row],[Country]])),0 ))</f>
        <v>Asia</v>
      </c>
      <c r="G399" t="s">
        <v>956</v>
      </c>
      <c r="H399" t="s">
        <v>1479</v>
      </c>
      <c r="I399" t="s">
        <v>2446</v>
      </c>
      <c r="J399" t="s">
        <v>3438</v>
      </c>
      <c r="K399" s="1">
        <v>44974</v>
      </c>
      <c r="L399">
        <f>YEAR(Customer_Data[[#This Row],[LastPurchaseDate]])</f>
        <v>2024</v>
      </c>
      <c r="M399">
        <f>MONTH(Customer_Data[[#This Row],[LastPurchaseDate]])</f>
        <v>8</v>
      </c>
      <c r="N399" s="7">
        <v>45511</v>
      </c>
      <c r="O399">
        <v>42</v>
      </c>
      <c r="P399" s="4">
        <v>6426.36</v>
      </c>
      <c r="Q399" t="s">
        <v>4034</v>
      </c>
      <c r="R399">
        <v>4</v>
      </c>
      <c r="S399">
        <v>153.01</v>
      </c>
    </row>
    <row r="400" spans="1:19" x14ac:dyDescent="0.25">
      <c r="A400">
        <v>404</v>
      </c>
      <c r="B400" t="s">
        <v>68</v>
      </c>
      <c r="C400" t="s">
        <v>324</v>
      </c>
      <c r="D400" t="s">
        <v>850</v>
      </c>
      <c r="E400">
        <v>38</v>
      </c>
      <c r="F400" t="str" cm="1">
        <f t="array" ref="F400">INDEX(Country!$B$3:$B$250, MATCH(TRUE, ISNUMBER(SEARCH(Country!$A$2:$A$509, Customer_Data[[#This Row],[Country]])),0 ))</f>
        <v>Oceania</v>
      </c>
      <c r="G400" t="s">
        <v>1048</v>
      </c>
      <c r="H400" t="s">
        <v>1480</v>
      </c>
      <c r="I400" t="s">
        <v>2447</v>
      </c>
      <c r="J400" t="s">
        <v>3439</v>
      </c>
      <c r="K400" s="1">
        <v>44868</v>
      </c>
      <c r="L400">
        <f>YEAR(Customer_Data[[#This Row],[LastPurchaseDate]])</f>
        <v>2025</v>
      </c>
      <c r="M400">
        <f>MONTH(Customer_Data[[#This Row],[LastPurchaseDate]])</f>
        <v>2</v>
      </c>
      <c r="N400" s="7">
        <v>45707</v>
      </c>
      <c r="O400">
        <v>7</v>
      </c>
      <c r="P400" s="4">
        <v>8763.35</v>
      </c>
      <c r="Q400" t="s">
        <v>4035</v>
      </c>
      <c r="R400">
        <v>3</v>
      </c>
      <c r="S400">
        <v>1251.9100000000001</v>
      </c>
    </row>
    <row r="401" spans="1:19" x14ac:dyDescent="0.25">
      <c r="A401">
        <v>405</v>
      </c>
      <c r="B401" t="s">
        <v>230</v>
      </c>
      <c r="C401" t="s">
        <v>131</v>
      </c>
      <c r="D401" t="s">
        <v>851</v>
      </c>
      <c r="E401">
        <v>64</v>
      </c>
      <c r="F401" t="str" cm="1">
        <f t="array" ref="F401">INDEX(Country!$B$3:$B$250, MATCH(TRUE, ISNUMBER(SEARCH(Country!$A$2:$A$509, Customer_Data[[#This Row],[Country]])),0 ))</f>
        <v>Europe</v>
      </c>
      <c r="G401" t="s">
        <v>1030</v>
      </c>
      <c r="H401" t="s">
        <v>1481</v>
      </c>
      <c r="I401" t="s">
        <v>2448</v>
      </c>
      <c r="J401" t="s">
        <v>3440</v>
      </c>
      <c r="K401" s="1">
        <v>45725</v>
      </c>
      <c r="L401">
        <f>YEAR(Customer_Data[[#This Row],[LastPurchaseDate]])</f>
        <v>2024</v>
      </c>
      <c r="M401">
        <f>MONTH(Customer_Data[[#This Row],[LastPurchaseDate]])</f>
        <v>7</v>
      </c>
      <c r="N401" s="7">
        <v>45484</v>
      </c>
      <c r="O401">
        <v>33</v>
      </c>
      <c r="P401" s="4">
        <v>564.73</v>
      </c>
      <c r="Q401" t="s">
        <v>4035</v>
      </c>
      <c r="R401">
        <v>3</v>
      </c>
      <c r="S401">
        <v>17.11</v>
      </c>
    </row>
    <row r="402" spans="1:19" x14ac:dyDescent="0.25">
      <c r="A402">
        <v>406</v>
      </c>
      <c r="B402" t="s">
        <v>41</v>
      </c>
      <c r="C402" t="s">
        <v>255</v>
      </c>
      <c r="D402" t="s">
        <v>850</v>
      </c>
      <c r="E402">
        <v>42</v>
      </c>
      <c r="F402" t="str" cm="1">
        <f t="array" ref="F402">INDEX(Country!$B$3:$B$250, MATCH(TRUE, ISNUMBER(SEARCH(Country!$A$2:$A$509, Customer_Data[[#This Row],[Country]])),0 ))</f>
        <v>Asia</v>
      </c>
      <c r="G402" t="s">
        <v>1049</v>
      </c>
      <c r="H402" t="s">
        <v>1482</v>
      </c>
      <c r="I402" t="s">
        <v>2449</v>
      </c>
      <c r="J402" t="s">
        <v>3441</v>
      </c>
      <c r="K402" s="1">
        <v>45953</v>
      </c>
      <c r="L402">
        <f>YEAR(Customer_Data[[#This Row],[LastPurchaseDate]])</f>
        <v>2023</v>
      </c>
      <c r="M402">
        <f>MONTH(Customer_Data[[#This Row],[LastPurchaseDate]])</f>
        <v>12</v>
      </c>
      <c r="N402" s="7">
        <v>45271</v>
      </c>
      <c r="O402">
        <v>29</v>
      </c>
      <c r="P402" s="4">
        <v>8158.92</v>
      </c>
      <c r="Q402" t="s">
        <v>4035</v>
      </c>
      <c r="R402">
        <v>3</v>
      </c>
      <c r="S402">
        <v>281.33999999999997</v>
      </c>
    </row>
    <row r="403" spans="1:19" x14ac:dyDescent="0.25">
      <c r="A403">
        <v>407</v>
      </c>
      <c r="B403" t="s">
        <v>53</v>
      </c>
      <c r="C403" t="s">
        <v>625</v>
      </c>
      <c r="D403" t="s">
        <v>850</v>
      </c>
      <c r="E403">
        <v>48</v>
      </c>
      <c r="F403" t="str" cm="1">
        <f t="array" ref="F403">INDEX(Country!$B$3:$B$250, MATCH(TRUE, ISNUMBER(SEARCH(Country!$A$2:$A$509, Customer_Data[[#This Row],[Country]])),0 ))</f>
        <v>Africa</v>
      </c>
      <c r="G403" t="s">
        <v>1050</v>
      </c>
      <c r="H403" t="s">
        <v>1483</v>
      </c>
      <c r="I403" t="s">
        <v>2450</v>
      </c>
      <c r="J403" t="s">
        <v>3442</v>
      </c>
      <c r="K403" s="1">
        <v>45636</v>
      </c>
      <c r="L403">
        <f>YEAR(Customer_Data[[#This Row],[LastPurchaseDate]])</f>
        <v>2024</v>
      </c>
      <c r="M403">
        <f>MONTH(Customer_Data[[#This Row],[LastPurchaseDate]])</f>
        <v>1</v>
      </c>
      <c r="N403" s="7">
        <v>45317</v>
      </c>
      <c r="O403">
        <v>29</v>
      </c>
      <c r="P403" s="4">
        <v>2942.07</v>
      </c>
      <c r="Q403" t="s">
        <v>4034</v>
      </c>
      <c r="R403">
        <v>1</v>
      </c>
      <c r="S403">
        <v>101.45</v>
      </c>
    </row>
    <row r="404" spans="1:19" x14ac:dyDescent="0.25">
      <c r="A404">
        <v>408</v>
      </c>
      <c r="B404" t="s">
        <v>45</v>
      </c>
      <c r="C404" t="s">
        <v>487</v>
      </c>
      <c r="D404" t="s">
        <v>851</v>
      </c>
      <c r="E404">
        <v>18</v>
      </c>
      <c r="F404" t="str" cm="1">
        <f t="array" ref="F404">INDEX(Country!$B$3:$B$250, MATCH(TRUE, ISNUMBER(SEARCH(Country!$A$2:$A$509, Customer_Data[[#This Row],[Country]])),0 ))</f>
        <v>Antarctica</v>
      </c>
      <c r="G404" t="s">
        <v>986</v>
      </c>
      <c r="H404" t="s">
        <v>1484</v>
      </c>
      <c r="I404" t="s">
        <v>2451</v>
      </c>
      <c r="J404" t="s">
        <v>3443</v>
      </c>
      <c r="K404" s="1">
        <v>45255</v>
      </c>
      <c r="L404">
        <f>YEAR(Customer_Data[[#This Row],[LastPurchaseDate]])</f>
        <v>2024</v>
      </c>
      <c r="M404">
        <f>MONTH(Customer_Data[[#This Row],[LastPurchaseDate]])</f>
        <v>11</v>
      </c>
      <c r="N404" s="7">
        <v>45612</v>
      </c>
      <c r="O404">
        <v>9</v>
      </c>
      <c r="P404" s="4">
        <v>9528.0499999999993</v>
      </c>
      <c r="Q404" t="s">
        <v>4034</v>
      </c>
      <c r="R404">
        <v>4</v>
      </c>
      <c r="S404">
        <v>1058.67</v>
      </c>
    </row>
    <row r="405" spans="1:19" x14ac:dyDescent="0.25">
      <c r="A405">
        <v>409</v>
      </c>
      <c r="B405" t="s">
        <v>166</v>
      </c>
      <c r="C405" t="s">
        <v>626</v>
      </c>
      <c r="D405" t="s">
        <v>850</v>
      </c>
      <c r="E405">
        <v>74</v>
      </c>
      <c r="F405" t="str" cm="1">
        <f t="array" ref="F405">INDEX(Country!$B$3:$B$250, MATCH(TRUE, ISNUMBER(SEARCH(Country!$A$2:$A$509, Customer_Data[[#This Row],[Country]])),0 ))</f>
        <v>Europe</v>
      </c>
      <c r="G405" t="s">
        <v>971</v>
      </c>
      <c r="H405" t="s">
        <v>1485</v>
      </c>
      <c r="I405" t="s">
        <v>2452</v>
      </c>
      <c r="J405" t="s">
        <v>3444</v>
      </c>
      <c r="K405" s="1">
        <v>45735</v>
      </c>
      <c r="L405">
        <f>YEAR(Customer_Data[[#This Row],[LastPurchaseDate]])</f>
        <v>2024</v>
      </c>
      <c r="M405">
        <f>MONTH(Customer_Data[[#This Row],[LastPurchaseDate]])</f>
        <v>6</v>
      </c>
      <c r="N405" s="7">
        <v>45460</v>
      </c>
      <c r="O405">
        <v>11</v>
      </c>
      <c r="P405" s="4">
        <v>2347.08</v>
      </c>
      <c r="Q405" t="s">
        <v>4035</v>
      </c>
      <c r="R405">
        <v>5</v>
      </c>
      <c r="S405">
        <v>213.37</v>
      </c>
    </row>
    <row r="406" spans="1:19" x14ac:dyDescent="0.25">
      <c r="A406">
        <v>410</v>
      </c>
      <c r="B406" t="s">
        <v>73</v>
      </c>
      <c r="C406" t="s">
        <v>627</v>
      </c>
      <c r="D406" t="s">
        <v>850</v>
      </c>
      <c r="E406">
        <v>32</v>
      </c>
      <c r="F406" t="str" cm="1">
        <f t="array" ref="F406">INDEX(Country!$B$3:$B$250, MATCH(TRUE, ISNUMBER(SEARCH(Country!$A$2:$A$509, Customer_Data[[#This Row],[Country]])),0 ))</f>
        <v>Oceania</v>
      </c>
      <c r="G406" t="s">
        <v>983</v>
      </c>
      <c r="H406" t="s">
        <v>1486</v>
      </c>
      <c r="I406" t="s">
        <v>2453</v>
      </c>
      <c r="J406" t="s">
        <v>3445</v>
      </c>
      <c r="K406" s="1">
        <v>45674</v>
      </c>
      <c r="L406">
        <f>YEAR(Customer_Data[[#This Row],[LastPurchaseDate]])</f>
        <v>2025</v>
      </c>
      <c r="M406">
        <f>MONTH(Customer_Data[[#This Row],[LastPurchaseDate]])</f>
        <v>10</v>
      </c>
      <c r="N406" s="7">
        <v>45944</v>
      </c>
      <c r="O406">
        <v>14</v>
      </c>
      <c r="P406" s="4">
        <v>4289.28</v>
      </c>
      <c r="Q406" t="s">
        <v>4034</v>
      </c>
      <c r="R406">
        <v>4</v>
      </c>
      <c r="S406">
        <v>306.38</v>
      </c>
    </row>
    <row r="407" spans="1:19" x14ac:dyDescent="0.25">
      <c r="A407">
        <v>411</v>
      </c>
      <c r="B407" t="s">
        <v>225</v>
      </c>
      <c r="C407" t="s">
        <v>447</v>
      </c>
      <c r="D407" t="s">
        <v>850</v>
      </c>
      <c r="E407">
        <v>36</v>
      </c>
      <c r="F407" t="str" cm="1">
        <f t="array" ref="F407">INDEX(Country!$B$3:$B$250, MATCH(TRUE, ISNUMBER(SEARCH(Country!$A$2:$A$509, Customer_Data[[#This Row],[Country]])),0 ))</f>
        <v>Europe</v>
      </c>
      <c r="G407" t="s">
        <v>1031</v>
      </c>
      <c r="H407" t="s">
        <v>1487</v>
      </c>
      <c r="I407" t="s">
        <v>2454</v>
      </c>
      <c r="J407" t="s">
        <v>3446</v>
      </c>
      <c r="K407" s="1">
        <v>45466</v>
      </c>
      <c r="L407">
        <f>YEAR(Customer_Data[[#This Row],[LastPurchaseDate]])</f>
        <v>2024</v>
      </c>
      <c r="M407">
        <f>MONTH(Customer_Data[[#This Row],[LastPurchaseDate]])</f>
        <v>3</v>
      </c>
      <c r="N407" s="7">
        <v>45373</v>
      </c>
      <c r="O407">
        <v>12</v>
      </c>
      <c r="P407" s="4">
        <v>8978.84</v>
      </c>
      <c r="Q407" t="s">
        <v>4035</v>
      </c>
      <c r="R407">
        <v>3</v>
      </c>
      <c r="S407">
        <v>748.24</v>
      </c>
    </row>
    <row r="408" spans="1:19" x14ac:dyDescent="0.25">
      <c r="A408">
        <v>412</v>
      </c>
      <c r="B408" t="s">
        <v>231</v>
      </c>
      <c r="C408" t="s">
        <v>488</v>
      </c>
      <c r="D408" t="s">
        <v>850</v>
      </c>
      <c r="E408">
        <v>54</v>
      </c>
      <c r="F408" t="str" cm="1">
        <f t="array" ref="F408">INDEX(Country!$B$3:$B$250, MATCH(TRUE, ISNUMBER(SEARCH(Country!$A$2:$A$509, Customer_Data[[#This Row],[Country]])),0 ))</f>
        <v>Asia</v>
      </c>
      <c r="G408" t="s">
        <v>888</v>
      </c>
      <c r="H408" t="s">
        <v>1488</v>
      </c>
      <c r="I408" t="s">
        <v>2455</v>
      </c>
      <c r="J408" t="s">
        <v>3447</v>
      </c>
      <c r="K408" s="1">
        <v>45600</v>
      </c>
      <c r="L408">
        <f>YEAR(Customer_Data[[#This Row],[LastPurchaseDate]])</f>
        <v>2024</v>
      </c>
      <c r="M408">
        <f>MONTH(Customer_Data[[#This Row],[LastPurchaseDate]])</f>
        <v>5</v>
      </c>
      <c r="N408" s="7">
        <v>45434</v>
      </c>
      <c r="O408">
        <v>20</v>
      </c>
      <c r="P408" s="4">
        <v>685.18</v>
      </c>
      <c r="Q408" t="s">
        <v>4035</v>
      </c>
      <c r="R408">
        <v>3</v>
      </c>
      <c r="S408">
        <v>34.26</v>
      </c>
    </row>
    <row r="409" spans="1:19" x14ac:dyDescent="0.25">
      <c r="A409">
        <v>413</v>
      </c>
      <c r="B409" t="s">
        <v>232</v>
      </c>
      <c r="C409" t="s">
        <v>497</v>
      </c>
      <c r="D409" t="s">
        <v>850</v>
      </c>
      <c r="E409">
        <v>63</v>
      </c>
      <c r="F409" t="str" cm="1">
        <f t="array" ref="F409">INDEX(Country!$B$3:$B$250, MATCH(TRUE, ISNUMBER(SEARCH(Country!$A$2:$A$509, Customer_Data[[#This Row],[Country]])),0 ))</f>
        <v>Asia</v>
      </c>
      <c r="G409" t="s">
        <v>1051</v>
      </c>
      <c r="H409" t="s">
        <v>1489</v>
      </c>
      <c r="I409" t="s">
        <v>2456</v>
      </c>
      <c r="J409" t="s">
        <v>3448</v>
      </c>
      <c r="K409" s="1">
        <v>45387</v>
      </c>
      <c r="L409">
        <f>YEAR(Customer_Data[[#This Row],[LastPurchaseDate]])</f>
        <v>2024</v>
      </c>
      <c r="M409">
        <f>MONTH(Customer_Data[[#This Row],[LastPurchaseDate]])</f>
        <v>6</v>
      </c>
      <c r="N409" s="7">
        <v>45455</v>
      </c>
      <c r="O409">
        <v>18</v>
      </c>
      <c r="P409" s="4">
        <v>292.39</v>
      </c>
      <c r="Q409" t="s">
        <v>4035</v>
      </c>
      <c r="R409">
        <v>1</v>
      </c>
      <c r="S409">
        <v>16.239999999999998</v>
      </c>
    </row>
    <row r="410" spans="1:19" x14ac:dyDescent="0.25">
      <c r="A410">
        <v>414</v>
      </c>
      <c r="B410" t="s">
        <v>36</v>
      </c>
      <c r="C410" t="s">
        <v>419</v>
      </c>
      <c r="D410" t="s">
        <v>851</v>
      </c>
      <c r="E410">
        <v>61</v>
      </c>
      <c r="F410" t="str" cm="1">
        <f t="array" ref="F410">INDEX(Country!$B$3:$B$250, MATCH(TRUE, ISNUMBER(SEARCH(Country!$A$2:$A$509, Customer_Data[[#This Row],[Country]])),0 ))</f>
        <v>Europe</v>
      </c>
      <c r="G410" t="s">
        <v>971</v>
      </c>
      <c r="H410" t="s">
        <v>1490</v>
      </c>
      <c r="I410" t="s">
        <v>2457</v>
      </c>
      <c r="J410" t="s">
        <v>3449</v>
      </c>
      <c r="K410" s="1">
        <v>44900</v>
      </c>
      <c r="L410">
        <f>YEAR(Customer_Data[[#This Row],[LastPurchaseDate]])</f>
        <v>2024</v>
      </c>
      <c r="M410">
        <f>MONTH(Customer_Data[[#This Row],[LastPurchaseDate]])</f>
        <v>6</v>
      </c>
      <c r="N410" s="7">
        <v>45455</v>
      </c>
      <c r="O410">
        <v>40</v>
      </c>
      <c r="P410" s="4">
        <v>7921.8</v>
      </c>
      <c r="Q410" t="s">
        <v>4034</v>
      </c>
      <c r="R410">
        <v>1</v>
      </c>
      <c r="S410">
        <v>198.04</v>
      </c>
    </row>
    <row r="411" spans="1:19" x14ac:dyDescent="0.25">
      <c r="A411">
        <v>415</v>
      </c>
      <c r="B411" t="s">
        <v>115</v>
      </c>
      <c r="C411" t="s">
        <v>503</v>
      </c>
      <c r="D411" t="s">
        <v>850</v>
      </c>
      <c r="E411">
        <v>51</v>
      </c>
      <c r="F411" t="str" cm="1">
        <f t="array" ref="F411">INDEX(Country!$B$3:$B$250, MATCH(TRUE, ISNUMBER(SEARCH(Country!$A$2:$A$509, Customer_Data[[#This Row],[Country]])),0 ))</f>
        <v>Antarctica</v>
      </c>
      <c r="G411" t="s">
        <v>1052</v>
      </c>
      <c r="H411" t="s">
        <v>1491</v>
      </c>
      <c r="I411" t="s">
        <v>2458</v>
      </c>
      <c r="J411" t="s">
        <v>3450</v>
      </c>
      <c r="K411" s="1">
        <v>45888</v>
      </c>
      <c r="L411">
        <f>YEAR(Customer_Data[[#This Row],[LastPurchaseDate]])</f>
        <v>2025</v>
      </c>
      <c r="M411">
        <f>MONTH(Customer_Data[[#This Row],[LastPurchaseDate]])</f>
        <v>4</v>
      </c>
      <c r="N411" s="7">
        <v>45766</v>
      </c>
      <c r="O411">
        <v>16</v>
      </c>
      <c r="P411" s="4">
        <v>6866.04</v>
      </c>
      <c r="Q411" t="s">
        <v>4035</v>
      </c>
      <c r="R411">
        <v>4</v>
      </c>
      <c r="S411">
        <v>429.13</v>
      </c>
    </row>
    <row r="412" spans="1:19" x14ac:dyDescent="0.25">
      <c r="A412">
        <v>416</v>
      </c>
      <c r="B412" t="s">
        <v>58</v>
      </c>
      <c r="C412" t="s">
        <v>628</v>
      </c>
      <c r="D412" t="s">
        <v>851</v>
      </c>
      <c r="E412">
        <v>25</v>
      </c>
      <c r="F412" t="str" cm="1">
        <f t="array" ref="F412">INDEX(Country!$B$3:$B$250, MATCH(TRUE, ISNUMBER(SEARCH(Country!$A$2:$A$509, Customer_Data[[#This Row],[Country]])),0 ))</f>
        <v>Africa</v>
      </c>
      <c r="G412" t="s">
        <v>995</v>
      </c>
      <c r="H412" t="s">
        <v>1492</v>
      </c>
      <c r="I412" t="s">
        <v>2459</v>
      </c>
      <c r="J412" t="s">
        <v>3451</v>
      </c>
      <c r="K412" s="1">
        <v>45176</v>
      </c>
      <c r="L412">
        <f>YEAR(Customer_Data[[#This Row],[LastPurchaseDate]])</f>
        <v>2023</v>
      </c>
      <c r="M412">
        <f>MONTH(Customer_Data[[#This Row],[LastPurchaseDate]])</f>
        <v>11</v>
      </c>
      <c r="N412" s="7">
        <v>45244</v>
      </c>
      <c r="O412">
        <v>18</v>
      </c>
      <c r="P412" s="4">
        <v>6139.95</v>
      </c>
      <c r="Q412" t="s">
        <v>4034</v>
      </c>
      <c r="R412">
        <v>4</v>
      </c>
      <c r="S412">
        <v>341.11</v>
      </c>
    </row>
    <row r="413" spans="1:19" x14ac:dyDescent="0.25">
      <c r="A413">
        <v>417</v>
      </c>
      <c r="B413" t="s">
        <v>78</v>
      </c>
      <c r="C413" t="s">
        <v>629</v>
      </c>
      <c r="D413" t="s">
        <v>851</v>
      </c>
      <c r="E413">
        <v>27</v>
      </c>
      <c r="F413" t="str" cm="1">
        <f t="array" ref="F413">INDEX(Country!$B$3:$B$250, MATCH(TRUE, ISNUMBER(SEARCH(Country!$A$2:$A$509, Customer_Data[[#This Row],[Country]])),0 ))</f>
        <v>North America</v>
      </c>
      <c r="G413" t="s">
        <v>863</v>
      </c>
      <c r="H413" t="s">
        <v>1493</v>
      </c>
      <c r="I413" t="s">
        <v>2460</v>
      </c>
      <c r="J413" t="s">
        <v>3452</v>
      </c>
      <c r="K413" s="1">
        <v>45927</v>
      </c>
      <c r="L413">
        <f>YEAR(Customer_Data[[#This Row],[LastPurchaseDate]])</f>
        <v>2024</v>
      </c>
      <c r="M413">
        <f>MONTH(Customer_Data[[#This Row],[LastPurchaseDate]])</f>
        <v>4</v>
      </c>
      <c r="N413" s="7">
        <v>45400</v>
      </c>
      <c r="O413">
        <v>1</v>
      </c>
      <c r="P413" s="4">
        <v>6737.05</v>
      </c>
      <c r="Q413" t="s">
        <v>4035</v>
      </c>
      <c r="R413">
        <v>5</v>
      </c>
      <c r="S413">
        <v>6737.05</v>
      </c>
    </row>
    <row r="414" spans="1:19" x14ac:dyDescent="0.25">
      <c r="A414">
        <v>418</v>
      </c>
      <c r="B414" t="s">
        <v>115</v>
      </c>
      <c r="C414" t="s">
        <v>371</v>
      </c>
      <c r="D414" t="s">
        <v>851</v>
      </c>
      <c r="E414">
        <v>49</v>
      </c>
      <c r="F414" t="str" cm="1">
        <f t="array" ref="F414">INDEX(Country!$B$3:$B$250, MATCH(TRUE, ISNUMBER(SEARCH(Country!$A$2:$A$509, Customer_Data[[#This Row],[Country]])),0 ))</f>
        <v>Africa</v>
      </c>
      <c r="G414" t="s">
        <v>978</v>
      </c>
      <c r="H414" t="s">
        <v>1494</v>
      </c>
      <c r="I414" t="s">
        <v>2461</v>
      </c>
      <c r="J414" t="s">
        <v>3453</v>
      </c>
      <c r="K414" s="1">
        <v>45720</v>
      </c>
      <c r="L414">
        <f>YEAR(Customer_Data[[#This Row],[LastPurchaseDate]])</f>
        <v>2024</v>
      </c>
      <c r="M414">
        <f>MONTH(Customer_Data[[#This Row],[LastPurchaseDate]])</f>
        <v>11</v>
      </c>
      <c r="N414" s="7">
        <v>45610</v>
      </c>
      <c r="O414">
        <v>36</v>
      </c>
      <c r="P414" s="4">
        <v>8981.5</v>
      </c>
      <c r="Q414" t="s">
        <v>4035</v>
      </c>
      <c r="R414">
        <v>4</v>
      </c>
      <c r="S414">
        <v>249.49</v>
      </c>
    </row>
    <row r="415" spans="1:19" x14ac:dyDescent="0.25">
      <c r="A415">
        <v>419</v>
      </c>
      <c r="B415" t="s">
        <v>233</v>
      </c>
      <c r="C415" t="s">
        <v>630</v>
      </c>
      <c r="D415" t="s">
        <v>850</v>
      </c>
      <c r="E415">
        <v>64</v>
      </c>
      <c r="F415" t="str" cm="1">
        <f t="array" ref="F415">INDEX(Country!$B$3:$B$250, MATCH(TRUE, ISNUMBER(SEARCH(Country!$A$2:$A$509, Customer_Data[[#This Row],[Country]])),0 ))</f>
        <v>Asia</v>
      </c>
      <c r="G415" t="s">
        <v>994</v>
      </c>
      <c r="H415" t="s">
        <v>1495</v>
      </c>
      <c r="I415" t="s">
        <v>2462</v>
      </c>
      <c r="J415" t="s">
        <v>3454</v>
      </c>
      <c r="K415" s="1">
        <v>45932</v>
      </c>
      <c r="L415">
        <f>YEAR(Customer_Data[[#This Row],[LastPurchaseDate]])</f>
        <v>2023</v>
      </c>
      <c r="M415">
        <f>MONTH(Customer_Data[[#This Row],[LastPurchaseDate]])</f>
        <v>12</v>
      </c>
      <c r="N415" s="7">
        <v>45270</v>
      </c>
      <c r="O415">
        <v>3</v>
      </c>
      <c r="P415" s="4">
        <v>9112.2900000000009</v>
      </c>
      <c r="Q415" t="s">
        <v>4035</v>
      </c>
      <c r="R415">
        <v>3</v>
      </c>
      <c r="S415">
        <v>3037.43</v>
      </c>
    </row>
    <row r="416" spans="1:19" x14ac:dyDescent="0.25">
      <c r="A416">
        <v>420</v>
      </c>
      <c r="B416" t="s">
        <v>103</v>
      </c>
      <c r="C416" t="s">
        <v>631</v>
      </c>
      <c r="D416" t="s">
        <v>851</v>
      </c>
      <c r="E416">
        <v>33</v>
      </c>
      <c r="F416" t="str" cm="1">
        <f t="array" ref="F416">INDEX(Country!$B$3:$B$250, MATCH(TRUE, ISNUMBER(SEARCH(Country!$A$2:$A$509, Customer_Data[[#This Row],[Country]])),0 ))</f>
        <v>Europe</v>
      </c>
      <c r="G416" t="s">
        <v>911</v>
      </c>
      <c r="H416" t="s">
        <v>1496</v>
      </c>
      <c r="I416" t="s">
        <v>2463</v>
      </c>
      <c r="J416" t="s">
        <v>3455</v>
      </c>
      <c r="K416" s="1">
        <v>45800</v>
      </c>
      <c r="L416">
        <f>YEAR(Customer_Data[[#This Row],[LastPurchaseDate]])</f>
        <v>2024</v>
      </c>
      <c r="M416">
        <f>MONTH(Customer_Data[[#This Row],[LastPurchaseDate]])</f>
        <v>6</v>
      </c>
      <c r="N416" s="7">
        <v>45467</v>
      </c>
      <c r="O416">
        <v>12</v>
      </c>
      <c r="P416" s="4">
        <v>2370.11</v>
      </c>
      <c r="Q416" t="s">
        <v>4035</v>
      </c>
      <c r="R416">
        <v>1</v>
      </c>
      <c r="S416">
        <v>197.51</v>
      </c>
    </row>
    <row r="417" spans="1:19" x14ac:dyDescent="0.25">
      <c r="A417">
        <v>421</v>
      </c>
      <c r="B417" t="s">
        <v>96</v>
      </c>
      <c r="C417" t="s">
        <v>632</v>
      </c>
      <c r="D417" t="s">
        <v>851</v>
      </c>
      <c r="E417">
        <v>59</v>
      </c>
      <c r="F417" t="str" cm="1">
        <f t="array" ref="F417">INDEX(Country!$B$3:$B$250, MATCH(TRUE, ISNUMBER(SEARCH(Country!$A$2:$A$509, Customer_Data[[#This Row],[Country]])),0 ))</f>
        <v>Africa</v>
      </c>
      <c r="G417" t="s">
        <v>977</v>
      </c>
      <c r="H417" t="s">
        <v>1497</v>
      </c>
      <c r="I417" t="s">
        <v>2464</v>
      </c>
      <c r="J417" t="s">
        <v>3456</v>
      </c>
      <c r="K417" s="1">
        <v>45236</v>
      </c>
      <c r="L417">
        <f>YEAR(Customer_Data[[#This Row],[LastPurchaseDate]])</f>
        <v>2024</v>
      </c>
      <c r="M417">
        <f>MONTH(Customer_Data[[#This Row],[LastPurchaseDate]])</f>
        <v>2</v>
      </c>
      <c r="N417" s="7">
        <v>45335</v>
      </c>
      <c r="O417">
        <v>43</v>
      </c>
      <c r="P417" s="4">
        <v>3846.16</v>
      </c>
      <c r="Q417" t="s">
        <v>4035</v>
      </c>
      <c r="R417">
        <v>1</v>
      </c>
      <c r="S417">
        <v>89.45</v>
      </c>
    </row>
    <row r="418" spans="1:19" x14ac:dyDescent="0.25">
      <c r="A418">
        <v>422</v>
      </c>
      <c r="B418" t="s">
        <v>128</v>
      </c>
      <c r="C418" t="s">
        <v>633</v>
      </c>
      <c r="D418" t="s">
        <v>850</v>
      </c>
      <c r="E418">
        <v>69</v>
      </c>
      <c r="F418" t="str" cm="1">
        <f t="array" ref="F418">INDEX(Country!$B$3:$B$250, MATCH(TRUE, ISNUMBER(SEARCH(Country!$A$2:$A$509, Customer_Data[[#This Row],[Country]])),0 ))</f>
        <v>Asia</v>
      </c>
      <c r="G418" t="s">
        <v>1003</v>
      </c>
      <c r="H418" t="s">
        <v>1498</v>
      </c>
      <c r="I418" t="s">
        <v>2465</v>
      </c>
      <c r="J418" t="s">
        <v>3457</v>
      </c>
      <c r="K418" s="1">
        <v>45082</v>
      </c>
      <c r="L418">
        <f>YEAR(Customer_Data[[#This Row],[LastPurchaseDate]])</f>
        <v>2025</v>
      </c>
      <c r="M418">
        <f>MONTH(Customer_Data[[#This Row],[LastPurchaseDate]])</f>
        <v>3</v>
      </c>
      <c r="N418" s="7">
        <v>45733</v>
      </c>
      <c r="O418">
        <v>11</v>
      </c>
      <c r="P418" s="4">
        <v>6761.19</v>
      </c>
      <c r="Q418" t="s">
        <v>4034</v>
      </c>
      <c r="R418">
        <v>4</v>
      </c>
      <c r="S418">
        <v>614.65</v>
      </c>
    </row>
    <row r="419" spans="1:19" x14ac:dyDescent="0.25">
      <c r="A419">
        <v>423</v>
      </c>
      <c r="B419" t="s">
        <v>78</v>
      </c>
      <c r="C419" t="s">
        <v>380</v>
      </c>
      <c r="D419" t="s">
        <v>850</v>
      </c>
      <c r="E419">
        <v>64</v>
      </c>
      <c r="F419" t="str" cm="1">
        <f t="array" ref="F419">INDEX(Country!$B$3:$B$250, MATCH(TRUE, ISNUMBER(SEARCH(Country!$A$2:$A$509, Customer_Data[[#This Row],[Country]])),0 ))</f>
        <v>North America</v>
      </c>
      <c r="G419" t="s">
        <v>1028</v>
      </c>
      <c r="H419" t="s">
        <v>1499</v>
      </c>
      <c r="I419" t="s">
        <v>2466</v>
      </c>
      <c r="J419" t="s">
        <v>3458</v>
      </c>
      <c r="K419" s="1">
        <v>45409</v>
      </c>
      <c r="L419">
        <f>YEAR(Customer_Data[[#This Row],[LastPurchaseDate]])</f>
        <v>2024</v>
      </c>
      <c r="M419">
        <f>MONTH(Customer_Data[[#This Row],[LastPurchaseDate]])</f>
        <v>8</v>
      </c>
      <c r="N419" s="7">
        <v>45507</v>
      </c>
      <c r="O419">
        <v>32</v>
      </c>
      <c r="P419" s="4">
        <v>5567.55</v>
      </c>
      <c r="Q419" t="s">
        <v>4034</v>
      </c>
      <c r="R419">
        <v>3</v>
      </c>
      <c r="S419">
        <v>173.99</v>
      </c>
    </row>
    <row r="420" spans="1:19" x14ac:dyDescent="0.25">
      <c r="A420">
        <v>424</v>
      </c>
      <c r="B420" t="s">
        <v>234</v>
      </c>
      <c r="C420" t="s">
        <v>376</v>
      </c>
      <c r="D420" t="s">
        <v>852</v>
      </c>
      <c r="E420">
        <v>60</v>
      </c>
      <c r="F420" t="str" cm="1">
        <f t="array" ref="F420">INDEX(Country!$B$3:$B$250, MATCH(TRUE, ISNUMBER(SEARCH(Country!$A$2:$A$509, Customer_Data[[#This Row],[Country]])),0 ))</f>
        <v>Oceania</v>
      </c>
      <c r="G420" t="s">
        <v>903</v>
      </c>
      <c r="H420" t="s">
        <v>1500</v>
      </c>
      <c r="I420" t="s">
        <v>2467</v>
      </c>
      <c r="J420" t="s">
        <v>3459</v>
      </c>
      <c r="K420" s="1">
        <v>45847</v>
      </c>
      <c r="L420">
        <f>YEAR(Customer_Data[[#This Row],[LastPurchaseDate]])</f>
        <v>2024</v>
      </c>
      <c r="M420">
        <f>MONTH(Customer_Data[[#This Row],[LastPurchaseDate]])</f>
        <v>3</v>
      </c>
      <c r="N420" s="7">
        <v>45352</v>
      </c>
      <c r="O420">
        <v>33</v>
      </c>
      <c r="P420" s="4">
        <v>8902.83</v>
      </c>
      <c r="Q420" t="s">
        <v>4034</v>
      </c>
      <c r="R420">
        <v>1</v>
      </c>
      <c r="S420">
        <v>269.77999999999997</v>
      </c>
    </row>
    <row r="421" spans="1:19" x14ac:dyDescent="0.25">
      <c r="A421">
        <v>425</v>
      </c>
      <c r="B421" t="s">
        <v>115</v>
      </c>
      <c r="C421" t="s">
        <v>634</v>
      </c>
      <c r="D421" t="s">
        <v>850</v>
      </c>
      <c r="E421">
        <v>72</v>
      </c>
      <c r="F421" t="str" cm="1">
        <f t="array" ref="F421">INDEX(Country!$B$3:$B$250, MATCH(TRUE, ISNUMBER(SEARCH(Country!$A$2:$A$509, Customer_Data[[#This Row],[Country]])),0 ))</f>
        <v>Africa</v>
      </c>
      <c r="G421" t="s">
        <v>868</v>
      </c>
      <c r="H421" t="s">
        <v>1501</v>
      </c>
      <c r="I421" t="s">
        <v>2468</v>
      </c>
      <c r="J421" t="s">
        <v>3460</v>
      </c>
      <c r="K421" s="1">
        <v>45655</v>
      </c>
      <c r="L421">
        <f>YEAR(Customer_Data[[#This Row],[LastPurchaseDate]])</f>
        <v>2023</v>
      </c>
      <c r="M421">
        <f>MONTH(Customer_Data[[#This Row],[LastPurchaseDate]])</f>
        <v>11</v>
      </c>
      <c r="N421" s="7">
        <v>45248</v>
      </c>
      <c r="O421">
        <v>26</v>
      </c>
      <c r="P421" s="4">
        <v>4445.88</v>
      </c>
      <c r="Q421" t="s">
        <v>4034</v>
      </c>
      <c r="R421">
        <v>4</v>
      </c>
      <c r="S421">
        <v>171</v>
      </c>
    </row>
    <row r="422" spans="1:19" x14ac:dyDescent="0.25">
      <c r="A422">
        <v>426</v>
      </c>
      <c r="B422" t="s">
        <v>235</v>
      </c>
      <c r="C422" t="s">
        <v>495</v>
      </c>
      <c r="D422" t="s">
        <v>850</v>
      </c>
      <c r="E422">
        <v>51</v>
      </c>
      <c r="F422" t="str" cm="1">
        <f t="array" ref="F422">INDEX(Country!$B$3:$B$250, MATCH(TRUE, ISNUMBER(SEARCH(Country!$A$2:$A$509, Customer_Data[[#This Row],[Country]])),0 ))</f>
        <v>Asia</v>
      </c>
      <c r="G422" t="s">
        <v>1053</v>
      </c>
      <c r="H422" t="s">
        <v>1502</v>
      </c>
      <c r="I422" t="s">
        <v>2469</v>
      </c>
      <c r="J422" t="s">
        <v>3461</v>
      </c>
      <c r="K422" s="1">
        <v>44929</v>
      </c>
      <c r="L422">
        <f>YEAR(Customer_Data[[#This Row],[LastPurchaseDate]])</f>
        <v>2024</v>
      </c>
      <c r="M422">
        <f>MONTH(Customer_Data[[#This Row],[LastPurchaseDate]])</f>
        <v>10</v>
      </c>
      <c r="N422" s="7">
        <v>45566</v>
      </c>
      <c r="O422">
        <v>14</v>
      </c>
      <c r="P422" s="4">
        <v>1771.47</v>
      </c>
      <c r="Q422" t="s">
        <v>4035</v>
      </c>
      <c r="R422">
        <v>2</v>
      </c>
      <c r="S422">
        <v>126.53</v>
      </c>
    </row>
    <row r="423" spans="1:19" x14ac:dyDescent="0.25">
      <c r="A423">
        <v>427</v>
      </c>
      <c r="B423" t="s">
        <v>96</v>
      </c>
      <c r="C423" t="s">
        <v>635</v>
      </c>
      <c r="D423" t="s">
        <v>851</v>
      </c>
      <c r="E423">
        <v>39</v>
      </c>
      <c r="F423" t="str" cm="1">
        <f t="array" ref="F423">INDEX(Country!$B$3:$B$250, MATCH(TRUE, ISNUMBER(SEARCH(Country!$A$2:$A$509, Customer_Data[[#This Row],[Country]])),0 ))</f>
        <v>Asia</v>
      </c>
      <c r="G423" t="s">
        <v>159</v>
      </c>
      <c r="H423" t="s">
        <v>1503</v>
      </c>
      <c r="I423" t="s">
        <v>2470</v>
      </c>
      <c r="J423" t="s">
        <v>3462</v>
      </c>
      <c r="K423" s="1">
        <v>45301</v>
      </c>
      <c r="L423">
        <f>YEAR(Customer_Data[[#This Row],[LastPurchaseDate]])</f>
        <v>2024</v>
      </c>
      <c r="M423">
        <f>MONTH(Customer_Data[[#This Row],[LastPurchaseDate]])</f>
        <v>5</v>
      </c>
      <c r="N423" s="7">
        <v>45420</v>
      </c>
      <c r="O423">
        <v>49</v>
      </c>
      <c r="P423" s="4">
        <v>6696.61</v>
      </c>
      <c r="Q423" t="s">
        <v>4034</v>
      </c>
      <c r="R423">
        <v>5</v>
      </c>
      <c r="S423">
        <v>136.66999999999999</v>
      </c>
    </row>
    <row r="424" spans="1:19" x14ac:dyDescent="0.25">
      <c r="A424">
        <v>428</v>
      </c>
      <c r="B424" t="s">
        <v>48</v>
      </c>
      <c r="C424" t="s">
        <v>636</v>
      </c>
      <c r="D424" t="s">
        <v>850</v>
      </c>
      <c r="E424">
        <v>62</v>
      </c>
      <c r="F424" t="str" cm="1">
        <f t="array" ref="F424">INDEX(Country!$B$3:$B$250, MATCH(TRUE, ISNUMBER(SEARCH(Country!$A$2:$A$509, Customer_Data[[#This Row],[Country]])),0 ))</f>
        <v>North America</v>
      </c>
      <c r="G424" t="s">
        <v>904</v>
      </c>
      <c r="H424" t="s">
        <v>1504</v>
      </c>
      <c r="I424" t="s">
        <v>2471</v>
      </c>
      <c r="J424" t="s">
        <v>3463</v>
      </c>
      <c r="K424" s="1">
        <v>45351</v>
      </c>
      <c r="L424">
        <f>YEAR(Customer_Data[[#This Row],[LastPurchaseDate]])</f>
        <v>2024</v>
      </c>
      <c r="M424">
        <f>MONTH(Customer_Data[[#This Row],[LastPurchaseDate]])</f>
        <v>4</v>
      </c>
      <c r="N424" s="7">
        <v>45407</v>
      </c>
      <c r="O424">
        <v>10</v>
      </c>
      <c r="P424" s="4">
        <v>1859.98</v>
      </c>
      <c r="Q424" t="s">
        <v>4035</v>
      </c>
      <c r="R424">
        <v>3</v>
      </c>
      <c r="S424">
        <v>186</v>
      </c>
    </row>
    <row r="425" spans="1:19" x14ac:dyDescent="0.25">
      <c r="A425">
        <v>429</v>
      </c>
      <c r="B425" t="s">
        <v>129</v>
      </c>
      <c r="C425" t="s">
        <v>464</v>
      </c>
      <c r="D425" t="s">
        <v>851</v>
      </c>
      <c r="E425">
        <v>23</v>
      </c>
      <c r="F425" t="str" cm="1">
        <f t="array" ref="F425">INDEX(Country!$B$3:$B$250, MATCH(TRUE, ISNUMBER(SEARCH(Country!$A$2:$A$509, Customer_Data[[#This Row],[Country]])),0 ))</f>
        <v>Asia</v>
      </c>
      <c r="G425" t="s">
        <v>159</v>
      </c>
      <c r="H425" t="s">
        <v>1505</v>
      </c>
      <c r="I425" t="s">
        <v>2472</v>
      </c>
      <c r="J425" t="s">
        <v>3464</v>
      </c>
      <c r="K425" s="1">
        <v>45798</v>
      </c>
      <c r="L425">
        <f>YEAR(Customer_Data[[#This Row],[LastPurchaseDate]])</f>
        <v>2023</v>
      </c>
      <c r="M425">
        <f>MONTH(Customer_Data[[#This Row],[LastPurchaseDate]])</f>
        <v>12</v>
      </c>
      <c r="N425" s="7">
        <v>45286</v>
      </c>
      <c r="O425">
        <v>5</v>
      </c>
      <c r="P425" s="4">
        <v>3235.62</v>
      </c>
      <c r="Q425" t="s">
        <v>4035</v>
      </c>
      <c r="R425">
        <v>3</v>
      </c>
      <c r="S425">
        <v>647.12</v>
      </c>
    </row>
    <row r="426" spans="1:19" x14ac:dyDescent="0.25">
      <c r="A426">
        <v>430</v>
      </c>
      <c r="B426" t="s">
        <v>36</v>
      </c>
      <c r="C426" t="s">
        <v>637</v>
      </c>
      <c r="D426" t="s">
        <v>850</v>
      </c>
      <c r="E426">
        <v>46</v>
      </c>
      <c r="F426" t="str" cm="1">
        <f t="array" ref="F426">INDEX(Country!$B$3:$B$250, MATCH(TRUE, ISNUMBER(SEARCH(Country!$A$2:$A$509, Customer_Data[[#This Row],[Country]])),0 ))</f>
        <v>Asia</v>
      </c>
      <c r="G426" t="s">
        <v>1054</v>
      </c>
      <c r="H426" t="s">
        <v>1506</v>
      </c>
      <c r="I426" t="s">
        <v>2473</v>
      </c>
      <c r="J426" t="s">
        <v>3465</v>
      </c>
      <c r="K426" s="1">
        <v>45138</v>
      </c>
      <c r="L426">
        <f>YEAR(Customer_Data[[#This Row],[LastPurchaseDate]])</f>
        <v>2025</v>
      </c>
      <c r="M426">
        <f>MONTH(Customer_Data[[#This Row],[LastPurchaseDate]])</f>
        <v>8</v>
      </c>
      <c r="N426" s="7">
        <v>45894</v>
      </c>
      <c r="O426">
        <v>31</v>
      </c>
      <c r="P426" s="4">
        <v>7474.52</v>
      </c>
      <c r="Q426" t="s">
        <v>4035</v>
      </c>
      <c r="R426">
        <v>4</v>
      </c>
      <c r="S426">
        <v>241.11</v>
      </c>
    </row>
    <row r="427" spans="1:19" x14ac:dyDescent="0.25">
      <c r="A427">
        <v>431</v>
      </c>
      <c r="B427" t="s">
        <v>99</v>
      </c>
      <c r="C427" t="s">
        <v>449</v>
      </c>
      <c r="D427" t="s">
        <v>850</v>
      </c>
      <c r="E427">
        <v>40</v>
      </c>
      <c r="F427" t="str" cm="1">
        <f t="array" ref="F427">INDEX(Country!$B$3:$B$250, MATCH(TRUE, ISNUMBER(SEARCH(Country!$A$2:$A$509, Customer_Data[[#This Row],[Country]])),0 ))</f>
        <v>Europe</v>
      </c>
      <c r="G427" t="s">
        <v>1055</v>
      </c>
      <c r="H427" t="s">
        <v>1507</v>
      </c>
      <c r="I427" t="s">
        <v>2474</v>
      </c>
      <c r="J427" t="s">
        <v>3466</v>
      </c>
      <c r="K427" s="1">
        <v>45321</v>
      </c>
      <c r="L427">
        <f>YEAR(Customer_Data[[#This Row],[LastPurchaseDate]])</f>
        <v>2024</v>
      </c>
      <c r="M427">
        <f>MONTH(Customer_Data[[#This Row],[LastPurchaseDate]])</f>
        <v>4</v>
      </c>
      <c r="N427" s="7">
        <v>45406</v>
      </c>
      <c r="O427">
        <v>30</v>
      </c>
      <c r="P427" s="4">
        <v>1165.93</v>
      </c>
      <c r="Q427" t="s">
        <v>4035</v>
      </c>
      <c r="R427">
        <v>5</v>
      </c>
      <c r="S427">
        <v>38.86</v>
      </c>
    </row>
    <row r="428" spans="1:19" x14ac:dyDescent="0.25">
      <c r="A428">
        <v>432</v>
      </c>
      <c r="B428" t="s">
        <v>34</v>
      </c>
      <c r="C428" t="s">
        <v>412</v>
      </c>
      <c r="D428" t="s">
        <v>851</v>
      </c>
      <c r="E428">
        <v>41</v>
      </c>
      <c r="F428" t="str" cm="1">
        <f t="array" ref="F428">INDEX(Country!$B$3:$B$250, MATCH(TRUE, ISNUMBER(SEARCH(Country!$A$2:$A$509, Customer_Data[[#This Row],[Country]])),0 ))</f>
        <v>North America</v>
      </c>
      <c r="G428" t="s">
        <v>906</v>
      </c>
      <c r="H428" t="s">
        <v>1508</v>
      </c>
      <c r="I428" t="s">
        <v>2475</v>
      </c>
      <c r="J428" t="s">
        <v>3467</v>
      </c>
      <c r="K428" s="1">
        <v>45679</v>
      </c>
      <c r="L428">
        <f>YEAR(Customer_Data[[#This Row],[LastPurchaseDate]])</f>
        <v>2025</v>
      </c>
      <c r="M428">
        <f>MONTH(Customer_Data[[#This Row],[LastPurchaseDate]])</f>
        <v>8</v>
      </c>
      <c r="N428" s="7">
        <v>45876</v>
      </c>
      <c r="O428">
        <v>17</v>
      </c>
      <c r="P428" s="4">
        <v>7388.21</v>
      </c>
      <c r="Q428" t="s">
        <v>4035</v>
      </c>
      <c r="R428">
        <v>3</v>
      </c>
      <c r="S428">
        <v>434.6</v>
      </c>
    </row>
    <row r="429" spans="1:19" x14ac:dyDescent="0.25">
      <c r="A429">
        <v>433</v>
      </c>
      <c r="B429" t="s">
        <v>236</v>
      </c>
      <c r="C429" t="s">
        <v>466</v>
      </c>
      <c r="D429" t="s">
        <v>850</v>
      </c>
      <c r="E429">
        <v>55</v>
      </c>
      <c r="F429" t="str" cm="1">
        <f t="array" ref="F429">INDEX(Country!$B$3:$B$250, MATCH(TRUE, ISNUMBER(SEARCH(Country!$A$2:$A$509, Customer_Data[[#This Row],[Country]])),0 ))</f>
        <v>Africa</v>
      </c>
      <c r="G429" t="s">
        <v>1037</v>
      </c>
      <c r="H429" t="s">
        <v>1509</v>
      </c>
      <c r="I429" t="s">
        <v>2476</v>
      </c>
      <c r="J429" t="s">
        <v>3468</v>
      </c>
      <c r="K429" s="1">
        <v>45675</v>
      </c>
      <c r="L429">
        <f>YEAR(Customer_Data[[#This Row],[LastPurchaseDate]])</f>
        <v>2025</v>
      </c>
      <c r="M429">
        <f>MONTH(Customer_Data[[#This Row],[LastPurchaseDate]])</f>
        <v>8</v>
      </c>
      <c r="N429" s="7">
        <v>45879</v>
      </c>
      <c r="O429">
        <v>30</v>
      </c>
      <c r="P429" s="4">
        <v>5691.94</v>
      </c>
      <c r="Q429" t="s">
        <v>4035</v>
      </c>
      <c r="R429">
        <v>2</v>
      </c>
      <c r="S429">
        <v>189.73</v>
      </c>
    </row>
    <row r="430" spans="1:19" x14ac:dyDescent="0.25">
      <c r="A430">
        <v>434</v>
      </c>
      <c r="B430" t="s">
        <v>237</v>
      </c>
      <c r="C430" t="s">
        <v>404</v>
      </c>
      <c r="D430" t="s">
        <v>850</v>
      </c>
      <c r="E430">
        <v>39</v>
      </c>
      <c r="F430" t="str" cm="1">
        <f t="array" ref="F430">INDEX(Country!$B$3:$B$250, MATCH(TRUE, ISNUMBER(SEARCH(Country!$A$2:$A$509, Customer_Data[[#This Row],[Country]])),0 ))</f>
        <v>Europe</v>
      </c>
      <c r="G430" t="s">
        <v>929</v>
      </c>
      <c r="H430" t="s">
        <v>1510</v>
      </c>
      <c r="I430" t="s">
        <v>2477</v>
      </c>
      <c r="J430" t="s">
        <v>3469</v>
      </c>
      <c r="K430" s="1">
        <v>45213</v>
      </c>
      <c r="L430">
        <f>YEAR(Customer_Data[[#This Row],[LastPurchaseDate]])</f>
        <v>2025</v>
      </c>
      <c r="M430">
        <f>MONTH(Customer_Data[[#This Row],[LastPurchaseDate]])</f>
        <v>1</v>
      </c>
      <c r="N430" s="7">
        <v>45660</v>
      </c>
      <c r="O430">
        <v>6</v>
      </c>
      <c r="P430" s="4">
        <v>6405.36</v>
      </c>
      <c r="Q430" t="s">
        <v>4034</v>
      </c>
      <c r="R430">
        <v>1</v>
      </c>
      <c r="S430">
        <v>1067.56</v>
      </c>
    </row>
    <row r="431" spans="1:19" x14ac:dyDescent="0.25">
      <c r="A431">
        <v>435</v>
      </c>
      <c r="B431" t="s">
        <v>238</v>
      </c>
      <c r="C431" t="s">
        <v>111</v>
      </c>
      <c r="D431" t="s">
        <v>851</v>
      </c>
      <c r="E431">
        <v>69</v>
      </c>
      <c r="F431" t="str" cm="1">
        <f t="array" ref="F431">INDEX(Country!$B$3:$B$250, MATCH(TRUE, ISNUMBER(SEARCH(Country!$A$2:$A$509, Customer_Data[[#This Row],[Country]])),0 ))</f>
        <v>Africa</v>
      </c>
      <c r="G431" t="s">
        <v>886</v>
      </c>
      <c r="H431" t="s">
        <v>1511</v>
      </c>
      <c r="I431" t="s">
        <v>2478</v>
      </c>
      <c r="J431" t="s">
        <v>3470</v>
      </c>
      <c r="K431" s="1">
        <v>44908</v>
      </c>
      <c r="L431">
        <f>YEAR(Customer_Data[[#This Row],[LastPurchaseDate]])</f>
        <v>2024</v>
      </c>
      <c r="M431">
        <f>MONTH(Customer_Data[[#This Row],[LastPurchaseDate]])</f>
        <v>1</v>
      </c>
      <c r="N431" s="7">
        <v>45314</v>
      </c>
      <c r="O431">
        <v>2</v>
      </c>
      <c r="P431" s="4">
        <v>205.09</v>
      </c>
      <c r="Q431" t="s">
        <v>4034</v>
      </c>
      <c r="R431">
        <v>4</v>
      </c>
      <c r="S431">
        <v>102.54</v>
      </c>
    </row>
    <row r="432" spans="1:19" x14ac:dyDescent="0.25">
      <c r="A432">
        <v>436</v>
      </c>
      <c r="B432" t="s">
        <v>143</v>
      </c>
      <c r="C432" t="s">
        <v>638</v>
      </c>
      <c r="D432" t="s">
        <v>851</v>
      </c>
      <c r="E432">
        <v>68</v>
      </c>
      <c r="F432" t="str" cm="1">
        <f t="array" ref="F432">INDEX(Country!$B$3:$B$250, MATCH(TRUE, ISNUMBER(SEARCH(Country!$A$2:$A$509, Customer_Data[[#This Row],[Country]])),0 ))</f>
        <v>Africa</v>
      </c>
      <c r="G432" t="s">
        <v>1013</v>
      </c>
      <c r="H432" t="s">
        <v>1512</v>
      </c>
      <c r="I432" t="s">
        <v>2479</v>
      </c>
      <c r="J432" t="s">
        <v>3471</v>
      </c>
      <c r="K432" s="1">
        <v>45394</v>
      </c>
      <c r="L432">
        <f>YEAR(Customer_Data[[#This Row],[LastPurchaseDate]])</f>
        <v>2024</v>
      </c>
      <c r="M432">
        <f>MONTH(Customer_Data[[#This Row],[LastPurchaseDate]])</f>
        <v>7</v>
      </c>
      <c r="N432" s="7">
        <v>45479</v>
      </c>
      <c r="O432">
        <v>14</v>
      </c>
      <c r="P432" s="4">
        <v>7498.03</v>
      </c>
      <c r="Q432" t="s">
        <v>4035</v>
      </c>
      <c r="R432">
        <v>2</v>
      </c>
      <c r="S432">
        <v>535.57000000000005</v>
      </c>
    </row>
    <row r="433" spans="1:19" x14ac:dyDescent="0.25">
      <c r="A433">
        <v>437</v>
      </c>
      <c r="B433" t="s">
        <v>61</v>
      </c>
      <c r="C433" t="s">
        <v>639</v>
      </c>
      <c r="D433" t="s">
        <v>851</v>
      </c>
      <c r="E433">
        <v>62</v>
      </c>
      <c r="F433" t="str" cm="1">
        <f t="array" ref="F433">INDEX(Country!$B$3:$B$250, MATCH(TRUE, ISNUMBER(SEARCH(Country!$A$2:$A$509, Customer_Data[[#This Row],[Country]])),0 ))</f>
        <v>Africa</v>
      </c>
      <c r="G433" t="s">
        <v>1056</v>
      </c>
      <c r="H433" t="s">
        <v>1513</v>
      </c>
      <c r="I433" t="s">
        <v>2480</v>
      </c>
      <c r="J433" t="s">
        <v>3472</v>
      </c>
      <c r="K433" s="1">
        <v>45114</v>
      </c>
      <c r="L433">
        <f>YEAR(Customer_Data[[#This Row],[LastPurchaseDate]])</f>
        <v>2024</v>
      </c>
      <c r="M433">
        <f>MONTH(Customer_Data[[#This Row],[LastPurchaseDate]])</f>
        <v>6</v>
      </c>
      <c r="N433" s="7">
        <v>45457</v>
      </c>
      <c r="O433">
        <v>29</v>
      </c>
      <c r="P433" s="4">
        <v>6915.62</v>
      </c>
      <c r="Q433" t="s">
        <v>4035</v>
      </c>
      <c r="R433">
        <v>4</v>
      </c>
      <c r="S433">
        <v>238.47</v>
      </c>
    </row>
    <row r="434" spans="1:19" x14ac:dyDescent="0.25">
      <c r="A434">
        <v>438</v>
      </c>
      <c r="B434" t="s">
        <v>55</v>
      </c>
      <c r="C434" t="s">
        <v>448</v>
      </c>
      <c r="D434" t="s">
        <v>850</v>
      </c>
      <c r="E434">
        <v>23</v>
      </c>
      <c r="F434" t="str" cm="1">
        <f t="array" ref="F434">INDEX(Country!$B$3:$B$250, MATCH(TRUE, ISNUMBER(SEARCH(Country!$A$2:$A$509, Customer_Data[[#This Row],[Country]])),0 ))</f>
        <v>Europe</v>
      </c>
      <c r="G434" t="s">
        <v>1024</v>
      </c>
      <c r="H434" t="s">
        <v>1514</v>
      </c>
      <c r="I434" t="s">
        <v>2481</v>
      </c>
      <c r="J434" t="s">
        <v>3473</v>
      </c>
      <c r="K434" s="1">
        <v>45851</v>
      </c>
      <c r="L434">
        <f>YEAR(Customer_Data[[#This Row],[LastPurchaseDate]])</f>
        <v>2023</v>
      </c>
      <c r="M434">
        <f>MONTH(Customer_Data[[#This Row],[LastPurchaseDate]])</f>
        <v>11</v>
      </c>
      <c r="N434" s="7">
        <v>45236</v>
      </c>
      <c r="O434">
        <v>33</v>
      </c>
      <c r="P434" s="4">
        <v>8594.81</v>
      </c>
      <c r="Q434" t="s">
        <v>4035</v>
      </c>
      <c r="R434">
        <v>3</v>
      </c>
      <c r="S434">
        <v>260.45</v>
      </c>
    </row>
    <row r="435" spans="1:19" x14ac:dyDescent="0.25">
      <c r="A435">
        <v>439</v>
      </c>
      <c r="B435" t="s">
        <v>34</v>
      </c>
      <c r="C435" t="s">
        <v>640</v>
      </c>
      <c r="D435" t="s">
        <v>851</v>
      </c>
      <c r="E435">
        <v>32</v>
      </c>
      <c r="F435" t="str" cm="1">
        <f t="array" ref="F435">INDEX(Country!$B$3:$B$250, MATCH(TRUE, ISNUMBER(SEARCH(Country!$A$2:$A$509, Customer_Data[[#This Row],[Country]])),0 ))</f>
        <v>Asia</v>
      </c>
      <c r="G435" t="s">
        <v>894</v>
      </c>
      <c r="H435" t="s">
        <v>1515</v>
      </c>
      <c r="I435" t="s">
        <v>2482</v>
      </c>
      <c r="J435" t="s">
        <v>3474</v>
      </c>
      <c r="K435" s="1">
        <v>45116</v>
      </c>
      <c r="L435">
        <f>YEAR(Customer_Data[[#This Row],[LastPurchaseDate]])</f>
        <v>2025</v>
      </c>
      <c r="M435">
        <f>MONTH(Customer_Data[[#This Row],[LastPurchaseDate]])</f>
        <v>1</v>
      </c>
      <c r="N435" s="7">
        <v>45667</v>
      </c>
      <c r="O435">
        <v>21</v>
      </c>
      <c r="P435" s="4">
        <v>9471.7800000000007</v>
      </c>
      <c r="Q435" t="s">
        <v>4035</v>
      </c>
      <c r="R435">
        <v>3</v>
      </c>
      <c r="S435">
        <v>451.04</v>
      </c>
    </row>
    <row r="436" spans="1:19" x14ac:dyDescent="0.25">
      <c r="A436">
        <v>440</v>
      </c>
      <c r="B436" t="s">
        <v>60</v>
      </c>
      <c r="C436" t="s">
        <v>641</v>
      </c>
      <c r="D436" t="s">
        <v>851</v>
      </c>
      <c r="E436">
        <v>30</v>
      </c>
      <c r="F436" t="str" cm="1">
        <f t="array" ref="F436">INDEX(Country!$B$3:$B$250, MATCH(TRUE, ISNUMBER(SEARCH(Country!$A$2:$A$509, Customer_Data[[#This Row],[Country]])),0 ))</f>
        <v>Africa</v>
      </c>
      <c r="G436" t="s">
        <v>1057</v>
      </c>
      <c r="H436" t="s">
        <v>1516</v>
      </c>
      <c r="I436" t="s">
        <v>2483</v>
      </c>
      <c r="J436" t="s">
        <v>3475</v>
      </c>
      <c r="K436" s="1">
        <v>45136</v>
      </c>
      <c r="L436">
        <f>YEAR(Customer_Data[[#This Row],[LastPurchaseDate]])</f>
        <v>2024</v>
      </c>
      <c r="M436">
        <f>MONTH(Customer_Data[[#This Row],[LastPurchaseDate]])</f>
        <v>8</v>
      </c>
      <c r="N436" s="7">
        <v>45526</v>
      </c>
      <c r="O436">
        <v>27</v>
      </c>
      <c r="P436" s="4">
        <v>3330.42</v>
      </c>
      <c r="Q436" t="s">
        <v>4034</v>
      </c>
      <c r="R436">
        <v>1</v>
      </c>
      <c r="S436">
        <v>123.35</v>
      </c>
    </row>
    <row r="437" spans="1:19" x14ac:dyDescent="0.25">
      <c r="A437">
        <v>441</v>
      </c>
      <c r="B437" t="s">
        <v>43</v>
      </c>
      <c r="C437" t="s">
        <v>642</v>
      </c>
      <c r="D437" t="s">
        <v>851</v>
      </c>
      <c r="E437">
        <v>62</v>
      </c>
      <c r="F437" t="str" cm="1">
        <f t="array" ref="F437">INDEX(Country!$B$3:$B$250, MATCH(TRUE, ISNUMBER(SEARCH(Country!$A$2:$A$509, Customer_Data[[#This Row],[Country]])),0 ))</f>
        <v>Oceania</v>
      </c>
      <c r="G437" t="s">
        <v>1044</v>
      </c>
      <c r="H437" t="s">
        <v>1517</v>
      </c>
      <c r="I437" t="s">
        <v>2484</v>
      </c>
      <c r="J437" t="s">
        <v>3476</v>
      </c>
      <c r="K437" s="1">
        <v>45397</v>
      </c>
      <c r="L437">
        <f>YEAR(Customer_Data[[#This Row],[LastPurchaseDate]])</f>
        <v>2024</v>
      </c>
      <c r="M437">
        <f>MONTH(Customer_Data[[#This Row],[LastPurchaseDate]])</f>
        <v>1</v>
      </c>
      <c r="N437" s="7">
        <v>45315</v>
      </c>
      <c r="O437">
        <v>17</v>
      </c>
      <c r="P437" s="4">
        <v>9805.23</v>
      </c>
      <c r="Q437" t="s">
        <v>4034</v>
      </c>
      <c r="R437">
        <v>1</v>
      </c>
      <c r="S437">
        <v>576.78</v>
      </c>
    </row>
    <row r="438" spans="1:19" x14ac:dyDescent="0.25">
      <c r="A438">
        <v>442</v>
      </c>
      <c r="B438" t="s">
        <v>72</v>
      </c>
      <c r="C438" t="s">
        <v>643</v>
      </c>
      <c r="D438" t="s">
        <v>851</v>
      </c>
      <c r="E438">
        <v>67</v>
      </c>
      <c r="F438" t="str" cm="1">
        <f t="array" ref="F438">INDEX(Country!$B$3:$B$250, MATCH(TRUE, ISNUMBER(SEARCH(Country!$A$2:$A$509, Customer_Data[[#This Row],[Country]])),0 ))</f>
        <v>Europe</v>
      </c>
      <c r="G438" t="s">
        <v>859</v>
      </c>
      <c r="H438" t="s">
        <v>1518</v>
      </c>
      <c r="I438" t="s">
        <v>2485</v>
      </c>
      <c r="J438" t="s">
        <v>3477</v>
      </c>
      <c r="K438" s="1">
        <v>45425</v>
      </c>
      <c r="L438">
        <f>YEAR(Customer_Data[[#This Row],[LastPurchaseDate]])</f>
        <v>2025</v>
      </c>
      <c r="M438">
        <f>MONTH(Customer_Data[[#This Row],[LastPurchaseDate]])</f>
        <v>3</v>
      </c>
      <c r="N438" s="7">
        <v>45727</v>
      </c>
      <c r="O438">
        <v>11</v>
      </c>
      <c r="P438" s="4">
        <v>7350.25</v>
      </c>
      <c r="Q438" t="s">
        <v>4034</v>
      </c>
      <c r="R438">
        <v>2</v>
      </c>
      <c r="S438">
        <v>668.2</v>
      </c>
    </row>
    <row r="439" spans="1:19" x14ac:dyDescent="0.25">
      <c r="A439">
        <v>443</v>
      </c>
      <c r="B439" t="s">
        <v>239</v>
      </c>
      <c r="C439" t="s">
        <v>374</v>
      </c>
      <c r="D439" t="s">
        <v>850</v>
      </c>
      <c r="E439">
        <v>44</v>
      </c>
      <c r="F439" t="str" cm="1">
        <f t="array" ref="F439">INDEX(Country!$B$3:$B$250, MATCH(TRUE, ISNUMBER(SEARCH(Country!$A$2:$A$509, Customer_Data[[#This Row],[Country]])),0 ))</f>
        <v>North America</v>
      </c>
      <c r="G439" t="s">
        <v>928</v>
      </c>
      <c r="H439" t="s">
        <v>1519</v>
      </c>
      <c r="I439" t="s">
        <v>2486</v>
      </c>
      <c r="J439" t="s">
        <v>3478</v>
      </c>
      <c r="K439" s="1">
        <v>45509</v>
      </c>
      <c r="L439">
        <f>YEAR(Customer_Data[[#This Row],[LastPurchaseDate]])</f>
        <v>2024</v>
      </c>
      <c r="M439">
        <f>MONTH(Customer_Data[[#This Row],[LastPurchaseDate]])</f>
        <v>10</v>
      </c>
      <c r="N439" s="7">
        <v>45578</v>
      </c>
      <c r="O439">
        <v>26</v>
      </c>
      <c r="P439" s="4">
        <v>1361.18</v>
      </c>
      <c r="Q439" t="s">
        <v>4034</v>
      </c>
      <c r="R439">
        <v>5</v>
      </c>
      <c r="S439">
        <v>52.35</v>
      </c>
    </row>
    <row r="440" spans="1:19" x14ac:dyDescent="0.25">
      <c r="A440">
        <v>444</v>
      </c>
      <c r="B440" t="s">
        <v>54</v>
      </c>
      <c r="C440" t="s">
        <v>477</v>
      </c>
      <c r="D440" t="s">
        <v>851</v>
      </c>
      <c r="E440">
        <v>70</v>
      </c>
      <c r="F440" t="str" cm="1">
        <f t="array" ref="F440">INDEX(Country!$B$3:$B$250, MATCH(TRUE, ISNUMBER(SEARCH(Country!$A$2:$A$509, Customer_Data[[#This Row],[Country]])),0 ))</f>
        <v>North America</v>
      </c>
      <c r="G440" t="s">
        <v>906</v>
      </c>
      <c r="H440" t="s">
        <v>1520</v>
      </c>
      <c r="I440" t="s">
        <v>2487</v>
      </c>
      <c r="J440" t="s">
        <v>3479</v>
      </c>
      <c r="K440" s="1">
        <v>45950</v>
      </c>
      <c r="L440">
        <f>YEAR(Customer_Data[[#This Row],[LastPurchaseDate]])</f>
        <v>2025</v>
      </c>
      <c r="M440">
        <f>MONTH(Customer_Data[[#This Row],[LastPurchaseDate]])</f>
        <v>1</v>
      </c>
      <c r="N440" s="7">
        <v>45680</v>
      </c>
      <c r="O440">
        <v>13</v>
      </c>
      <c r="P440" s="4">
        <v>1964.73</v>
      </c>
      <c r="Q440" t="s">
        <v>4035</v>
      </c>
      <c r="R440">
        <v>4</v>
      </c>
      <c r="S440">
        <v>151.13</v>
      </c>
    </row>
    <row r="441" spans="1:19" x14ac:dyDescent="0.25">
      <c r="A441">
        <v>445</v>
      </c>
      <c r="B441" t="s">
        <v>68</v>
      </c>
      <c r="C441" t="s">
        <v>644</v>
      </c>
      <c r="D441" t="s">
        <v>850</v>
      </c>
      <c r="E441">
        <v>46</v>
      </c>
      <c r="F441" t="str" cm="1">
        <f t="array" ref="F441">INDEX(Country!$B$3:$B$250, MATCH(TRUE, ISNUMBER(SEARCH(Country!$A$2:$A$509, Customer_Data[[#This Row],[Country]])),0 ))</f>
        <v>Oceania</v>
      </c>
      <c r="G441" t="s">
        <v>903</v>
      </c>
      <c r="H441" t="s">
        <v>1521</v>
      </c>
      <c r="I441" t="s">
        <v>2488</v>
      </c>
      <c r="J441" t="s">
        <v>3480</v>
      </c>
      <c r="K441" s="1">
        <v>45059</v>
      </c>
      <c r="L441">
        <f>YEAR(Customer_Data[[#This Row],[LastPurchaseDate]])</f>
        <v>2024</v>
      </c>
      <c r="M441">
        <f>MONTH(Customer_Data[[#This Row],[LastPurchaseDate]])</f>
        <v>10</v>
      </c>
      <c r="N441" s="7">
        <v>45575</v>
      </c>
      <c r="O441">
        <v>1</v>
      </c>
      <c r="P441" s="4">
        <v>2647.38</v>
      </c>
      <c r="Q441" t="s">
        <v>4034</v>
      </c>
      <c r="R441">
        <v>2</v>
      </c>
      <c r="S441">
        <v>2647.38</v>
      </c>
    </row>
    <row r="442" spans="1:19" x14ac:dyDescent="0.25">
      <c r="A442">
        <v>446</v>
      </c>
      <c r="B442" t="s">
        <v>130</v>
      </c>
      <c r="C442" t="s">
        <v>645</v>
      </c>
      <c r="D442" t="s">
        <v>850</v>
      </c>
      <c r="E442">
        <v>50</v>
      </c>
      <c r="F442" t="str" cm="1">
        <f t="array" ref="F442">INDEX(Country!$B$3:$B$250, MATCH(TRUE, ISNUMBER(SEARCH(Country!$A$2:$A$509, Customer_Data[[#This Row],[Country]])),0 ))</f>
        <v>Africa</v>
      </c>
      <c r="G442" t="s">
        <v>856</v>
      </c>
      <c r="H442" t="s">
        <v>1522</v>
      </c>
      <c r="I442" t="s">
        <v>2489</v>
      </c>
      <c r="J442" t="s">
        <v>3481</v>
      </c>
      <c r="K442" s="1">
        <v>45742</v>
      </c>
      <c r="L442">
        <f>YEAR(Customer_Data[[#This Row],[LastPurchaseDate]])</f>
        <v>2024</v>
      </c>
      <c r="M442">
        <f>MONTH(Customer_Data[[#This Row],[LastPurchaseDate]])</f>
        <v>10</v>
      </c>
      <c r="N442" s="7">
        <v>45580</v>
      </c>
      <c r="O442">
        <v>10</v>
      </c>
      <c r="P442" s="4">
        <v>9912.9599999999991</v>
      </c>
      <c r="Q442" t="s">
        <v>4035</v>
      </c>
      <c r="R442">
        <v>4</v>
      </c>
      <c r="S442">
        <v>991.3</v>
      </c>
    </row>
    <row r="443" spans="1:19" x14ac:dyDescent="0.25">
      <c r="A443">
        <v>447</v>
      </c>
      <c r="B443" t="s">
        <v>149</v>
      </c>
      <c r="C443" t="s">
        <v>371</v>
      </c>
      <c r="D443" t="s">
        <v>850</v>
      </c>
      <c r="E443">
        <v>47</v>
      </c>
      <c r="F443" t="str" cm="1">
        <f t="array" ref="F443">INDEX(Country!$B$3:$B$250, MATCH(TRUE, ISNUMBER(SEARCH(Country!$A$2:$A$509, Customer_Data[[#This Row],[Country]])),0 ))</f>
        <v>Africa</v>
      </c>
      <c r="G443" t="s">
        <v>1016</v>
      </c>
      <c r="H443" t="s">
        <v>1523</v>
      </c>
      <c r="I443" t="s">
        <v>2490</v>
      </c>
      <c r="J443" t="s">
        <v>3482</v>
      </c>
      <c r="K443" s="1">
        <v>45509</v>
      </c>
      <c r="L443">
        <f>YEAR(Customer_Data[[#This Row],[LastPurchaseDate]])</f>
        <v>2024</v>
      </c>
      <c r="M443">
        <f>MONTH(Customer_Data[[#This Row],[LastPurchaseDate]])</f>
        <v>12</v>
      </c>
      <c r="N443" s="7">
        <v>45651</v>
      </c>
      <c r="O443">
        <v>20</v>
      </c>
      <c r="P443" s="4">
        <v>1148.7</v>
      </c>
      <c r="Q443" t="s">
        <v>4035</v>
      </c>
      <c r="R443">
        <v>5</v>
      </c>
      <c r="S443">
        <v>57.44</v>
      </c>
    </row>
    <row r="444" spans="1:19" x14ac:dyDescent="0.25">
      <c r="A444">
        <v>448</v>
      </c>
      <c r="B444" t="s">
        <v>240</v>
      </c>
      <c r="C444" t="s">
        <v>646</v>
      </c>
      <c r="D444" t="s">
        <v>851</v>
      </c>
      <c r="E444">
        <v>73</v>
      </c>
      <c r="F444" t="str" cm="1">
        <f t="array" ref="F444">INDEX(Country!$B$3:$B$250, MATCH(TRUE, ISNUMBER(SEARCH(Country!$A$2:$A$509, Customer_Data[[#This Row],[Country]])),0 ))</f>
        <v>Africa</v>
      </c>
      <c r="G444" t="s">
        <v>1043</v>
      </c>
      <c r="H444" t="s">
        <v>1524</v>
      </c>
      <c r="I444" t="s">
        <v>2491</v>
      </c>
      <c r="J444" t="s">
        <v>3483</v>
      </c>
      <c r="K444" s="1">
        <v>45126</v>
      </c>
      <c r="L444">
        <f>YEAR(Customer_Data[[#This Row],[LastPurchaseDate]])</f>
        <v>2024</v>
      </c>
      <c r="M444">
        <f>MONTH(Customer_Data[[#This Row],[LastPurchaseDate]])</f>
        <v>6</v>
      </c>
      <c r="N444" s="7">
        <v>45445</v>
      </c>
      <c r="O444">
        <v>42</v>
      </c>
      <c r="P444" s="4">
        <v>5050</v>
      </c>
      <c r="Q444" t="s">
        <v>4034</v>
      </c>
      <c r="R444">
        <v>5</v>
      </c>
      <c r="S444">
        <v>120.24</v>
      </c>
    </row>
    <row r="445" spans="1:19" x14ac:dyDescent="0.25">
      <c r="A445">
        <v>449</v>
      </c>
      <c r="B445" t="s">
        <v>241</v>
      </c>
      <c r="C445" t="s">
        <v>424</v>
      </c>
      <c r="D445" t="s">
        <v>850</v>
      </c>
      <c r="E445">
        <v>59</v>
      </c>
      <c r="F445" t="str" cm="1">
        <f t="array" ref="F445">INDEX(Country!$B$3:$B$250, MATCH(TRUE, ISNUMBER(SEARCH(Country!$A$2:$A$509, Customer_Data[[#This Row],[Country]])),0 ))</f>
        <v>Africa</v>
      </c>
      <c r="G445" t="s">
        <v>867</v>
      </c>
      <c r="H445" t="s">
        <v>1525</v>
      </c>
      <c r="I445" t="s">
        <v>2492</v>
      </c>
      <c r="J445" t="s">
        <v>3484</v>
      </c>
      <c r="K445" s="1">
        <v>45595</v>
      </c>
      <c r="L445">
        <f>YEAR(Customer_Data[[#This Row],[LastPurchaseDate]])</f>
        <v>2025</v>
      </c>
      <c r="M445">
        <f>MONTH(Customer_Data[[#This Row],[LastPurchaseDate]])</f>
        <v>10</v>
      </c>
      <c r="N445" s="7">
        <v>45951</v>
      </c>
      <c r="O445">
        <v>12</v>
      </c>
      <c r="P445" s="4">
        <v>2922.95</v>
      </c>
      <c r="Q445" t="s">
        <v>4034</v>
      </c>
      <c r="R445">
        <v>1</v>
      </c>
      <c r="S445">
        <v>243.58</v>
      </c>
    </row>
    <row r="446" spans="1:19" x14ac:dyDescent="0.25">
      <c r="A446">
        <v>450</v>
      </c>
      <c r="B446" t="s">
        <v>242</v>
      </c>
      <c r="C446" t="s">
        <v>451</v>
      </c>
      <c r="D446" t="s">
        <v>850</v>
      </c>
      <c r="E446">
        <v>61</v>
      </c>
      <c r="F446" t="str" cm="1">
        <f t="array" ref="F446">INDEX(Country!$B$3:$B$250, MATCH(TRUE, ISNUMBER(SEARCH(Country!$A$2:$A$509, Customer_Data[[#This Row],[Country]])),0 ))</f>
        <v>Africa</v>
      </c>
      <c r="G446" t="s">
        <v>1016</v>
      </c>
      <c r="H446" t="s">
        <v>1377</v>
      </c>
      <c r="I446" t="s">
        <v>2493</v>
      </c>
      <c r="J446" t="s">
        <v>3485</v>
      </c>
      <c r="K446" s="1">
        <v>45242</v>
      </c>
      <c r="L446">
        <f>YEAR(Customer_Data[[#This Row],[LastPurchaseDate]])</f>
        <v>2024</v>
      </c>
      <c r="M446">
        <f>MONTH(Customer_Data[[#This Row],[LastPurchaseDate]])</f>
        <v>6</v>
      </c>
      <c r="N446" s="7">
        <v>45472</v>
      </c>
      <c r="O446">
        <v>16</v>
      </c>
      <c r="P446" s="4">
        <v>258.86</v>
      </c>
      <c r="Q446" t="s">
        <v>4035</v>
      </c>
      <c r="R446">
        <v>4</v>
      </c>
      <c r="S446">
        <v>16.18</v>
      </c>
    </row>
    <row r="447" spans="1:19" x14ac:dyDescent="0.25">
      <c r="A447">
        <v>451</v>
      </c>
      <c r="B447" t="s">
        <v>72</v>
      </c>
      <c r="C447" t="s">
        <v>470</v>
      </c>
      <c r="D447" t="s">
        <v>850</v>
      </c>
      <c r="E447">
        <v>36</v>
      </c>
      <c r="F447" t="str" cm="1">
        <f t="array" ref="F447">INDEX(Country!$B$3:$B$250, MATCH(TRUE, ISNUMBER(SEARCH(Country!$A$2:$A$509, Customer_Data[[#This Row],[Country]])),0 ))</f>
        <v>Africa</v>
      </c>
      <c r="G447" t="s">
        <v>887</v>
      </c>
      <c r="H447" t="s">
        <v>1526</v>
      </c>
      <c r="I447" t="s">
        <v>2494</v>
      </c>
      <c r="J447" t="s">
        <v>3486</v>
      </c>
      <c r="K447" s="1">
        <v>45920</v>
      </c>
      <c r="L447">
        <f>YEAR(Customer_Data[[#This Row],[LastPurchaseDate]])</f>
        <v>2024</v>
      </c>
      <c r="M447">
        <f>MONTH(Customer_Data[[#This Row],[LastPurchaseDate]])</f>
        <v>6</v>
      </c>
      <c r="N447" s="7">
        <v>45461</v>
      </c>
      <c r="O447">
        <v>33</v>
      </c>
      <c r="P447" s="4">
        <v>2342.69</v>
      </c>
      <c r="Q447" t="s">
        <v>4034</v>
      </c>
      <c r="R447">
        <v>1</v>
      </c>
      <c r="S447">
        <v>70.989999999999995</v>
      </c>
    </row>
    <row r="448" spans="1:19" x14ac:dyDescent="0.25">
      <c r="A448">
        <v>452</v>
      </c>
      <c r="B448" t="s">
        <v>103</v>
      </c>
      <c r="C448" t="s">
        <v>487</v>
      </c>
      <c r="D448" t="s">
        <v>851</v>
      </c>
      <c r="E448">
        <v>69</v>
      </c>
      <c r="F448" t="str" cm="1">
        <f t="array" ref="F448">INDEX(Country!$B$3:$B$250, MATCH(TRUE, ISNUMBER(SEARCH(Country!$A$2:$A$509, Customer_Data[[#This Row],[Country]])),0 ))</f>
        <v>Europe</v>
      </c>
      <c r="G448" t="s">
        <v>1058</v>
      </c>
      <c r="H448" t="s">
        <v>1519</v>
      </c>
      <c r="I448" t="s">
        <v>2495</v>
      </c>
      <c r="J448" t="s">
        <v>3487</v>
      </c>
      <c r="K448" s="1">
        <v>45228</v>
      </c>
      <c r="L448">
        <f>YEAR(Customer_Data[[#This Row],[LastPurchaseDate]])</f>
        <v>2025</v>
      </c>
      <c r="M448">
        <f>MONTH(Customer_Data[[#This Row],[LastPurchaseDate]])</f>
        <v>6</v>
      </c>
      <c r="N448" s="7">
        <v>45809</v>
      </c>
      <c r="O448">
        <v>14</v>
      </c>
      <c r="P448" s="4">
        <v>7948.5</v>
      </c>
      <c r="Q448" t="s">
        <v>4035</v>
      </c>
      <c r="R448">
        <v>4</v>
      </c>
      <c r="S448">
        <v>567.75</v>
      </c>
    </row>
    <row r="449" spans="1:19" x14ac:dyDescent="0.25">
      <c r="A449">
        <v>453</v>
      </c>
      <c r="B449" t="s">
        <v>89</v>
      </c>
      <c r="C449" t="s">
        <v>486</v>
      </c>
      <c r="D449" t="s">
        <v>851</v>
      </c>
      <c r="E449">
        <v>51</v>
      </c>
      <c r="F449" t="str" cm="1">
        <f t="array" ref="F449">INDEX(Country!$B$3:$B$250, MATCH(TRUE, ISNUMBER(SEARCH(Country!$A$2:$A$509, Customer_Data[[#This Row],[Country]])),0 ))</f>
        <v>Africa</v>
      </c>
      <c r="G449" t="s">
        <v>1059</v>
      </c>
      <c r="H449" t="s">
        <v>1527</v>
      </c>
      <c r="I449" t="s">
        <v>2496</v>
      </c>
      <c r="J449" t="s">
        <v>3488</v>
      </c>
      <c r="K449" s="1">
        <v>45023</v>
      </c>
      <c r="L449">
        <f>YEAR(Customer_Data[[#This Row],[LastPurchaseDate]])</f>
        <v>2024</v>
      </c>
      <c r="M449">
        <f>MONTH(Customer_Data[[#This Row],[LastPurchaseDate]])</f>
        <v>1</v>
      </c>
      <c r="N449" s="7">
        <v>45308</v>
      </c>
      <c r="O449">
        <v>6</v>
      </c>
      <c r="P449" s="4">
        <v>3267.79</v>
      </c>
      <c r="Q449" t="s">
        <v>4035</v>
      </c>
      <c r="R449">
        <v>4</v>
      </c>
      <c r="S449">
        <v>544.63</v>
      </c>
    </row>
    <row r="450" spans="1:19" x14ac:dyDescent="0.25">
      <c r="A450">
        <v>454</v>
      </c>
      <c r="B450" t="s">
        <v>188</v>
      </c>
      <c r="C450" t="s">
        <v>148</v>
      </c>
      <c r="D450" t="s">
        <v>850</v>
      </c>
      <c r="E450">
        <v>39</v>
      </c>
      <c r="F450" t="str" cm="1">
        <f t="array" ref="F450">INDEX(Country!$B$3:$B$250, MATCH(TRUE, ISNUMBER(SEARCH(Country!$A$2:$A$509, Customer_Data[[#This Row],[Country]])),0 ))</f>
        <v>South America</v>
      </c>
      <c r="G450" t="s">
        <v>1019</v>
      </c>
      <c r="H450" t="s">
        <v>1528</v>
      </c>
      <c r="I450" t="s">
        <v>2497</v>
      </c>
      <c r="J450" t="s">
        <v>3489</v>
      </c>
      <c r="K450" s="1">
        <v>45682</v>
      </c>
      <c r="L450">
        <f>YEAR(Customer_Data[[#This Row],[LastPurchaseDate]])</f>
        <v>2025</v>
      </c>
      <c r="M450">
        <f>MONTH(Customer_Data[[#This Row],[LastPurchaseDate]])</f>
        <v>8</v>
      </c>
      <c r="N450" s="7">
        <v>45871</v>
      </c>
      <c r="O450">
        <v>14</v>
      </c>
      <c r="P450" s="4">
        <v>3474.45</v>
      </c>
      <c r="Q450" t="s">
        <v>4035</v>
      </c>
      <c r="R450">
        <v>2</v>
      </c>
      <c r="S450">
        <v>248.18</v>
      </c>
    </row>
    <row r="451" spans="1:19" x14ac:dyDescent="0.25">
      <c r="A451">
        <v>455</v>
      </c>
      <c r="B451" t="s">
        <v>243</v>
      </c>
      <c r="C451" t="s">
        <v>72</v>
      </c>
      <c r="D451" t="s">
        <v>850</v>
      </c>
      <c r="E451">
        <v>34</v>
      </c>
      <c r="F451" t="str" cm="1">
        <f t="array" ref="F451">INDEX(Country!$B$3:$B$250, MATCH(TRUE, ISNUMBER(SEARCH(Country!$A$2:$A$509, Customer_Data[[#This Row],[Country]])),0 ))</f>
        <v>Oceania</v>
      </c>
      <c r="G451" t="s">
        <v>1044</v>
      </c>
      <c r="H451" t="s">
        <v>1529</v>
      </c>
      <c r="I451" t="s">
        <v>2498</v>
      </c>
      <c r="J451" t="s">
        <v>3490</v>
      </c>
      <c r="K451" s="1">
        <v>44871</v>
      </c>
      <c r="L451">
        <f>YEAR(Customer_Data[[#This Row],[LastPurchaseDate]])</f>
        <v>2025</v>
      </c>
      <c r="M451">
        <f>MONTH(Customer_Data[[#This Row],[LastPurchaseDate]])</f>
        <v>5</v>
      </c>
      <c r="N451" s="7">
        <v>45785</v>
      </c>
      <c r="O451">
        <v>41</v>
      </c>
      <c r="P451" s="4">
        <v>3759.64</v>
      </c>
      <c r="Q451" t="s">
        <v>4035</v>
      </c>
      <c r="R451">
        <v>2</v>
      </c>
      <c r="S451">
        <v>91.7</v>
      </c>
    </row>
    <row r="452" spans="1:19" x14ac:dyDescent="0.25">
      <c r="A452">
        <v>456</v>
      </c>
      <c r="B452" t="s">
        <v>229</v>
      </c>
      <c r="C452" t="s">
        <v>647</v>
      </c>
      <c r="D452" t="s">
        <v>850</v>
      </c>
      <c r="E452">
        <v>29</v>
      </c>
      <c r="F452" t="str" cm="1">
        <f t="array" ref="F452">INDEX(Country!$B$3:$B$250, MATCH(TRUE, ISNUMBER(SEARCH(Country!$A$2:$A$509, Customer_Data[[#This Row],[Country]])),0 ))</f>
        <v>Africa</v>
      </c>
      <c r="G452" t="s">
        <v>81</v>
      </c>
      <c r="H452" t="s">
        <v>1530</v>
      </c>
      <c r="I452" t="s">
        <v>2499</v>
      </c>
      <c r="J452" t="s">
        <v>3491</v>
      </c>
      <c r="K452" s="1">
        <v>45478</v>
      </c>
      <c r="L452">
        <f>YEAR(Customer_Data[[#This Row],[LastPurchaseDate]])</f>
        <v>2024</v>
      </c>
      <c r="M452">
        <f>MONTH(Customer_Data[[#This Row],[LastPurchaseDate]])</f>
        <v>9</v>
      </c>
      <c r="N452" s="7">
        <v>45558</v>
      </c>
      <c r="O452">
        <v>36</v>
      </c>
      <c r="P452" s="4">
        <v>5784.68</v>
      </c>
      <c r="Q452" t="s">
        <v>4035</v>
      </c>
      <c r="R452">
        <v>1</v>
      </c>
      <c r="S452">
        <v>160.69</v>
      </c>
    </row>
    <row r="453" spans="1:19" x14ac:dyDescent="0.25">
      <c r="A453">
        <v>457</v>
      </c>
      <c r="B453" t="s">
        <v>31</v>
      </c>
      <c r="C453" t="s">
        <v>403</v>
      </c>
      <c r="D453" t="s">
        <v>851</v>
      </c>
      <c r="E453">
        <v>48</v>
      </c>
      <c r="F453" t="str" cm="1">
        <f t="array" ref="F453">INDEX(Country!$B$3:$B$250, MATCH(TRUE, ISNUMBER(SEARCH(Country!$A$2:$A$509, Customer_Data[[#This Row],[Country]])),0 ))</f>
        <v>Europe</v>
      </c>
      <c r="G453" t="s">
        <v>1023</v>
      </c>
      <c r="H453" t="s">
        <v>1531</v>
      </c>
      <c r="I453" t="s">
        <v>2500</v>
      </c>
      <c r="J453" t="s">
        <v>3492</v>
      </c>
      <c r="K453" s="1">
        <v>45884</v>
      </c>
      <c r="L453">
        <f>YEAR(Customer_Data[[#This Row],[LastPurchaseDate]])</f>
        <v>2025</v>
      </c>
      <c r="M453">
        <f>MONTH(Customer_Data[[#This Row],[LastPurchaseDate]])</f>
        <v>3</v>
      </c>
      <c r="N453" s="7">
        <v>45741</v>
      </c>
      <c r="O453">
        <v>14</v>
      </c>
      <c r="P453" s="4">
        <v>247.82</v>
      </c>
      <c r="Q453" t="s">
        <v>4035</v>
      </c>
      <c r="R453">
        <v>3</v>
      </c>
      <c r="S453">
        <v>17.7</v>
      </c>
    </row>
    <row r="454" spans="1:19" x14ac:dyDescent="0.25">
      <c r="A454">
        <v>458</v>
      </c>
      <c r="B454" t="s">
        <v>94</v>
      </c>
      <c r="C454" t="s">
        <v>510</v>
      </c>
      <c r="D454" t="s">
        <v>850</v>
      </c>
      <c r="E454">
        <v>45</v>
      </c>
      <c r="F454" t="str" cm="1">
        <f t="array" ref="F454">INDEX(Country!$B$3:$B$250, MATCH(TRUE, ISNUMBER(SEARCH(Country!$A$2:$A$509, Customer_Data[[#This Row],[Country]])),0 ))</f>
        <v>North America</v>
      </c>
      <c r="G454" t="s">
        <v>860</v>
      </c>
      <c r="H454" t="s">
        <v>1532</v>
      </c>
      <c r="I454" t="s">
        <v>2501</v>
      </c>
      <c r="J454" t="s">
        <v>3493</v>
      </c>
      <c r="K454" s="1">
        <v>45604</v>
      </c>
      <c r="L454">
        <f>YEAR(Customer_Data[[#This Row],[LastPurchaseDate]])</f>
        <v>2025</v>
      </c>
      <c r="M454">
        <f>MONTH(Customer_Data[[#This Row],[LastPurchaseDate]])</f>
        <v>5</v>
      </c>
      <c r="N454" s="7">
        <v>45797</v>
      </c>
      <c r="O454">
        <v>37</v>
      </c>
      <c r="P454" s="4">
        <v>7125.94</v>
      </c>
      <c r="Q454" t="s">
        <v>4035</v>
      </c>
      <c r="R454">
        <v>4</v>
      </c>
      <c r="S454">
        <v>192.59</v>
      </c>
    </row>
    <row r="455" spans="1:19" x14ac:dyDescent="0.25">
      <c r="A455">
        <v>459</v>
      </c>
      <c r="B455" t="s">
        <v>244</v>
      </c>
      <c r="C455" t="s">
        <v>379</v>
      </c>
      <c r="D455" t="s">
        <v>852</v>
      </c>
      <c r="E455">
        <v>52</v>
      </c>
      <c r="F455" t="str" cm="1">
        <f t="array" ref="F455">INDEX(Country!$B$3:$B$250, MATCH(TRUE, ISNUMBER(SEARCH(Country!$A$2:$A$509, Customer_Data[[#This Row],[Country]])),0 ))</f>
        <v>Asia</v>
      </c>
      <c r="G455" t="s">
        <v>861</v>
      </c>
      <c r="H455" t="s">
        <v>1533</v>
      </c>
      <c r="I455" t="s">
        <v>2502</v>
      </c>
      <c r="J455" t="s">
        <v>3494</v>
      </c>
      <c r="K455" s="1">
        <v>45197</v>
      </c>
      <c r="L455">
        <f>YEAR(Customer_Data[[#This Row],[LastPurchaseDate]])</f>
        <v>2025</v>
      </c>
      <c r="M455">
        <f>MONTH(Customer_Data[[#This Row],[LastPurchaseDate]])</f>
        <v>7</v>
      </c>
      <c r="N455" s="7">
        <v>45857</v>
      </c>
      <c r="O455">
        <v>22</v>
      </c>
      <c r="P455" s="4">
        <v>8632.6</v>
      </c>
      <c r="Q455" t="s">
        <v>4035</v>
      </c>
      <c r="R455">
        <v>2</v>
      </c>
      <c r="S455">
        <v>392.39</v>
      </c>
    </row>
    <row r="456" spans="1:19" x14ac:dyDescent="0.25">
      <c r="A456">
        <v>460</v>
      </c>
      <c r="B456" t="s">
        <v>149</v>
      </c>
      <c r="C456" t="s">
        <v>549</v>
      </c>
      <c r="D456" t="s">
        <v>851</v>
      </c>
      <c r="E456">
        <v>21</v>
      </c>
      <c r="F456" t="str" cm="1">
        <f t="array" ref="F456">INDEX(Country!$B$3:$B$250, MATCH(TRUE, ISNUMBER(SEARCH(Country!$A$2:$A$509, Customer_Data[[#This Row],[Country]])),0 ))</f>
        <v>Europe</v>
      </c>
      <c r="G456" t="s">
        <v>982</v>
      </c>
      <c r="H456" t="s">
        <v>1534</v>
      </c>
      <c r="I456" t="s">
        <v>2503</v>
      </c>
      <c r="J456" t="s">
        <v>3495</v>
      </c>
      <c r="K456" s="1">
        <v>45662</v>
      </c>
      <c r="L456">
        <f>YEAR(Customer_Data[[#This Row],[LastPurchaseDate]])</f>
        <v>2025</v>
      </c>
      <c r="M456">
        <f>MONTH(Customer_Data[[#This Row],[LastPurchaseDate]])</f>
        <v>10</v>
      </c>
      <c r="N456" s="7">
        <v>45947</v>
      </c>
      <c r="O456">
        <v>21</v>
      </c>
      <c r="P456" s="4">
        <v>1328.26</v>
      </c>
      <c r="Q456" t="s">
        <v>4034</v>
      </c>
      <c r="R456">
        <v>3</v>
      </c>
      <c r="S456">
        <v>63.25</v>
      </c>
    </row>
    <row r="457" spans="1:19" x14ac:dyDescent="0.25">
      <c r="A457">
        <v>461</v>
      </c>
      <c r="B457" t="s">
        <v>245</v>
      </c>
      <c r="C457" t="s">
        <v>424</v>
      </c>
      <c r="D457" t="s">
        <v>851</v>
      </c>
      <c r="E457">
        <v>37</v>
      </c>
      <c r="F457" t="str" cm="1">
        <f t="array" ref="F457">INDEX(Country!$B$3:$B$250, MATCH(TRUE, ISNUMBER(SEARCH(Country!$A$2:$A$509, Customer_Data[[#This Row],[Country]])),0 ))</f>
        <v>Europe</v>
      </c>
      <c r="G457" t="s">
        <v>896</v>
      </c>
      <c r="H457" t="s">
        <v>1535</v>
      </c>
      <c r="I457" t="s">
        <v>2504</v>
      </c>
      <c r="J457" t="s">
        <v>3496</v>
      </c>
      <c r="K457" s="1">
        <v>44925</v>
      </c>
      <c r="L457">
        <f>YEAR(Customer_Data[[#This Row],[LastPurchaseDate]])</f>
        <v>2024</v>
      </c>
      <c r="M457">
        <f>MONTH(Customer_Data[[#This Row],[LastPurchaseDate]])</f>
        <v>11</v>
      </c>
      <c r="N457" s="7">
        <v>45623</v>
      </c>
      <c r="O457">
        <v>15</v>
      </c>
      <c r="P457" s="4">
        <v>9236.17</v>
      </c>
      <c r="Q457" t="s">
        <v>4034</v>
      </c>
      <c r="R457">
        <v>3</v>
      </c>
      <c r="S457">
        <v>615.74</v>
      </c>
    </row>
    <row r="458" spans="1:19" x14ac:dyDescent="0.25">
      <c r="A458">
        <v>462</v>
      </c>
      <c r="B458" t="s">
        <v>246</v>
      </c>
      <c r="C458" t="s">
        <v>313</v>
      </c>
      <c r="D458" t="s">
        <v>850</v>
      </c>
      <c r="E458">
        <v>43</v>
      </c>
      <c r="F458" t="str" cm="1">
        <f t="array" ref="F458">INDEX(Country!$B$3:$B$250, MATCH(TRUE, ISNUMBER(SEARCH(Country!$A$2:$A$509, Customer_Data[[#This Row],[Country]])),0 ))</f>
        <v>Asia</v>
      </c>
      <c r="G458" t="s">
        <v>905</v>
      </c>
      <c r="H458" t="s">
        <v>1536</v>
      </c>
      <c r="I458" t="s">
        <v>2505</v>
      </c>
      <c r="J458" t="s">
        <v>3497</v>
      </c>
      <c r="K458" s="1">
        <v>45754</v>
      </c>
      <c r="L458">
        <f>YEAR(Customer_Data[[#This Row],[LastPurchaseDate]])</f>
        <v>2024</v>
      </c>
      <c r="M458">
        <f>MONTH(Customer_Data[[#This Row],[LastPurchaseDate]])</f>
        <v>4</v>
      </c>
      <c r="N458" s="7">
        <v>45385</v>
      </c>
      <c r="O458">
        <v>4</v>
      </c>
      <c r="P458" s="4">
        <v>6347.77</v>
      </c>
      <c r="Q458" t="s">
        <v>4034</v>
      </c>
      <c r="R458">
        <v>4</v>
      </c>
      <c r="S458">
        <v>1586.94</v>
      </c>
    </row>
    <row r="459" spans="1:19" x14ac:dyDescent="0.25">
      <c r="A459">
        <v>463</v>
      </c>
      <c r="B459" t="s">
        <v>132</v>
      </c>
      <c r="C459" t="s">
        <v>648</v>
      </c>
      <c r="D459" t="s">
        <v>850</v>
      </c>
      <c r="E459">
        <v>59</v>
      </c>
      <c r="F459" t="str" cm="1">
        <f t="array" ref="F459">INDEX(Country!$B$3:$B$250, MATCH(TRUE, ISNUMBER(SEARCH(Country!$A$2:$A$509, Customer_Data[[#This Row],[Country]])),0 ))</f>
        <v>Europe</v>
      </c>
      <c r="G459" t="s">
        <v>1060</v>
      </c>
      <c r="H459" t="s">
        <v>1537</v>
      </c>
      <c r="I459" t="s">
        <v>2506</v>
      </c>
      <c r="J459" t="s">
        <v>3498</v>
      </c>
      <c r="K459" s="1">
        <v>45173</v>
      </c>
      <c r="L459">
        <f>YEAR(Customer_Data[[#This Row],[LastPurchaseDate]])</f>
        <v>2023</v>
      </c>
      <c r="M459">
        <f>MONTH(Customer_Data[[#This Row],[LastPurchaseDate]])</f>
        <v>12</v>
      </c>
      <c r="N459" s="7">
        <v>45287</v>
      </c>
      <c r="O459">
        <v>48</v>
      </c>
      <c r="P459" s="4">
        <v>2298.87</v>
      </c>
      <c r="Q459" t="s">
        <v>4035</v>
      </c>
      <c r="R459">
        <v>1</v>
      </c>
      <c r="S459">
        <v>47.89</v>
      </c>
    </row>
    <row r="460" spans="1:19" x14ac:dyDescent="0.25">
      <c r="A460">
        <v>464</v>
      </c>
      <c r="B460" t="s">
        <v>247</v>
      </c>
      <c r="C460" t="s">
        <v>649</v>
      </c>
      <c r="D460" t="s">
        <v>850</v>
      </c>
      <c r="E460">
        <v>44</v>
      </c>
      <c r="F460" t="str" cm="1">
        <f t="array" ref="F460">INDEX(Country!$B$3:$B$250, MATCH(TRUE, ISNUMBER(SEARCH(Country!$A$2:$A$509, Customer_Data[[#This Row],[Country]])),0 ))</f>
        <v>Oceania</v>
      </c>
      <c r="G460" t="s">
        <v>936</v>
      </c>
      <c r="H460" t="s">
        <v>1538</v>
      </c>
      <c r="I460" t="s">
        <v>2507</v>
      </c>
      <c r="J460" t="s">
        <v>3499</v>
      </c>
      <c r="K460" s="1">
        <v>45404</v>
      </c>
      <c r="L460">
        <f>YEAR(Customer_Data[[#This Row],[LastPurchaseDate]])</f>
        <v>2024</v>
      </c>
      <c r="M460">
        <f>MONTH(Customer_Data[[#This Row],[LastPurchaseDate]])</f>
        <v>9</v>
      </c>
      <c r="N460" s="7">
        <v>45544</v>
      </c>
      <c r="O460">
        <v>1</v>
      </c>
      <c r="P460" s="4">
        <v>9187.98</v>
      </c>
      <c r="Q460" t="s">
        <v>4034</v>
      </c>
      <c r="R460">
        <v>2</v>
      </c>
      <c r="S460">
        <v>9187.98</v>
      </c>
    </row>
    <row r="461" spans="1:19" x14ac:dyDescent="0.25">
      <c r="A461">
        <v>465</v>
      </c>
      <c r="B461" t="s">
        <v>248</v>
      </c>
      <c r="C461" t="s">
        <v>650</v>
      </c>
      <c r="D461" t="s">
        <v>852</v>
      </c>
      <c r="E461">
        <v>21</v>
      </c>
      <c r="F461" t="str" cm="1">
        <f t="array" ref="F461">INDEX(Country!$B$3:$B$250, MATCH(TRUE, ISNUMBER(SEARCH(Country!$A$2:$A$509, Customer_Data[[#This Row],[Country]])),0 ))</f>
        <v>Africa</v>
      </c>
      <c r="G461" t="s">
        <v>890</v>
      </c>
      <c r="H461" t="s">
        <v>1501</v>
      </c>
      <c r="I461" t="s">
        <v>2508</v>
      </c>
      <c r="J461" t="s">
        <v>3500</v>
      </c>
      <c r="K461" s="1">
        <v>45225</v>
      </c>
      <c r="L461">
        <f>YEAR(Customer_Data[[#This Row],[LastPurchaseDate]])</f>
        <v>2024</v>
      </c>
      <c r="M461">
        <f>MONTH(Customer_Data[[#This Row],[LastPurchaseDate]])</f>
        <v>5</v>
      </c>
      <c r="N461" s="7">
        <v>45436</v>
      </c>
      <c r="O461">
        <v>32</v>
      </c>
      <c r="P461" s="4">
        <v>4202.01</v>
      </c>
      <c r="Q461" t="s">
        <v>4035</v>
      </c>
      <c r="R461">
        <v>2</v>
      </c>
      <c r="S461">
        <v>131.31</v>
      </c>
    </row>
    <row r="462" spans="1:19" x14ac:dyDescent="0.25">
      <c r="A462">
        <v>466</v>
      </c>
      <c r="B462" t="s">
        <v>60</v>
      </c>
      <c r="C462" t="s">
        <v>430</v>
      </c>
      <c r="D462" t="s">
        <v>850</v>
      </c>
      <c r="E462">
        <v>26</v>
      </c>
      <c r="F462" t="str" cm="1">
        <f t="array" ref="F462">INDEX(Country!$B$3:$B$250, MATCH(TRUE, ISNUMBER(SEARCH(Country!$A$2:$A$509, Customer_Data[[#This Row],[Country]])),0 ))</f>
        <v>Africa</v>
      </c>
      <c r="G462" t="s">
        <v>1056</v>
      </c>
      <c r="H462" t="s">
        <v>1539</v>
      </c>
      <c r="I462" t="s">
        <v>2509</v>
      </c>
      <c r="J462" t="s">
        <v>3501</v>
      </c>
      <c r="K462" s="1">
        <v>45444</v>
      </c>
      <c r="L462">
        <f>YEAR(Customer_Data[[#This Row],[LastPurchaseDate]])</f>
        <v>2024</v>
      </c>
      <c r="M462">
        <f>MONTH(Customer_Data[[#This Row],[LastPurchaseDate]])</f>
        <v>12</v>
      </c>
      <c r="N462" s="7">
        <v>45645</v>
      </c>
      <c r="O462">
        <v>22</v>
      </c>
      <c r="P462" s="4">
        <v>6690</v>
      </c>
      <c r="Q462" t="s">
        <v>4034</v>
      </c>
      <c r="R462">
        <v>5</v>
      </c>
      <c r="S462">
        <v>304.08999999999997</v>
      </c>
    </row>
    <row r="463" spans="1:19" x14ac:dyDescent="0.25">
      <c r="A463">
        <v>467</v>
      </c>
      <c r="B463" t="s">
        <v>78</v>
      </c>
      <c r="C463" t="s">
        <v>375</v>
      </c>
      <c r="D463" t="s">
        <v>850</v>
      </c>
      <c r="E463">
        <v>36</v>
      </c>
      <c r="F463" t="str" cm="1">
        <f t="array" ref="F463">INDEX(Country!$B$3:$B$250, MATCH(TRUE, ISNUMBER(SEARCH(Country!$A$2:$A$509, Customer_Data[[#This Row],[Country]])),0 ))</f>
        <v>Asia</v>
      </c>
      <c r="G463" t="s">
        <v>975</v>
      </c>
      <c r="H463" t="s">
        <v>1540</v>
      </c>
      <c r="I463" t="s">
        <v>2510</v>
      </c>
      <c r="J463" t="s">
        <v>3502</v>
      </c>
      <c r="K463" s="1">
        <v>45662</v>
      </c>
      <c r="L463">
        <f>YEAR(Customer_Data[[#This Row],[LastPurchaseDate]])</f>
        <v>2025</v>
      </c>
      <c r="M463">
        <f>MONTH(Customer_Data[[#This Row],[LastPurchaseDate]])</f>
        <v>5</v>
      </c>
      <c r="N463" s="7">
        <v>45807</v>
      </c>
      <c r="O463">
        <v>26</v>
      </c>
      <c r="P463" s="4">
        <v>354.06</v>
      </c>
      <c r="Q463" t="s">
        <v>4034</v>
      </c>
      <c r="R463">
        <v>1</v>
      </c>
      <c r="S463">
        <v>13.62</v>
      </c>
    </row>
    <row r="464" spans="1:19" x14ac:dyDescent="0.25">
      <c r="A464">
        <v>468</v>
      </c>
      <c r="B464" t="s">
        <v>249</v>
      </c>
      <c r="C464" t="s">
        <v>651</v>
      </c>
      <c r="D464" t="s">
        <v>851</v>
      </c>
      <c r="E464">
        <v>30</v>
      </c>
      <c r="F464" t="str" cm="1">
        <f t="array" ref="F464">INDEX(Country!$B$3:$B$250, MATCH(TRUE, ISNUMBER(SEARCH(Country!$A$2:$A$509, Customer_Data[[#This Row],[Country]])),0 ))</f>
        <v>Oceania</v>
      </c>
      <c r="G464" t="s">
        <v>1035</v>
      </c>
      <c r="H464" t="s">
        <v>1541</v>
      </c>
      <c r="I464" t="s">
        <v>2511</v>
      </c>
      <c r="J464" t="s">
        <v>3503</v>
      </c>
      <c r="K464" s="1">
        <v>45454</v>
      </c>
      <c r="L464">
        <f>YEAR(Customer_Data[[#This Row],[LastPurchaseDate]])</f>
        <v>2024</v>
      </c>
      <c r="M464">
        <f>MONTH(Customer_Data[[#This Row],[LastPurchaseDate]])</f>
        <v>5</v>
      </c>
      <c r="N464" s="7">
        <v>45430</v>
      </c>
      <c r="O464">
        <v>23</v>
      </c>
      <c r="P464" s="4">
        <v>4352.71</v>
      </c>
      <c r="Q464" t="s">
        <v>4035</v>
      </c>
      <c r="R464">
        <v>2</v>
      </c>
      <c r="S464">
        <v>189.25</v>
      </c>
    </row>
    <row r="465" spans="1:19" x14ac:dyDescent="0.25">
      <c r="A465">
        <v>469</v>
      </c>
      <c r="B465" t="s">
        <v>120</v>
      </c>
      <c r="C465" t="s">
        <v>652</v>
      </c>
      <c r="D465" t="s">
        <v>851</v>
      </c>
      <c r="E465">
        <v>31</v>
      </c>
      <c r="F465" t="str" cm="1">
        <f t="array" ref="F465">INDEX(Country!$B$3:$B$250, MATCH(TRUE, ISNUMBER(SEARCH(Country!$A$2:$A$509, Customer_Data[[#This Row],[Country]])),0 ))</f>
        <v>Africa</v>
      </c>
      <c r="G465" t="s">
        <v>1036</v>
      </c>
      <c r="H465" t="s">
        <v>1542</v>
      </c>
      <c r="I465" t="s">
        <v>2512</v>
      </c>
      <c r="J465" t="s">
        <v>3504</v>
      </c>
      <c r="K465" s="1">
        <v>45453</v>
      </c>
      <c r="L465">
        <f>YEAR(Customer_Data[[#This Row],[LastPurchaseDate]])</f>
        <v>2025</v>
      </c>
      <c r="M465">
        <f>MONTH(Customer_Data[[#This Row],[LastPurchaseDate]])</f>
        <v>9</v>
      </c>
      <c r="N465" s="7">
        <v>45915</v>
      </c>
      <c r="O465">
        <v>29</v>
      </c>
      <c r="P465" s="4">
        <v>9879.58</v>
      </c>
      <c r="Q465" t="s">
        <v>4035</v>
      </c>
      <c r="R465">
        <v>5</v>
      </c>
      <c r="S465">
        <v>340.68</v>
      </c>
    </row>
    <row r="466" spans="1:19" x14ac:dyDescent="0.25">
      <c r="A466">
        <v>470</v>
      </c>
      <c r="B466" t="s">
        <v>94</v>
      </c>
      <c r="C466" t="s">
        <v>453</v>
      </c>
      <c r="D466" t="s">
        <v>850</v>
      </c>
      <c r="E466">
        <v>46</v>
      </c>
      <c r="F466" t="str" cm="1">
        <f t="array" ref="F466">INDEX(Country!$B$3:$B$250, MATCH(TRUE, ISNUMBER(SEARCH(Country!$A$2:$A$509, Customer_Data[[#This Row],[Country]])),0 ))</f>
        <v>Africa</v>
      </c>
      <c r="G466" t="s">
        <v>907</v>
      </c>
      <c r="H466" t="s">
        <v>1543</v>
      </c>
      <c r="I466" t="s">
        <v>2513</v>
      </c>
      <c r="J466" t="s">
        <v>3505</v>
      </c>
      <c r="K466" s="1">
        <v>45579</v>
      </c>
      <c r="L466">
        <f>YEAR(Customer_Data[[#This Row],[LastPurchaseDate]])</f>
        <v>2024</v>
      </c>
      <c r="M466">
        <f>MONTH(Customer_Data[[#This Row],[LastPurchaseDate]])</f>
        <v>6</v>
      </c>
      <c r="N466" s="7">
        <v>45463</v>
      </c>
      <c r="O466">
        <v>2</v>
      </c>
      <c r="P466" s="4">
        <v>9785.3799999999992</v>
      </c>
      <c r="Q466" t="s">
        <v>4035</v>
      </c>
      <c r="R466">
        <v>4</v>
      </c>
      <c r="S466">
        <v>4892.6899999999996</v>
      </c>
    </row>
    <row r="467" spans="1:19" x14ac:dyDescent="0.25">
      <c r="A467">
        <v>471</v>
      </c>
      <c r="B467" t="s">
        <v>230</v>
      </c>
      <c r="C467" t="s">
        <v>616</v>
      </c>
      <c r="D467" t="s">
        <v>851</v>
      </c>
      <c r="E467">
        <v>53</v>
      </c>
      <c r="F467" t="str" cm="1">
        <f t="array" ref="F467">INDEX(Country!$B$3:$B$250, MATCH(TRUE, ISNUMBER(SEARCH(Country!$A$2:$A$509, Customer_Data[[#This Row],[Country]])),0 ))</f>
        <v>Asia</v>
      </c>
      <c r="G467" t="s">
        <v>1033</v>
      </c>
      <c r="H467" t="s">
        <v>1544</v>
      </c>
      <c r="I467" t="s">
        <v>2514</v>
      </c>
      <c r="J467" t="s">
        <v>3506</v>
      </c>
      <c r="K467" s="1">
        <v>45590</v>
      </c>
      <c r="L467">
        <f>YEAR(Customer_Data[[#This Row],[LastPurchaseDate]])</f>
        <v>2024</v>
      </c>
      <c r="M467">
        <f>MONTH(Customer_Data[[#This Row],[LastPurchaseDate]])</f>
        <v>2</v>
      </c>
      <c r="N467" s="7">
        <v>45351</v>
      </c>
      <c r="O467">
        <v>19</v>
      </c>
      <c r="P467" s="4">
        <v>9182.14</v>
      </c>
      <c r="Q467" t="s">
        <v>4034</v>
      </c>
      <c r="R467">
        <v>4</v>
      </c>
      <c r="S467">
        <v>483.27</v>
      </c>
    </row>
    <row r="468" spans="1:19" x14ac:dyDescent="0.25">
      <c r="A468">
        <v>472</v>
      </c>
      <c r="B468" t="s">
        <v>31</v>
      </c>
      <c r="C468" t="s">
        <v>653</v>
      </c>
      <c r="D468" t="s">
        <v>851</v>
      </c>
      <c r="E468">
        <v>66</v>
      </c>
      <c r="F468" t="str" cm="1">
        <f t="array" ref="F468">INDEX(Country!$B$3:$B$250, MATCH(TRUE, ISNUMBER(SEARCH(Country!$A$2:$A$509, Customer_Data[[#This Row],[Country]])),0 ))</f>
        <v>North America</v>
      </c>
      <c r="G468" t="s">
        <v>1027</v>
      </c>
      <c r="H468" t="s">
        <v>1545</v>
      </c>
      <c r="I468" t="s">
        <v>2515</v>
      </c>
      <c r="J468" t="s">
        <v>3507</v>
      </c>
      <c r="K468" s="1">
        <v>45239</v>
      </c>
      <c r="L468">
        <f>YEAR(Customer_Data[[#This Row],[LastPurchaseDate]])</f>
        <v>2024</v>
      </c>
      <c r="M468">
        <f>MONTH(Customer_Data[[#This Row],[LastPurchaseDate]])</f>
        <v>12</v>
      </c>
      <c r="N468" s="7">
        <v>45650</v>
      </c>
      <c r="O468">
        <v>49</v>
      </c>
      <c r="P468" s="4">
        <v>1461.47</v>
      </c>
      <c r="Q468" t="s">
        <v>4035</v>
      </c>
      <c r="R468">
        <v>1</v>
      </c>
      <c r="S468">
        <v>29.83</v>
      </c>
    </row>
    <row r="469" spans="1:19" x14ac:dyDescent="0.25">
      <c r="A469">
        <v>473</v>
      </c>
      <c r="B469" t="s">
        <v>78</v>
      </c>
      <c r="C469" t="s">
        <v>553</v>
      </c>
      <c r="D469" t="s">
        <v>851</v>
      </c>
      <c r="E469">
        <v>45</v>
      </c>
      <c r="F469" t="str" cm="1">
        <f t="array" ref="F469">INDEX(Country!$B$3:$B$250, MATCH(TRUE, ISNUMBER(SEARCH(Country!$A$2:$A$509, Customer_Data[[#This Row],[Country]])),0 ))</f>
        <v>Africa</v>
      </c>
      <c r="G469" t="s">
        <v>1013</v>
      </c>
      <c r="H469" t="s">
        <v>1546</v>
      </c>
      <c r="I469" t="s">
        <v>2516</v>
      </c>
      <c r="J469" t="s">
        <v>3508</v>
      </c>
      <c r="K469" s="1">
        <v>45464</v>
      </c>
      <c r="L469">
        <f>YEAR(Customer_Data[[#This Row],[LastPurchaseDate]])</f>
        <v>2024</v>
      </c>
      <c r="M469">
        <f>MONTH(Customer_Data[[#This Row],[LastPurchaseDate]])</f>
        <v>3</v>
      </c>
      <c r="N469" s="7">
        <v>45368</v>
      </c>
      <c r="O469">
        <v>7</v>
      </c>
      <c r="P469" s="4">
        <v>8252.23</v>
      </c>
      <c r="Q469" t="s">
        <v>4035</v>
      </c>
      <c r="R469">
        <v>3</v>
      </c>
      <c r="S469">
        <v>1178.8900000000001</v>
      </c>
    </row>
    <row r="470" spans="1:19" x14ac:dyDescent="0.25">
      <c r="A470">
        <v>474</v>
      </c>
      <c r="B470" t="s">
        <v>199</v>
      </c>
      <c r="C470" t="s">
        <v>654</v>
      </c>
      <c r="D470" t="s">
        <v>850</v>
      </c>
      <c r="E470">
        <v>50</v>
      </c>
      <c r="F470" t="str" cm="1">
        <f t="array" ref="F470">INDEX(Country!$B$3:$B$250, MATCH(TRUE, ISNUMBER(SEARCH(Country!$A$2:$A$509, Customer_Data[[#This Row],[Country]])),0 ))</f>
        <v>Asia</v>
      </c>
      <c r="G470" t="s">
        <v>1007</v>
      </c>
      <c r="H470" t="s">
        <v>1547</v>
      </c>
      <c r="I470" t="s">
        <v>2517</v>
      </c>
      <c r="J470" t="s">
        <v>3509</v>
      </c>
      <c r="K470" s="1">
        <v>45019</v>
      </c>
      <c r="L470">
        <f>YEAR(Customer_Data[[#This Row],[LastPurchaseDate]])</f>
        <v>2023</v>
      </c>
      <c r="M470">
        <f>MONTH(Customer_Data[[#This Row],[LastPurchaseDate]])</f>
        <v>11</v>
      </c>
      <c r="N470" s="7">
        <v>45246</v>
      </c>
      <c r="O470">
        <v>30</v>
      </c>
      <c r="P470" s="4">
        <v>8268.86</v>
      </c>
      <c r="Q470" t="s">
        <v>4034</v>
      </c>
      <c r="R470">
        <v>1</v>
      </c>
      <c r="S470">
        <v>275.63</v>
      </c>
    </row>
    <row r="471" spans="1:19" x14ac:dyDescent="0.25">
      <c r="A471">
        <v>475</v>
      </c>
      <c r="B471" t="s">
        <v>164</v>
      </c>
      <c r="C471" t="s">
        <v>655</v>
      </c>
      <c r="D471" t="s">
        <v>851</v>
      </c>
      <c r="E471">
        <v>39</v>
      </c>
      <c r="F471" t="str" cm="1">
        <f t="array" ref="F471">INDEX(Country!$B$3:$B$250, MATCH(TRUE, ISNUMBER(SEARCH(Country!$A$2:$A$509, Customer_Data[[#This Row],[Country]])),0 ))</f>
        <v>Africa</v>
      </c>
      <c r="G471" t="s">
        <v>1057</v>
      </c>
      <c r="H471" t="s">
        <v>1548</v>
      </c>
      <c r="I471" t="s">
        <v>2518</v>
      </c>
      <c r="J471" t="s">
        <v>3510</v>
      </c>
      <c r="K471" s="1">
        <v>44870</v>
      </c>
      <c r="L471">
        <f>YEAR(Customer_Data[[#This Row],[LastPurchaseDate]])</f>
        <v>2024</v>
      </c>
      <c r="M471">
        <f>MONTH(Customer_Data[[#This Row],[LastPurchaseDate]])</f>
        <v>12</v>
      </c>
      <c r="N471" s="7">
        <v>45629</v>
      </c>
      <c r="O471">
        <v>9</v>
      </c>
      <c r="P471" s="4">
        <v>8512.51</v>
      </c>
      <c r="Q471" t="s">
        <v>4035</v>
      </c>
      <c r="R471">
        <v>2</v>
      </c>
      <c r="S471">
        <v>945.83</v>
      </c>
    </row>
    <row r="472" spans="1:19" x14ac:dyDescent="0.25">
      <c r="A472">
        <v>476</v>
      </c>
      <c r="B472" t="s">
        <v>92</v>
      </c>
      <c r="C472" t="s">
        <v>546</v>
      </c>
      <c r="D472" t="s">
        <v>852</v>
      </c>
      <c r="E472">
        <v>62</v>
      </c>
      <c r="F472" t="str" cm="1">
        <f t="array" ref="F472">INDEX(Country!$B$3:$B$250, MATCH(TRUE, ISNUMBER(SEARCH(Country!$A$2:$A$509, Customer_Data[[#This Row],[Country]])),0 ))</f>
        <v>Asia</v>
      </c>
      <c r="G472" t="s">
        <v>865</v>
      </c>
      <c r="H472" t="s">
        <v>1549</v>
      </c>
      <c r="I472" t="s">
        <v>2519</v>
      </c>
      <c r="J472" t="s">
        <v>3511</v>
      </c>
      <c r="K472" s="1">
        <v>45140</v>
      </c>
      <c r="L472">
        <f>YEAR(Customer_Data[[#This Row],[LastPurchaseDate]])</f>
        <v>2024</v>
      </c>
      <c r="M472">
        <f>MONTH(Customer_Data[[#This Row],[LastPurchaseDate]])</f>
        <v>7</v>
      </c>
      <c r="N472" s="7">
        <v>45493</v>
      </c>
      <c r="O472">
        <v>27</v>
      </c>
      <c r="P472" s="4">
        <v>5270.75</v>
      </c>
      <c r="Q472" t="s">
        <v>4035</v>
      </c>
      <c r="R472">
        <v>5</v>
      </c>
      <c r="S472">
        <v>195.21</v>
      </c>
    </row>
    <row r="473" spans="1:19" x14ac:dyDescent="0.25">
      <c r="A473">
        <v>477</v>
      </c>
      <c r="B473" t="s">
        <v>26</v>
      </c>
      <c r="C473" t="s">
        <v>656</v>
      </c>
      <c r="D473" t="s">
        <v>851</v>
      </c>
      <c r="E473">
        <v>68</v>
      </c>
      <c r="F473" t="str" cm="1">
        <f t="array" ref="F473">INDEX(Country!$B$3:$B$250, MATCH(TRUE, ISNUMBER(SEARCH(Country!$A$2:$A$509, Customer_Data[[#This Row],[Country]])),0 ))</f>
        <v>Africa</v>
      </c>
      <c r="G473" t="s">
        <v>1059</v>
      </c>
      <c r="H473" t="s">
        <v>1550</v>
      </c>
      <c r="I473" t="s">
        <v>2520</v>
      </c>
      <c r="J473" t="s">
        <v>3512</v>
      </c>
      <c r="K473" s="1">
        <v>45712</v>
      </c>
      <c r="L473">
        <f>YEAR(Customer_Data[[#This Row],[LastPurchaseDate]])</f>
        <v>2024</v>
      </c>
      <c r="M473">
        <f>MONTH(Customer_Data[[#This Row],[LastPurchaseDate]])</f>
        <v>2</v>
      </c>
      <c r="N473" s="7">
        <v>45324</v>
      </c>
      <c r="O473">
        <v>13</v>
      </c>
      <c r="P473" s="4">
        <v>6909.98</v>
      </c>
      <c r="Q473" t="s">
        <v>4034</v>
      </c>
      <c r="R473">
        <v>4</v>
      </c>
      <c r="S473">
        <v>531.54</v>
      </c>
    </row>
    <row r="474" spans="1:19" x14ac:dyDescent="0.25">
      <c r="A474">
        <v>478</v>
      </c>
      <c r="B474" t="s">
        <v>250</v>
      </c>
      <c r="C474" t="s">
        <v>657</v>
      </c>
      <c r="D474" t="s">
        <v>851</v>
      </c>
      <c r="E474">
        <v>48</v>
      </c>
      <c r="F474" t="str" cm="1">
        <f t="array" ref="F474">INDEX(Country!$B$3:$B$250, MATCH(TRUE, ISNUMBER(SEARCH(Country!$A$2:$A$509, Customer_Data[[#This Row],[Country]])),0 ))</f>
        <v>Oceania</v>
      </c>
      <c r="G474" t="s">
        <v>883</v>
      </c>
      <c r="H474" t="s">
        <v>1551</v>
      </c>
      <c r="I474" t="s">
        <v>2521</v>
      </c>
      <c r="J474" t="s">
        <v>3513</v>
      </c>
      <c r="K474" s="1">
        <v>45780</v>
      </c>
      <c r="L474">
        <f>YEAR(Customer_Data[[#This Row],[LastPurchaseDate]])</f>
        <v>2024</v>
      </c>
      <c r="M474">
        <f>MONTH(Customer_Data[[#This Row],[LastPurchaseDate]])</f>
        <v>12</v>
      </c>
      <c r="N474" s="7">
        <v>45656</v>
      </c>
      <c r="O474">
        <v>43</v>
      </c>
      <c r="P474" s="4">
        <v>4624.92</v>
      </c>
      <c r="Q474" t="s">
        <v>4034</v>
      </c>
      <c r="R474">
        <v>1</v>
      </c>
      <c r="S474">
        <v>107.56</v>
      </c>
    </row>
    <row r="475" spans="1:19" x14ac:dyDescent="0.25">
      <c r="A475">
        <v>479</v>
      </c>
      <c r="B475" t="s">
        <v>251</v>
      </c>
      <c r="C475" t="s">
        <v>313</v>
      </c>
      <c r="D475" t="s">
        <v>851</v>
      </c>
      <c r="E475">
        <v>62</v>
      </c>
      <c r="F475" t="str" cm="1">
        <f t="array" ref="F475">INDEX(Country!$B$3:$B$250, MATCH(TRUE, ISNUMBER(SEARCH(Country!$A$2:$A$509, Customer_Data[[#This Row],[Country]])),0 ))</f>
        <v>Europe</v>
      </c>
      <c r="G475" t="s">
        <v>929</v>
      </c>
      <c r="H475" t="s">
        <v>1552</v>
      </c>
      <c r="I475" t="s">
        <v>2522</v>
      </c>
      <c r="J475" t="s">
        <v>3514</v>
      </c>
      <c r="K475" s="1">
        <v>45373</v>
      </c>
      <c r="L475">
        <f>YEAR(Customer_Data[[#This Row],[LastPurchaseDate]])</f>
        <v>2025</v>
      </c>
      <c r="M475">
        <f>MONTH(Customer_Data[[#This Row],[LastPurchaseDate]])</f>
        <v>4</v>
      </c>
      <c r="N475" s="7">
        <v>45757</v>
      </c>
      <c r="O475">
        <v>28</v>
      </c>
      <c r="P475" s="4">
        <v>7765.96</v>
      </c>
      <c r="Q475" t="s">
        <v>4035</v>
      </c>
      <c r="R475">
        <v>3</v>
      </c>
      <c r="S475">
        <v>277.36</v>
      </c>
    </row>
    <row r="476" spans="1:19" x14ac:dyDescent="0.25">
      <c r="A476">
        <v>480</v>
      </c>
      <c r="B476" t="s">
        <v>252</v>
      </c>
      <c r="C476" t="s">
        <v>85</v>
      </c>
      <c r="D476" t="s">
        <v>850</v>
      </c>
      <c r="E476">
        <v>68</v>
      </c>
      <c r="F476" t="str" cm="1">
        <f t="array" ref="F476">INDEX(Country!$B$3:$B$250, MATCH(TRUE, ISNUMBER(SEARCH(Country!$A$2:$A$509, Customer_Data[[#This Row],[Country]])),0 ))</f>
        <v>Africa</v>
      </c>
      <c r="G476" t="s">
        <v>1057</v>
      </c>
      <c r="H476" t="s">
        <v>1553</v>
      </c>
      <c r="I476" t="s">
        <v>2523</v>
      </c>
      <c r="J476" t="s">
        <v>3515</v>
      </c>
      <c r="K476" s="1">
        <v>45273</v>
      </c>
      <c r="L476">
        <f>YEAR(Customer_Data[[#This Row],[LastPurchaseDate]])</f>
        <v>2025</v>
      </c>
      <c r="M476">
        <f>MONTH(Customer_Data[[#This Row],[LastPurchaseDate]])</f>
        <v>5</v>
      </c>
      <c r="N476" s="7">
        <v>45798</v>
      </c>
      <c r="O476">
        <v>4</v>
      </c>
      <c r="P476" s="4">
        <v>9886.02</v>
      </c>
      <c r="Q476" t="s">
        <v>4035</v>
      </c>
      <c r="R476">
        <v>3</v>
      </c>
      <c r="S476">
        <v>2471.5</v>
      </c>
    </row>
    <row r="477" spans="1:19" x14ac:dyDescent="0.25">
      <c r="A477">
        <v>481</v>
      </c>
      <c r="B477" t="s">
        <v>253</v>
      </c>
      <c r="C477" t="s">
        <v>386</v>
      </c>
      <c r="D477" t="s">
        <v>852</v>
      </c>
      <c r="E477">
        <v>57</v>
      </c>
      <c r="F477" t="str" cm="1">
        <f t="array" ref="F477">INDEX(Country!$B$3:$B$250, MATCH(TRUE, ISNUMBER(SEARCH(Country!$A$2:$A$509, Customer_Data[[#This Row],[Country]])),0 ))</f>
        <v>North America</v>
      </c>
      <c r="G477" t="s">
        <v>1006</v>
      </c>
      <c r="H477" t="s">
        <v>1554</v>
      </c>
      <c r="I477" t="s">
        <v>2524</v>
      </c>
      <c r="J477" t="s">
        <v>3516</v>
      </c>
      <c r="K477" s="1">
        <v>45198</v>
      </c>
      <c r="L477">
        <f>YEAR(Customer_Data[[#This Row],[LastPurchaseDate]])</f>
        <v>2024</v>
      </c>
      <c r="M477">
        <f>MONTH(Customer_Data[[#This Row],[LastPurchaseDate]])</f>
        <v>2</v>
      </c>
      <c r="N477" s="7">
        <v>45340</v>
      </c>
      <c r="O477">
        <v>15</v>
      </c>
      <c r="P477" s="4">
        <v>6001.17</v>
      </c>
      <c r="Q477" t="s">
        <v>4035</v>
      </c>
      <c r="R477">
        <v>5</v>
      </c>
      <c r="S477">
        <v>400.08</v>
      </c>
    </row>
    <row r="478" spans="1:19" x14ac:dyDescent="0.25">
      <c r="A478">
        <v>482</v>
      </c>
      <c r="B478" t="s">
        <v>254</v>
      </c>
      <c r="C478" t="s">
        <v>658</v>
      </c>
      <c r="D478" t="s">
        <v>850</v>
      </c>
      <c r="E478">
        <v>69</v>
      </c>
      <c r="F478" t="str" cm="1">
        <f t="array" ref="F478">INDEX(Country!$B$3:$B$250, MATCH(TRUE, ISNUMBER(SEARCH(Country!$A$2:$A$509, Customer_Data[[#This Row],[Country]])),0 ))</f>
        <v>Europe</v>
      </c>
      <c r="G478" t="s">
        <v>879</v>
      </c>
      <c r="H478" t="s">
        <v>1555</v>
      </c>
      <c r="I478" t="s">
        <v>2525</v>
      </c>
      <c r="J478" t="s">
        <v>3517</v>
      </c>
      <c r="K478" s="1">
        <v>45519</v>
      </c>
      <c r="L478">
        <f>YEAR(Customer_Data[[#This Row],[LastPurchaseDate]])</f>
        <v>2023</v>
      </c>
      <c r="M478">
        <f>MONTH(Customer_Data[[#This Row],[LastPurchaseDate]])</f>
        <v>12</v>
      </c>
      <c r="N478" s="7">
        <v>45288</v>
      </c>
      <c r="O478">
        <v>46</v>
      </c>
      <c r="P478" s="4">
        <v>4545.88</v>
      </c>
      <c r="Q478" t="s">
        <v>4034</v>
      </c>
      <c r="R478">
        <v>1</v>
      </c>
      <c r="S478">
        <v>98.82</v>
      </c>
    </row>
    <row r="479" spans="1:19" x14ac:dyDescent="0.25">
      <c r="A479">
        <v>483</v>
      </c>
      <c r="B479" t="s">
        <v>255</v>
      </c>
      <c r="C479" t="s">
        <v>634</v>
      </c>
      <c r="D479" t="s">
        <v>850</v>
      </c>
      <c r="E479">
        <v>58</v>
      </c>
      <c r="F479" t="str" cm="1">
        <f t="array" ref="F479">INDEX(Country!$B$3:$B$250, MATCH(TRUE, ISNUMBER(SEARCH(Country!$A$2:$A$509, Customer_Data[[#This Row],[Country]])),0 ))</f>
        <v>North America</v>
      </c>
      <c r="G479" t="s">
        <v>1021</v>
      </c>
      <c r="H479" t="s">
        <v>1556</v>
      </c>
      <c r="I479" t="s">
        <v>2526</v>
      </c>
      <c r="J479" t="s">
        <v>3518</v>
      </c>
      <c r="K479" s="1">
        <v>45042</v>
      </c>
      <c r="L479">
        <f>YEAR(Customer_Data[[#This Row],[LastPurchaseDate]])</f>
        <v>2024</v>
      </c>
      <c r="M479">
        <f>MONTH(Customer_Data[[#This Row],[LastPurchaseDate]])</f>
        <v>12</v>
      </c>
      <c r="N479" s="7">
        <v>45635</v>
      </c>
      <c r="O479">
        <v>10</v>
      </c>
      <c r="P479" s="4">
        <v>7179.03</v>
      </c>
      <c r="Q479" t="s">
        <v>4035</v>
      </c>
      <c r="R479">
        <v>3</v>
      </c>
      <c r="S479">
        <v>717.9</v>
      </c>
    </row>
    <row r="480" spans="1:19" x14ac:dyDescent="0.25">
      <c r="A480">
        <v>484</v>
      </c>
      <c r="B480" t="s">
        <v>256</v>
      </c>
      <c r="C480" t="s">
        <v>412</v>
      </c>
      <c r="D480" t="s">
        <v>850</v>
      </c>
      <c r="E480">
        <v>31</v>
      </c>
      <c r="F480" t="str" cm="1">
        <f t="array" ref="F480">INDEX(Country!$B$3:$B$250, MATCH(TRUE, ISNUMBER(SEARCH(Country!$A$2:$A$509, Customer_Data[[#This Row],[Country]])),0 ))</f>
        <v>Europe</v>
      </c>
      <c r="G480" t="s">
        <v>914</v>
      </c>
      <c r="H480" t="s">
        <v>1557</v>
      </c>
      <c r="I480" t="s">
        <v>2527</v>
      </c>
      <c r="J480" t="s">
        <v>3519</v>
      </c>
      <c r="K480" s="1">
        <v>45538</v>
      </c>
      <c r="L480">
        <f>YEAR(Customer_Data[[#This Row],[LastPurchaseDate]])</f>
        <v>2025</v>
      </c>
      <c r="M480">
        <f>MONTH(Customer_Data[[#This Row],[LastPurchaseDate]])</f>
        <v>7</v>
      </c>
      <c r="N480" s="7">
        <v>45865</v>
      </c>
      <c r="O480">
        <v>13</v>
      </c>
      <c r="P480" s="4">
        <v>4311</v>
      </c>
      <c r="Q480" t="s">
        <v>4035</v>
      </c>
      <c r="R480">
        <v>5</v>
      </c>
      <c r="S480">
        <v>331.62</v>
      </c>
    </row>
    <row r="481" spans="1:19" x14ac:dyDescent="0.25">
      <c r="A481">
        <v>485</v>
      </c>
      <c r="B481" t="s">
        <v>56</v>
      </c>
      <c r="C481" t="s">
        <v>416</v>
      </c>
      <c r="D481" t="s">
        <v>851</v>
      </c>
      <c r="E481">
        <v>68</v>
      </c>
      <c r="F481" t="str" cm="1">
        <f t="array" ref="F481">INDEX(Country!$B$3:$B$250, MATCH(TRUE, ISNUMBER(SEARCH(Country!$A$2:$A$509, Customer_Data[[#This Row],[Country]])),0 ))</f>
        <v>Europe</v>
      </c>
      <c r="G481" t="s">
        <v>960</v>
      </c>
      <c r="H481" t="s">
        <v>1558</v>
      </c>
      <c r="I481" t="s">
        <v>2528</v>
      </c>
      <c r="J481" t="s">
        <v>3520</v>
      </c>
      <c r="K481" s="1">
        <v>44883</v>
      </c>
      <c r="L481">
        <f>YEAR(Customer_Data[[#This Row],[LastPurchaseDate]])</f>
        <v>2025</v>
      </c>
      <c r="M481">
        <f>MONTH(Customer_Data[[#This Row],[LastPurchaseDate]])</f>
        <v>6</v>
      </c>
      <c r="N481" s="7">
        <v>45838</v>
      </c>
      <c r="O481">
        <v>4</v>
      </c>
      <c r="P481" s="4">
        <v>1405.7</v>
      </c>
      <c r="Q481" t="s">
        <v>4035</v>
      </c>
      <c r="R481">
        <v>1</v>
      </c>
      <c r="S481">
        <v>351.42</v>
      </c>
    </row>
    <row r="482" spans="1:19" x14ac:dyDescent="0.25">
      <c r="A482">
        <v>486</v>
      </c>
      <c r="B482" t="s">
        <v>57</v>
      </c>
      <c r="C482" t="s">
        <v>621</v>
      </c>
      <c r="D482" t="s">
        <v>850</v>
      </c>
      <c r="E482">
        <v>36</v>
      </c>
      <c r="F482" t="str" cm="1">
        <f t="array" ref="F482">INDEX(Country!$B$3:$B$250, MATCH(TRUE, ISNUMBER(SEARCH(Country!$A$2:$A$509, Customer_Data[[#This Row],[Country]])),0 ))</f>
        <v>North America</v>
      </c>
      <c r="G482" t="s">
        <v>875</v>
      </c>
      <c r="H482" t="s">
        <v>1559</v>
      </c>
      <c r="I482" t="s">
        <v>2529</v>
      </c>
      <c r="J482" t="s">
        <v>3521</v>
      </c>
      <c r="K482" s="1">
        <v>45065</v>
      </c>
      <c r="L482">
        <f>YEAR(Customer_Data[[#This Row],[LastPurchaseDate]])</f>
        <v>2025</v>
      </c>
      <c r="M482">
        <f>MONTH(Customer_Data[[#This Row],[LastPurchaseDate]])</f>
        <v>6</v>
      </c>
      <c r="N482" s="7">
        <v>45836</v>
      </c>
      <c r="O482">
        <v>48</v>
      </c>
      <c r="P482" s="4">
        <v>9595.5499999999993</v>
      </c>
      <c r="Q482" t="s">
        <v>4035</v>
      </c>
      <c r="R482">
        <v>3</v>
      </c>
      <c r="S482">
        <v>199.91</v>
      </c>
    </row>
    <row r="483" spans="1:19" x14ac:dyDescent="0.25">
      <c r="A483">
        <v>487</v>
      </c>
      <c r="B483" t="s">
        <v>213</v>
      </c>
      <c r="C483" t="s">
        <v>81</v>
      </c>
      <c r="D483" t="s">
        <v>851</v>
      </c>
      <c r="E483">
        <v>53</v>
      </c>
      <c r="F483" t="str" cm="1">
        <f t="array" ref="F483">INDEX(Country!$B$3:$B$250, MATCH(TRUE, ISNUMBER(SEARCH(Country!$A$2:$A$509, Customer_Data[[#This Row],[Country]])),0 ))</f>
        <v>Europe</v>
      </c>
      <c r="G483" t="s">
        <v>929</v>
      </c>
      <c r="H483" t="s">
        <v>1560</v>
      </c>
      <c r="I483" t="s">
        <v>2530</v>
      </c>
      <c r="J483" t="s">
        <v>3522</v>
      </c>
      <c r="K483" s="1">
        <v>45172</v>
      </c>
      <c r="L483">
        <f>YEAR(Customer_Data[[#This Row],[LastPurchaseDate]])</f>
        <v>2023</v>
      </c>
      <c r="M483">
        <f>MONTH(Customer_Data[[#This Row],[LastPurchaseDate]])</f>
        <v>11</v>
      </c>
      <c r="N483" s="7">
        <v>45255</v>
      </c>
      <c r="O483">
        <v>14</v>
      </c>
      <c r="P483" s="4">
        <v>9585.4699999999993</v>
      </c>
      <c r="Q483" t="s">
        <v>4035</v>
      </c>
      <c r="R483">
        <v>3</v>
      </c>
      <c r="S483">
        <v>684.68</v>
      </c>
    </row>
    <row r="484" spans="1:19" x14ac:dyDescent="0.25">
      <c r="A484">
        <v>488</v>
      </c>
      <c r="B484" t="s">
        <v>69</v>
      </c>
      <c r="C484" t="s">
        <v>476</v>
      </c>
      <c r="D484" t="s">
        <v>851</v>
      </c>
      <c r="E484">
        <v>38</v>
      </c>
      <c r="F484" t="str" cm="1">
        <f t="array" ref="F484">INDEX(Country!$B$3:$B$250, MATCH(TRUE, ISNUMBER(SEARCH(Country!$A$2:$A$509, Customer_Data[[#This Row],[Country]])),0 ))</f>
        <v>South America</v>
      </c>
      <c r="G484" t="s">
        <v>873</v>
      </c>
      <c r="H484" t="s">
        <v>1561</v>
      </c>
      <c r="I484" t="s">
        <v>2531</v>
      </c>
      <c r="J484" t="s">
        <v>3523</v>
      </c>
      <c r="K484" s="1">
        <v>45338</v>
      </c>
      <c r="L484">
        <f>YEAR(Customer_Data[[#This Row],[LastPurchaseDate]])</f>
        <v>2024</v>
      </c>
      <c r="M484">
        <f>MONTH(Customer_Data[[#This Row],[LastPurchaseDate]])</f>
        <v>9</v>
      </c>
      <c r="N484" s="7">
        <v>45541</v>
      </c>
      <c r="O484">
        <v>19</v>
      </c>
      <c r="P484" s="4">
        <v>8382.16</v>
      </c>
      <c r="Q484" t="s">
        <v>4035</v>
      </c>
      <c r="R484">
        <v>2</v>
      </c>
      <c r="S484">
        <v>441.17</v>
      </c>
    </row>
    <row r="485" spans="1:19" x14ac:dyDescent="0.25">
      <c r="A485">
        <v>489</v>
      </c>
      <c r="B485" t="s">
        <v>120</v>
      </c>
      <c r="C485" t="s">
        <v>436</v>
      </c>
      <c r="D485" t="s">
        <v>851</v>
      </c>
      <c r="E485">
        <v>56</v>
      </c>
      <c r="F485" t="str" cm="1">
        <f t="array" ref="F485">INDEX(Country!$B$3:$B$250, MATCH(TRUE, ISNUMBER(SEARCH(Country!$A$2:$A$509, Customer_Data[[#This Row],[Country]])),0 ))</f>
        <v>Africa</v>
      </c>
      <c r="G485" t="s">
        <v>948</v>
      </c>
      <c r="H485" t="s">
        <v>1562</v>
      </c>
      <c r="I485" t="s">
        <v>2532</v>
      </c>
      <c r="J485" t="s">
        <v>3524</v>
      </c>
      <c r="K485" s="1">
        <v>45573</v>
      </c>
      <c r="L485">
        <f>YEAR(Customer_Data[[#This Row],[LastPurchaseDate]])</f>
        <v>2025</v>
      </c>
      <c r="M485">
        <f>MONTH(Customer_Data[[#This Row],[LastPurchaseDate]])</f>
        <v>8</v>
      </c>
      <c r="N485" s="7">
        <v>45873</v>
      </c>
      <c r="O485">
        <v>20</v>
      </c>
      <c r="P485" s="4">
        <v>7071.41</v>
      </c>
      <c r="Q485" t="s">
        <v>4035</v>
      </c>
      <c r="R485">
        <v>2</v>
      </c>
      <c r="S485">
        <v>353.57</v>
      </c>
    </row>
    <row r="486" spans="1:19" x14ac:dyDescent="0.25">
      <c r="A486">
        <v>490</v>
      </c>
      <c r="B486" t="s">
        <v>257</v>
      </c>
      <c r="C486" t="s">
        <v>437</v>
      </c>
      <c r="D486" t="s">
        <v>851</v>
      </c>
      <c r="E486">
        <v>72</v>
      </c>
      <c r="F486" t="str" cm="1">
        <f t="array" ref="F486">INDEX(Country!$B$3:$B$250, MATCH(TRUE, ISNUMBER(SEARCH(Country!$A$2:$A$509, Customer_Data[[#This Row],[Country]])),0 ))</f>
        <v>Europe</v>
      </c>
      <c r="G486" t="s">
        <v>853</v>
      </c>
      <c r="H486" t="s">
        <v>1563</v>
      </c>
      <c r="I486" t="s">
        <v>2533</v>
      </c>
      <c r="J486" t="s">
        <v>3525</v>
      </c>
      <c r="K486" s="1">
        <v>45670</v>
      </c>
      <c r="L486">
        <f>YEAR(Customer_Data[[#This Row],[LastPurchaseDate]])</f>
        <v>2024</v>
      </c>
      <c r="M486">
        <f>MONTH(Customer_Data[[#This Row],[LastPurchaseDate]])</f>
        <v>11</v>
      </c>
      <c r="N486" s="7">
        <v>45598</v>
      </c>
      <c r="O486">
        <v>12</v>
      </c>
      <c r="P486" s="4">
        <v>5901.89</v>
      </c>
      <c r="Q486" t="s">
        <v>4034</v>
      </c>
      <c r="R486">
        <v>5</v>
      </c>
      <c r="S486">
        <v>491.82</v>
      </c>
    </row>
    <row r="487" spans="1:19" x14ac:dyDescent="0.25">
      <c r="A487">
        <v>491</v>
      </c>
      <c r="B487" t="s">
        <v>55</v>
      </c>
      <c r="C487" t="s">
        <v>659</v>
      </c>
      <c r="D487" t="s">
        <v>850</v>
      </c>
      <c r="E487">
        <v>68</v>
      </c>
      <c r="F487" t="str" cm="1">
        <f t="array" ref="F487">INDEX(Country!$B$3:$B$250, MATCH(TRUE, ISNUMBER(SEARCH(Country!$A$2:$A$509, Customer_Data[[#This Row],[Country]])),0 ))</f>
        <v>Europe</v>
      </c>
      <c r="G487" t="s">
        <v>960</v>
      </c>
      <c r="H487" t="s">
        <v>1564</v>
      </c>
      <c r="I487" t="s">
        <v>2534</v>
      </c>
      <c r="J487" t="s">
        <v>3526</v>
      </c>
      <c r="K487" s="1">
        <v>45091</v>
      </c>
      <c r="L487">
        <f>YEAR(Customer_Data[[#This Row],[LastPurchaseDate]])</f>
        <v>2024</v>
      </c>
      <c r="M487">
        <f>MONTH(Customer_Data[[#This Row],[LastPurchaseDate]])</f>
        <v>11</v>
      </c>
      <c r="N487" s="7">
        <v>45610</v>
      </c>
      <c r="O487">
        <v>36</v>
      </c>
      <c r="P487" s="4">
        <v>1870.58</v>
      </c>
      <c r="Q487" t="s">
        <v>4035</v>
      </c>
      <c r="R487">
        <v>2</v>
      </c>
      <c r="S487">
        <v>51.96</v>
      </c>
    </row>
    <row r="488" spans="1:19" x14ac:dyDescent="0.25">
      <c r="A488">
        <v>492</v>
      </c>
      <c r="B488" t="s">
        <v>140</v>
      </c>
      <c r="C488" t="s">
        <v>464</v>
      </c>
      <c r="D488" t="s">
        <v>851</v>
      </c>
      <c r="E488">
        <v>39</v>
      </c>
      <c r="F488" t="str" cm="1">
        <f t="array" ref="F488">INDEX(Country!$B$3:$B$250, MATCH(TRUE, ISNUMBER(SEARCH(Country!$A$2:$A$509, Customer_Data[[#This Row],[Country]])),0 ))</f>
        <v>Europe</v>
      </c>
      <c r="G488" t="s">
        <v>853</v>
      </c>
      <c r="H488" t="s">
        <v>1565</v>
      </c>
      <c r="I488" t="s">
        <v>2535</v>
      </c>
      <c r="J488" t="s">
        <v>3527</v>
      </c>
      <c r="K488" s="1">
        <v>45189</v>
      </c>
      <c r="L488">
        <f>YEAR(Customer_Data[[#This Row],[LastPurchaseDate]])</f>
        <v>2025</v>
      </c>
      <c r="M488">
        <f>MONTH(Customer_Data[[#This Row],[LastPurchaseDate]])</f>
        <v>2</v>
      </c>
      <c r="N488" s="7">
        <v>45704</v>
      </c>
      <c r="O488">
        <v>35</v>
      </c>
      <c r="P488" s="4">
        <v>4664.5600000000004</v>
      </c>
      <c r="Q488" t="s">
        <v>4035</v>
      </c>
      <c r="R488">
        <v>4</v>
      </c>
      <c r="S488">
        <v>133.27000000000001</v>
      </c>
    </row>
    <row r="489" spans="1:19" x14ac:dyDescent="0.25">
      <c r="A489">
        <v>493</v>
      </c>
      <c r="B489" t="s">
        <v>96</v>
      </c>
      <c r="C489" t="s">
        <v>379</v>
      </c>
      <c r="D489" t="s">
        <v>851</v>
      </c>
      <c r="E489">
        <v>31</v>
      </c>
      <c r="F489" t="str" cm="1">
        <f t="array" ref="F489">INDEX(Country!$B$3:$B$250, MATCH(TRUE, ISNUMBER(SEARCH(Country!$A$2:$A$509, Customer_Data[[#This Row],[Country]])),0 ))</f>
        <v>North America</v>
      </c>
      <c r="G489" t="s">
        <v>938</v>
      </c>
      <c r="H489" t="s">
        <v>1566</v>
      </c>
      <c r="I489" t="s">
        <v>2536</v>
      </c>
      <c r="J489" t="s">
        <v>3528</v>
      </c>
      <c r="K489" s="1">
        <v>45017</v>
      </c>
      <c r="L489">
        <f>YEAR(Customer_Data[[#This Row],[LastPurchaseDate]])</f>
        <v>2023</v>
      </c>
      <c r="M489">
        <f>MONTH(Customer_Data[[#This Row],[LastPurchaseDate]])</f>
        <v>11</v>
      </c>
      <c r="N489" s="7">
        <v>45241</v>
      </c>
      <c r="O489">
        <v>49</v>
      </c>
      <c r="P489" s="4">
        <v>7134.96</v>
      </c>
      <c r="Q489" t="s">
        <v>4035</v>
      </c>
      <c r="R489">
        <v>2</v>
      </c>
      <c r="S489">
        <v>145.61000000000001</v>
      </c>
    </row>
    <row r="490" spans="1:19" x14ac:dyDescent="0.25">
      <c r="A490">
        <v>494</v>
      </c>
      <c r="B490" t="s">
        <v>36</v>
      </c>
      <c r="C490" t="s">
        <v>660</v>
      </c>
      <c r="D490" t="s">
        <v>850</v>
      </c>
      <c r="E490">
        <v>23</v>
      </c>
      <c r="F490" t="str" cm="1">
        <f t="array" ref="F490">INDEX(Country!$B$3:$B$250, MATCH(TRUE, ISNUMBER(SEARCH(Country!$A$2:$A$509, Customer_Data[[#This Row],[Country]])),0 ))</f>
        <v>Oceania</v>
      </c>
      <c r="G490" t="s">
        <v>932</v>
      </c>
      <c r="H490" t="s">
        <v>1567</v>
      </c>
      <c r="I490" t="s">
        <v>2537</v>
      </c>
      <c r="J490" t="s">
        <v>3529</v>
      </c>
      <c r="K490" s="1">
        <v>45840</v>
      </c>
      <c r="L490">
        <f>YEAR(Customer_Data[[#This Row],[LastPurchaseDate]])</f>
        <v>2025</v>
      </c>
      <c r="M490">
        <f>MONTH(Customer_Data[[#This Row],[LastPurchaseDate]])</f>
        <v>3</v>
      </c>
      <c r="N490" s="7">
        <v>45731</v>
      </c>
      <c r="O490">
        <v>14</v>
      </c>
      <c r="P490" s="4">
        <v>3293.78</v>
      </c>
      <c r="Q490" t="s">
        <v>4035</v>
      </c>
      <c r="R490">
        <v>2</v>
      </c>
      <c r="S490">
        <v>235.27</v>
      </c>
    </row>
    <row r="491" spans="1:19" x14ac:dyDescent="0.25">
      <c r="A491">
        <v>495</v>
      </c>
      <c r="B491" t="s">
        <v>115</v>
      </c>
      <c r="C491" t="s">
        <v>571</v>
      </c>
      <c r="D491" t="s">
        <v>850</v>
      </c>
      <c r="E491">
        <v>18</v>
      </c>
      <c r="F491" t="str" cm="1">
        <f t="array" ref="F491">INDEX(Country!$B$3:$B$250, MATCH(TRUE, ISNUMBER(SEARCH(Country!$A$2:$A$509, Customer_Data[[#This Row],[Country]])),0 ))</f>
        <v>North America</v>
      </c>
      <c r="G491" t="s">
        <v>921</v>
      </c>
      <c r="H491" t="s">
        <v>1568</v>
      </c>
      <c r="I491" t="s">
        <v>2538</v>
      </c>
      <c r="J491" t="s">
        <v>3530</v>
      </c>
      <c r="K491" s="1">
        <v>45519</v>
      </c>
      <c r="L491">
        <f>YEAR(Customer_Data[[#This Row],[LastPurchaseDate]])</f>
        <v>2024</v>
      </c>
      <c r="M491">
        <f>MONTH(Customer_Data[[#This Row],[LastPurchaseDate]])</f>
        <v>6</v>
      </c>
      <c r="N491" s="7">
        <v>45450</v>
      </c>
      <c r="O491">
        <v>23</v>
      </c>
      <c r="P491" s="4">
        <v>218.32</v>
      </c>
      <c r="Q491" t="s">
        <v>4035</v>
      </c>
      <c r="R491">
        <v>5</v>
      </c>
      <c r="S491">
        <v>9.49</v>
      </c>
    </row>
    <row r="492" spans="1:19" x14ac:dyDescent="0.25">
      <c r="A492">
        <v>496</v>
      </c>
      <c r="B492" t="s">
        <v>179</v>
      </c>
      <c r="C492" t="s">
        <v>536</v>
      </c>
      <c r="D492" t="s">
        <v>850</v>
      </c>
      <c r="E492">
        <v>64</v>
      </c>
      <c r="F492" t="str" cm="1">
        <f t="array" ref="F492">INDEX(Country!$B$3:$B$250, MATCH(TRUE, ISNUMBER(SEARCH(Country!$A$2:$A$509, Customer_Data[[#This Row],[Country]])),0 ))</f>
        <v>Oceania</v>
      </c>
      <c r="G492" t="s">
        <v>961</v>
      </c>
      <c r="H492" t="s">
        <v>1569</v>
      </c>
      <c r="I492" t="s">
        <v>2539</v>
      </c>
      <c r="J492" t="s">
        <v>3531</v>
      </c>
      <c r="K492" s="1">
        <v>44948</v>
      </c>
      <c r="L492">
        <f>YEAR(Customer_Data[[#This Row],[LastPurchaseDate]])</f>
        <v>2024</v>
      </c>
      <c r="M492">
        <f>MONTH(Customer_Data[[#This Row],[LastPurchaseDate]])</f>
        <v>1</v>
      </c>
      <c r="N492" s="7">
        <v>45307</v>
      </c>
      <c r="O492">
        <v>5</v>
      </c>
      <c r="P492" s="4">
        <v>3521.31</v>
      </c>
      <c r="Q492" t="s">
        <v>4034</v>
      </c>
      <c r="R492">
        <v>2</v>
      </c>
      <c r="S492">
        <v>704.26</v>
      </c>
    </row>
    <row r="493" spans="1:19" x14ac:dyDescent="0.25">
      <c r="A493">
        <v>497</v>
      </c>
      <c r="B493" t="s">
        <v>258</v>
      </c>
      <c r="C493" t="s">
        <v>414</v>
      </c>
      <c r="D493" t="s">
        <v>851</v>
      </c>
      <c r="E493">
        <v>34</v>
      </c>
      <c r="F493" t="str" cm="1">
        <f t="array" ref="F493">INDEX(Country!$B$3:$B$250, MATCH(TRUE, ISNUMBER(SEARCH(Country!$A$2:$A$509, Customer_Data[[#This Row],[Country]])),0 ))</f>
        <v>Europe</v>
      </c>
      <c r="G493" t="s">
        <v>935</v>
      </c>
      <c r="H493" t="s">
        <v>1570</v>
      </c>
      <c r="I493" t="s">
        <v>2540</v>
      </c>
      <c r="J493" t="s">
        <v>3532</v>
      </c>
      <c r="K493" s="1">
        <v>45810</v>
      </c>
      <c r="L493">
        <f>YEAR(Customer_Data[[#This Row],[LastPurchaseDate]])</f>
        <v>2024</v>
      </c>
      <c r="M493">
        <f>MONTH(Customer_Data[[#This Row],[LastPurchaseDate]])</f>
        <v>11</v>
      </c>
      <c r="N493" s="7">
        <v>45612</v>
      </c>
      <c r="O493">
        <v>29</v>
      </c>
      <c r="P493" s="4">
        <v>85.17</v>
      </c>
      <c r="Q493" t="s">
        <v>4035</v>
      </c>
      <c r="R493">
        <v>1</v>
      </c>
      <c r="S493">
        <v>2.94</v>
      </c>
    </row>
    <row r="494" spans="1:19" x14ac:dyDescent="0.25">
      <c r="A494">
        <v>498</v>
      </c>
      <c r="B494" t="s">
        <v>259</v>
      </c>
      <c r="C494" t="s">
        <v>661</v>
      </c>
      <c r="D494" t="s">
        <v>850</v>
      </c>
      <c r="E494">
        <v>37</v>
      </c>
      <c r="F494" t="str" cm="1">
        <f t="array" ref="F494">INDEX(Country!$B$3:$B$250, MATCH(TRUE, ISNUMBER(SEARCH(Country!$A$2:$A$509, Customer_Data[[#This Row],[Country]])),0 ))</f>
        <v>Africa</v>
      </c>
      <c r="G494" t="s">
        <v>1061</v>
      </c>
      <c r="H494" t="s">
        <v>1571</v>
      </c>
      <c r="I494" t="s">
        <v>2541</v>
      </c>
      <c r="J494" t="s">
        <v>3533</v>
      </c>
      <c r="K494" s="1">
        <v>45435</v>
      </c>
      <c r="L494">
        <f>YEAR(Customer_Data[[#This Row],[LastPurchaseDate]])</f>
        <v>2025</v>
      </c>
      <c r="M494">
        <f>MONTH(Customer_Data[[#This Row],[LastPurchaseDate]])</f>
        <v>5</v>
      </c>
      <c r="N494" s="7">
        <v>45783</v>
      </c>
      <c r="O494">
        <v>25</v>
      </c>
      <c r="P494" s="4">
        <v>3422.41</v>
      </c>
      <c r="Q494" t="s">
        <v>4035</v>
      </c>
      <c r="R494">
        <v>4</v>
      </c>
      <c r="S494">
        <v>136.9</v>
      </c>
    </row>
    <row r="495" spans="1:19" x14ac:dyDescent="0.25">
      <c r="A495">
        <v>499</v>
      </c>
      <c r="B495" t="s">
        <v>91</v>
      </c>
      <c r="C495" t="s">
        <v>596</v>
      </c>
      <c r="D495" t="s">
        <v>850</v>
      </c>
      <c r="E495">
        <v>37</v>
      </c>
      <c r="F495" t="str" cm="1">
        <f t="array" ref="F495">INDEX(Country!$B$3:$B$250, MATCH(TRUE, ISNUMBER(SEARCH(Country!$A$2:$A$509, Customer_Data[[#This Row],[Country]])),0 ))</f>
        <v>Africa</v>
      </c>
      <c r="G495" t="s">
        <v>978</v>
      </c>
      <c r="H495" t="s">
        <v>1572</v>
      </c>
      <c r="I495" t="s">
        <v>2542</v>
      </c>
      <c r="J495" t="s">
        <v>3534</v>
      </c>
      <c r="K495" s="1">
        <v>45260</v>
      </c>
      <c r="L495">
        <f>YEAR(Customer_Data[[#This Row],[LastPurchaseDate]])</f>
        <v>2023</v>
      </c>
      <c r="M495">
        <f>MONTH(Customer_Data[[#This Row],[LastPurchaseDate]])</f>
        <v>12</v>
      </c>
      <c r="N495" s="7">
        <v>45280</v>
      </c>
      <c r="O495">
        <v>19</v>
      </c>
      <c r="P495" s="4">
        <v>5966.69</v>
      </c>
      <c r="Q495" t="s">
        <v>4034</v>
      </c>
      <c r="R495">
        <v>5</v>
      </c>
      <c r="S495">
        <v>314.04000000000002</v>
      </c>
    </row>
    <row r="496" spans="1:19" x14ac:dyDescent="0.25">
      <c r="A496">
        <v>500</v>
      </c>
      <c r="B496" t="s">
        <v>240</v>
      </c>
      <c r="C496" t="s">
        <v>662</v>
      </c>
      <c r="D496" t="s">
        <v>851</v>
      </c>
      <c r="E496">
        <v>66</v>
      </c>
      <c r="F496" t="str" cm="1">
        <f t="array" ref="F496">INDEX(Country!$B$3:$B$250, MATCH(TRUE, ISNUMBER(SEARCH(Country!$A$2:$A$509, Customer_Data[[#This Row],[Country]])),0 ))</f>
        <v>Europe</v>
      </c>
      <c r="G496" t="s">
        <v>1023</v>
      </c>
      <c r="H496" t="s">
        <v>1421</v>
      </c>
      <c r="I496" t="s">
        <v>2543</v>
      </c>
      <c r="J496" t="s">
        <v>3535</v>
      </c>
      <c r="K496" s="1">
        <v>45070</v>
      </c>
      <c r="L496">
        <f>YEAR(Customer_Data[[#This Row],[LastPurchaseDate]])</f>
        <v>2024</v>
      </c>
      <c r="M496">
        <f>MONTH(Customer_Data[[#This Row],[LastPurchaseDate]])</f>
        <v>12</v>
      </c>
      <c r="N496" s="7">
        <v>45630</v>
      </c>
      <c r="O496">
        <v>23</v>
      </c>
      <c r="P496" s="4">
        <v>4393.47</v>
      </c>
      <c r="Q496" t="s">
        <v>4034</v>
      </c>
      <c r="R496">
        <v>3</v>
      </c>
      <c r="S496">
        <v>191.02</v>
      </c>
    </row>
    <row r="497" spans="1:19" x14ac:dyDescent="0.25">
      <c r="A497">
        <v>501</v>
      </c>
      <c r="B497" t="s">
        <v>108</v>
      </c>
      <c r="C497" t="s">
        <v>663</v>
      </c>
      <c r="D497" t="s">
        <v>850</v>
      </c>
      <c r="E497">
        <v>44</v>
      </c>
      <c r="F497" t="str" cm="1">
        <f t="array" ref="F497">INDEX(Country!$B$3:$B$250, MATCH(TRUE, ISNUMBER(SEARCH(Country!$A$2:$A$509, Customer_Data[[#This Row],[Country]])),0 ))</f>
        <v>Africa</v>
      </c>
      <c r="G497" t="s">
        <v>1050</v>
      </c>
      <c r="H497" t="s">
        <v>1573</v>
      </c>
      <c r="I497" t="s">
        <v>2544</v>
      </c>
      <c r="J497" t="s">
        <v>3536</v>
      </c>
      <c r="K497" s="1">
        <v>45044</v>
      </c>
      <c r="L497">
        <f>YEAR(Customer_Data[[#This Row],[LastPurchaseDate]])</f>
        <v>2024</v>
      </c>
      <c r="M497">
        <f>MONTH(Customer_Data[[#This Row],[LastPurchaseDate]])</f>
        <v>10</v>
      </c>
      <c r="N497" s="7">
        <v>45575</v>
      </c>
      <c r="O497">
        <v>13</v>
      </c>
      <c r="P497" s="4">
        <v>8801.3700000000008</v>
      </c>
      <c r="Q497" t="s">
        <v>4035</v>
      </c>
      <c r="R497">
        <v>4</v>
      </c>
      <c r="S497">
        <v>677.03</v>
      </c>
    </row>
    <row r="498" spans="1:19" x14ac:dyDescent="0.25">
      <c r="A498">
        <v>502</v>
      </c>
      <c r="B498" t="s">
        <v>164</v>
      </c>
      <c r="C498" t="s">
        <v>664</v>
      </c>
      <c r="D498" t="s">
        <v>851</v>
      </c>
      <c r="E498">
        <v>37</v>
      </c>
      <c r="F498" t="str" cm="1">
        <f t="array" ref="F498">INDEX(Country!$B$3:$B$250, MATCH(TRUE, ISNUMBER(SEARCH(Country!$A$2:$A$509, Customer_Data[[#This Row],[Country]])),0 ))</f>
        <v>Europe</v>
      </c>
      <c r="G498" t="s">
        <v>1022</v>
      </c>
      <c r="H498" t="s">
        <v>1430</v>
      </c>
      <c r="I498" t="s">
        <v>2545</v>
      </c>
      <c r="J498" t="s">
        <v>3537</v>
      </c>
      <c r="K498" s="1">
        <v>44893</v>
      </c>
      <c r="L498">
        <f>YEAR(Customer_Data[[#This Row],[LastPurchaseDate]])</f>
        <v>2024</v>
      </c>
      <c r="M498">
        <f>MONTH(Customer_Data[[#This Row],[LastPurchaseDate]])</f>
        <v>11</v>
      </c>
      <c r="N498" s="7">
        <v>45614</v>
      </c>
      <c r="O498">
        <v>14</v>
      </c>
      <c r="P498" s="4">
        <v>6400.76</v>
      </c>
      <c r="Q498" t="s">
        <v>4035</v>
      </c>
      <c r="R498">
        <v>5</v>
      </c>
      <c r="S498">
        <v>457.2</v>
      </c>
    </row>
    <row r="499" spans="1:19" x14ac:dyDescent="0.25">
      <c r="A499">
        <v>503</v>
      </c>
      <c r="B499" t="s">
        <v>117</v>
      </c>
      <c r="C499" t="s">
        <v>665</v>
      </c>
      <c r="D499" t="s">
        <v>850</v>
      </c>
      <c r="E499">
        <v>72</v>
      </c>
      <c r="F499" t="str" cm="1">
        <f t="array" ref="F499">INDEX(Country!$B$3:$B$250, MATCH(TRUE, ISNUMBER(SEARCH(Country!$A$2:$A$509, Customer_Data[[#This Row],[Country]])),0 ))</f>
        <v>Antarctica</v>
      </c>
      <c r="G499" t="s">
        <v>979</v>
      </c>
      <c r="H499" t="s">
        <v>1574</v>
      </c>
      <c r="I499" t="s">
        <v>2546</v>
      </c>
      <c r="J499" t="s">
        <v>3538</v>
      </c>
      <c r="K499" s="1">
        <v>45681</v>
      </c>
      <c r="L499">
        <f>YEAR(Customer_Data[[#This Row],[LastPurchaseDate]])</f>
        <v>2025</v>
      </c>
      <c r="M499">
        <f>MONTH(Customer_Data[[#This Row],[LastPurchaseDate]])</f>
        <v>4</v>
      </c>
      <c r="N499" s="7">
        <v>45756</v>
      </c>
      <c r="O499">
        <v>6</v>
      </c>
      <c r="P499" s="4">
        <v>9562.08</v>
      </c>
      <c r="Q499" t="s">
        <v>4035</v>
      </c>
      <c r="R499">
        <v>5</v>
      </c>
      <c r="S499">
        <v>1593.68</v>
      </c>
    </row>
    <row r="500" spans="1:19" x14ac:dyDescent="0.25">
      <c r="A500">
        <v>504</v>
      </c>
      <c r="B500" t="s">
        <v>180</v>
      </c>
      <c r="C500" t="s">
        <v>531</v>
      </c>
      <c r="D500" t="s">
        <v>850</v>
      </c>
      <c r="E500">
        <v>43</v>
      </c>
      <c r="F500" t="str" cm="1">
        <f t="array" ref="F500">INDEX(Country!$B$3:$B$250, MATCH(TRUE, ISNUMBER(SEARCH(Country!$A$2:$A$509, Customer_Data[[#This Row],[Country]])),0 ))</f>
        <v>North America</v>
      </c>
      <c r="G500" t="s">
        <v>993</v>
      </c>
      <c r="H500" t="s">
        <v>1575</v>
      </c>
      <c r="I500" t="s">
        <v>2547</v>
      </c>
      <c r="J500" t="s">
        <v>3539</v>
      </c>
      <c r="K500" s="1">
        <v>45957</v>
      </c>
      <c r="L500">
        <f>YEAR(Customer_Data[[#This Row],[LastPurchaseDate]])</f>
        <v>2024</v>
      </c>
      <c r="M500">
        <f>MONTH(Customer_Data[[#This Row],[LastPurchaseDate]])</f>
        <v>7</v>
      </c>
      <c r="N500" s="7">
        <v>45491</v>
      </c>
      <c r="O500">
        <v>22</v>
      </c>
      <c r="P500" s="4">
        <v>8385.17</v>
      </c>
      <c r="Q500" t="s">
        <v>4035</v>
      </c>
      <c r="R500">
        <v>3</v>
      </c>
      <c r="S500">
        <v>381.14</v>
      </c>
    </row>
    <row r="501" spans="1:19" x14ac:dyDescent="0.25">
      <c r="A501">
        <v>505</v>
      </c>
      <c r="B501" t="s">
        <v>260</v>
      </c>
      <c r="C501" t="s">
        <v>379</v>
      </c>
      <c r="D501" t="s">
        <v>851</v>
      </c>
      <c r="E501">
        <v>49</v>
      </c>
      <c r="F501" t="str" cm="1">
        <f t="array" ref="F501">INDEX(Country!$B$3:$B$250, MATCH(TRUE, ISNUMBER(SEARCH(Country!$A$2:$A$509, Customer_Data[[#This Row],[Country]])),0 ))</f>
        <v>Africa</v>
      </c>
      <c r="G501" t="s">
        <v>856</v>
      </c>
      <c r="H501" t="s">
        <v>1576</v>
      </c>
      <c r="I501" t="s">
        <v>2548</v>
      </c>
      <c r="J501" t="s">
        <v>3540</v>
      </c>
      <c r="K501" s="1">
        <v>45615</v>
      </c>
      <c r="L501">
        <f>YEAR(Customer_Data[[#This Row],[LastPurchaseDate]])</f>
        <v>2024</v>
      </c>
      <c r="M501">
        <f>MONTH(Customer_Data[[#This Row],[LastPurchaseDate]])</f>
        <v>4</v>
      </c>
      <c r="N501" s="7">
        <v>45403</v>
      </c>
      <c r="O501">
        <v>4</v>
      </c>
      <c r="P501" s="4">
        <v>5198.12</v>
      </c>
      <c r="Q501" t="s">
        <v>4034</v>
      </c>
      <c r="R501">
        <v>4</v>
      </c>
      <c r="S501">
        <v>1299.53</v>
      </c>
    </row>
    <row r="502" spans="1:19" x14ac:dyDescent="0.25">
      <c r="A502">
        <v>506</v>
      </c>
      <c r="B502" t="s">
        <v>120</v>
      </c>
      <c r="C502" t="s">
        <v>520</v>
      </c>
      <c r="D502" t="s">
        <v>850</v>
      </c>
      <c r="E502">
        <v>45</v>
      </c>
      <c r="F502" t="str" cm="1">
        <f t="array" ref="F502">INDEX(Country!$B$3:$B$250, MATCH(TRUE, ISNUMBER(SEARCH(Country!$A$2:$A$509, Customer_Data[[#This Row],[Country]])),0 ))</f>
        <v>Africa</v>
      </c>
      <c r="G502" t="s">
        <v>984</v>
      </c>
      <c r="H502" t="s">
        <v>1577</v>
      </c>
      <c r="I502" t="s">
        <v>2549</v>
      </c>
      <c r="J502" t="s">
        <v>3541</v>
      </c>
      <c r="K502" s="1">
        <v>45704</v>
      </c>
      <c r="L502">
        <f>YEAR(Customer_Data[[#This Row],[LastPurchaseDate]])</f>
        <v>2025</v>
      </c>
      <c r="M502">
        <f>MONTH(Customer_Data[[#This Row],[LastPurchaseDate]])</f>
        <v>10</v>
      </c>
      <c r="N502" s="7">
        <v>45943</v>
      </c>
      <c r="O502">
        <v>48</v>
      </c>
      <c r="P502" s="4">
        <v>1845.3</v>
      </c>
      <c r="Q502" t="s">
        <v>4034</v>
      </c>
      <c r="R502">
        <v>2</v>
      </c>
      <c r="S502">
        <v>38.44</v>
      </c>
    </row>
    <row r="503" spans="1:19" x14ac:dyDescent="0.25">
      <c r="A503">
        <v>507</v>
      </c>
      <c r="B503" t="s">
        <v>23</v>
      </c>
      <c r="C503" t="s">
        <v>666</v>
      </c>
      <c r="D503" t="s">
        <v>851</v>
      </c>
      <c r="E503">
        <v>33</v>
      </c>
      <c r="F503" t="str" cm="1">
        <f t="array" ref="F503">INDEX(Country!$B$3:$B$250, MATCH(TRUE, ISNUMBER(SEARCH(Country!$A$2:$A$509, Customer_Data[[#This Row],[Country]])),0 ))</f>
        <v>Africa</v>
      </c>
      <c r="G503" t="s">
        <v>881</v>
      </c>
      <c r="H503" t="s">
        <v>1578</v>
      </c>
      <c r="I503" t="s">
        <v>2550</v>
      </c>
      <c r="J503" t="s">
        <v>3542</v>
      </c>
      <c r="K503" s="1">
        <v>44939</v>
      </c>
      <c r="L503">
        <f>YEAR(Customer_Data[[#This Row],[LastPurchaseDate]])</f>
        <v>2025</v>
      </c>
      <c r="M503">
        <f>MONTH(Customer_Data[[#This Row],[LastPurchaseDate]])</f>
        <v>1</v>
      </c>
      <c r="N503" s="7">
        <v>45682</v>
      </c>
      <c r="O503">
        <v>35</v>
      </c>
      <c r="P503" s="4">
        <v>4659.12</v>
      </c>
      <c r="Q503" t="s">
        <v>4035</v>
      </c>
      <c r="R503">
        <v>2</v>
      </c>
      <c r="S503">
        <v>133.12</v>
      </c>
    </row>
    <row r="504" spans="1:19" x14ac:dyDescent="0.25">
      <c r="A504">
        <v>508</v>
      </c>
      <c r="B504" t="s">
        <v>205</v>
      </c>
      <c r="C504" t="s">
        <v>667</v>
      </c>
      <c r="D504" t="s">
        <v>851</v>
      </c>
      <c r="E504">
        <v>27</v>
      </c>
      <c r="F504" t="str" cm="1">
        <f t="array" ref="F504">INDEX(Country!$B$3:$B$250, MATCH(TRUE, ISNUMBER(SEARCH(Country!$A$2:$A$509, Customer_Data[[#This Row],[Country]])),0 ))</f>
        <v>North America</v>
      </c>
      <c r="G504" t="s">
        <v>872</v>
      </c>
      <c r="H504" t="s">
        <v>1579</v>
      </c>
      <c r="I504" t="s">
        <v>2551</v>
      </c>
      <c r="J504" t="s">
        <v>3543</v>
      </c>
      <c r="K504" s="1">
        <v>45878</v>
      </c>
      <c r="L504">
        <f>YEAR(Customer_Data[[#This Row],[LastPurchaseDate]])</f>
        <v>2025</v>
      </c>
      <c r="M504">
        <f>MONTH(Customer_Data[[#This Row],[LastPurchaseDate]])</f>
        <v>5</v>
      </c>
      <c r="N504" s="7">
        <v>45799</v>
      </c>
      <c r="O504">
        <v>36</v>
      </c>
      <c r="P504" s="4">
        <v>8105.21</v>
      </c>
      <c r="Q504" t="s">
        <v>4034</v>
      </c>
      <c r="R504">
        <v>1</v>
      </c>
      <c r="S504">
        <v>225.14</v>
      </c>
    </row>
    <row r="505" spans="1:19" x14ac:dyDescent="0.25">
      <c r="A505">
        <v>509</v>
      </c>
      <c r="B505" t="s">
        <v>261</v>
      </c>
      <c r="C505" t="s">
        <v>470</v>
      </c>
      <c r="D505" t="s">
        <v>851</v>
      </c>
      <c r="E505">
        <v>31</v>
      </c>
      <c r="F505" t="str" cm="1">
        <f t="array" ref="F505">INDEX(Country!$B$3:$B$250, MATCH(TRUE, ISNUMBER(SEARCH(Country!$A$2:$A$509, Customer_Data[[#This Row],[Country]])),0 ))</f>
        <v>South America</v>
      </c>
      <c r="G505" t="s">
        <v>988</v>
      </c>
      <c r="H505" t="s">
        <v>1580</v>
      </c>
      <c r="I505" t="s">
        <v>2552</v>
      </c>
      <c r="J505" t="s">
        <v>3544</v>
      </c>
      <c r="K505" s="1">
        <v>45689</v>
      </c>
      <c r="L505">
        <f>YEAR(Customer_Data[[#This Row],[LastPurchaseDate]])</f>
        <v>2024</v>
      </c>
      <c r="M505">
        <f>MONTH(Customer_Data[[#This Row],[LastPurchaseDate]])</f>
        <v>11</v>
      </c>
      <c r="N505" s="7">
        <v>45614</v>
      </c>
      <c r="O505">
        <v>41</v>
      </c>
      <c r="P505" s="4">
        <v>5152.18</v>
      </c>
      <c r="Q505" t="s">
        <v>4035</v>
      </c>
      <c r="R505">
        <v>3</v>
      </c>
      <c r="S505">
        <v>125.66</v>
      </c>
    </row>
    <row r="506" spans="1:19" x14ac:dyDescent="0.25">
      <c r="A506">
        <v>510</v>
      </c>
      <c r="B506" t="s">
        <v>193</v>
      </c>
      <c r="C506" t="s">
        <v>386</v>
      </c>
      <c r="D506" t="s">
        <v>851</v>
      </c>
      <c r="E506">
        <v>48</v>
      </c>
      <c r="F506" t="str" cm="1">
        <f t="array" ref="F506">INDEX(Country!$B$3:$B$250, MATCH(TRUE, ISNUMBER(SEARCH(Country!$A$2:$A$509, Customer_Data[[#This Row],[Country]])),0 ))</f>
        <v>North America</v>
      </c>
      <c r="G506" t="s">
        <v>1062</v>
      </c>
      <c r="H506" t="s">
        <v>1581</v>
      </c>
      <c r="I506" t="s">
        <v>2553</v>
      </c>
      <c r="J506" t="s">
        <v>3545</v>
      </c>
      <c r="K506" s="1">
        <v>45609</v>
      </c>
      <c r="L506">
        <f>YEAR(Customer_Data[[#This Row],[LastPurchaseDate]])</f>
        <v>2024</v>
      </c>
      <c r="M506">
        <f>MONTH(Customer_Data[[#This Row],[LastPurchaseDate]])</f>
        <v>1</v>
      </c>
      <c r="N506" s="7">
        <v>45322</v>
      </c>
      <c r="O506">
        <v>4</v>
      </c>
      <c r="P506" s="4">
        <v>3448.76</v>
      </c>
      <c r="Q506" t="s">
        <v>4034</v>
      </c>
      <c r="R506">
        <v>2</v>
      </c>
      <c r="S506">
        <v>862.19</v>
      </c>
    </row>
    <row r="507" spans="1:19" x14ac:dyDescent="0.25">
      <c r="A507">
        <v>511</v>
      </c>
      <c r="B507" t="s">
        <v>119</v>
      </c>
      <c r="C507" t="s">
        <v>565</v>
      </c>
      <c r="D507" t="s">
        <v>851</v>
      </c>
      <c r="E507">
        <v>41</v>
      </c>
      <c r="F507" t="str" cm="1">
        <f t="array" ref="F507">INDEX(Country!$B$3:$B$250, MATCH(TRUE, ISNUMBER(SEARCH(Country!$A$2:$A$509, Customer_Data[[#This Row],[Country]])),0 ))</f>
        <v>Asia</v>
      </c>
      <c r="G507" t="s">
        <v>1002</v>
      </c>
      <c r="H507" t="s">
        <v>1582</v>
      </c>
      <c r="I507" t="s">
        <v>2554</v>
      </c>
      <c r="J507" t="s">
        <v>3546</v>
      </c>
      <c r="K507" s="1">
        <v>44868</v>
      </c>
      <c r="L507">
        <f>YEAR(Customer_Data[[#This Row],[LastPurchaseDate]])</f>
        <v>2024</v>
      </c>
      <c r="M507">
        <f>MONTH(Customer_Data[[#This Row],[LastPurchaseDate]])</f>
        <v>4</v>
      </c>
      <c r="N507" s="7">
        <v>45396</v>
      </c>
      <c r="O507">
        <v>43</v>
      </c>
      <c r="P507" s="4">
        <v>1078.28</v>
      </c>
      <c r="Q507" t="s">
        <v>4035</v>
      </c>
      <c r="R507">
        <v>3</v>
      </c>
      <c r="S507">
        <v>25.08</v>
      </c>
    </row>
    <row r="508" spans="1:19" x14ac:dyDescent="0.25">
      <c r="A508">
        <v>512</v>
      </c>
      <c r="B508" t="s">
        <v>85</v>
      </c>
      <c r="C508" t="s">
        <v>668</v>
      </c>
      <c r="D508" t="s">
        <v>850</v>
      </c>
      <c r="E508">
        <v>18</v>
      </c>
      <c r="F508" t="str" cm="1">
        <f t="array" ref="F508">INDEX(Country!$B$3:$B$250, MATCH(TRUE, ISNUMBER(SEARCH(Country!$A$2:$A$509, Customer_Data[[#This Row],[Country]])),0 ))</f>
        <v>South America</v>
      </c>
      <c r="G508" t="s">
        <v>1019</v>
      </c>
      <c r="H508" t="s">
        <v>1583</v>
      </c>
      <c r="I508" t="s">
        <v>2555</v>
      </c>
      <c r="J508" t="s">
        <v>3547</v>
      </c>
      <c r="K508" s="1">
        <v>44959</v>
      </c>
      <c r="L508">
        <f>YEAR(Customer_Data[[#This Row],[LastPurchaseDate]])</f>
        <v>2025</v>
      </c>
      <c r="M508">
        <f>MONTH(Customer_Data[[#This Row],[LastPurchaseDate]])</f>
        <v>9</v>
      </c>
      <c r="N508" s="7">
        <v>45916</v>
      </c>
      <c r="O508">
        <v>6</v>
      </c>
      <c r="P508" s="4">
        <v>2962.09</v>
      </c>
      <c r="Q508" t="s">
        <v>4035</v>
      </c>
      <c r="R508">
        <v>5</v>
      </c>
      <c r="S508">
        <v>493.68</v>
      </c>
    </row>
    <row r="509" spans="1:19" x14ac:dyDescent="0.25">
      <c r="A509">
        <v>513</v>
      </c>
      <c r="B509" t="s">
        <v>262</v>
      </c>
      <c r="C509" t="s">
        <v>398</v>
      </c>
      <c r="D509" t="s">
        <v>851</v>
      </c>
      <c r="E509">
        <v>60</v>
      </c>
      <c r="F509" t="str" cm="1">
        <f t="array" ref="F509">INDEX(Country!$B$3:$B$250, MATCH(TRUE, ISNUMBER(SEARCH(Country!$A$2:$A$509, Customer_Data[[#This Row],[Country]])),0 ))</f>
        <v>North America</v>
      </c>
      <c r="G509" t="s">
        <v>878</v>
      </c>
      <c r="H509" t="s">
        <v>1584</v>
      </c>
      <c r="I509" t="s">
        <v>2556</v>
      </c>
      <c r="J509" t="s">
        <v>3548</v>
      </c>
      <c r="K509" s="1">
        <v>45483</v>
      </c>
      <c r="L509">
        <f>YEAR(Customer_Data[[#This Row],[LastPurchaseDate]])</f>
        <v>2024</v>
      </c>
      <c r="M509">
        <f>MONTH(Customer_Data[[#This Row],[LastPurchaseDate]])</f>
        <v>3</v>
      </c>
      <c r="N509" s="7">
        <v>45374</v>
      </c>
      <c r="O509">
        <v>49</v>
      </c>
      <c r="P509" s="4">
        <v>3692.12</v>
      </c>
      <c r="Q509" t="s">
        <v>4035</v>
      </c>
      <c r="R509">
        <v>5</v>
      </c>
      <c r="S509">
        <v>75.349999999999994</v>
      </c>
    </row>
    <row r="510" spans="1:19" x14ac:dyDescent="0.25">
      <c r="A510">
        <v>514</v>
      </c>
      <c r="B510" t="s">
        <v>58</v>
      </c>
      <c r="C510" t="s">
        <v>669</v>
      </c>
      <c r="D510" t="s">
        <v>850</v>
      </c>
      <c r="E510">
        <v>35</v>
      </c>
      <c r="F510" t="str" cm="1">
        <f t="array" ref="F510">INDEX(Country!$B$3:$B$250, MATCH(TRUE, ISNUMBER(SEARCH(Country!$A$2:$A$509, Customer_Data[[#This Row],[Country]])),0 ))</f>
        <v>Africa</v>
      </c>
      <c r="G510" t="s">
        <v>966</v>
      </c>
      <c r="H510" t="s">
        <v>1585</v>
      </c>
      <c r="I510" t="s">
        <v>2557</v>
      </c>
      <c r="J510" t="s">
        <v>3549</v>
      </c>
      <c r="K510" s="1">
        <v>45571</v>
      </c>
      <c r="L510">
        <f>YEAR(Customer_Data[[#This Row],[LastPurchaseDate]])</f>
        <v>2024</v>
      </c>
      <c r="M510">
        <f>MONTH(Customer_Data[[#This Row],[LastPurchaseDate]])</f>
        <v>11</v>
      </c>
      <c r="N510" s="7">
        <v>45608</v>
      </c>
      <c r="O510">
        <v>24</v>
      </c>
      <c r="P510" s="4">
        <v>2749.69</v>
      </c>
      <c r="Q510" t="s">
        <v>4035</v>
      </c>
      <c r="R510">
        <v>1</v>
      </c>
      <c r="S510">
        <v>114.57</v>
      </c>
    </row>
    <row r="511" spans="1:19" x14ac:dyDescent="0.25">
      <c r="A511">
        <v>515</v>
      </c>
      <c r="B511" t="s">
        <v>195</v>
      </c>
      <c r="C511" t="s">
        <v>441</v>
      </c>
      <c r="D511" t="s">
        <v>851</v>
      </c>
      <c r="E511">
        <v>23</v>
      </c>
      <c r="F511" t="str" cm="1">
        <f t="array" ref="F511">INDEX(Country!$B$3:$B$250, MATCH(TRUE, ISNUMBER(SEARCH(Country!$A$2:$A$509, Customer_Data[[#This Row],[Country]])),0 ))</f>
        <v>Africa</v>
      </c>
      <c r="G511" t="s">
        <v>957</v>
      </c>
      <c r="H511" t="s">
        <v>1586</v>
      </c>
      <c r="I511" t="s">
        <v>2558</v>
      </c>
      <c r="J511" t="s">
        <v>3550</v>
      </c>
      <c r="K511" s="1">
        <v>45896</v>
      </c>
      <c r="L511">
        <f>YEAR(Customer_Data[[#This Row],[LastPurchaseDate]])</f>
        <v>2024</v>
      </c>
      <c r="M511">
        <f>MONTH(Customer_Data[[#This Row],[LastPurchaseDate]])</f>
        <v>9</v>
      </c>
      <c r="N511" s="7">
        <v>45560</v>
      </c>
      <c r="O511">
        <v>48</v>
      </c>
      <c r="P511" s="4">
        <v>3482.76</v>
      </c>
      <c r="Q511" t="s">
        <v>4035</v>
      </c>
      <c r="R511">
        <v>3</v>
      </c>
      <c r="S511">
        <v>72.56</v>
      </c>
    </row>
    <row r="512" spans="1:19" x14ac:dyDescent="0.25">
      <c r="A512">
        <v>516</v>
      </c>
      <c r="B512" t="s">
        <v>118</v>
      </c>
      <c r="C512" t="s">
        <v>621</v>
      </c>
      <c r="D512" t="s">
        <v>851</v>
      </c>
      <c r="E512">
        <v>52</v>
      </c>
      <c r="F512" t="str" cm="1">
        <f t="array" ref="F512">INDEX(Country!$B$3:$B$250, MATCH(TRUE, ISNUMBER(SEARCH(Country!$A$2:$A$509, Customer_Data[[#This Row],[Country]])),0 ))</f>
        <v>Africa</v>
      </c>
      <c r="G512" t="s">
        <v>999</v>
      </c>
      <c r="H512" t="s">
        <v>1587</v>
      </c>
      <c r="I512" t="s">
        <v>2559</v>
      </c>
      <c r="J512" t="s">
        <v>3551</v>
      </c>
      <c r="K512" s="1">
        <v>45659</v>
      </c>
      <c r="L512">
        <f>YEAR(Customer_Data[[#This Row],[LastPurchaseDate]])</f>
        <v>2024</v>
      </c>
      <c r="M512">
        <f>MONTH(Customer_Data[[#This Row],[LastPurchaseDate]])</f>
        <v>9</v>
      </c>
      <c r="N512" s="7">
        <v>45542</v>
      </c>
      <c r="O512">
        <v>18</v>
      </c>
      <c r="P512" s="4">
        <v>764.83</v>
      </c>
      <c r="Q512" t="s">
        <v>4035</v>
      </c>
      <c r="R512">
        <v>1</v>
      </c>
      <c r="S512">
        <v>42.49</v>
      </c>
    </row>
    <row r="513" spans="1:19" x14ac:dyDescent="0.25">
      <c r="A513">
        <v>517</v>
      </c>
      <c r="B513" t="s">
        <v>247</v>
      </c>
      <c r="C513" t="s">
        <v>420</v>
      </c>
      <c r="D513" t="s">
        <v>850</v>
      </c>
      <c r="E513">
        <v>68</v>
      </c>
      <c r="F513" t="str" cm="1">
        <f t="array" ref="F513">INDEX(Country!$B$3:$B$250, MATCH(TRUE, ISNUMBER(SEARCH(Country!$A$2:$A$509, Customer_Data[[#This Row],[Country]])),0 ))</f>
        <v>Europe</v>
      </c>
      <c r="G513" t="s">
        <v>1063</v>
      </c>
      <c r="H513" t="s">
        <v>1588</v>
      </c>
      <c r="I513" t="s">
        <v>2560</v>
      </c>
      <c r="J513" t="s">
        <v>3552</v>
      </c>
      <c r="K513" s="1">
        <v>45423</v>
      </c>
      <c r="L513">
        <f>YEAR(Customer_Data[[#This Row],[LastPurchaseDate]])</f>
        <v>2025</v>
      </c>
      <c r="M513">
        <f>MONTH(Customer_Data[[#This Row],[LastPurchaseDate]])</f>
        <v>8</v>
      </c>
      <c r="N513" s="7">
        <v>45893</v>
      </c>
      <c r="O513">
        <v>26</v>
      </c>
      <c r="P513" s="4">
        <v>6882</v>
      </c>
      <c r="Q513" t="s">
        <v>4034</v>
      </c>
      <c r="R513">
        <v>5</v>
      </c>
      <c r="S513">
        <v>264.69</v>
      </c>
    </row>
    <row r="514" spans="1:19" x14ac:dyDescent="0.25">
      <c r="A514">
        <v>518</v>
      </c>
      <c r="B514" t="s">
        <v>263</v>
      </c>
      <c r="C514" t="s">
        <v>670</v>
      </c>
      <c r="D514" t="s">
        <v>851</v>
      </c>
      <c r="E514">
        <v>36</v>
      </c>
      <c r="F514" t="str" cm="1">
        <f t="array" ref="F514">INDEX(Country!$B$3:$B$250, MATCH(TRUE, ISNUMBER(SEARCH(Country!$A$2:$A$509, Customer_Data[[#This Row],[Country]])),0 ))</f>
        <v>Africa</v>
      </c>
      <c r="G514" t="s">
        <v>980</v>
      </c>
      <c r="H514" t="s">
        <v>1123</v>
      </c>
      <c r="I514" t="s">
        <v>2561</v>
      </c>
      <c r="J514" t="s">
        <v>3553</v>
      </c>
      <c r="K514" s="1">
        <v>44893</v>
      </c>
      <c r="L514">
        <f>YEAR(Customer_Data[[#This Row],[LastPurchaseDate]])</f>
        <v>2024</v>
      </c>
      <c r="M514">
        <f>MONTH(Customer_Data[[#This Row],[LastPurchaseDate]])</f>
        <v>6</v>
      </c>
      <c r="N514" s="7">
        <v>45469</v>
      </c>
      <c r="O514">
        <v>23</v>
      </c>
      <c r="P514" s="4">
        <v>8463.16</v>
      </c>
      <c r="Q514" t="s">
        <v>4035</v>
      </c>
      <c r="R514">
        <v>1</v>
      </c>
      <c r="S514">
        <v>367.96</v>
      </c>
    </row>
    <row r="515" spans="1:19" x14ac:dyDescent="0.25">
      <c r="A515">
        <v>519</v>
      </c>
      <c r="B515" t="s">
        <v>264</v>
      </c>
      <c r="C515" t="s">
        <v>195</v>
      </c>
      <c r="D515" t="s">
        <v>851</v>
      </c>
      <c r="E515">
        <v>74</v>
      </c>
      <c r="F515" t="str" cm="1">
        <f t="array" ref="F515">INDEX(Country!$B$3:$B$250, MATCH(TRUE, ISNUMBER(SEARCH(Country!$A$2:$A$509, Customer_Data[[#This Row],[Country]])),0 ))</f>
        <v>North America</v>
      </c>
      <c r="G515" t="s">
        <v>901</v>
      </c>
      <c r="H515" t="s">
        <v>1589</v>
      </c>
      <c r="I515" t="s">
        <v>2562</v>
      </c>
      <c r="J515" t="s">
        <v>3554</v>
      </c>
      <c r="K515" s="1">
        <v>45515</v>
      </c>
      <c r="L515">
        <f>YEAR(Customer_Data[[#This Row],[LastPurchaseDate]])</f>
        <v>2025</v>
      </c>
      <c r="M515">
        <f>MONTH(Customer_Data[[#This Row],[LastPurchaseDate]])</f>
        <v>3</v>
      </c>
      <c r="N515" s="7">
        <v>45720</v>
      </c>
      <c r="O515">
        <v>40</v>
      </c>
      <c r="P515" s="4">
        <v>1913.98</v>
      </c>
      <c r="Q515" t="s">
        <v>4035</v>
      </c>
      <c r="R515">
        <v>3</v>
      </c>
      <c r="S515">
        <v>47.85</v>
      </c>
    </row>
    <row r="516" spans="1:19" x14ac:dyDescent="0.25">
      <c r="A516">
        <v>520</v>
      </c>
      <c r="B516" t="s">
        <v>210</v>
      </c>
      <c r="C516" t="s">
        <v>480</v>
      </c>
      <c r="D516" t="s">
        <v>850</v>
      </c>
      <c r="E516">
        <v>36</v>
      </c>
      <c r="F516" t="str" cm="1">
        <f t="array" ref="F516">INDEX(Country!$B$3:$B$250, MATCH(TRUE, ISNUMBER(SEARCH(Country!$A$2:$A$509, Customer_Data[[#This Row],[Country]])),0 ))</f>
        <v>Oceania</v>
      </c>
      <c r="G516" t="s">
        <v>916</v>
      </c>
      <c r="H516" t="s">
        <v>1590</v>
      </c>
      <c r="I516" t="s">
        <v>2563</v>
      </c>
      <c r="J516" t="s">
        <v>3555</v>
      </c>
      <c r="K516" s="1">
        <v>45687</v>
      </c>
      <c r="L516">
        <f>YEAR(Customer_Data[[#This Row],[LastPurchaseDate]])</f>
        <v>2024</v>
      </c>
      <c r="M516">
        <f>MONTH(Customer_Data[[#This Row],[LastPurchaseDate]])</f>
        <v>9</v>
      </c>
      <c r="N516" s="7">
        <v>45558</v>
      </c>
      <c r="O516">
        <v>19</v>
      </c>
      <c r="P516" s="4">
        <v>4231.24</v>
      </c>
      <c r="Q516" t="s">
        <v>4034</v>
      </c>
      <c r="R516">
        <v>5</v>
      </c>
      <c r="S516">
        <v>222.7</v>
      </c>
    </row>
    <row r="517" spans="1:19" x14ac:dyDescent="0.25">
      <c r="A517">
        <v>521</v>
      </c>
      <c r="B517" t="s">
        <v>103</v>
      </c>
      <c r="C517" t="s">
        <v>671</v>
      </c>
      <c r="D517" t="s">
        <v>850</v>
      </c>
      <c r="E517">
        <v>41</v>
      </c>
      <c r="F517" t="str" cm="1">
        <f t="array" ref="F517">INDEX(Country!$B$3:$B$250, MATCH(TRUE, ISNUMBER(SEARCH(Country!$A$2:$A$509, Customer_Data[[#This Row],[Country]])),0 ))</f>
        <v>Europe</v>
      </c>
      <c r="G517" t="s">
        <v>855</v>
      </c>
      <c r="H517" t="s">
        <v>1591</v>
      </c>
      <c r="I517" t="s">
        <v>2564</v>
      </c>
      <c r="J517" t="s">
        <v>3556</v>
      </c>
      <c r="K517" s="1">
        <v>45407</v>
      </c>
      <c r="L517">
        <f>YEAR(Customer_Data[[#This Row],[LastPurchaseDate]])</f>
        <v>2024</v>
      </c>
      <c r="M517">
        <f>MONTH(Customer_Data[[#This Row],[LastPurchaseDate]])</f>
        <v>2</v>
      </c>
      <c r="N517" s="7">
        <v>45331</v>
      </c>
      <c r="O517">
        <v>23</v>
      </c>
      <c r="P517" s="4">
        <v>5819.56</v>
      </c>
      <c r="Q517" t="s">
        <v>4035</v>
      </c>
      <c r="R517">
        <v>5</v>
      </c>
      <c r="S517">
        <v>253.02</v>
      </c>
    </row>
    <row r="518" spans="1:19" x14ac:dyDescent="0.25">
      <c r="A518">
        <v>522</v>
      </c>
      <c r="B518" t="s">
        <v>265</v>
      </c>
      <c r="C518" t="s">
        <v>376</v>
      </c>
      <c r="D518" t="s">
        <v>850</v>
      </c>
      <c r="E518">
        <v>51</v>
      </c>
      <c r="F518" t="str" cm="1">
        <f t="array" ref="F518">INDEX(Country!$B$3:$B$250, MATCH(TRUE, ISNUMBER(SEARCH(Country!$A$2:$A$509, Customer_Data[[#This Row],[Country]])),0 ))</f>
        <v>Africa</v>
      </c>
      <c r="G518" t="s">
        <v>957</v>
      </c>
      <c r="H518" t="s">
        <v>1091</v>
      </c>
      <c r="I518" t="s">
        <v>2565</v>
      </c>
      <c r="J518" t="s">
        <v>3557</v>
      </c>
      <c r="K518" s="1">
        <v>44930</v>
      </c>
      <c r="L518">
        <f>YEAR(Customer_Data[[#This Row],[LastPurchaseDate]])</f>
        <v>2025</v>
      </c>
      <c r="M518">
        <f>MONTH(Customer_Data[[#This Row],[LastPurchaseDate]])</f>
        <v>3</v>
      </c>
      <c r="N518" s="7">
        <v>45737</v>
      </c>
      <c r="O518">
        <v>7</v>
      </c>
      <c r="P518" s="4">
        <v>9209.9500000000007</v>
      </c>
      <c r="Q518" t="s">
        <v>4034</v>
      </c>
      <c r="R518">
        <v>3</v>
      </c>
      <c r="S518">
        <v>1315.71</v>
      </c>
    </row>
    <row r="519" spans="1:19" x14ac:dyDescent="0.25">
      <c r="A519">
        <v>523</v>
      </c>
      <c r="B519" t="s">
        <v>217</v>
      </c>
      <c r="C519" t="s">
        <v>653</v>
      </c>
      <c r="D519" t="s">
        <v>850</v>
      </c>
      <c r="E519">
        <v>32</v>
      </c>
      <c r="F519" t="str" cm="1">
        <f t="array" ref="F519">INDEX(Country!$B$3:$B$250, MATCH(TRUE, ISNUMBER(SEARCH(Country!$A$2:$A$509, Customer_Data[[#This Row],[Country]])),0 ))</f>
        <v>Africa</v>
      </c>
      <c r="G519" t="s">
        <v>908</v>
      </c>
      <c r="H519" t="s">
        <v>1592</v>
      </c>
      <c r="I519" t="s">
        <v>2566</v>
      </c>
      <c r="J519" t="s">
        <v>3558</v>
      </c>
      <c r="K519" s="1">
        <v>45878</v>
      </c>
      <c r="L519">
        <f>YEAR(Customer_Data[[#This Row],[LastPurchaseDate]])</f>
        <v>2024</v>
      </c>
      <c r="M519">
        <f>MONTH(Customer_Data[[#This Row],[LastPurchaseDate]])</f>
        <v>7</v>
      </c>
      <c r="N519" s="7">
        <v>45488</v>
      </c>
      <c r="O519">
        <v>48</v>
      </c>
      <c r="P519" s="4">
        <v>6701.16</v>
      </c>
      <c r="Q519" t="s">
        <v>4034</v>
      </c>
      <c r="R519">
        <v>3</v>
      </c>
      <c r="S519">
        <v>139.61000000000001</v>
      </c>
    </row>
    <row r="520" spans="1:19" x14ac:dyDescent="0.25">
      <c r="A520">
        <v>524</v>
      </c>
      <c r="B520" t="s">
        <v>266</v>
      </c>
      <c r="C520" t="s">
        <v>526</v>
      </c>
      <c r="D520" t="s">
        <v>850</v>
      </c>
      <c r="E520">
        <v>40</v>
      </c>
      <c r="F520" t="str" cm="1">
        <f t="array" ref="F520">INDEX(Country!$B$3:$B$250, MATCH(TRUE, ISNUMBER(SEARCH(Country!$A$2:$A$509, Customer_Data[[#This Row],[Country]])),0 ))</f>
        <v>North America</v>
      </c>
      <c r="G520" t="s">
        <v>901</v>
      </c>
      <c r="H520" t="s">
        <v>1593</v>
      </c>
      <c r="I520" t="s">
        <v>2567</v>
      </c>
      <c r="J520" t="s">
        <v>3559</v>
      </c>
      <c r="K520" s="1">
        <v>45438</v>
      </c>
      <c r="L520">
        <f>YEAR(Customer_Data[[#This Row],[LastPurchaseDate]])</f>
        <v>2024</v>
      </c>
      <c r="M520">
        <f>MONTH(Customer_Data[[#This Row],[LastPurchaseDate]])</f>
        <v>12</v>
      </c>
      <c r="N520" s="7">
        <v>45652</v>
      </c>
      <c r="O520">
        <v>32</v>
      </c>
      <c r="P520" s="4">
        <v>7069.74</v>
      </c>
      <c r="Q520" t="s">
        <v>4035</v>
      </c>
      <c r="R520">
        <v>2</v>
      </c>
      <c r="S520">
        <v>220.93</v>
      </c>
    </row>
    <row r="521" spans="1:19" x14ac:dyDescent="0.25">
      <c r="A521">
        <v>525</v>
      </c>
      <c r="B521" t="s">
        <v>128</v>
      </c>
      <c r="C521" t="s">
        <v>149</v>
      </c>
      <c r="D521" t="s">
        <v>850</v>
      </c>
      <c r="E521">
        <v>51</v>
      </c>
      <c r="F521" t="str" cm="1">
        <f t="array" ref="F521">INDEX(Country!$B$3:$B$250, MATCH(TRUE, ISNUMBER(SEARCH(Country!$A$2:$A$509, Customer_Data[[#This Row],[Country]])),0 ))</f>
        <v>Europe</v>
      </c>
      <c r="G521" t="s">
        <v>1038</v>
      </c>
      <c r="H521" t="s">
        <v>1594</v>
      </c>
      <c r="I521" t="s">
        <v>2568</v>
      </c>
      <c r="J521" t="s">
        <v>3560</v>
      </c>
      <c r="K521" s="1">
        <v>45764</v>
      </c>
      <c r="L521">
        <f>YEAR(Customer_Data[[#This Row],[LastPurchaseDate]])</f>
        <v>2024</v>
      </c>
      <c r="M521">
        <f>MONTH(Customer_Data[[#This Row],[LastPurchaseDate]])</f>
        <v>10</v>
      </c>
      <c r="N521" s="7">
        <v>45586</v>
      </c>
      <c r="O521">
        <v>26</v>
      </c>
      <c r="P521" s="4">
        <v>7291.13</v>
      </c>
      <c r="Q521" t="s">
        <v>4035</v>
      </c>
      <c r="R521">
        <v>2</v>
      </c>
      <c r="S521">
        <v>280.43</v>
      </c>
    </row>
    <row r="522" spans="1:19" x14ac:dyDescent="0.25">
      <c r="A522">
        <v>526</v>
      </c>
      <c r="B522" t="s">
        <v>28</v>
      </c>
      <c r="C522" t="s">
        <v>672</v>
      </c>
      <c r="D522" t="s">
        <v>851</v>
      </c>
      <c r="E522">
        <v>46</v>
      </c>
      <c r="F522" t="str" cm="1">
        <f t="array" ref="F522">INDEX(Country!$B$3:$B$250, MATCH(TRUE, ISNUMBER(SEARCH(Country!$A$2:$A$509, Customer_Data[[#This Row],[Country]])),0 ))</f>
        <v>Asia</v>
      </c>
      <c r="G522" t="s">
        <v>893</v>
      </c>
      <c r="H522" t="s">
        <v>1595</v>
      </c>
      <c r="I522" t="s">
        <v>2569</v>
      </c>
      <c r="J522" t="s">
        <v>3561</v>
      </c>
      <c r="K522" s="1">
        <v>45703</v>
      </c>
      <c r="L522">
        <f>YEAR(Customer_Data[[#This Row],[LastPurchaseDate]])</f>
        <v>2025</v>
      </c>
      <c r="M522">
        <f>MONTH(Customer_Data[[#This Row],[LastPurchaseDate]])</f>
        <v>6</v>
      </c>
      <c r="N522" s="7">
        <v>45829</v>
      </c>
      <c r="O522">
        <v>18</v>
      </c>
      <c r="P522" s="4">
        <v>8583.14</v>
      </c>
      <c r="Q522" t="s">
        <v>4034</v>
      </c>
      <c r="R522">
        <v>2</v>
      </c>
      <c r="S522">
        <v>476.84</v>
      </c>
    </row>
    <row r="523" spans="1:19" x14ac:dyDescent="0.25">
      <c r="A523">
        <v>527</v>
      </c>
      <c r="B523" t="s">
        <v>267</v>
      </c>
      <c r="C523" t="s">
        <v>605</v>
      </c>
      <c r="D523" t="s">
        <v>851</v>
      </c>
      <c r="E523">
        <v>52</v>
      </c>
      <c r="F523" t="str" cm="1">
        <f t="array" ref="F523">INDEX(Country!$B$3:$B$250, MATCH(TRUE, ISNUMBER(SEARCH(Country!$A$2:$A$509, Customer_Data[[#This Row],[Country]])),0 ))</f>
        <v>Africa</v>
      </c>
      <c r="G523" t="s">
        <v>1046</v>
      </c>
      <c r="H523" t="s">
        <v>1264</v>
      </c>
      <c r="I523" t="s">
        <v>2570</v>
      </c>
      <c r="J523" t="s">
        <v>3562</v>
      </c>
      <c r="K523" s="1">
        <v>44975</v>
      </c>
      <c r="L523">
        <f>YEAR(Customer_Data[[#This Row],[LastPurchaseDate]])</f>
        <v>2024</v>
      </c>
      <c r="M523">
        <f>MONTH(Customer_Data[[#This Row],[LastPurchaseDate]])</f>
        <v>1</v>
      </c>
      <c r="N523" s="7">
        <v>45318</v>
      </c>
      <c r="O523">
        <v>18</v>
      </c>
      <c r="P523" s="4">
        <v>7230.5</v>
      </c>
      <c r="Q523" t="s">
        <v>4035</v>
      </c>
      <c r="R523">
        <v>5</v>
      </c>
      <c r="S523">
        <v>401.69</v>
      </c>
    </row>
    <row r="524" spans="1:19" x14ac:dyDescent="0.25">
      <c r="A524">
        <v>528</v>
      </c>
      <c r="B524" t="s">
        <v>103</v>
      </c>
      <c r="C524" t="s">
        <v>491</v>
      </c>
      <c r="D524" t="s">
        <v>851</v>
      </c>
      <c r="E524">
        <v>44</v>
      </c>
      <c r="F524" t="str" cm="1">
        <f t="array" ref="F524">INDEX(Country!$B$3:$B$250, MATCH(TRUE, ISNUMBER(SEARCH(Country!$A$2:$A$509, Customer_Data[[#This Row],[Country]])),0 ))</f>
        <v>Africa</v>
      </c>
      <c r="G524" t="s">
        <v>1057</v>
      </c>
      <c r="H524" t="s">
        <v>1596</v>
      </c>
      <c r="I524" t="s">
        <v>2571</v>
      </c>
      <c r="J524" t="s">
        <v>3563</v>
      </c>
      <c r="K524" s="1">
        <v>45945</v>
      </c>
      <c r="L524">
        <f>YEAR(Customer_Data[[#This Row],[LastPurchaseDate]])</f>
        <v>2023</v>
      </c>
      <c r="M524">
        <f>MONTH(Customer_Data[[#This Row],[LastPurchaseDate]])</f>
        <v>11</v>
      </c>
      <c r="N524" s="7">
        <v>45258</v>
      </c>
      <c r="O524">
        <v>7</v>
      </c>
      <c r="P524" s="4">
        <v>6772.46</v>
      </c>
      <c r="Q524" t="s">
        <v>4034</v>
      </c>
      <c r="R524">
        <v>3</v>
      </c>
      <c r="S524">
        <v>967.49</v>
      </c>
    </row>
    <row r="525" spans="1:19" x14ac:dyDescent="0.25">
      <c r="A525">
        <v>529</v>
      </c>
      <c r="B525" t="s">
        <v>268</v>
      </c>
      <c r="C525" t="s">
        <v>673</v>
      </c>
      <c r="D525" t="s">
        <v>851</v>
      </c>
      <c r="E525">
        <v>45</v>
      </c>
      <c r="F525" t="str" cm="1">
        <f t="array" ref="F525">INDEX(Country!$B$3:$B$250, MATCH(TRUE, ISNUMBER(SEARCH(Country!$A$2:$A$509, Customer_Data[[#This Row],[Country]])),0 ))</f>
        <v>Oceania</v>
      </c>
      <c r="G525" t="s">
        <v>990</v>
      </c>
      <c r="H525" t="s">
        <v>1597</v>
      </c>
      <c r="I525" t="s">
        <v>2572</v>
      </c>
      <c r="J525" t="s">
        <v>3564</v>
      </c>
      <c r="K525" s="1">
        <v>45125</v>
      </c>
      <c r="L525">
        <f>YEAR(Customer_Data[[#This Row],[LastPurchaseDate]])</f>
        <v>2024</v>
      </c>
      <c r="M525">
        <f>MONTH(Customer_Data[[#This Row],[LastPurchaseDate]])</f>
        <v>9</v>
      </c>
      <c r="N525" s="7">
        <v>45554</v>
      </c>
      <c r="O525">
        <v>4</v>
      </c>
      <c r="P525" s="4">
        <v>968.03</v>
      </c>
      <c r="Q525" t="s">
        <v>4034</v>
      </c>
      <c r="R525">
        <v>1</v>
      </c>
      <c r="S525">
        <v>242.01</v>
      </c>
    </row>
    <row r="526" spans="1:19" x14ac:dyDescent="0.25">
      <c r="A526">
        <v>530</v>
      </c>
      <c r="B526" t="s">
        <v>233</v>
      </c>
      <c r="C526" t="s">
        <v>406</v>
      </c>
      <c r="D526" t="s">
        <v>850</v>
      </c>
      <c r="E526">
        <v>38</v>
      </c>
      <c r="F526" t="str" cm="1">
        <f t="array" ref="F526">INDEX(Country!$B$3:$B$250, MATCH(TRUE, ISNUMBER(SEARCH(Country!$A$2:$A$509, Customer_Data[[#This Row],[Country]])),0 ))</f>
        <v>Asia</v>
      </c>
      <c r="G526" t="s">
        <v>997</v>
      </c>
      <c r="H526" t="s">
        <v>1598</v>
      </c>
      <c r="I526" t="s">
        <v>2573</v>
      </c>
      <c r="J526" t="s">
        <v>3565</v>
      </c>
      <c r="K526" s="1">
        <v>44981</v>
      </c>
      <c r="L526">
        <f>YEAR(Customer_Data[[#This Row],[LastPurchaseDate]])</f>
        <v>2025</v>
      </c>
      <c r="M526">
        <f>MONTH(Customer_Data[[#This Row],[LastPurchaseDate]])</f>
        <v>1</v>
      </c>
      <c r="N526" s="7">
        <v>45673</v>
      </c>
      <c r="O526">
        <v>48</v>
      </c>
      <c r="P526" s="4">
        <v>7534.31</v>
      </c>
      <c r="Q526" t="s">
        <v>4035</v>
      </c>
      <c r="R526">
        <v>4</v>
      </c>
      <c r="S526">
        <v>156.96</v>
      </c>
    </row>
    <row r="527" spans="1:19" x14ac:dyDescent="0.25">
      <c r="A527">
        <v>531</v>
      </c>
      <c r="B527" t="s">
        <v>42</v>
      </c>
      <c r="C527" t="s">
        <v>674</v>
      </c>
      <c r="D527" t="s">
        <v>851</v>
      </c>
      <c r="E527">
        <v>37</v>
      </c>
      <c r="F527" t="str" cm="1">
        <f t="array" ref="F527">INDEX(Country!$B$3:$B$250, MATCH(TRUE, ISNUMBER(SEARCH(Country!$A$2:$A$509, Customer_Data[[#This Row],[Country]])),0 ))</f>
        <v>Africa</v>
      </c>
      <c r="G527" t="s">
        <v>955</v>
      </c>
      <c r="H527" t="s">
        <v>1599</v>
      </c>
      <c r="I527" t="s">
        <v>2574</v>
      </c>
      <c r="J527" t="s">
        <v>3566</v>
      </c>
      <c r="K527" s="1">
        <v>45778</v>
      </c>
      <c r="L527">
        <f>YEAR(Customer_Data[[#This Row],[LastPurchaseDate]])</f>
        <v>2024</v>
      </c>
      <c r="M527">
        <f>MONTH(Customer_Data[[#This Row],[LastPurchaseDate]])</f>
        <v>12</v>
      </c>
      <c r="N527" s="7">
        <v>45655</v>
      </c>
      <c r="O527">
        <v>38</v>
      </c>
      <c r="P527" s="4">
        <v>5468.18</v>
      </c>
      <c r="Q527" t="s">
        <v>4034</v>
      </c>
      <c r="R527">
        <v>2</v>
      </c>
      <c r="S527">
        <v>143.9</v>
      </c>
    </row>
    <row r="528" spans="1:19" x14ac:dyDescent="0.25">
      <c r="A528">
        <v>532</v>
      </c>
      <c r="B528" t="s">
        <v>101</v>
      </c>
      <c r="C528" t="s">
        <v>379</v>
      </c>
      <c r="D528" t="s">
        <v>850</v>
      </c>
      <c r="E528">
        <v>52</v>
      </c>
      <c r="F528" t="str" cm="1">
        <f t="array" ref="F528">INDEX(Country!$B$3:$B$250, MATCH(TRUE, ISNUMBER(SEARCH(Country!$A$2:$A$509, Customer_Data[[#This Row],[Country]])),0 ))</f>
        <v>Europe</v>
      </c>
      <c r="G528" t="s">
        <v>855</v>
      </c>
      <c r="H528" t="s">
        <v>1600</v>
      </c>
      <c r="I528" t="s">
        <v>2575</v>
      </c>
      <c r="J528" t="s">
        <v>3567</v>
      </c>
      <c r="K528" s="1">
        <v>45080</v>
      </c>
      <c r="L528">
        <f>YEAR(Customer_Data[[#This Row],[LastPurchaseDate]])</f>
        <v>2024</v>
      </c>
      <c r="M528">
        <f>MONTH(Customer_Data[[#This Row],[LastPurchaseDate]])</f>
        <v>2</v>
      </c>
      <c r="N528" s="7">
        <v>45350</v>
      </c>
      <c r="O528">
        <v>29</v>
      </c>
      <c r="P528" s="4">
        <v>3824.58</v>
      </c>
      <c r="Q528" t="s">
        <v>4034</v>
      </c>
      <c r="R528">
        <v>4</v>
      </c>
      <c r="S528">
        <v>131.88</v>
      </c>
    </row>
    <row r="529" spans="1:19" x14ac:dyDescent="0.25">
      <c r="A529">
        <v>533</v>
      </c>
      <c r="B529" t="s">
        <v>96</v>
      </c>
      <c r="C529" t="s">
        <v>604</v>
      </c>
      <c r="D529" t="s">
        <v>850</v>
      </c>
      <c r="E529">
        <v>42</v>
      </c>
      <c r="F529" t="str" cm="1">
        <f t="array" ref="F529">INDEX(Country!$B$3:$B$250, MATCH(TRUE, ISNUMBER(SEARCH(Country!$A$2:$A$509, Customer_Data[[#This Row],[Country]])),0 ))</f>
        <v>Europe</v>
      </c>
      <c r="G529" t="s">
        <v>1064</v>
      </c>
      <c r="H529" t="s">
        <v>1601</v>
      </c>
      <c r="I529" t="s">
        <v>2576</v>
      </c>
      <c r="J529" t="s">
        <v>3568</v>
      </c>
      <c r="K529" s="1">
        <v>45331</v>
      </c>
      <c r="L529">
        <f>YEAR(Customer_Data[[#This Row],[LastPurchaseDate]])</f>
        <v>2025</v>
      </c>
      <c r="M529">
        <f>MONTH(Customer_Data[[#This Row],[LastPurchaseDate]])</f>
        <v>10</v>
      </c>
      <c r="N529" s="7">
        <v>45950</v>
      </c>
      <c r="O529">
        <v>10</v>
      </c>
      <c r="P529" s="4">
        <v>7166.86</v>
      </c>
      <c r="Q529" t="s">
        <v>4035</v>
      </c>
      <c r="R529">
        <v>1</v>
      </c>
      <c r="S529">
        <v>716.69</v>
      </c>
    </row>
    <row r="530" spans="1:19" x14ac:dyDescent="0.25">
      <c r="A530">
        <v>534</v>
      </c>
      <c r="B530" t="s">
        <v>188</v>
      </c>
      <c r="C530" t="s">
        <v>675</v>
      </c>
      <c r="D530" t="s">
        <v>850</v>
      </c>
      <c r="E530">
        <v>32</v>
      </c>
      <c r="F530" t="str" cm="1">
        <f t="array" ref="F530">INDEX(Country!$B$3:$B$250, MATCH(TRUE, ISNUMBER(SEARCH(Country!$A$2:$A$509, Customer_Data[[#This Row],[Country]])),0 ))</f>
        <v>Asia</v>
      </c>
      <c r="G530" t="s">
        <v>861</v>
      </c>
      <c r="H530" t="s">
        <v>1602</v>
      </c>
      <c r="I530" t="s">
        <v>2577</v>
      </c>
      <c r="J530" t="s">
        <v>3569</v>
      </c>
      <c r="K530" s="1">
        <v>44931</v>
      </c>
      <c r="L530">
        <f>YEAR(Customer_Data[[#This Row],[LastPurchaseDate]])</f>
        <v>2024</v>
      </c>
      <c r="M530">
        <f>MONTH(Customer_Data[[#This Row],[LastPurchaseDate]])</f>
        <v>11</v>
      </c>
      <c r="N530" s="7">
        <v>45619</v>
      </c>
      <c r="O530">
        <v>42</v>
      </c>
      <c r="P530" s="4">
        <v>9004.9500000000007</v>
      </c>
      <c r="Q530" t="s">
        <v>4034</v>
      </c>
      <c r="R530">
        <v>4</v>
      </c>
      <c r="S530">
        <v>214.4</v>
      </c>
    </row>
    <row r="531" spans="1:19" x14ac:dyDescent="0.25">
      <c r="A531">
        <v>535</v>
      </c>
      <c r="B531" t="s">
        <v>179</v>
      </c>
      <c r="C531" t="s">
        <v>676</v>
      </c>
      <c r="D531" t="s">
        <v>851</v>
      </c>
      <c r="E531">
        <v>18</v>
      </c>
      <c r="F531" t="str" cm="1">
        <f t="array" ref="F531">INDEX(Country!$B$3:$B$250, MATCH(TRUE, ISNUMBER(SEARCH(Country!$A$2:$A$509, Customer_Data[[#This Row],[Country]])),0 ))</f>
        <v>Africa</v>
      </c>
      <c r="G531" t="s">
        <v>1008</v>
      </c>
      <c r="H531" t="s">
        <v>1603</v>
      </c>
      <c r="I531" t="s">
        <v>2578</v>
      </c>
      <c r="J531" t="s">
        <v>3570</v>
      </c>
      <c r="K531" s="1">
        <v>45454</v>
      </c>
      <c r="L531">
        <f>YEAR(Customer_Data[[#This Row],[LastPurchaseDate]])</f>
        <v>2024</v>
      </c>
      <c r="M531">
        <f>MONTH(Customer_Data[[#This Row],[LastPurchaseDate]])</f>
        <v>7</v>
      </c>
      <c r="N531" s="7">
        <v>45489</v>
      </c>
      <c r="O531">
        <v>4</v>
      </c>
      <c r="P531" s="4">
        <v>6418.51</v>
      </c>
      <c r="Q531" t="s">
        <v>4035</v>
      </c>
      <c r="R531">
        <v>3</v>
      </c>
      <c r="S531">
        <v>1604.63</v>
      </c>
    </row>
    <row r="532" spans="1:19" x14ac:dyDescent="0.25">
      <c r="A532">
        <v>536</v>
      </c>
      <c r="B532" t="s">
        <v>269</v>
      </c>
      <c r="C532" t="s">
        <v>482</v>
      </c>
      <c r="D532" t="s">
        <v>850</v>
      </c>
      <c r="E532">
        <v>45</v>
      </c>
      <c r="F532" t="str" cm="1">
        <f t="array" ref="F532">INDEX(Country!$B$3:$B$250, MATCH(TRUE, ISNUMBER(SEARCH(Country!$A$2:$A$509, Customer_Data[[#This Row],[Country]])),0 ))</f>
        <v>Oceania</v>
      </c>
      <c r="G532" t="s">
        <v>983</v>
      </c>
      <c r="H532" t="s">
        <v>1604</v>
      </c>
      <c r="I532" t="s">
        <v>2579</v>
      </c>
      <c r="J532" t="s">
        <v>3571</v>
      </c>
      <c r="K532" s="1">
        <v>44980</v>
      </c>
      <c r="L532">
        <f>YEAR(Customer_Data[[#This Row],[LastPurchaseDate]])</f>
        <v>2024</v>
      </c>
      <c r="M532">
        <f>MONTH(Customer_Data[[#This Row],[LastPurchaseDate]])</f>
        <v>3</v>
      </c>
      <c r="N532" s="7">
        <v>45355</v>
      </c>
      <c r="O532">
        <v>25</v>
      </c>
      <c r="P532" s="4">
        <v>707.9</v>
      </c>
      <c r="Q532" t="s">
        <v>4034</v>
      </c>
      <c r="R532">
        <v>1</v>
      </c>
      <c r="S532">
        <v>28.32</v>
      </c>
    </row>
    <row r="533" spans="1:19" x14ac:dyDescent="0.25">
      <c r="A533">
        <v>537</v>
      </c>
      <c r="B533" t="s">
        <v>227</v>
      </c>
      <c r="C533" t="s">
        <v>555</v>
      </c>
      <c r="D533" t="s">
        <v>850</v>
      </c>
      <c r="E533">
        <v>68</v>
      </c>
      <c r="F533" t="str" cm="1">
        <f t="array" ref="F533">INDEX(Country!$B$3:$B$250, MATCH(TRUE, ISNUMBER(SEARCH(Country!$A$2:$A$509, Customer_Data[[#This Row],[Country]])),0 ))</f>
        <v>Oceania</v>
      </c>
      <c r="G533" t="s">
        <v>918</v>
      </c>
      <c r="H533" t="s">
        <v>1605</v>
      </c>
      <c r="I533" t="s">
        <v>2580</v>
      </c>
      <c r="J533" t="s">
        <v>3572</v>
      </c>
      <c r="K533" s="1">
        <v>45166</v>
      </c>
      <c r="L533">
        <f>YEAR(Customer_Data[[#This Row],[LastPurchaseDate]])</f>
        <v>2025</v>
      </c>
      <c r="M533">
        <f>MONTH(Customer_Data[[#This Row],[LastPurchaseDate]])</f>
        <v>9</v>
      </c>
      <c r="N533" s="7">
        <v>45909</v>
      </c>
      <c r="O533">
        <v>28</v>
      </c>
      <c r="P533" s="4">
        <v>7421.22</v>
      </c>
      <c r="Q533" t="s">
        <v>4035</v>
      </c>
      <c r="R533">
        <v>3</v>
      </c>
      <c r="S533">
        <v>265.04000000000002</v>
      </c>
    </row>
    <row r="534" spans="1:19" x14ac:dyDescent="0.25">
      <c r="A534">
        <v>538</v>
      </c>
      <c r="B534" t="s">
        <v>270</v>
      </c>
      <c r="C534" t="s">
        <v>677</v>
      </c>
      <c r="D534" t="s">
        <v>850</v>
      </c>
      <c r="E534">
        <v>42</v>
      </c>
      <c r="F534" t="str" cm="1">
        <f t="array" ref="F534">INDEX(Country!$B$3:$B$250, MATCH(TRUE, ISNUMBER(SEARCH(Country!$A$2:$A$509, Customer_Data[[#This Row],[Country]])),0 ))</f>
        <v>South America</v>
      </c>
      <c r="G534" t="s">
        <v>873</v>
      </c>
      <c r="H534" t="s">
        <v>1606</v>
      </c>
      <c r="I534" t="s">
        <v>2581</v>
      </c>
      <c r="J534" t="s">
        <v>3573</v>
      </c>
      <c r="K534" s="1">
        <v>45456</v>
      </c>
      <c r="L534">
        <f>YEAR(Customer_Data[[#This Row],[LastPurchaseDate]])</f>
        <v>2024</v>
      </c>
      <c r="M534">
        <f>MONTH(Customer_Data[[#This Row],[LastPurchaseDate]])</f>
        <v>9</v>
      </c>
      <c r="N534" s="7">
        <v>45549</v>
      </c>
      <c r="O534">
        <v>49</v>
      </c>
      <c r="P534" s="4">
        <v>2944.84</v>
      </c>
      <c r="Q534" t="s">
        <v>4035</v>
      </c>
      <c r="R534">
        <v>5</v>
      </c>
      <c r="S534">
        <v>60.1</v>
      </c>
    </row>
    <row r="535" spans="1:19" x14ac:dyDescent="0.25">
      <c r="A535">
        <v>539</v>
      </c>
      <c r="B535" t="s">
        <v>271</v>
      </c>
      <c r="C535" t="s">
        <v>581</v>
      </c>
      <c r="D535" t="s">
        <v>851</v>
      </c>
      <c r="E535">
        <v>59</v>
      </c>
      <c r="F535" t="str" cm="1">
        <f t="array" ref="F535">INDEX(Country!$B$3:$B$250, MATCH(TRUE, ISNUMBER(SEARCH(Country!$A$2:$A$509, Customer_Data[[#This Row],[Country]])),0 ))</f>
        <v>Europe</v>
      </c>
      <c r="G535" t="s">
        <v>1065</v>
      </c>
      <c r="H535" t="s">
        <v>1607</v>
      </c>
      <c r="I535" t="s">
        <v>2582</v>
      </c>
      <c r="J535" t="s">
        <v>3574</v>
      </c>
      <c r="K535" s="1">
        <v>45468</v>
      </c>
      <c r="L535">
        <f>YEAR(Customer_Data[[#This Row],[LastPurchaseDate]])</f>
        <v>2024</v>
      </c>
      <c r="M535">
        <f>MONTH(Customer_Data[[#This Row],[LastPurchaseDate]])</f>
        <v>12</v>
      </c>
      <c r="N535" s="7">
        <v>45645</v>
      </c>
      <c r="O535">
        <v>21</v>
      </c>
      <c r="P535" s="4">
        <v>9858.11</v>
      </c>
      <c r="Q535" t="s">
        <v>4034</v>
      </c>
      <c r="R535">
        <v>4</v>
      </c>
      <c r="S535">
        <v>469.43</v>
      </c>
    </row>
    <row r="536" spans="1:19" x14ac:dyDescent="0.25">
      <c r="A536">
        <v>540</v>
      </c>
      <c r="B536" t="s">
        <v>272</v>
      </c>
      <c r="C536" t="s">
        <v>583</v>
      </c>
      <c r="D536" t="s">
        <v>850</v>
      </c>
      <c r="E536">
        <v>37</v>
      </c>
      <c r="F536" t="str" cm="1">
        <f t="array" ref="F536">INDEX(Country!$B$3:$B$250, MATCH(TRUE, ISNUMBER(SEARCH(Country!$A$2:$A$509, Customer_Data[[#This Row],[Country]])),0 ))</f>
        <v>Africa</v>
      </c>
      <c r="G536" t="s">
        <v>1016</v>
      </c>
      <c r="H536" t="s">
        <v>1608</v>
      </c>
      <c r="I536" t="s">
        <v>2583</v>
      </c>
      <c r="J536" t="s">
        <v>3575</v>
      </c>
      <c r="K536" s="1">
        <v>45732</v>
      </c>
      <c r="L536">
        <f>YEAR(Customer_Data[[#This Row],[LastPurchaseDate]])</f>
        <v>2024</v>
      </c>
      <c r="M536">
        <f>MONTH(Customer_Data[[#This Row],[LastPurchaseDate]])</f>
        <v>4</v>
      </c>
      <c r="N536" s="7">
        <v>45387</v>
      </c>
      <c r="O536">
        <v>15</v>
      </c>
      <c r="P536" s="4">
        <v>6990.91</v>
      </c>
      <c r="Q536" t="s">
        <v>4035</v>
      </c>
      <c r="R536">
        <v>3</v>
      </c>
      <c r="S536">
        <v>466.06</v>
      </c>
    </row>
    <row r="537" spans="1:19" x14ac:dyDescent="0.25">
      <c r="A537">
        <v>541</v>
      </c>
      <c r="B537" t="s">
        <v>273</v>
      </c>
      <c r="C537" t="s">
        <v>521</v>
      </c>
      <c r="D537" t="s">
        <v>851</v>
      </c>
      <c r="E537">
        <v>50</v>
      </c>
      <c r="F537" t="str" cm="1">
        <f t="array" ref="F537">INDEX(Country!$B$3:$B$250, MATCH(TRUE, ISNUMBER(SEARCH(Country!$A$2:$A$509, Customer_Data[[#This Row],[Country]])),0 ))</f>
        <v>Africa</v>
      </c>
      <c r="G537" t="s">
        <v>856</v>
      </c>
      <c r="H537" t="s">
        <v>1609</v>
      </c>
      <c r="I537" t="s">
        <v>2584</v>
      </c>
      <c r="J537" t="s">
        <v>3576</v>
      </c>
      <c r="K537" s="1">
        <v>45344</v>
      </c>
      <c r="L537">
        <f>YEAR(Customer_Data[[#This Row],[LastPurchaseDate]])</f>
        <v>2025</v>
      </c>
      <c r="M537">
        <f>MONTH(Customer_Data[[#This Row],[LastPurchaseDate]])</f>
        <v>9</v>
      </c>
      <c r="N537" s="7">
        <v>45904</v>
      </c>
      <c r="O537">
        <v>13</v>
      </c>
      <c r="P537" s="4">
        <v>6315.88</v>
      </c>
      <c r="Q537" t="s">
        <v>4034</v>
      </c>
      <c r="R537">
        <v>4</v>
      </c>
      <c r="S537">
        <v>485.84</v>
      </c>
    </row>
    <row r="538" spans="1:19" x14ac:dyDescent="0.25">
      <c r="A538">
        <v>542</v>
      </c>
      <c r="B538" t="s">
        <v>274</v>
      </c>
      <c r="C538" t="s">
        <v>496</v>
      </c>
      <c r="D538" t="s">
        <v>851</v>
      </c>
      <c r="E538">
        <v>18</v>
      </c>
      <c r="F538" t="str" cm="1">
        <f t="array" ref="F538">INDEX(Country!$B$3:$B$250, MATCH(TRUE, ISNUMBER(SEARCH(Country!$A$2:$A$509, Customer_Data[[#This Row],[Country]])),0 ))</f>
        <v>South America</v>
      </c>
      <c r="G538" t="s">
        <v>891</v>
      </c>
      <c r="H538" t="s">
        <v>1610</v>
      </c>
      <c r="I538" t="s">
        <v>2585</v>
      </c>
      <c r="J538" t="s">
        <v>3577</v>
      </c>
      <c r="K538" s="1">
        <v>45133</v>
      </c>
      <c r="L538">
        <f>YEAR(Customer_Data[[#This Row],[LastPurchaseDate]])</f>
        <v>2025</v>
      </c>
      <c r="M538">
        <f>MONTH(Customer_Data[[#This Row],[LastPurchaseDate]])</f>
        <v>1</v>
      </c>
      <c r="N538" s="7">
        <v>45666</v>
      </c>
      <c r="O538">
        <v>22</v>
      </c>
      <c r="P538" s="4">
        <v>2602.61</v>
      </c>
      <c r="Q538" t="s">
        <v>4034</v>
      </c>
      <c r="R538">
        <v>3</v>
      </c>
      <c r="S538">
        <v>118.3</v>
      </c>
    </row>
    <row r="539" spans="1:19" x14ac:dyDescent="0.25">
      <c r="A539">
        <v>543</v>
      </c>
      <c r="B539" t="s">
        <v>55</v>
      </c>
      <c r="C539" t="s">
        <v>375</v>
      </c>
      <c r="D539" t="s">
        <v>850</v>
      </c>
      <c r="E539">
        <v>62</v>
      </c>
      <c r="F539" t="str" cm="1">
        <f t="array" ref="F539">INDEX(Country!$B$3:$B$250, MATCH(TRUE, ISNUMBER(SEARCH(Country!$A$2:$A$509, Customer_Data[[#This Row],[Country]])),0 ))</f>
        <v>Asia</v>
      </c>
      <c r="G539" t="s">
        <v>909</v>
      </c>
      <c r="H539" t="s">
        <v>1611</v>
      </c>
      <c r="I539" t="s">
        <v>2586</v>
      </c>
      <c r="J539" t="s">
        <v>3578</v>
      </c>
      <c r="K539" s="1">
        <v>45607</v>
      </c>
      <c r="L539">
        <f>YEAR(Customer_Data[[#This Row],[LastPurchaseDate]])</f>
        <v>2025</v>
      </c>
      <c r="M539">
        <f>MONTH(Customer_Data[[#This Row],[LastPurchaseDate]])</f>
        <v>7</v>
      </c>
      <c r="N539" s="7">
        <v>45853</v>
      </c>
      <c r="O539">
        <v>49</v>
      </c>
      <c r="P539" s="4">
        <v>2954.9</v>
      </c>
      <c r="Q539" t="s">
        <v>4035</v>
      </c>
      <c r="R539">
        <v>3</v>
      </c>
      <c r="S539">
        <v>60.3</v>
      </c>
    </row>
    <row r="540" spans="1:19" x14ac:dyDescent="0.25">
      <c r="A540">
        <v>544</v>
      </c>
      <c r="B540" t="s">
        <v>33</v>
      </c>
      <c r="C540" t="s">
        <v>571</v>
      </c>
      <c r="D540" t="s">
        <v>851</v>
      </c>
      <c r="E540">
        <v>41</v>
      </c>
      <c r="F540" t="str" cm="1">
        <f t="array" ref="F540">INDEX(Country!$B$3:$B$250, MATCH(TRUE, ISNUMBER(SEARCH(Country!$A$2:$A$509, Customer_Data[[#This Row],[Country]])),0 ))</f>
        <v>Asia</v>
      </c>
      <c r="G540" t="s">
        <v>1066</v>
      </c>
      <c r="H540" t="s">
        <v>1593</v>
      </c>
      <c r="I540" t="s">
        <v>2587</v>
      </c>
      <c r="J540" t="s">
        <v>3579</v>
      </c>
      <c r="K540" s="1">
        <v>45209</v>
      </c>
      <c r="L540">
        <f>YEAR(Customer_Data[[#This Row],[LastPurchaseDate]])</f>
        <v>2024</v>
      </c>
      <c r="M540">
        <f>MONTH(Customer_Data[[#This Row],[LastPurchaseDate]])</f>
        <v>6</v>
      </c>
      <c r="N540" s="7">
        <v>45456</v>
      </c>
      <c r="O540">
        <v>11</v>
      </c>
      <c r="P540" s="4">
        <v>1305.68</v>
      </c>
      <c r="Q540" t="s">
        <v>4035</v>
      </c>
      <c r="R540">
        <v>2</v>
      </c>
      <c r="S540">
        <v>118.7</v>
      </c>
    </row>
    <row r="541" spans="1:19" x14ac:dyDescent="0.25">
      <c r="A541">
        <v>545</v>
      </c>
      <c r="B541" t="s">
        <v>275</v>
      </c>
      <c r="C541" t="s">
        <v>446</v>
      </c>
      <c r="D541" t="s">
        <v>850</v>
      </c>
      <c r="E541">
        <v>51</v>
      </c>
      <c r="F541" t="str" cm="1">
        <f t="array" ref="F541">INDEX(Country!$B$3:$B$250, MATCH(TRUE, ISNUMBER(SEARCH(Country!$A$2:$A$509, Customer_Data[[#This Row],[Country]])),0 ))</f>
        <v>Europe</v>
      </c>
      <c r="G541" t="s">
        <v>896</v>
      </c>
      <c r="H541" t="s">
        <v>1612</v>
      </c>
      <c r="I541" t="s">
        <v>2588</v>
      </c>
      <c r="J541" t="s">
        <v>3580</v>
      </c>
      <c r="K541" s="1">
        <v>45073</v>
      </c>
      <c r="L541">
        <f>YEAR(Customer_Data[[#This Row],[LastPurchaseDate]])</f>
        <v>2024</v>
      </c>
      <c r="M541">
        <f>MONTH(Customer_Data[[#This Row],[LastPurchaseDate]])</f>
        <v>9</v>
      </c>
      <c r="N541" s="7">
        <v>45544</v>
      </c>
      <c r="O541">
        <v>4</v>
      </c>
      <c r="P541" s="4">
        <v>944.83</v>
      </c>
      <c r="Q541" t="s">
        <v>4035</v>
      </c>
      <c r="R541">
        <v>3</v>
      </c>
      <c r="S541">
        <v>236.21</v>
      </c>
    </row>
    <row r="542" spans="1:19" x14ac:dyDescent="0.25">
      <c r="A542">
        <v>546</v>
      </c>
      <c r="B542" t="s">
        <v>276</v>
      </c>
      <c r="C542" t="s">
        <v>396</v>
      </c>
      <c r="D542" t="s">
        <v>850</v>
      </c>
      <c r="E542">
        <v>36</v>
      </c>
      <c r="F542" t="str" cm="1">
        <f t="array" ref="F542">INDEX(Country!$B$3:$B$250, MATCH(TRUE, ISNUMBER(SEARCH(Country!$A$2:$A$509, Customer_Data[[#This Row],[Country]])),0 ))</f>
        <v>Europe</v>
      </c>
      <c r="G542" t="s">
        <v>1031</v>
      </c>
      <c r="H542" t="s">
        <v>1613</v>
      </c>
      <c r="I542" t="s">
        <v>2589</v>
      </c>
      <c r="J542" t="s">
        <v>3581</v>
      </c>
      <c r="K542" s="1">
        <v>45598</v>
      </c>
      <c r="L542">
        <f>YEAR(Customer_Data[[#This Row],[LastPurchaseDate]])</f>
        <v>2025</v>
      </c>
      <c r="M542">
        <f>MONTH(Customer_Data[[#This Row],[LastPurchaseDate]])</f>
        <v>6</v>
      </c>
      <c r="N542" s="7">
        <v>45816</v>
      </c>
      <c r="O542">
        <v>14</v>
      </c>
      <c r="P542" s="4">
        <v>1862.42</v>
      </c>
      <c r="Q542" t="s">
        <v>4034</v>
      </c>
      <c r="R542">
        <v>4</v>
      </c>
      <c r="S542">
        <v>133.03</v>
      </c>
    </row>
    <row r="543" spans="1:19" x14ac:dyDescent="0.25">
      <c r="A543">
        <v>547</v>
      </c>
      <c r="B543" t="s">
        <v>27</v>
      </c>
      <c r="C543" t="s">
        <v>678</v>
      </c>
      <c r="D543" t="s">
        <v>850</v>
      </c>
      <c r="E543">
        <v>69</v>
      </c>
      <c r="F543" t="str" cm="1">
        <f t="array" ref="F543">INDEX(Country!$B$3:$B$250, MATCH(TRUE, ISNUMBER(SEARCH(Country!$A$2:$A$509, Customer_Data[[#This Row],[Country]])),0 ))</f>
        <v>Asia</v>
      </c>
      <c r="G543" t="s">
        <v>924</v>
      </c>
      <c r="H543" t="s">
        <v>1614</v>
      </c>
      <c r="I543" t="s">
        <v>2590</v>
      </c>
      <c r="J543" t="s">
        <v>3582</v>
      </c>
      <c r="K543" s="1">
        <v>45524</v>
      </c>
      <c r="L543">
        <f>YEAR(Customer_Data[[#This Row],[LastPurchaseDate]])</f>
        <v>2024</v>
      </c>
      <c r="M543">
        <f>MONTH(Customer_Data[[#This Row],[LastPurchaseDate]])</f>
        <v>7</v>
      </c>
      <c r="N543" s="7">
        <v>45497</v>
      </c>
      <c r="O543">
        <v>13</v>
      </c>
      <c r="P543" s="4">
        <v>4212.45</v>
      </c>
      <c r="Q543" t="s">
        <v>4035</v>
      </c>
      <c r="R543">
        <v>5</v>
      </c>
      <c r="S543">
        <v>324.02999999999997</v>
      </c>
    </row>
    <row r="544" spans="1:19" x14ac:dyDescent="0.25">
      <c r="A544">
        <v>548</v>
      </c>
      <c r="B544" t="s">
        <v>277</v>
      </c>
      <c r="C544" t="s">
        <v>604</v>
      </c>
      <c r="D544" t="s">
        <v>851</v>
      </c>
      <c r="E544">
        <v>72</v>
      </c>
      <c r="F544" t="str" cm="1">
        <f t="array" ref="F544">INDEX(Country!$B$3:$B$250, MATCH(TRUE, ISNUMBER(SEARCH(Country!$A$2:$A$509, Customer_Data[[#This Row],[Country]])),0 ))</f>
        <v>Asia</v>
      </c>
      <c r="G544" t="s">
        <v>1053</v>
      </c>
      <c r="H544" t="s">
        <v>1615</v>
      </c>
      <c r="I544" t="s">
        <v>2591</v>
      </c>
      <c r="J544" t="s">
        <v>3583</v>
      </c>
      <c r="K544" s="1">
        <v>45960</v>
      </c>
      <c r="L544">
        <f>YEAR(Customer_Data[[#This Row],[LastPurchaseDate]])</f>
        <v>2024</v>
      </c>
      <c r="M544">
        <f>MONTH(Customer_Data[[#This Row],[LastPurchaseDate]])</f>
        <v>9</v>
      </c>
      <c r="N544" s="7">
        <v>45561</v>
      </c>
      <c r="O544">
        <v>14</v>
      </c>
      <c r="P544" s="4">
        <v>4311.9399999999996</v>
      </c>
      <c r="Q544" t="s">
        <v>4034</v>
      </c>
      <c r="R544">
        <v>4</v>
      </c>
      <c r="S544">
        <v>308</v>
      </c>
    </row>
    <row r="545" spans="1:19" x14ac:dyDescent="0.25">
      <c r="A545">
        <v>549</v>
      </c>
      <c r="B545" t="s">
        <v>121</v>
      </c>
      <c r="C545" t="s">
        <v>466</v>
      </c>
      <c r="D545" t="s">
        <v>851</v>
      </c>
      <c r="E545">
        <v>44</v>
      </c>
      <c r="F545" t="str" cm="1">
        <f t="array" ref="F545">INDEX(Country!$B$3:$B$250, MATCH(TRUE, ISNUMBER(SEARCH(Country!$A$2:$A$509, Customer_Data[[#This Row],[Country]])),0 ))</f>
        <v>Asia</v>
      </c>
      <c r="G545" t="s">
        <v>894</v>
      </c>
      <c r="H545" t="s">
        <v>1616</v>
      </c>
      <c r="I545" t="s">
        <v>2592</v>
      </c>
      <c r="J545" t="s">
        <v>3584</v>
      </c>
      <c r="K545" s="1">
        <v>44903</v>
      </c>
      <c r="L545">
        <f>YEAR(Customer_Data[[#This Row],[LastPurchaseDate]])</f>
        <v>2024</v>
      </c>
      <c r="M545">
        <f>MONTH(Customer_Data[[#This Row],[LastPurchaseDate]])</f>
        <v>10</v>
      </c>
      <c r="N545" s="7">
        <v>45567</v>
      </c>
      <c r="O545">
        <v>45</v>
      </c>
      <c r="P545" s="4">
        <v>6019.23</v>
      </c>
      <c r="Q545" t="s">
        <v>4035</v>
      </c>
      <c r="R545">
        <v>2</v>
      </c>
      <c r="S545">
        <v>133.76</v>
      </c>
    </row>
    <row r="546" spans="1:19" x14ac:dyDescent="0.25">
      <c r="A546">
        <v>550</v>
      </c>
      <c r="B546" t="s">
        <v>93</v>
      </c>
      <c r="C546" t="s">
        <v>679</v>
      </c>
      <c r="D546" t="s">
        <v>851</v>
      </c>
      <c r="E546">
        <v>24</v>
      </c>
      <c r="F546" t="str" cm="1">
        <f t="array" ref="F546">INDEX(Country!$B$3:$B$250, MATCH(TRUE, ISNUMBER(SEARCH(Country!$A$2:$A$509, Customer_Data[[#This Row],[Country]])),0 ))</f>
        <v>Africa</v>
      </c>
      <c r="G546" t="s">
        <v>1016</v>
      </c>
      <c r="H546" t="s">
        <v>1617</v>
      </c>
      <c r="I546" t="s">
        <v>2593</v>
      </c>
      <c r="J546" t="s">
        <v>3585</v>
      </c>
      <c r="K546" s="1">
        <v>44930</v>
      </c>
      <c r="L546">
        <f>YEAR(Customer_Data[[#This Row],[LastPurchaseDate]])</f>
        <v>2024</v>
      </c>
      <c r="M546">
        <f>MONTH(Customer_Data[[#This Row],[LastPurchaseDate]])</f>
        <v>4</v>
      </c>
      <c r="N546" s="7">
        <v>45397</v>
      </c>
      <c r="O546">
        <v>33</v>
      </c>
      <c r="P546" s="4">
        <v>5652.51</v>
      </c>
      <c r="Q546" t="s">
        <v>4034</v>
      </c>
      <c r="R546">
        <v>1</v>
      </c>
      <c r="S546">
        <v>171.29</v>
      </c>
    </row>
    <row r="547" spans="1:19" x14ac:dyDescent="0.25">
      <c r="A547">
        <v>551</v>
      </c>
      <c r="B547" t="s">
        <v>37</v>
      </c>
      <c r="C547" t="s">
        <v>680</v>
      </c>
      <c r="D547" t="s">
        <v>850</v>
      </c>
      <c r="E547">
        <v>65</v>
      </c>
      <c r="F547" t="str" cm="1">
        <f t="array" ref="F547">INDEX(Country!$B$3:$B$250, MATCH(TRUE, ISNUMBER(SEARCH(Country!$A$2:$A$509, Customer_Data[[#This Row],[Country]])),0 ))</f>
        <v>North America</v>
      </c>
      <c r="G547" t="s">
        <v>920</v>
      </c>
      <c r="H547" t="s">
        <v>1618</v>
      </c>
      <c r="I547" t="s">
        <v>2594</v>
      </c>
      <c r="J547" t="s">
        <v>3586</v>
      </c>
      <c r="K547" s="1">
        <v>45772</v>
      </c>
      <c r="L547">
        <f>YEAR(Customer_Data[[#This Row],[LastPurchaseDate]])</f>
        <v>2023</v>
      </c>
      <c r="M547">
        <f>MONTH(Customer_Data[[#This Row],[LastPurchaseDate]])</f>
        <v>12</v>
      </c>
      <c r="N547" s="7">
        <v>45279</v>
      </c>
      <c r="O547">
        <v>44</v>
      </c>
      <c r="P547" s="4">
        <v>4605.62</v>
      </c>
      <c r="Q547" t="s">
        <v>4034</v>
      </c>
      <c r="R547">
        <v>5</v>
      </c>
      <c r="S547">
        <v>104.67</v>
      </c>
    </row>
    <row r="548" spans="1:19" x14ac:dyDescent="0.25">
      <c r="A548">
        <v>552</v>
      </c>
      <c r="B548" t="s">
        <v>91</v>
      </c>
      <c r="C548" t="s">
        <v>681</v>
      </c>
      <c r="D548" t="s">
        <v>850</v>
      </c>
      <c r="E548">
        <v>33</v>
      </c>
      <c r="F548" t="str" cm="1">
        <f t="array" ref="F548">INDEX(Country!$B$3:$B$250, MATCH(TRUE, ISNUMBER(SEARCH(Country!$A$2:$A$509, Customer_Data[[#This Row],[Country]])),0 ))</f>
        <v>Europe</v>
      </c>
      <c r="G548" t="s">
        <v>871</v>
      </c>
      <c r="H548" t="s">
        <v>1619</v>
      </c>
      <c r="I548" t="s">
        <v>2595</v>
      </c>
      <c r="J548" t="s">
        <v>3587</v>
      </c>
      <c r="K548" s="1">
        <v>45709</v>
      </c>
      <c r="L548">
        <f>YEAR(Customer_Data[[#This Row],[LastPurchaseDate]])</f>
        <v>2023</v>
      </c>
      <c r="M548">
        <f>MONTH(Customer_Data[[#This Row],[LastPurchaseDate]])</f>
        <v>11</v>
      </c>
      <c r="N548" s="7">
        <v>45246</v>
      </c>
      <c r="O548">
        <v>32</v>
      </c>
      <c r="P548" s="4">
        <v>6944</v>
      </c>
      <c r="Q548" t="s">
        <v>4035</v>
      </c>
      <c r="R548">
        <v>4</v>
      </c>
      <c r="S548">
        <v>217</v>
      </c>
    </row>
    <row r="549" spans="1:19" x14ac:dyDescent="0.25">
      <c r="A549">
        <v>553</v>
      </c>
      <c r="B549" t="s">
        <v>278</v>
      </c>
      <c r="C549" t="s">
        <v>682</v>
      </c>
      <c r="D549" t="s">
        <v>851</v>
      </c>
      <c r="E549">
        <v>18</v>
      </c>
      <c r="F549" t="str" cm="1">
        <f t="array" ref="F549">INDEX(Country!$B$3:$B$250, MATCH(TRUE, ISNUMBER(SEARCH(Country!$A$2:$A$509, Customer_Data[[#This Row],[Country]])),0 ))</f>
        <v>Africa</v>
      </c>
      <c r="G549" t="s">
        <v>868</v>
      </c>
      <c r="H549" t="s">
        <v>1620</v>
      </c>
      <c r="I549" t="s">
        <v>2596</v>
      </c>
      <c r="J549" t="s">
        <v>3588</v>
      </c>
      <c r="K549" s="1">
        <v>45329</v>
      </c>
      <c r="L549">
        <f>YEAR(Customer_Data[[#This Row],[LastPurchaseDate]])</f>
        <v>2025</v>
      </c>
      <c r="M549">
        <f>MONTH(Customer_Data[[#This Row],[LastPurchaseDate]])</f>
        <v>8</v>
      </c>
      <c r="N549" s="7">
        <v>45877</v>
      </c>
      <c r="O549">
        <v>29</v>
      </c>
      <c r="P549" s="4">
        <v>6605.49</v>
      </c>
      <c r="Q549" t="s">
        <v>4034</v>
      </c>
      <c r="R549">
        <v>5</v>
      </c>
      <c r="S549">
        <v>227.78</v>
      </c>
    </row>
    <row r="550" spans="1:19" x14ac:dyDescent="0.25">
      <c r="A550">
        <v>554</v>
      </c>
      <c r="B550" t="s">
        <v>236</v>
      </c>
      <c r="C550" t="s">
        <v>632</v>
      </c>
      <c r="D550" t="s">
        <v>850</v>
      </c>
      <c r="E550">
        <v>31</v>
      </c>
      <c r="F550" t="str" cm="1">
        <f t="array" ref="F550">INDEX(Country!$B$3:$B$250, MATCH(TRUE, ISNUMBER(SEARCH(Country!$A$2:$A$509, Customer_Data[[#This Row],[Country]])),0 ))</f>
        <v>Asia</v>
      </c>
      <c r="G550" t="s">
        <v>1067</v>
      </c>
      <c r="H550" t="s">
        <v>1621</v>
      </c>
      <c r="I550" t="s">
        <v>2597</v>
      </c>
      <c r="J550" t="s">
        <v>3589</v>
      </c>
      <c r="K550" s="1">
        <v>45455</v>
      </c>
      <c r="L550">
        <f>YEAR(Customer_Data[[#This Row],[LastPurchaseDate]])</f>
        <v>2025</v>
      </c>
      <c r="M550">
        <f>MONTH(Customer_Data[[#This Row],[LastPurchaseDate]])</f>
        <v>4</v>
      </c>
      <c r="N550" s="7">
        <v>45771</v>
      </c>
      <c r="O550">
        <v>33</v>
      </c>
      <c r="P550" s="4">
        <v>709.46</v>
      </c>
      <c r="Q550" t="s">
        <v>4035</v>
      </c>
      <c r="R550">
        <v>2</v>
      </c>
      <c r="S550">
        <v>21.5</v>
      </c>
    </row>
    <row r="551" spans="1:19" x14ac:dyDescent="0.25">
      <c r="A551">
        <v>555</v>
      </c>
      <c r="B551" t="s">
        <v>121</v>
      </c>
      <c r="C551" t="s">
        <v>512</v>
      </c>
      <c r="D551" t="s">
        <v>852</v>
      </c>
      <c r="E551">
        <v>39</v>
      </c>
      <c r="F551" t="str" cm="1">
        <f t="array" ref="F551">INDEX(Country!$B$3:$B$250, MATCH(TRUE, ISNUMBER(SEARCH(Country!$A$2:$A$509, Customer_Data[[#This Row],[Country]])),0 ))</f>
        <v>Asia</v>
      </c>
      <c r="G551" t="s">
        <v>968</v>
      </c>
      <c r="H551" t="s">
        <v>1622</v>
      </c>
      <c r="I551" t="s">
        <v>2598</v>
      </c>
      <c r="J551" t="s">
        <v>3590</v>
      </c>
      <c r="K551" s="1">
        <v>45181</v>
      </c>
      <c r="L551">
        <f>YEAR(Customer_Data[[#This Row],[LastPurchaseDate]])</f>
        <v>2023</v>
      </c>
      <c r="M551">
        <f>MONTH(Customer_Data[[#This Row],[LastPurchaseDate]])</f>
        <v>12</v>
      </c>
      <c r="N551" s="7">
        <v>45271</v>
      </c>
      <c r="O551">
        <v>12</v>
      </c>
      <c r="P551" s="4">
        <v>2537.63</v>
      </c>
      <c r="Q551" t="s">
        <v>4034</v>
      </c>
      <c r="R551">
        <v>4</v>
      </c>
      <c r="S551">
        <v>211.47</v>
      </c>
    </row>
    <row r="552" spans="1:19" x14ac:dyDescent="0.25">
      <c r="A552">
        <v>556</v>
      </c>
      <c r="B552" t="s">
        <v>39</v>
      </c>
      <c r="C552" t="s">
        <v>255</v>
      </c>
      <c r="D552" t="s">
        <v>850</v>
      </c>
      <c r="E552">
        <v>33</v>
      </c>
      <c r="F552" t="str" cm="1">
        <f t="array" ref="F552">INDEX(Country!$B$3:$B$250, MATCH(TRUE, ISNUMBER(SEARCH(Country!$A$2:$A$509, Customer_Data[[#This Row],[Country]])),0 ))</f>
        <v>Africa</v>
      </c>
      <c r="G552" t="s">
        <v>1068</v>
      </c>
      <c r="H552" t="s">
        <v>1623</v>
      </c>
      <c r="I552" t="s">
        <v>2599</v>
      </c>
      <c r="J552" t="s">
        <v>3591</v>
      </c>
      <c r="K552" s="1">
        <v>45600</v>
      </c>
      <c r="L552">
        <f>YEAR(Customer_Data[[#This Row],[LastPurchaseDate]])</f>
        <v>2024</v>
      </c>
      <c r="M552">
        <f>MONTH(Customer_Data[[#This Row],[LastPurchaseDate]])</f>
        <v>11</v>
      </c>
      <c r="N552" s="7">
        <v>45610</v>
      </c>
      <c r="O552">
        <v>21</v>
      </c>
      <c r="P552" s="4">
        <v>9636.1200000000008</v>
      </c>
      <c r="Q552" t="s">
        <v>4035</v>
      </c>
      <c r="R552">
        <v>2</v>
      </c>
      <c r="S552">
        <v>458.86</v>
      </c>
    </row>
    <row r="553" spans="1:19" x14ac:dyDescent="0.25">
      <c r="A553">
        <v>557</v>
      </c>
      <c r="B553" t="s">
        <v>279</v>
      </c>
      <c r="C553" t="s">
        <v>683</v>
      </c>
      <c r="D553" t="s">
        <v>850</v>
      </c>
      <c r="E553">
        <v>36</v>
      </c>
      <c r="F553" t="str" cm="1">
        <f t="array" ref="F553">INDEX(Country!$B$3:$B$250, MATCH(TRUE, ISNUMBER(SEARCH(Country!$A$2:$A$509, Customer_Data[[#This Row],[Country]])),0 ))</f>
        <v>Antarctica</v>
      </c>
      <c r="G553" t="s">
        <v>1011</v>
      </c>
      <c r="H553" t="s">
        <v>1624</v>
      </c>
      <c r="I553" t="s">
        <v>2600</v>
      </c>
      <c r="J553" t="s">
        <v>3592</v>
      </c>
      <c r="K553" s="1">
        <v>45908</v>
      </c>
      <c r="L553">
        <f>YEAR(Customer_Data[[#This Row],[LastPurchaseDate]])</f>
        <v>2024</v>
      </c>
      <c r="M553">
        <f>MONTH(Customer_Data[[#This Row],[LastPurchaseDate]])</f>
        <v>7</v>
      </c>
      <c r="N553" s="7">
        <v>45478</v>
      </c>
      <c r="O553">
        <v>44</v>
      </c>
      <c r="P553" s="4">
        <v>3963.56</v>
      </c>
      <c r="Q553" t="s">
        <v>4034</v>
      </c>
      <c r="R553">
        <v>2</v>
      </c>
      <c r="S553">
        <v>90.08</v>
      </c>
    </row>
    <row r="554" spans="1:19" x14ac:dyDescent="0.25">
      <c r="A554">
        <v>558</v>
      </c>
      <c r="B554" t="s">
        <v>55</v>
      </c>
      <c r="C554" t="s">
        <v>684</v>
      </c>
      <c r="D554" t="s">
        <v>851</v>
      </c>
      <c r="E554">
        <v>73</v>
      </c>
      <c r="F554" t="str" cm="1">
        <f t="array" ref="F554">INDEX(Country!$B$3:$B$250, MATCH(TRUE, ISNUMBER(SEARCH(Country!$A$2:$A$509, Customer_Data[[#This Row],[Country]])),0 ))</f>
        <v>North America</v>
      </c>
      <c r="G554" t="s">
        <v>1028</v>
      </c>
      <c r="H554" t="s">
        <v>1625</v>
      </c>
      <c r="I554" t="s">
        <v>2601</v>
      </c>
      <c r="J554" t="s">
        <v>3593</v>
      </c>
      <c r="K554" s="1">
        <v>45177</v>
      </c>
      <c r="L554">
        <f>YEAR(Customer_Data[[#This Row],[LastPurchaseDate]])</f>
        <v>2024</v>
      </c>
      <c r="M554">
        <f>MONTH(Customer_Data[[#This Row],[LastPurchaseDate]])</f>
        <v>3</v>
      </c>
      <c r="N554" s="7">
        <v>45356</v>
      </c>
      <c r="O554">
        <v>6</v>
      </c>
      <c r="P554" s="4">
        <v>6685.35</v>
      </c>
      <c r="Q554" t="s">
        <v>4034</v>
      </c>
      <c r="R554">
        <v>1</v>
      </c>
      <c r="S554">
        <v>1114.23</v>
      </c>
    </row>
    <row r="555" spans="1:19" x14ac:dyDescent="0.25">
      <c r="A555">
        <v>559</v>
      </c>
      <c r="B555" t="s">
        <v>100</v>
      </c>
      <c r="C555" t="s">
        <v>487</v>
      </c>
      <c r="D555" t="s">
        <v>851</v>
      </c>
      <c r="E555">
        <v>46</v>
      </c>
      <c r="F555" t="str" cm="1">
        <f t="array" ref="F555">INDEX(Country!$B$3:$B$250, MATCH(TRUE, ISNUMBER(SEARCH(Country!$A$2:$A$509, Customer_Data[[#This Row],[Country]])),0 ))</f>
        <v>Africa</v>
      </c>
      <c r="G555" t="s">
        <v>945</v>
      </c>
      <c r="H555" t="s">
        <v>1626</v>
      </c>
      <c r="I555" t="s">
        <v>2602</v>
      </c>
      <c r="J555" t="s">
        <v>3594</v>
      </c>
      <c r="K555" s="1">
        <v>44903</v>
      </c>
      <c r="L555">
        <f>YEAR(Customer_Data[[#This Row],[LastPurchaseDate]])</f>
        <v>2024</v>
      </c>
      <c r="M555">
        <f>MONTH(Customer_Data[[#This Row],[LastPurchaseDate]])</f>
        <v>8</v>
      </c>
      <c r="N555" s="7">
        <v>45516</v>
      </c>
      <c r="O555">
        <v>28</v>
      </c>
      <c r="P555" s="4">
        <v>2694.23</v>
      </c>
      <c r="Q555" t="s">
        <v>4035</v>
      </c>
      <c r="R555">
        <v>1</v>
      </c>
      <c r="S555">
        <v>96.22</v>
      </c>
    </row>
    <row r="556" spans="1:19" x14ac:dyDescent="0.25">
      <c r="A556">
        <v>560</v>
      </c>
      <c r="B556" t="s">
        <v>103</v>
      </c>
      <c r="C556" t="s">
        <v>685</v>
      </c>
      <c r="D556" t="s">
        <v>850</v>
      </c>
      <c r="E556">
        <v>48</v>
      </c>
      <c r="F556" t="str" cm="1">
        <f t="array" ref="F556">INDEX(Country!$B$3:$B$250, MATCH(TRUE, ISNUMBER(SEARCH(Country!$A$2:$A$509, Customer_Data[[#This Row],[Country]])),0 ))</f>
        <v>Europe</v>
      </c>
      <c r="G556" t="s">
        <v>1058</v>
      </c>
      <c r="H556" t="s">
        <v>1627</v>
      </c>
      <c r="I556" t="s">
        <v>2603</v>
      </c>
      <c r="J556" t="s">
        <v>3595</v>
      </c>
      <c r="K556" s="1">
        <v>45217</v>
      </c>
      <c r="L556">
        <f>YEAR(Customer_Data[[#This Row],[LastPurchaseDate]])</f>
        <v>2025</v>
      </c>
      <c r="M556">
        <f>MONTH(Customer_Data[[#This Row],[LastPurchaseDate]])</f>
        <v>2</v>
      </c>
      <c r="N556" s="7">
        <v>45715</v>
      </c>
      <c r="O556">
        <v>46</v>
      </c>
      <c r="P556" s="4">
        <v>8729.7900000000009</v>
      </c>
      <c r="Q556" t="s">
        <v>4034</v>
      </c>
      <c r="R556">
        <v>2</v>
      </c>
      <c r="S556">
        <v>189.78</v>
      </c>
    </row>
    <row r="557" spans="1:19" x14ac:dyDescent="0.25">
      <c r="A557">
        <v>561</v>
      </c>
      <c r="B557" t="s">
        <v>55</v>
      </c>
      <c r="C557" t="s">
        <v>371</v>
      </c>
      <c r="D557" t="s">
        <v>851</v>
      </c>
      <c r="E557">
        <v>61</v>
      </c>
      <c r="F557" t="str" cm="1">
        <f t="array" ref="F557">INDEX(Country!$B$3:$B$250, MATCH(TRUE, ISNUMBER(SEARCH(Country!$A$2:$A$509, Customer_Data[[#This Row],[Country]])),0 ))</f>
        <v>Oceania</v>
      </c>
      <c r="G557" t="s">
        <v>926</v>
      </c>
      <c r="H557" t="s">
        <v>1628</v>
      </c>
      <c r="I557" t="s">
        <v>2604</v>
      </c>
      <c r="J557" t="s">
        <v>3596</v>
      </c>
      <c r="K557" s="1">
        <v>45807</v>
      </c>
      <c r="L557">
        <f>YEAR(Customer_Data[[#This Row],[LastPurchaseDate]])</f>
        <v>2025</v>
      </c>
      <c r="M557">
        <f>MONTH(Customer_Data[[#This Row],[LastPurchaseDate]])</f>
        <v>4</v>
      </c>
      <c r="N557" s="7">
        <v>45770</v>
      </c>
      <c r="O557">
        <v>33</v>
      </c>
      <c r="P557" s="4">
        <v>1901.49</v>
      </c>
      <c r="Q557" t="s">
        <v>4035</v>
      </c>
      <c r="R557">
        <v>5</v>
      </c>
      <c r="S557">
        <v>57.62</v>
      </c>
    </row>
    <row r="558" spans="1:19" x14ac:dyDescent="0.25">
      <c r="A558">
        <v>562</v>
      </c>
      <c r="B558" t="s">
        <v>103</v>
      </c>
      <c r="C558" t="s">
        <v>383</v>
      </c>
      <c r="D558" t="s">
        <v>851</v>
      </c>
      <c r="E558">
        <v>39</v>
      </c>
      <c r="F558" t="str" cm="1">
        <f t="array" ref="F558">INDEX(Country!$B$3:$B$250, MATCH(TRUE, ISNUMBER(SEARCH(Country!$A$2:$A$509, Customer_Data[[#This Row],[Country]])),0 ))</f>
        <v>North America</v>
      </c>
      <c r="G558" t="s">
        <v>1001</v>
      </c>
      <c r="H558" t="s">
        <v>1629</v>
      </c>
      <c r="I558" t="s">
        <v>2605</v>
      </c>
      <c r="J558" t="s">
        <v>3597</v>
      </c>
      <c r="K558" s="1">
        <v>45362</v>
      </c>
      <c r="L558">
        <f>YEAR(Customer_Data[[#This Row],[LastPurchaseDate]])</f>
        <v>2024</v>
      </c>
      <c r="M558">
        <f>MONTH(Customer_Data[[#This Row],[LastPurchaseDate]])</f>
        <v>2</v>
      </c>
      <c r="N558" s="7">
        <v>45338</v>
      </c>
      <c r="O558">
        <v>37</v>
      </c>
      <c r="P558" s="4">
        <v>2428.1799999999998</v>
      </c>
      <c r="Q558" t="s">
        <v>4035</v>
      </c>
      <c r="R558">
        <v>1</v>
      </c>
      <c r="S558">
        <v>65.63</v>
      </c>
    </row>
    <row r="559" spans="1:19" x14ac:dyDescent="0.25">
      <c r="A559">
        <v>563</v>
      </c>
      <c r="B559" t="s">
        <v>127</v>
      </c>
      <c r="C559" t="s">
        <v>654</v>
      </c>
      <c r="D559" t="s">
        <v>851</v>
      </c>
      <c r="E559">
        <v>36</v>
      </c>
      <c r="F559" t="str" cm="1">
        <f t="array" ref="F559">INDEX(Country!$B$3:$B$250, MATCH(TRUE, ISNUMBER(SEARCH(Country!$A$2:$A$509, Customer_Data[[#This Row],[Country]])),0 ))</f>
        <v>Europe</v>
      </c>
      <c r="G559" t="s">
        <v>871</v>
      </c>
      <c r="H559" t="s">
        <v>1630</v>
      </c>
      <c r="I559" t="s">
        <v>2606</v>
      </c>
      <c r="J559" t="s">
        <v>3598</v>
      </c>
      <c r="K559" s="1">
        <v>45909</v>
      </c>
      <c r="L559">
        <f>YEAR(Customer_Data[[#This Row],[LastPurchaseDate]])</f>
        <v>2025</v>
      </c>
      <c r="M559">
        <f>MONTH(Customer_Data[[#This Row],[LastPurchaseDate]])</f>
        <v>2</v>
      </c>
      <c r="N559" s="7">
        <v>45701</v>
      </c>
      <c r="O559">
        <v>41</v>
      </c>
      <c r="P559" s="4">
        <v>4992.96</v>
      </c>
      <c r="Q559" t="s">
        <v>4035</v>
      </c>
      <c r="R559">
        <v>3</v>
      </c>
      <c r="S559">
        <v>121.78</v>
      </c>
    </row>
    <row r="560" spans="1:19" x14ac:dyDescent="0.25">
      <c r="A560">
        <v>564</v>
      </c>
      <c r="B560" t="s">
        <v>185</v>
      </c>
      <c r="C560" t="s">
        <v>686</v>
      </c>
      <c r="D560" t="s">
        <v>850</v>
      </c>
      <c r="E560">
        <v>63</v>
      </c>
      <c r="F560" t="str" cm="1">
        <f t="array" ref="F560">INDEX(Country!$B$3:$B$250, MATCH(TRUE, ISNUMBER(SEARCH(Country!$A$2:$A$509, Customer_Data[[#This Row],[Country]])),0 ))</f>
        <v>Africa</v>
      </c>
      <c r="G560" t="s">
        <v>856</v>
      </c>
      <c r="H560" t="s">
        <v>1631</v>
      </c>
      <c r="I560" t="s">
        <v>2607</v>
      </c>
      <c r="J560" t="s">
        <v>3599</v>
      </c>
      <c r="K560" s="1">
        <v>45557</v>
      </c>
      <c r="L560">
        <f>YEAR(Customer_Data[[#This Row],[LastPurchaseDate]])</f>
        <v>2023</v>
      </c>
      <c r="M560">
        <f>MONTH(Customer_Data[[#This Row],[LastPurchaseDate]])</f>
        <v>11</v>
      </c>
      <c r="N560" s="7">
        <v>45233</v>
      </c>
      <c r="O560">
        <v>27</v>
      </c>
      <c r="P560" s="4">
        <v>5491.7</v>
      </c>
      <c r="Q560" t="s">
        <v>4035</v>
      </c>
      <c r="R560">
        <v>3</v>
      </c>
      <c r="S560">
        <v>203.4</v>
      </c>
    </row>
    <row r="561" spans="1:19" x14ac:dyDescent="0.25">
      <c r="A561">
        <v>565</v>
      </c>
      <c r="B561" t="s">
        <v>280</v>
      </c>
      <c r="C561" t="s">
        <v>618</v>
      </c>
      <c r="D561" t="s">
        <v>851</v>
      </c>
      <c r="E561">
        <v>44</v>
      </c>
      <c r="F561" t="str" cm="1">
        <f t="array" ref="F561">INDEX(Country!$B$3:$B$250, MATCH(TRUE, ISNUMBER(SEARCH(Country!$A$2:$A$509, Customer_Data[[#This Row],[Country]])),0 ))</f>
        <v>North America</v>
      </c>
      <c r="G561" t="s">
        <v>947</v>
      </c>
      <c r="H561" t="s">
        <v>1632</v>
      </c>
      <c r="I561" t="s">
        <v>2608</v>
      </c>
      <c r="J561" t="s">
        <v>3600</v>
      </c>
      <c r="K561" s="1">
        <v>45524</v>
      </c>
      <c r="L561">
        <f>YEAR(Customer_Data[[#This Row],[LastPurchaseDate]])</f>
        <v>2024</v>
      </c>
      <c r="M561">
        <f>MONTH(Customer_Data[[#This Row],[LastPurchaseDate]])</f>
        <v>10</v>
      </c>
      <c r="N561" s="7">
        <v>45573</v>
      </c>
      <c r="O561">
        <v>25</v>
      </c>
      <c r="P561" s="4">
        <v>9756.77</v>
      </c>
      <c r="Q561" t="s">
        <v>4034</v>
      </c>
      <c r="R561">
        <v>1</v>
      </c>
      <c r="S561">
        <v>390.27</v>
      </c>
    </row>
    <row r="562" spans="1:19" x14ac:dyDescent="0.25">
      <c r="A562">
        <v>566</v>
      </c>
      <c r="B562" t="s">
        <v>182</v>
      </c>
      <c r="C562" t="s">
        <v>437</v>
      </c>
      <c r="D562" t="s">
        <v>851</v>
      </c>
      <c r="E562">
        <v>67</v>
      </c>
      <c r="F562" t="str" cm="1">
        <f t="array" ref="F562">INDEX(Country!$B$3:$B$250, MATCH(TRUE, ISNUMBER(SEARCH(Country!$A$2:$A$509, Customer_Data[[#This Row],[Country]])),0 ))</f>
        <v>Europe</v>
      </c>
      <c r="G562" t="s">
        <v>1022</v>
      </c>
      <c r="H562" t="s">
        <v>1633</v>
      </c>
      <c r="I562" t="s">
        <v>2609</v>
      </c>
      <c r="J562" t="s">
        <v>3601</v>
      </c>
      <c r="K562" s="1">
        <v>45655</v>
      </c>
      <c r="L562">
        <f>YEAR(Customer_Data[[#This Row],[LastPurchaseDate]])</f>
        <v>2024</v>
      </c>
      <c r="M562">
        <f>MONTH(Customer_Data[[#This Row],[LastPurchaseDate]])</f>
        <v>9</v>
      </c>
      <c r="N562" s="7">
        <v>45542</v>
      </c>
      <c r="O562">
        <v>15</v>
      </c>
      <c r="P562" s="4">
        <v>8108.16</v>
      </c>
      <c r="Q562" t="s">
        <v>4035</v>
      </c>
      <c r="R562">
        <v>1</v>
      </c>
      <c r="S562">
        <v>540.54</v>
      </c>
    </row>
    <row r="563" spans="1:19" x14ac:dyDescent="0.25">
      <c r="A563">
        <v>567</v>
      </c>
      <c r="B563" t="s">
        <v>53</v>
      </c>
      <c r="C563" t="s">
        <v>687</v>
      </c>
      <c r="D563" t="s">
        <v>850</v>
      </c>
      <c r="E563">
        <v>74</v>
      </c>
      <c r="F563" t="str" cm="1">
        <f t="array" ref="F563">INDEX(Country!$B$3:$B$250, MATCH(TRUE, ISNUMBER(SEARCH(Country!$A$2:$A$509, Customer_Data[[#This Row],[Country]])),0 ))</f>
        <v>Oceania</v>
      </c>
      <c r="G563" t="s">
        <v>1041</v>
      </c>
      <c r="H563" t="s">
        <v>1634</v>
      </c>
      <c r="I563" t="s">
        <v>2610</v>
      </c>
      <c r="J563" t="s">
        <v>3602</v>
      </c>
      <c r="K563" s="1">
        <v>45777</v>
      </c>
      <c r="L563">
        <f>YEAR(Customer_Data[[#This Row],[LastPurchaseDate]])</f>
        <v>2025</v>
      </c>
      <c r="M563">
        <f>MONTH(Customer_Data[[#This Row],[LastPurchaseDate]])</f>
        <v>1</v>
      </c>
      <c r="N563" s="7">
        <v>45667</v>
      </c>
      <c r="O563">
        <v>1</v>
      </c>
      <c r="P563" s="4">
        <v>2920.97</v>
      </c>
      <c r="Q563" t="s">
        <v>4035</v>
      </c>
      <c r="R563">
        <v>2</v>
      </c>
      <c r="S563">
        <v>2920.97</v>
      </c>
    </row>
    <row r="564" spans="1:19" x14ac:dyDescent="0.25">
      <c r="A564">
        <v>568</v>
      </c>
      <c r="B564" t="s">
        <v>157</v>
      </c>
      <c r="C564" t="s">
        <v>412</v>
      </c>
      <c r="D564" t="s">
        <v>851</v>
      </c>
      <c r="E564">
        <v>58</v>
      </c>
      <c r="F564" t="str" cm="1">
        <f t="array" ref="F564">INDEX(Country!$B$3:$B$250, MATCH(TRUE, ISNUMBER(SEARCH(Country!$A$2:$A$509, Customer_Data[[#This Row],[Country]])),0 ))</f>
        <v>Europe</v>
      </c>
      <c r="G564" t="s">
        <v>896</v>
      </c>
      <c r="H564" t="s">
        <v>1635</v>
      </c>
      <c r="I564" t="s">
        <v>2611</v>
      </c>
      <c r="J564" t="s">
        <v>3603</v>
      </c>
      <c r="K564" s="1">
        <v>45773</v>
      </c>
      <c r="L564">
        <f>YEAR(Customer_Data[[#This Row],[LastPurchaseDate]])</f>
        <v>2025</v>
      </c>
      <c r="M564">
        <f>MONTH(Customer_Data[[#This Row],[LastPurchaseDate]])</f>
        <v>3</v>
      </c>
      <c r="N564" s="7">
        <v>45736</v>
      </c>
      <c r="O564">
        <v>25</v>
      </c>
      <c r="P564" s="4">
        <v>6792.05</v>
      </c>
      <c r="Q564" t="s">
        <v>4035</v>
      </c>
      <c r="R564">
        <v>3</v>
      </c>
      <c r="S564">
        <v>271.68</v>
      </c>
    </row>
    <row r="565" spans="1:19" x14ac:dyDescent="0.25">
      <c r="A565">
        <v>569</v>
      </c>
      <c r="B565" t="s">
        <v>146</v>
      </c>
      <c r="C565" t="s">
        <v>530</v>
      </c>
      <c r="D565" t="s">
        <v>850</v>
      </c>
      <c r="E565">
        <v>50</v>
      </c>
      <c r="F565" t="str" cm="1">
        <f t="array" ref="F565">INDEX(Country!$B$3:$B$250, MATCH(TRUE, ISNUMBER(SEARCH(Country!$A$2:$A$509, Customer_Data[[#This Row],[Country]])),0 ))</f>
        <v>Africa</v>
      </c>
      <c r="G565" t="s">
        <v>1069</v>
      </c>
      <c r="H565" t="s">
        <v>1636</v>
      </c>
      <c r="I565" t="s">
        <v>2612</v>
      </c>
      <c r="J565" t="s">
        <v>3604</v>
      </c>
      <c r="K565" s="1">
        <v>45642</v>
      </c>
      <c r="L565">
        <f>YEAR(Customer_Data[[#This Row],[LastPurchaseDate]])</f>
        <v>2024</v>
      </c>
      <c r="M565">
        <f>MONTH(Customer_Data[[#This Row],[LastPurchaseDate]])</f>
        <v>10</v>
      </c>
      <c r="N565" s="7">
        <v>45595</v>
      </c>
      <c r="O565">
        <v>12</v>
      </c>
      <c r="P565" s="4">
        <v>9736.59</v>
      </c>
      <c r="Q565" t="s">
        <v>4034</v>
      </c>
      <c r="R565">
        <v>5</v>
      </c>
      <c r="S565">
        <v>811.38</v>
      </c>
    </row>
    <row r="566" spans="1:19" x14ac:dyDescent="0.25">
      <c r="A566">
        <v>570</v>
      </c>
      <c r="B566" t="s">
        <v>281</v>
      </c>
      <c r="C566" t="s">
        <v>395</v>
      </c>
      <c r="D566" t="s">
        <v>850</v>
      </c>
      <c r="E566">
        <v>36</v>
      </c>
      <c r="F566" t="str" cm="1">
        <f t="array" ref="F566">INDEX(Country!$B$3:$B$250, MATCH(TRUE, ISNUMBER(SEARCH(Country!$A$2:$A$509, Customer_Data[[#This Row],[Country]])),0 ))</f>
        <v>South America</v>
      </c>
      <c r="G566" t="s">
        <v>891</v>
      </c>
      <c r="H566" t="s">
        <v>1637</v>
      </c>
      <c r="I566" t="s">
        <v>2613</v>
      </c>
      <c r="J566" t="s">
        <v>3605</v>
      </c>
      <c r="K566" s="1">
        <v>45705</v>
      </c>
      <c r="L566">
        <f>YEAR(Customer_Data[[#This Row],[LastPurchaseDate]])</f>
        <v>2025</v>
      </c>
      <c r="M566">
        <f>MONTH(Customer_Data[[#This Row],[LastPurchaseDate]])</f>
        <v>3</v>
      </c>
      <c r="N566" s="7">
        <v>45736</v>
      </c>
      <c r="O566">
        <v>33</v>
      </c>
      <c r="P566" s="4">
        <v>7567.83</v>
      </c>
      <c r="Q566" t="s">
        <v>4035</v>
      </c>
      <c r="R566">
        <v>1</v>
      </c>
      <c r="S566">
        <v>229.33</v>
      </c>
    </row>
    <row r="567" spans="1:19" x14ac:dyDescent="0.25">
      <c r="A567">
        <v>571</v>
      </c>
      <c r="B567" t="s">
        <v>53</v>
      </c>
      <c r="C567" t="s">
        <v>688</v>
      </c>
      <c r="D567" t="s">
        <v>850</v>
      </c>
      <c r="E567">
        <v>71</v>
      </c>
      <c r="F567" t="str" cm="1">
        <f t="array" ref="F567">INDEX(Country!$B$3:$B$250, MATCH(TRUE, ISNUMBER(SEARCH(Country!$A$2:$A$509, Customer_Data[[#This Row],[Country]])),0 ))</f>
        <v>Asia</v>
      </c>
      <c r="G567" t="s">
        <v>1040</v>
      </c>
      <c r="H567" t="s">
        <v>1638</v>
      </c>
      <c r="I567" t="s">
        <v>2614</v>
      </c>
      <c r="J567" t="s">
        <v>3606</v>
      </c>
      <c r="K567" s="1">
        <v>45286</v>
      </c>
      <c r="L567">
        <f>YEAR(Customer_Data[[#This Row],[LastPurchaseDate]])</f>
        <v>2024</v>
      </c>
      <c r="M567">
        <f>MONTH(Customer_Data[[#This Row],[LastPurchaseDate]])</f>
        <v>11</v>
      </c>
      <c r="N567" s="7">
        <v>45597</v>
      </c>
      <c r="O567">
        <v>29</v>
      </c>
      <c r="P567" s="4">
        <v>7887.16</v>
      </c>
      <c r="Q567" t="s">
        <v>4034</v>
      </c>
      <c r="R567">
        <v>3</v>
      </c>
      <c r="S567">
        <v>271.97000000000003</v>
      </c>
    </row>
    <row r="568" spans="1:19" x14ac:dyDescent="0.25">
      <c r="A568">
        <v>572</v>
      </c>
      <c r="B568" t="s">
        <v>91</v>
      </c>
      <c r="C568" t="s">
        <v>340</v>
      </c>
      <c r="D568" t="s">
        <v>850</v>
      </c>
      <c r="E568">
        <v>28</v>
      </c>
      <c r="F568" t="str" cm="1">
        <f t="array" ref="F568">INDEX(Country!$B$3:$B$250, MATCH(TRUE, ISNUMBER(SEARCH(Country!$A$2:$A$509, Customer_Data[[#This Row],[Country]])),0 ))</f>
        <v>Asia</v>
      </c>
      <c r="G568" t="s">
        <v>1070</v>
      </c>
      <c r="H568" t="s">
        <v>1639</v>
      </c>
      <c r="I568" t="s">
        <v>2615</v>
      </c>
      <c r="J568" t="s">
        <v>3607</v>
      </c>
      <c r="K568" s="1">
        <v>44967</v>
      </c>
      <c r="L568">
        <f>YEAR(Customer_Data[[#This Row],[LastPurchaseDate]])</f>
        <v>2024</v>
      </c>
      <c r="M568">
        <f>MONTH(Customer_Data[[#This Row],[LastPurchaseDate]])</f>
        <v>6</v>
      </c>
      <c r="N568" s="7">
        <v>45459</v>
      </c>
      <c r="O568">
        <v>40</v>
      </c>
      <c r="P568" s="4">
        <v>6206.16</v>
      </c>
      <c r="Q568" t="s">
        <v>4034</v>
      </c>
      <c r="R568">
        <v>2</v>
      </c>
      <c r="S568">
        <v>155.15</v>
      </c>
    </row>
    <row r="569" spans="1:19" x14ac:dyDescent="0.25">
      <c r="A569">
        <v>573</v>
      </c>
      <c r="B569" t="s">
        <v>107</v>
      </c>
      <c r="C569" t="s">
        <v>689</v>
      </c>
      <c r="D569" t="s">
        <v>850</v>
      </c>
      <c r="E569">
        <v>65</v>
      </c>
      <c r="F569" t="str" cm="1">
        <f t="array" ref="F569">INDEX(Country!$B$3:$B$250, MATCH(TRUE, ISNUMBER(SEARCH(Country!$A$2:$A$509, Customer_Data[[#This Row],[Country]])),0 ))</f>
        <v>Europe</v>
      </c>
      <c r="G569" t="s">
        <v>879</v>
      </c>
      <c r="H569" t="s">
        <v>1640</v>
      </c>
      <c r="I569" t="s">
        <v>2616</v>
      </c>
      <c r="J569" t="s">
        <v>3608</v>
      </c>
      <c r="K569" s="1">
        <v>45599</v>
      </c>
      <c r="L569">
        <f>YEAR(Customer_Data[[#This Row],[LastPurchaseDate]])</f>
        <v>2025</v>
      </c>
      <c r="M569">
        <f>MONTH(Customer_Data[[#This Row],[LastPurchaseDate]])</f>
        <v>8</v>
      </c>
      <c r="N569" s="7">
        <v>45888</v>
      </c>
      <c r="O569">
        <v>39</v>
      </c>
      <c r="P569" s="4">
        <v>2732.25</v>
      </c>
      <c r="Q569" t="s">
        <v>4035</v>
      </c>
      <c r="R569">
        <v>5</v>
      </c>
      <c r="S569">
        <v>70.06</v>
      </c>
    </row>
    <row r="570" spans="1:19" x14ac:dyDescent="0.25">
      <c r="A570">
        <v>574</v>
      </c>
      <c r="B570" t="s">
        <v>269</v>
      </c>
      <c r="C570" t="s">
        <v>414</v>
      </c>
      <c r="D570" t="s">
        <v>850</v>
      </c>
      <c r="E570">
        <v>23</v>
      </c>
      <c r="F570" t="str" cm="1">
        <f t="array" ref="F570">INDEX(Country!$B$3:$B$250, MATCH(TRUE, ISNUMBER(SEARCH(Country!$A$2:$A$509, Customer_Data[[#This Row],[Country]])),0 ))</f>
        <v>Africa</v>
      </c>
      <c r="G570" t="s">
        <v>944</v>
      </c>
      <c r="H570" t="s">
        <v>1641</v>
      </c>
      <c r="I570" t="s">
        <v>2617</v>
      </c>
      <c r="J570" t="s">
        <v>3609</v>
      </c>
      <c r="K570" s="1">
        <v>45383</v>
      </c>
      <c r="L570">
        <f>YEAR(Customer_Data[[#This Row],[LastPurchaseDate]])</f>
        <v>2025</v>
      </c>
      <c r="M570">
        <f>MONTH(Customer_Data[[#This Row],[LastPurchaseDate]])</f>
        <v>10</v>
      </c>
      <c r="N570" s="7">
        <v>45960</v>
      </c>
      <c r="O570">
        <v>26</v>
      </c>
      <c r="P570" s="4">
        <v>5729.23</v>
      </c>
      <c r="Q570" t="s">
        <v>4035</v>
      </c>
      <c r="R570">
        <v>1</v>
      </c>
      <c r="S570">
        <v>220.36</v>
      </c>
    </row>
    <row r="571" spans="1:19" x14ac:dyDescent="0.25">
      <c r="A571">
        <v>575</v>
      </c>
      <c r="B571" t="s">
        <v>154</v>
      </c>
      <c r="C571" t="s">
        <v>131</v>
      </c>
      <c r="D571" t="s">
        <v>851</v>
      </c>
      <c r="E571">
        <v>59</v>
      </c>
      <c r="F571" t="str" cm="1">
        <f t="array" ref="F571">INDEX(Country!$B$3:$B$250, MATCH(TRUE, ISNUMBER(SEARCH(Country!$A$2:$A$509, Customer_Data[[#This Row],[Country]])),0 ))</f>
        <v>North America</v>
      </c>
      <c r="G571" t="s">
        <v>920</v>
      </c>
      <c r="H571" t="s">
        <v>1642</v>
      </c>
      <c r="I571" t="s">
        <v>2618</v>
      </c>
      <c r="J571" t="s">
        <v>3610</v>
      </c>
      <c r="K571" s="1">
        <v>45654</v>
      </c>
      <c r="L571">
        <f>YEAR(Customer_Data[[#This Row],[LastPurchaseDate]])</f>
        <v>2024</v>
      </c>
      <c r="M571">
        <f>MONTH(Customer_Data[[#This Row],[LastPurchaseDate]])</f>
        <v>3</v>
      </c>
      <c r="N571" s="7">
        <v>45365</v>
      </c>
      <c r="O571">
        <v>6</v>
      </c>
      <c r="P571" s="4">
        <v>1572.42</v>
      </c>
      <c r="Q571" t="s">
        <v>4035</v>
      </c>
      <c r="R571">
        <v>1</v>
      </c>
      <c r="S571">
        <v>262.07</v>
      </c>
    </row>
    <row r="572" spans="1:19" x14ac:dyDescent="0.25">
      <c r="A572">
        <v>576</v>
      </c>
      <c r="B572" t="s">
        <v>225</v>
      </c>
      <c r="C572" t="s">
        <v>429</v>
      </c>
      <c r="D572" t="s">
        <v>851</v>
      </c>
      <c r="E572">
        <v>64</v>
      </c>
      <c r="F572" t="str" cm="1">
        <f t="array" ref="F572">INDEX(Country!$B$3:$B$250, MATCH(TRUE, ISNUMBER(SEARCH(Country!$A$2:$A$509, Customer_Data[[#This Row],[Country]])),0 ))</f>
        <v>Europe</v>
      </c>
      <c r="G572" t="s">
        <v>855</v>
      </c>
      <c r="H572" t="s">
        <v>1643</v>
      </c>
      <c r="I572" t="s">
        <v>2619</v>
      </c>
      <c r="J572" t="s">
        <v>3611</v>
      </c>
      <c r="K572" s="1">
        <v>45457</v>
      </c>
      <c r="L572">
        <f>YEAR(Customer_Data[[#This Row],[LastPurchaseDate]])</f>
        <v>2024</v>
      </c>
      <c r="M572">
        <f>MONTH(Customer_Data[[#This Row],[LastPurchaseDate]])</f>
        <v>6</v>
      </c>
      <c r="N572" s="7">
        <v>45473</v>
      </c>
      <c r="O572">
        <v>40</v>
      </c>
      <c r="P572" s="4">
        <v>3908.07</v>
      </c>
      <c r="Q572" t="s">
        <v>4034</v>
      </c>
      <c r="R572">
        <v>5</v>
      </c>
      <c r="S572">
        <v>97.7</v>
      </c>
    </row>
    <row r="573" spans="1:19" x14ac:dyDescent="0.25">
      <c r="A573">
        <v>577</v>
      </c>
      <c r="B573" t="s">
        <v>154</v>
      </c>
      <c r="C573" t="s">
        <v>441</v>
      </c>
      <c r="D573" t="s">
        <v>851</v>
      </c>
      <c r="E573">
        <v>61</v>
      </c>
      <c r="F573" t="str" cm="1">
        <f t="array" ref="F573">INDEX(Country!$B$3:$B$250, MATCH(TRUE, ISNUMBER(SEARCH(Country!$A$2:$A$509, Customer_Data[[#This Row],[Country]])),0 ))</f>
        <v>Oceania</v>
      </c>
      <c r="G573" t="s">
        <v>882</v>
      </c>
      <c r="H573" t="s">
        <v>1644</v>
      </c>
      <c r="I573" t="s">
        <v>2620</v>
      </c>
      <c r="J573" t="s">
        <v>3612</v>
      </c>
      <c r="K573" s="1">
        <v>45808</v>
      </c>
      <c r="L573">
        <f>YEAR(Customer_Data[[#This Row],[LastPurchaseDate]])</f>
        <v>2025</v>
      </c>
      <c r="M573">
        <f>MONTH(Customer_Data[[#This Row],[LastPurchaseDate]])</f>
        <v>10</v>
      </c>
      <c r="N573" s="7">
        <v>45952</v>
      </c>
      <c r="O573">
        <v>31</v>
      </c>
      <c r="P573" s="4">
        <v>9511.0300000000007</v>
      </c>
      <c r="Q573" t="s">
        <v>4034</v>
      </c>
      <c r="R573">
        <v>5</v>
      </c>
      <c r="S573">
        <v>306.81</v>
      </c>
    </row>
    <row r="574" spans="1:19" x14ac:dyDescent="0.25">
      <c r="A574">
        <v>578</v>
      </c>
      <c r="B574" t="s">
        <v>162</v>
      </c>
      <c r="C574" t="s">
        <v>690</v>
      </c>
      <c r="D574" t="s">
        <v>851</v>
      </c>
      <c r="E574">
        <v>54</v>
      </c>
      <c r="F574" t="str" cm="1">
        <f t="array" ref="F574">INDEX(Country!$B$3:$B$250, MATCH(TRUE, ISNUMBER(SEARCH(Country!$A$2:$A$509, Customer_Data[[#This Row],[Country]])),0 ))</f>
        <v>Asia</v>
      </c>
      <c r="G574" t="s">
        <v>1071</v>
      </c>
      <c r="H574" t="s">
        <v>1645</v>
      </c>
      <c r="I574" t="s">
        <v>2621</v>
      </c>
      <c r="J574" t="s">
        <v>3613</v>
      </c>
      <c r="K574" s="1">
        <v>45843</v>
      </c>
      <c r="L574">
        <f>YEAR(Customer_Data[[#This Row],[LastPurchaseDate]])</f>
        <v>2023</v>
      </c>
      <c r="M574">
        <f>MONTH(Customer_Data[[#This Row],[LastPurchaseDate]])</f>
        <v>12</v>
      </c>
      <c r="N574" s="7">
        <v>45280</v>
      </c>
      <c r="O574">
        <v>49</v>
      </c>
      <c r="P574" s="4">
        <v>1264.97</v>
      </c>
      <c r="Q574" t="s">
        <v>4034</v>
      </c>
      <c r="R574">
        <v>1</v>
      </c>
      <c r="S574">
        <v>25.82</v>
      </c>
    </row>
    <row r="575" spans="1:19" x14ac:dyDescent="0.25">
      <c r="A575">
        <v>579</v>
      </c>
      <c r="B575" t="s">
        <v>105</v>
      </c>
      <c r="C575" t="s">
        <v>674</v>
      </c>
      <c r="D575" t="s">
        <v>852</v>
      </c>
      <c r="E575">
        <v>33</v>
      </c>
      <c r="F575" t="str" cm="1">
        <f t="array" ref="F575">INDEX(Country!$B$3:$B$250, MATCH(TRUE, ISNUMBER(SEARCH(Country!$A$2:$A$509, Customer_Data[[#This Row],[Country]])),0 ))</f>
        <v>South America</v>
      </c>
      <c r="G575" t="s">
        <v>972</v>
      </c>
      <c r="H575" t="s">
        <v>1646</v>
      </c>
      <c r="I575" t="s">
        <v>2622</v>
      </c>
      <c r="J575" t="s">
        <v>3614</v>
      </c>
      <c r="K575" s="1">
        <v>45211</v>
      </c>
      <c r="L575">
        <f>YEAR(Customer_Data[[#This Row],[LastPurchaseDate]])</f>
        <v>2025</v>
      </c>
      <c r="M575">
        <f>MONTH(Customer_Data[[#This Row],[LastPurchaseDate]])</f>
        <v>2</v>
      </c>
      <c r="N575" s="7">
        <v>45710</v>
      </c>
      <c r="O575">
        <v>33</v>
      </c>
      <c r="P575" s="4">
        <v>2798.32</v>
      </c>
      <c r="Q575" t="s">
        <v>4035</v>
      </c>
      <c r="R575">
        <v>3</v>
      </c>
      <c r="S575">
        <v>84.8</v>
      </c>
    </row>
    <row r="576" spans="1:19" x14ac:dyDescent="0.25">
      <c r="A576">
        <v>580</v>
      </c>
      <c r="B576" t="s">
        <v>153</v>
      </c>
      <c r="C576" t="s">
        <v>449</v>
      </c>
      <c r="D576" t="s">
        <v>850</v>
      </c>
      <c r="E576">
        <v>39</v>
      </c>
      <c r="F576" t="str" cm="1">
        <f t="array" ref="F576">INDEX(Country!$B$3:$B$250, MATCH(TRUE, ISNUMBER(SEARCH(Country!$A$2:$A$509, Customer_Data[[#This Row],[Country]])),0 ))</f>
        <v>North America</v>
      </c>
      <c r="G576" t="s">
        <v>954</v>
      </c>
      <c r="H576" t="s">
        <v>1647</v>
      </c>
      <c r="I576" t="s">
        <v>2623</v>
      </c>
      <c r="J576" t="s">
        <v>3615</v>
      </c>
      <c r="K576" s="1">
        <v>45317</v>
      </c>
      <c r="L576">
        <f>YEAR(Customer_Data[[#This Row],[LastPurchaseDate]])</f>
        <v>2024</v>
      </c>
      <c r="M576">
        <f>MONTH(Customer_Data[[#This Row],[LastPurchaseDate]])</f>
        <v>9</v>
      </c>
      <c r="N576" s="7">
        <v>45558</v>
      </c>
      <c r="O576">
        <v>20</v>
      </c>
      <c r="P576" s="4">
        <v>7710</v>
      </c>
      <c r="Q576" t="s">
        <v>4034</v>
      </c>
      <c r="R576">
        <v>3</v>
      </c>
      <c r="S576">
        <v>385.5</v>
      </c>
    </row>
    <row r="577" spans="1:19" x14ac:dyDescent="0.25">
      <c r="A577">
        <v>581</v>
      </c>
      <c r="B577" t="s">
        <v>47</v>
      </c>
      <c r="C577" t="s">
        <v>691</v>
      </c>
      <c r="D577" t="s">
        <v>850</v>
      </c>
      <c r="E577">
        <v>35</v>
      </c>
      <c r="F577" t="str" cm="1">
        <f t="array" ref="F577">INDEX(Country!$B$3:$B$250, MATCH(TRUE, ISNUMBER(SEARCH(Country!$A$2:$A$509, Customer_Data[[#This Row],[Country]])),0 ))</f>
        <v>South America</v>
      </c>
      <c r="G577" t="s">
        <v>1019</v>
      </c>
      <c r="H577" t="s">
        <v>1648</v>
      </c>
      <c r="I577" t="s">
        <v>2624</v>
      </c>
      <c r="J577" t="s">
        <v>3616</v>
      </c>
      <c r="K577" s="1">
        <v>44949</v>
      </c>
      <c r="L577">
        <f>YEAR(Customer_Data[[#This Row],[LastPurchaseDate]])</f>
        <v>2025</v>
      </c>
      <c r="M577">
        <f>MONTH(Customer_Data[[#This Row],[LastPurchaseDate]])</f>
        <v>8</v>
      </c>
      <c r="N577" s="7">
        <v>45882</v>
      </c>
      <c r="O577">
        <v>3</v>
      </c>
      <c r="P577" s="4">
        <v>2368.96</v>
      </c>
      <c r="Q577" t="s">
        <v>4034</v>
      </c>
      <c r="R577">
        <v>2</v>
      </c>
      <c r="S577">
        <v>789.65</v>
      </c>
    </row>
    <row r="578" spans="1:19" x14ac:dyDescent="0.25">
      <c r="A578">
        <v>582</v>
      </c>
      <c r="B578" t="s">
        <v>282</v>
      </c>
      <c r="C578" t="s">
        <v>692</v>
      </c>
      <c r="D578" t="s">
        <v>851</v>
      </c>
      <c r="E578">
        <v>24</v>
      </c>
      <c r="F578" t="str" cm="1">
        <f t="array" ref="F578">INDEX(Country!$B$3:$B$250, MATCH(TRUE, ISNUMBER(SEARCH(Country!$A$2:$A$509, Customer_Data[[#This Row],[Country]])),0 ))</f>
        <v>Europe</v>
      </c>
      <c r="G578" t="s">
        <v>899</v>
      </c>
      <c r="H578" t="s">
        <v>1649</v>
      </c>
      <c r="I578" t="s">
        <v>2625</v>
      </c>
      <c r="J578" t="s">
        <v>3617</v>
      </c>
      <c r="K578" s="1">
        <v>45160</v>
      </c>
      <c r="L578">
        <f>YEAR(Customer_Data[[#This Row],[LastPurchaseDate]])</f>
        <v>2024</v>
      </c>
      <c r="M578">
        <f>MONTH(Customer_Data[[#This Row],[LastPurchaseDate]])</f>
        <v>1</v>
      </c>
      <c r="N578" s="7">
        <v>45317</v>
      </c>
      <c r="O578">
        <v>28</v>
      </c>
      <c r="P578" s="4">
        <v>8645.42</v>
      </c>
      <c r="Q578" t="s">
        <v>4035</v>
      </c>
      <c r="R578">
        <v>2</v>
      </c>
      <c r="S578">
        <v>308.76</v>
      </c>
    </row>
    <row r="579" spans="1:19" x14ac:dyDescent="0.25">
      <c r="A579">
        <v>583</v>
      </c>
      <c r="B579" t="s">
        <v>28</v>
      </c>
      <c r="C579" t="s">
        <v>414</v>
      </c>
      <c r="D579" t="s">
        <v>852</v>
      </c>
      <c r="E579">
        <v>30</v>
      </c>
      <c r="F579" t="str" cm="1">
        <f t="array" ref="F579">INDEX(Country!$B$3:$B$250, MATCH(TRUE, ISNUMBER(SEARCH(Country!$A$2:$A$509, Customer_Data[[#This Row],[Country]])),0 ))</f>
        <v>South America</v>
      </c>
      <c r="G579" t="s">
        <v>988</v>
      </c>
      <c r="H579" t="s">
        <v>1650</v>
      </c>
      <c r="I579" t="s">
        <v>2626</v>
      </c>
      <c r="J579" t="s">
        <v>3618</v>
      </c>
      <c r="K579" s="1">
        <v>44903</v>
      </c>
      <c r="L579">
        <f>YEAR(Customer_Data[[#This Row],[LastPurchaseDate]])</f>
        <v>2024</v>
      </c>
      <c r="M579">
        <f>MONTH(Customer_Data[[#This Row],[LastPurchaseDate]])</f>
        <v>10</v>
      </c>
      <c r="N579" s="7">
        <v>45591</v>
      </c>
      <c r="O579">
        <v>20</v>
      </c>
      <c r="P579" s="4">
        <v>9637.85</v>
      </c>
      <c r="Q579" t="s">
        <v>4035</v>
      </c>
      <c r="R579">
        <v>3</v>
      </c>
      <c r="S579">
        <v>481.89</v>
      </c>
    </row>
    <row r="580" spans="1:19" x14ac:dyDescent="0.25">
      <c r="A580">
        <v>584</v>
      </c>
      <c r="B580" t="s">
        <v>241</v>
      </c>
      <c r="C580" t="s">
        <v>515</v>
      </c>
      <c r="D580" t="s">
        <v>850</v>
      </c>
      <c r="E580">
        <v>36</v>
      </c>
      <c r="F580" t="str" cm="1">
        <f t="array" ref="F580">INDEX(Country!$B$3:$B$250, MATCH(TRUE, ISNUMBER(SEARCH(Country!$A$2:$A$509, Customer_Data[[#This Row],[Country]])),0 ))</f>
        <v>South America</v>
      </c>
      <c r="G580" t="s">
        <v>1047</v>
      </c>
      <c r="H580" t="s">
        <v>1651</v>
      </c>
      <c r="I580" t="s">
        <v>2627</v>
      </c>
      <c r="J580" t="s">
        <v>3619</v>
      </c>
      <c r="K580" s="1">
        <v>45406</v>
      </c>
      <c r="L580">
        <f>YEAR(Customer_Data[[#This Row],[LastPurchaseDate]])</f>
        <v>2024</v>
      </c>
      <c r="M580">
        <f>MONTH(Customer_Data[[#This Row],[LastPurchaseDate]])</f>
        <v>11</v>
      </c>
      <c r="N580" s="7">
        <v>45621</v>
      </c>
      <c r="O580">
        <v>12</v>
      </c>
      <c r="P580" s="4">
        <v>339.35</v>
      </c>
      <c r="Q580" t="s">
        <v>4035</v>
      </c>
      <c r="R580">
        <v>4</v>
      </c>
      <c r="S580">
        <v>28.28</v>
      </c>
    </row>
    <row r="581" spans="1:19" x14ac:dyDescent="0.25">
      <c r="A581">
        <v>585</v>
      </c>
      <c r="B581" t="s">
        <v>283</v>
      </c>
      <c r="C581" t="s">
        <v>297</v>
      </c>
      <c r="D581" t="s">
        <v>851</v>
      </c>
      <c r="E581">
        <v>63</v>
      </c>
      <c r="F581" t="str" cm="1">
        <f t="array" ref="F581">INDEX(Country!$B$3:$B$250, MATCH(TRUE, ISNUMBER(SEARCH(Country!$A$2:$A$509, Customer_Data[[#This Row],[Country]])),0 ))</f>
        <v>Asia</v>
      </c>
      <c r="G581" t="s">
        <v>1067</v>
      </c>
      <c r="H581" t="s">
        <v>1652</v>
      </c>
      <c r="I581" t="s">
        <v>2628</v>
      </c>
      <c r="J581" t="s">
        <v>3620</v>
      </c>
      <c r="K581" s="1">
        <v>45733</v>
      </c>
      <c r="L581">
        <f>YEAR(Customer_Data[[#This Row],[LastPurchaseDate]])</f>
        <v>2024</v>
      </c>
      <c r="M581">
        <f>MONTH(Customer_Data[[#This Row],[LastPurchaseDate]])</f>
        <v>6</v>
      </c>
      <c r="N581" s="7">
        <v>45452</v>
      </c>
      <c r="O581">
        <v>41</v>
      </c>
      <c r="P581" s="4">
        <v>1395.95</v>
      </c>
      <c r="Q581" t="s">
        <v>4035</v>
      </c>
      <c r="R581">
        <v>4</v>
      </c>
      <c r="S581">
        <v>34.049999999999997</v>
      </c>
    </row>
    <row r="582" spans="1:19" x14ac:dyDescent="0.25">
      <c r="A582">
        <v>586</v>
      </c>
      <c r="B582" t="s">
        <v>149</v>
      </c>
      <c r="C582" t="s">
        <v>693</v>
      </c>
      <c r="D582" t="s">
        <v>850</v>
      </c>
      <c r="E582">
        <v>59</v>
      </c>
      <c r="F582" t="str" cm="1">
        <f t="array" ref="F582">INDEX(Country!$B$3:$B$250, MATCH(TRUE, ISNUMBER(SEARCH(Country!$A$2:$A$509, Customer_Data[[#This Row],[Country]])),0 ))</f>
        <v>Africa</v>
      </c>
      <c r="G582" t="s">
        <v>955</v>
      </c>
      <c r="H582" t="s">
        <v>1653</v>
      </c>
      <c r="I582" t="s">
        <v>2629</v>
      </c>
      <c r="J582" t="s">
        <v>3621</v>
      </c>
      <c r="K582" s="1">
        <v>45507</v>
      </c>
      <c r="L582">
        <f>YEAR(Customer_Data[[#This Row],[LastPurchaseDate]])</f>
        <v>2024</v>
      </c>
      <c r="M582">
        <f>MONTH(Customer_Data[[#This Row],[LastPurchaseDate]])</f>
        <v>3</v>
      </c>
      <c r="N582" s="7">
        <v>45373</v>
      </c>
      <c r="O582">
        <v>10</v>
      </c>
      <c r="P582" s="4">
        <v>7299.46</v>
      </c>
      <c r="Q582" t="s">
        <v>4035</v>
      </c>
      <c r="R582">
        <v>3</v>
      </c>
      <c r="S582">
        <v>729.95</v>
      </c>
    </row>
    <row r="583" spans="1:19" x14ac:dyDescent="0.25">
      <c r="A583">
        <v>587</v>
      </c>
      <c r="B583" t="s">
        <v>33</v>
      </c>
      <c r="C583" t="s">
        <v>497</v>
      </c>
      <c r="D583" t="s">
        <v>851</v>
      </c>
      <c r="E583">
        <v>42</v>
      </c>
      <c r="F583" t="str" cm="1">
        <f t="array" ref="F583">INDEX(Country!$B$3:$B$250, MATCH(TRUE, ISNUMBER(SEARCH(Country!$A$2:$A$509, Customer_Data[[#This Row],[Country]])),0 ))</f>
        <v>Asia</v>
      </c>
      <c r="G583" t="s">
        <v>898</v>
      </c>
      <c r="H583" t="s">
        <v>1654</v>
      </c>
      <c r="I583" t="s">
        <v>2630</v>
      </c>
      <c r="J583" t="s">
        <v>3622</v>
      </c>
      <c r="K583" s="1">
        <v>45439</v>
      </c>
      <c r="L583">
        <f>YEAR(Customer_Data[[#This Row],[LastPurchaseDate]])</f>
        <v>2025</v>
      </c>
      <c r="M583">
        <f>MONTH(Customer_Data[[#This Row],[LastPurchaseDate]])</f>
        <v>3</v>
      </c>
      <c r="N583" s="7">
        <v>45723</v>
      </c>
      <c r="O583">
        <v>14</v>
      </c>
      <c r="P583" s="4">
        <v>1590.51</v>
      </c>
      <c r="Q583" t="s">
        <v>4034</v>
      </c>
      <c r="R583">
        <v>1</v>
      </c>
      <c r="S583">
        <v>113.61</v>
      </c>
    </row>
    <row r="584" spans="1:19" x14ac:dyDescent="0.25">
      <c r="A584">
        <v>588</v>
      </c>
      <c r="B584" t="s">
        <v>208</v>
      </c>
      <c r="C584" t="s">
        <v>694</v>
      </c>
      <c r="D584" t="s">
        <v>851</v>
      </c>
      <c r="E584">
        <v>69</v>
      </c>
      <c r="F584" t="str" cm="1">
        <f t="array" ref="F584">INDEX(Country!$B$3:$B$250, MATCH(TRUE, ISNUMBER(SEARCH(Country!$A$2:$A$509, Customer_Data[[#This Row],[Country]])),0 ))</f>
        <v>Asia</v>
      </c>
      <c r="G584" t="s">
        <v>970</v>
      </c>
      <c r="H584" t="s">
        <v>1655</v>
      </c>
      <c r="I584" t="s">
        <v>2631</v>
      </c>
      <c r="J584" t="s">
        <v>3623</v>
      </c>
      <c r="K584" s="1">
        <v>45460</v>
      </c>
      <c r="L584">
        <f>YEAR(Customer_Data[[#This Row],[LastPurchaseDate]])</f>
        <v>2024</v>
      </c>
      <c r="M584">
        <f>MONTH(Customer_Data[[#This Row],[LastPurchaseDate]])</f>
        <v>2</v>
      </c>
      <c r="N584" s="7">
        <v>45323</v>
      </c>
      <c r="O584">
        <v>24</v>
      </c>
      <c r="P584" s="4">
        <v>436.48</v>
      </c>
      <c r="Q584" t="s">
        <v>4034</v>
      </c>
      <c r="R584">
        <v>5</v>
      </c>
      <c r="S584">
        <v>18.190000000000001</v>
      </c>
    </row>
    <row r="585" spans="1:19" x14ac:dyDescent="0.25">
      <c r="A585">
        <v>589</v>
      </c>
      <c r="B585" t="s">
        <v>284</v>
      </c>
      <c r="C585" t="s">
        <v>492</v>
      </c>
      <c r="D585" t="s">
        <v>851</v>
      </c>
      <c r="E585">
        <v>60</v>
      </c>
      <c r="F585" t="str" cm="1">
        <f t="array" ref="F585">INDEX(Country!$B$3:$B$250, MATCH(TRUE, ISNUMBER(SEARCH(Country!$A$2:$A$509, Customer_Data[[#This Row],[Country]])),0 ))</f>
        <v>Asia</v>
      </c>
      <c r="G585" t="s">
        <v>937</v>
      </c>
      <c r="H585" t="s">
        <v>1656</v>
      </c>
      <c r="I585" t="s">
        <v>2632</v>
      </c>
      <c r="J585" t="s">
        <v>3624</v>
      </c>
      <c r="K585" s="1">
        <v>45504</v>
      </c>
      <c r="L585">
        <f>YEAR(Customer_Data[[#This Row],[LastPurchaseDate]])</f>
        <v>2024</v>
      </c>
      <c r="M585">
        <f>MONTH(Customer_Data[[#This Row],[LastPurchaseDate]])</f>
        <v>9</v>
      </c>
      <c r="N585" s="7">
        <v>45554</v>
      </c>
      <c r="O585">
        <v>24</v>
      </c>
      <c r="P585" s="4">
        <v>2138.2800000000002</v>
      </c>
      <c r="Q585" t="s">
        <v>4034</v>
      </c>
      <c r="R585">
        <v>4</v>
      </c>
      <c r="S585">
        <v>89.1</v>
      </c>
    </row>
    <row r="586" spans="1:19" x14ac:dyDescent="0.25">
      <c r="A586">
        <v>590</v>
      </c>
      <c r="B586" t="s">
        <v>193</v>
      </c>
      <c r="C586" t="s">
        <v>695</v>
      </c>
      <c r="D586" t="s">
        <v>850</v>
      </c>
      <c r="E586">
        <v>25</v>
      </c>
      <c r="F586" t="str" cm="1">
        <f t="array" ref="F586">INDEX(Country!$B$3:$B$250, MATCH(TRUE, ISNUMBER(SEARCH(Country!$A$2:$A$509, Customer_Data[[#This Row],[Country]])),0 ))</f>
        <v>North America</v>
      </c>
      <c r="G586" t="s">
        <v>931</v>
      </c>
      <c r="H586" t="s">
        <v>1657</v>
      </c>
      <c r="I586" t="s">
        <v>2633</v>
      </c>
      <c r="J586" t="s">
        <v>3625</v>
      </c>
      <c r="K586" s="1">
        <v>45077</v>
      </c>
      <c r="L586">
        <f>YEAR(Customer_Data[[#This Row],[LastPurchaseDate]])</f>
        <v>2025</v>
      </c>
      <c r="M586">
        <f>MONTH(Customer_Data[[#This Row],[LastPurchaseDate]])</f>
        <v>8</v>
      </c>
      <c r="N586" s="7">
        <v>45889</v>
      </c>
      <c r="O586">
        <v>6</v>
      </c>
      <c r="P586" s="4">
        <v>6176.22</v>
      </c>
      <c r="Q586" t="s">
        <v>4035</v>
      </c>
      <c r="R586">
        <v>4</v>
      </c>
      <c r="S586">
        <v>1029.3699999999999</v>
      </c>
    </row>
    <row r="587" spans="1:19" x14ac:dyDescent="0.25">
      <c r="A587">
        <v>591</v>
      </c>
      <c r="B587" t="s">
        <v>63</v>
      </c>
      <c r="C587" t="s">
        <v>564</v>
      </c>
      <c r="D587" t="s">
        <v>851</v>
      </c>
      <c r="E587">
        <v>31</v>
      </c>
      <c r="F587" t="str" cm="1">
        <f t="array" ref="F587">INDEX(Country!$B$3:$B$250, MATCH(TRUE, ISNUMBER(SEARCH(Country!$A$2:$A$509, Customer_Data[[#This Row],[Country]])),0 ))</f>
        <v>Oceania</v>
      </c>
      <c r="G587" t="s">
        <v>932</v>
      </c>
      <c r="H587" t="s">
        <v>1658</v>
      </c>
      <c r="I587" t="s">
        <v>2634</v>
      </c>
      <c r="J587" t="s">
        <v>3626</v>
      </c>
      <c r="K587" s="1">
        <v>45891</v>
      </c>
      <c r="L587">
        <f>YEAR(Customer_Data[[#This Row],[LastPurchaseDate]])</f>
        <v>2025</v>
      </c>
      <c r="M587">
        <f>MONTH(Customer_Data[[#This Row],[LastPurchaseDate]])</f>
        <v>3</v>
      </c>
      <c r="N587" s="7">
        <v>45740</v>
      </c>
      <c r="O587">
        <v>33</v>
      </c>
      <c r="P587" s="4">
        <v>8542.9500000000007</v>
      </c>
      <c r="Q587" t="s">
        <v>4034</v>
      </c>
      <c r="R587">
        <v>2</v>
      </c>
      <c r="S587">
        <v>258.88</v>
      </c>
    </row>
    <row r="588" spans="1:19" x14ac:dyDescent="0.25">
      <c r="A588">
        <v>592</v>
      </c>
      <c r="B588" t="s">
        <v>72</v>
      </c>
      <c r="C588" t="s">
        <v>416</v>
      </c>
      <c r="D588" t="s">
        <v>851</v>
      </c>
      <c r="E588">
        <v>29</v>
      </c>
      <c r="F588" t="str" cm="1">
        <f t="array" ref="F588">INDEX(Country!$B$3:$B$250, MATCH(TRUE, ISNUMBER(SEARCH(Country!$A$2:$A$509, Customer_Data[[#This Row],[Country]])),0 ))</f>
        <v>Africa</v>
      </c>
      <c r="G588" t="s">
        <v>900</v>
      </c>
      <c r="H588" t="s">
        <v>1659</v>
      </c>
      <c r="I588" t="s">
        <v>2635</v>
      </c>
      <c r="J588" t="s">
        <v>3627</v>
      </c>
      <c r="K588" s="1">
        <v>45283</v>
      </c>
      <c r="L588">
        <f>YEAR(Customer_Data[[#This Row],[LastPurchaseDate]])</f>
        <v>2024</v>
      </c>
      <c r="M588">
        <f>MONTH(Customer_Data[[#This Row],[LastPurchaseDate]])</f>
        <v>11</v>
      </c>
      <c r="N588" s="7">
        <v>45622</v>
      </c>
      <c r="O588">
        <v>9</v>
      </c>
      <c r="P588" s="4">
        <v>2644.45</v>
      </c>
      <c r="Q588" t="s">
        <v>4035</v>
      </c>
      <c r="R588">
        <v>4</v>
      </c>
      <c r="S588">
        <v>293.83</v>
      </c>
    </row>
    <row r="589" spans="1:19" x14ac:dyDescent="0.25">
      <c r="A589">
        <v>593</v>
      </c>
      <c r="B589" t="s">
        <v>195</v>
      </c>
      <c r="C589" t="s">
        <v>696</v>
      </c>
      <c r="D589" t="s">
        <v>850</v>
      </c>
      <c r="E589">
        <v>31</v>
      </c>
      <c r="F589" t="str" cm="1">
        <f t="array" ref="F589">INDEX(Country!$B$3:$B$250, MATCH(TRUE, ISNUMBER(SEARCH(Country!$A$2:$A$509, Customer_Data[[#This Row],[Country]])),0 ))</f>
        <v>Asia</v>
      </c>
      <c r="G589" t="s">
        <v>1066</v>
      </c>
      <c r="H589" t="s">
        <v>1660</v>
      </c>
      <c r="I589" t="s">
        <v>2636</v>
      </c>
      <c r="J589" t="s">
        <v>3628</v>
      </c>
      <c r="K589" s="1">
        <v>45236</v>
      </c>
      <c r="L589">
        <f>YEAR(Customer_Data[[#This Row],[LastPurchaseDate]])</f>
        <v>2025</v>
      </c>
      <c r="M589">
        <f>MONTH(Customer_Data[[#This Row],[LastPurchaseDate]])</f>
        <v>2</v>
      </c>
      <c r="N589" s="7">
        <v>45705</v>
      </c>
      <c r="O589">
        <v>3</v>
      </c>
      <c r="P589" s="4">
        <v>951.35</v>
      </c>
      <c r="Q589" t="s">
        <v>4035</v>
      </c>
      <c r="R589">
        <v>1</v>
      </c>
      <c r="S589">
        <v>317.12</v>
      </c>
    </row>
    <row r="590" spans="1:19" x14ac:dyDescent="0.25">
      <c r="A590">
        <v>594</v>
      </c>
      <c r="B590" t="s">
        <v>33</v>
      </c>
      <c r="C590" t="s">
        <v>432</v>
      </c>
      <c r="D590" t="s">
        <v>851</v>
      </c>
      <c r="E590">
        <v>27</v>
      </c>
      <c r="F590" t="str" cm="1">
        <f t="array" ref="F590">INDEX(Country!$B$3:$B$250, MATCH(TRUE, ISNUMBER(SEARCH(Country!$A$2:$A$509, Customer_Data[[#This Row],[Country]])),0 ))</f>
        <v>Africa</v>
      </c>
      <c r="G590" t="s">
        <v>973</v>
      </c>
      <c r="H590" t="s">
        <v>1453</v>
      </c>
      <c r="I590" t="s">
        <v>2637</v>
      </c>
      <c r="J590" t="s">
        <v>3629</v>
      </c>
      <c r="K590" s="1">
        <v>45021</v>
      </c>
      <c r="L590">
        <f>YEAR(Customer_Data[[#This Row],[LastPurchaseDate]])</f>
        <v>2025</v>
      </c>
      <c r="M590">
        <f>MONTH(Customer_Data[[#This Row],[LastPurchaseDate]])</f>
        <v>10</v>
      </c>
      <c r="N590" s="7">
        <v>45937</v>
      </c>
      <c r="O590">
        <v>5</v>
      </c>
      <c r="P590" s="4">
        <v>8393.2199999999993</v>
      </c>
      <c r="Q590" t="s">
        <v>4035</v>
      </c>
      <c r="R590">
        <v>4</v>
      </c>
      <c r="S590">
        <v>1678.64</v>
      </c>
    </row>
    <row r="591" spans="1:19" x14ac:dyDescent="0.25">
      <c r="A591">
        <v>595</v>
      </c>
      <c r="B591" t="s">
        <v>53</v>
      </c>
      <c r="C591" t="s">
        <v>697</v>
      </c>
      <c r="D591" t="s">
        <v>851</v>
      </c>
      <c r="E591">
        <v>58</v>
      </c>
      <c r="F591" t="str" cm="1">
        <f t="array" ref="F591">INDEX(Country!$B$3:$B$250, MATCH(TRUE, ISNUMBER(SEARCH(Country!$A$2:$A$509, Customer_Data[[#This Row],[Country]])),0 ))</f>
        <v>Asia</v>
      </c>
      <c r="G591" t="s">
        <v>874</v>
      </c>
      <c r="H591" t="s">
        <v>1661</v>
      </c>
      <c r="I591" t="s">
        <v>2638</v>
      </c>
      <c r="J591" t="s">
        <v>3630</v>
      </c>
      <c r="K591" s="1">
        <v>45132</v>
      </c>
      <c r="L591">
        <f>YEAR(Customer_Data[[#This Row],[LastPurchaseDate]])</f>
        <v>2025</v>
      </c>
      <c r="M591">
        <f>MONTH(Customer_Data[[#This Row],[LastPurchaseDate]])</f>
        <v>4</v>
      </c>
      <c r="N591" s="7">
        <v>45750</v>
      </c>
      <c r="O591">
        <v>29</v>
      </c>
      <c r="P591" s="4">
        <v>7310.1</v>
      </c>
      <c r="Q591" t="s">
        <v>4034</v>
      </c>
      <c r="R591">
        <v>2</v>
      </c>
      <c r="S591">
        <v>252.07</v>
      </c>
    </row>
    <row r="592" spans="1:19" x14ac:dyDescent="0.25">
      <c r="A592">
        <v>596</v>
      </c>
      <c r="B592" t="s">
        <v>254</v>
      </c>
      <c r="C592" t="s">
        <v>698</v>
      </c>
      <c r="D592" t="s">
        <v>851</v>
      </c>
      <c r="E592">
        <v>36</v>
      </c>
      <c r="F592" t="str" cm="1">
        <f t="array" ref="F592">INDEX(Country!$B$3:$B$250, MATCH(TRUE, ISNUMBER(SEARCH(Country!$A$2:$A$509, Customer_Data[[#This Row],[Country]])),0 ))</f>
        <v>Africa</v>
      </c>
      <c r="G592" t="s">
        <v>952</v>
      </c>
      <c r="H592" t="s">
        <v>1662</v>
      </c>
      <c r="I592" t="s">
        <v>2639</v>
      </c>
      <c r="J592" t="s">
        <v>3631</v>
      </c>
      <c r="K592" s="1">
        <v>45218</v>
      </c>
      <c r="L592">
        <f>YEAR(Customer_Data[[#This Row],[LastPurchaseDate]])</f>
        <v>2023</v>
      </c>
      <c r="M592">
        <f>MONTH(Customer_Data[[#This Row],[LastPurchaseDate]])</f>
        <v>12</v>
      </c>
      <c r="N592" s="7">
        <v>45275</v>
      </c>
      <c r="O592">
        <v>29</v>
      </c>
      <c r="P592" s="4">
        <v>2920.32</v>
      </c>
      <c r="Q592" t="s">
        <v>4034</v>
      </c>
      <c r="R592">
        <v>2</v>
      </c>
      <c r="S592">
        <v>100.7</v>
      </c>
    </row>
    <row r="593" spans="1:19" x14ac:dyDescent="0.25">
      <c r="A593">
        <v>597</v>
      </c>
      <c r="B593" t="s">
        <v>285</v>
      </c>
      <c r="C593" t="s">
        <v>699</v>
      </c>
      <c r="D593" t="s">
        <v>851</v>
      </c>
      <c r="E593">
        <v>24</v>
      </c>
      <c r="F593" t="str" cm="1">
        <f t="array" ref="F593">INDEX(Country!$B$3:$B$250, MATCH(TRUE, ISNUMBER(SEARCH(Country!$A$2:$A$509, Customer_Data[[#This Row],[Country]])),0 ))</f>
        <v>North America</v>
      </c>
      <c r="G593" t="s">
        <v>920</v>
      </c>
      <c r="H593" t="s">
        <v>1663</v>
      </c>
      <c r="I593" t="s">
        <v>2640</v>
      </c>
      <c r="J593" t="s">
        <v>3632</v>
      </c>
      <c r="K593" s="1">
        <v>45862</v>
      </c>
      <c r="L593">
        <f>YEAR(Customer_Data[[#This Row],[LastPurchaseDate]])</f>
        <v>2024</v>
      </c>
      <c r="M593">
        <f>MONTH(Customer_Data[[#This Row],[LastPurchaseDate]])</f>
        <v>2</v>
      </c>
      <c r="N593" s="7">
        <v>45346</v>
      </c>
      <c r="O593">
        <v>12</v>
      </c>
      <c r="P593" s="4">
        <v>671.41</v>
      </c>
      <c r="Q593" t="s">
        <v>4034</v>
      </c>
      <c r="R593">
        <v>2</v>
      </c>
      <c r="S593">
        <v>55.95</v>
      </c>
    </row>
    <row r="594" spans="1:19" x14ac:dyDescent="0.25">
      <c r="A594">
        <v>598</v>
      </c>
      <c r="B594" t="s">
        <v>286</v>
      </c>
      <c r="C594" t="s">
        <v>255</v>
      </c>
      <c r="D594" t="s">
        <v>851</v>
      </c>
      <c r="E594">
        <v>38</v>
      </c>
      <c r="F594" t="str" cm="1">
        <f t="array" ref="F594">INDEX(Country!$B$3:$B$250, MATCH(TRUE, ISNUMBER(SEARCH(Country!$A$2:$A$509, Customer_Data[[#This Row],[Country]])),0 ))</f>
        <v>Oceania</v>
      </c>
      <c r="G594" t="s">
        <v>930</v>
      </c>
      <c r="H594" t="s">
        <v>1664</v>
      </c>
      <c r="I594" t="s">
        <v>2641</v>
      </c>
      <c r="J594" t="s">
        <v>3633</v>
      </c>
      <c r="K594" s="1">
        <v>45599</v>
      </c>
      <c r="L594">
        <f>YEAR(Customer_Data[[#This Row],[LastPurchaseDate]])</f>
        <v>2024</v>
      </c>
      <c r="M594">
        <f>MONTH(Customer_Data[[#This Row],[LastPurchaseDate]])</f>
        <v>10</v>
      </c>
      <c r="N594" s="7">
        <v>45577</v>
      </c>
      <c r="O594">
        <v>15</v>
      </c>
      <c r="P594" s="4">
        <v>7935.95</v>
      </c>
      <c r="Q594" t="s">
        <v>4035</v>
      </c>
      <c r="R594">
        <v>1</v>
      </c>
      <c r="S594">
        <v>529.05999999999995</v>
      </c>
    </row>
    <row r="595" spans="1:19" x14ac:dyDescent="0.25">
      <c r="A595">
        <v>599</v>
      </c>
      <c r="B595" t="s">
        <v>287</v>
      </c>
      <c r="C595" t="s">
        <v>700</v>
      </c>
      <c r="D595" t="s">
        <v>851</v>
      </c>
      <c r="E595">
        <v>73</v>
      </c>
      <c r="F595" t="str" cm="1">
        <f t="array" ref="F595">INDEX(Country!$B$3:$B$250, MATCH(TRUE, ISNUMBER(SEARCH(Country!$A$2:$A$509, Customer_Data[[#This Row],[Country]])),0 ))</f>
        <v>Europe</v>
      </c>
      <c r="G595" t="s">
        <v>1060</v>
      </c>
      <c r="H595" t="s">
        <v>1665</v>
      </c>
      <c r="I595" t="s">
        <v>2642</v>
      </c>
      <c r="J595" t="s">
        <v>3634</v>
      </c>
      <c r="K595" s="1">
        <v>45269</v>
      </c>
      <c r="L595">
        <f>YEAR(Customer_Data[[#This Row],[LastPurchaseDate]])</f>
        <v>2023</v>
      </c>
      <c r="M595">
        <f>MONTH(Customer_Data[[#This Row],[LastPurchaseDate]])</f>
        <v>12</v>
      </c>
      <c r="N595" s="7">
        <v>45261</v>
      </c>
      <c r="O595">
        <v>5</v>
      </c>
      <c r="P595" s="4">
        <v>826.72</v>
      </c>
      <c r="Q595" t="s">
        <v>4035</v>
      </c>
      <c r="R595">
        <v>4</v>
      </c>
      <c r="S595">
        <v>165.34</v>
      </c>
    </row>
    <row r="596" spans="1:19" x14ac:dyDescent="0.25">
      <c r="A596">
        <v>600</v>
      </c>
      <c r="B596" t="s">
        <v>121</v>
      </c>
      <c r="C596" t="s">
        <v>416</v>
      </c>
      <c r="D596" t="s">
        <v>850</v>
      </c>
      <c r="E596">
        <v>42</v>
      </c>
      <c r="F596" t="str" cm="1">
        <f t="array" ref="F596">INDEX(Country!$B$3:$B$250, MATCH(TRUE, ISNUMBER(SEARCH(Country!$A$2:$A$509, Customer_Data[[#This Row],[Country]])),0 ))</f>
        <v>Africa</v>
      </c>
      <c r="G596" t="s">
        <v>1036</v>
      </c>
      <c r="H596" t="s">
        <v>1666</v>
      </c>
      <c r="I596" t="s">
        <v>2643</v>
      </c>
      <c r="J596" t="s">
        <v>3635</v>
      </c>
      <c r="K596" s="1">
        <v>44896</v>
      </c>
      <c r="L596">
        <f>YEAR(Customer_Data[[#This Row],[LastPurchaseDate]])</f>
        <v>2024</v>
      </c>
      <c r="M596">
        <f>MONTH(Customer_Data[[#This Row],[LastPurchaseDate]])</f>
        <v>6</v>
      </c>
      <c r="N596" s="7">
        <v>45455</v>
      </c>
      <c r="O596">
        <v>17</v>
      </c>
      <c r="P596" s="4">
        <v>9455.51</v>
      </c>
      <c r="Q596" t="s">
        <v>4034</v>
      </c>
      <c r="R596">
        <v>5</v>
      </c>
      <c r="S596">
        <v>556.21</v>
      </c>
    </row>
    <row r="597" spans="1:19" x14ac:dyDescent="0.25">
      <c r="A597">
        <v>601</v>
      </c>
      <c r="B597" t="s">
        <v>53</v>
      </c>
      <c r="C597" t="s">
        <v>379</v>
      </c>
      <c r="D597" t="s">
        <v>850</v>
      </c>
      <c r="E597">
        <v>43</v>
      </c>
      <c r="F597" t="str" cm="1">
        <f t="array" ref="F597">INDEX(Country!$B$3:$B$250, MATCH(TRUE, ISNUMBER(SEARCH(Country!$A$2:$A$509, Customer_Data[[#This Row],[Country]])),0 ))</f>
        <v>Oceania</v>
      </c>
      <c r="G597" t="s">
        <v>1042</v>
      </c>
      <c r="H597" t="s">
        <v>1667</v>
      </c>
      <c r="I597" t="s">
        <v>2644</v>
      </c>
      <c r="J597" t="s">
        <v>3636</v>
      </c>
      <c r="K597" s="1">
        <v>45826</v>
      </c>
      <c r="L597">
        <f>YEAR(Customer_Data[[#This Row],[LastPurchaseDate]])</f>
        <v>2024</v>
      </c>
      <c r="M597">
        <f>MONTH(Customer_Data[[#This Row],[LastPurchaseDate]])</f>
        <v>7</v>
      </c>
      <c r="N597" s="7">
        <v>45484</v>
      </c>
      <c r="O597">
        <v>23</v>
      </c>
      <c r="P597" s="4">
        <v>2844.05</v>
      </c>
      <c r="Q597" t="s">
        <v>4034</v>
      </c>
      <c r="R597">
        <v>5</v>
      </c>
      <c r="S597">
        <v>123.65</v>
      </c>
    </row>
    <row r="598" spans="1:19" x14ac:dyDescent="0.25">
      <c r="A598">
        <v>602</v>
      </c>
      <c r="B598" t="s">
        <v>103</v>
      </c>
      <c r="C598" t="s">
        <v>701</v>
      </c>
      <c r="D598" t="s">
        <v>851</v>
      </c>
      <c r="E598">
        <v>66</v>
      </c>
      <c r="F598" t="str" cm="1">
        <f t="array" ref="F598">INDEX(Country!$B$3:$B$250, MATCH(TRUE, ISNUMBER(SEARCH(Country!$A$2:$A$509, Customer_Data[[#This Row],[Country]])),0 ))</f>
        <v>North America</v>
      </c>
      <c r="G598" t="s">
        <v>889</v>
      </c>
      <c r="H598" t="s">
        <v>1668</v>
      </c>
      <c r="I598" t="s">
        <v>2645</v>
      </c>
      <c r="J598" t="s">
        <v>3637</v>
      </c>
      <c r="K598" s="1">
        <v>44970</v>
      </c>
      <c r="L598">
        <f>YEAR(Customer_Data[[#This Row],[LastPurchaseDate]])</f>
        <v>2024</v>
      </c>
      <c r="M598">
        <f>MONTH(Customer_Data[[#This Row],[LastPurchaseDate]])</f>
        <v>2</v>
      </c>
      <c r="N598" s="7">
        <v>45349</v>
      </c>
      <c r="O598">
        <v>45</v>
      </c>
      <c r="P598" s="4">
        <v>4919.97</v>
      </c>
      <c r="Q598" t="s">
        <v>4034</v>
      </c>
      <c r="R598">
        <v>2</v>
      </c>
      <c r="S598">
        <v>109.33</v>
      </c>
    </row>
    <row r="599" spans="1:19" x14ac:dyDescent="0.25">
      <c r="A599">
        <v>603</v>
      </c>
      <c r="B599" t="s">
        <v>288</v>
      </c>
      <c r="C599" t="s">
        <v>702</v>
      </c>
      <c r="D599" t="s">
        <v>851</v>
      </c>
      <c r="E599">
        <v>21</v>
      </c>
      <c r="F599" t="str" cm="1">
        <f t="array" ref="F599">INDEX(Country!$B$3:$B$250, MATCH(TRUE, ISNUMBER(SEARCH(Country!$A$2:$A$509, Customer_Data[[#This Row],[Country]])),0 ))</f>
        <v>Africa</v>
      </c>
      <c r="G599" t="s">
        <v>1061</v>
      </c>
      <c r="H599" t="s">
        <v>1669</v>
      </c>
      <c r="I599" t="s">
        <v>2646</v>
      </c>
      <c r="J599" t="s">
        <v>3638</v>
      </c>
      <c r="K599" s="1">
        <v>45398</v>
      </c>
      <c r="L599">
        <f>YEAR(Customer_Data[[#This Row],[LastPurchaseDate]])</f>
        <v>2024</v>
      </c>
      <c r="M599">
        <f>MONTH(Customer_Data[[#This Row],[LastPurchaseDate]])</f>
        <v>6</v>
      </c>
      <c r="N599" s="7">
        <v>45464</v>
      </c>
      <c r="O599">
        <v>45</v>
      </c>
      <c r="P599" s="4">
        <v>2051.25</v>
      </c>
      <c r="Q599" t="s">
        <v>4034</v>
      </c>
      <c r="R599">
        <v>3</v>
      </c>
      <c r="S599">
        <v>45.58</v>
      </c>
    </row>
    <row r="600" spans="1:19" x14ac:dyDescent="0.25">
      <c r="A600">
        <v>604</v>
      </c>
      <c r="B600" t="s">
        <v>183</v>
      </c>
      <c r="C600" t="s">
        <v>578</v>
      </c>
      <c r="D600" t="s">
        <v>851</v>
      </c>
      <c r="E600">
        <v>74</v>
      </c>
      <c r="F600" t="str" cm="1">
        <f t="array" ref="F600">INDEX(Country!$B$3:$B$250, MATCH(TRUE, ISNUMBER(SEARCH(Country!$A$2:$A$509, Customer_Data[[#This Row],[Country]])),0 ))</f>
        <v>Europe</v>
      </c>
      <c r="G600" t="s">
        <v>1072</v>
      </c>
      <c r="H600" t="s">
        <v>1670</v>
      </c>
      <c r="I600" t="s">
        <v>2647</v>
      </c>
      <c r="J600" t="s">
        <v>3639</v>
      </c>
      <c r="K600" s="1">
        <v>44866</v>
      </c>
      <c r="L600">
        <f>YEAR(Customer_Data[[#This Row],[LastPurchaseDate]])</f>
        <v>2025</v>
      </c>
      <c r="M600">
        <f>MONTH(Customer_Data[[#This Row],[LastPurchaseDate]])</f>
        <v>2</v>
      </c>
      <c r="N600" s="7">
        <v>45693</v>
      </c>
      <c r="O600">
        <v>41</v>
      </c>
      <c r="P600" s="4">
        <v>1850.86</v>
      </c>
      <c r="Q600" t="s">
        <v>4034</v>
      </c>
      <c r="R600">
        <v>3</v>
      </c>
      <c r="S600">
        <v>45.14</v>
      </c>
    </row>
    <row r="601" spans="1:19" x14ac:dyDescent="0.25">
      <c r="A601">
        <v>605</v>
      </c>
      <c r="B601" t="s">
        <v>43</v>
      </c>
      <c r="C601" t="s">
        <v>379</v>
      </c>
      <c r="D601" t="s">
        <v>852</v>
      </c>
      <c r="E601">
        <v>72</v>
      </c>
      <c r="F601" t="str" cm="1">
        <f t="array" ref="F601">INDEX(Country!$B$3:$B$250, MATCH(TRUE, ISNUMBER(SEARCH(Country!$A$2:$A$509, Customer_Data[[#This Row],[Country]])),0 ))</f>
        <v>Africa</v>
      </c>
      <c r="G601" t="s">
        <v>1037</v>
      </c>
      <c r="H601" t="s">
        <v>1671</v>
      </c>
      <c r="I601" t="s">
        <v>2648</v>
      </c>
      <c r="J601" t="s">
        <v>3640</v>
      </c>
      <c r="K601" s="1">
        <v>45721</v>
      </c>
      <c r="L601">
        <f>YEAR(Customer_Data[[#This Row],[LastPurchaseDate]])</f>
        <v>2025</v>
      </c>
      <c r="M601">
        <f>MONTH(Customer_Data[[#This Row],[LastPurchaseDate]])</f>
        <v>9</v>
      </c>
      <c r="N601" s="7">
        <v>45909</v>
      </c>
      <c r="O601">
        <v>25</v>
      </c>
      <c r="P601" s="4">
        <v>1304.3900000000001</v>
      </c>
      <c r="Q601" t="s">
        <v>4035</v>
      </c>
      <c r="R601">
        <v>1</v>
      </c>
      <c r="S601">
        <v>52.18</v>
      </c>
    </row>
    <row r="602" spans="1:19" x14ac:dyDescent="0.25">
      <c r="A602">
        <v>606</v>
      </c>
      <c r="B602" t="s">
        <v>37</v>
      </c>
      <c r="C602" t="s">
        <v>91</v>
      </c>
      <c r="D602" t="s">
        <v>850</v>
      </c>
      <c r="E602">
        <v>48</v>
      </c>
      <c r="F602" t="str" cm="1">
        <f t="array" ref="F602">INDEX(Country!$B$3:$B$250, MATCH(TRUE, ISNUMBER(SEARCH(Country!$A$2:$A$509, Customer_Data[[#This Row],[Country]])),0 ))</f>
        <v>North America</v>
      </c>
      <c r="G602" t="s">
        <v>1073</v>
      </c>
      <c r="H602" t="s">
        <v>1672</v>
      </c>
      <c r="I602" t="s">
        <v>2649</v>
      </c>
      <c r="J602" t="s">
        <v>3641</v>
      </c>
      <c r="K602" s="1">
        <v>45361</v>
      </c>
      <c r="L602">
        <f>YEAR(Customer_Data[[#This Row],[LastPurchaseDate]])</f>
        <v>2025</v>
      </c>
      <c r="M602">
        <f>MONTH(Customer_Data[[#This Row],[LastPurchaseDate]])</f>
        <v>7</v>
      </c>
      <c r="N602" s="7">
        <v>45853</v>
      </c>
      <c r="O602">
        <v>35</v>
      </c>
      <c r="P602" s="4">
        <v>6600.17</v>
      </c>
      <c r="Q602" t="s">
        <v>4034</v>
      </c>
      <c r="R602">
        <v>4</v>
      </c>
      <c r="S602">
        <v>188.58</v>
      </c>
    </row>
    <row r="603" spans="1:19" x14ac:dyDescent="0.25">
      <c r="A603">
        <v>607</v>
      </c>
      <c r="B603" t="s">
        <v>103</v>
      </c>
      <c r="C603" t="s">
        <v>670</v>
      </c>
      <c r="D603" t="s">
        <v>851</v>
      </c>
      <c r="E603">
        <v>53</v>
      </c>
      <c r="F603" t="str" cm="1">
        <f t="array" ref="F603">INDEX(Country!$B$3:$B$250, MATCH(TRUE, ISNUMBER(SEARCH(Country!$A$2:$A$509, Customer_Data[[#This Row],[Country]])),0 ))</f>
        <v>North America</v>
      </c>
      <c r="G603" t="s">
        <v>938</v>
      </c>
      <c r="H603" t="s">
        <v>1673</v>
      </c>
      <c r="I603" t="s">
        <v>2650</v>
      </c>
      <c r="J603" t="s">
        <v>3642</v>
      </c>
      <c r="K603" s="1">
        <v>45157</v>
      </c>
      <c r="L603">
        <f>YEAR(Customer_Data[[#This Row],[LastPurchaseDate]])</f>
        <v>2024</v>
      </c>
      <c r="M603">
        <f>MONTH(Customer_Data[[#This Row],[LastPurchaseDate]])</f>
        <v>5</v>
      </c>
      <c r="N603" s="7">
        <v>45416</v>
      </c>
      <c r="O603">
        <v>44</v>
      </c>
      <c r="P603" s="4">
        <v>7352.76</v>
      </c>
      <c r="Q603" t="s">
        <v>4035</v>
      </c>
      <c r="R603">
        <v>4</v>
      </c>
      <c r="S603">
        <v>167.11</v>
      </c>
    </row>
    <row r="604" spans="1:19" x14ac:dyDescent="0.25">
      <c r="A604">
        <v>608</v>
      </c>
      <c r="B604" t="s">
        <v>289</v>
      </c>
      <c r="C604" t="s">
        <v>414</v>
      </c>
      <c r="D604" t="s">
        <v>850</v>
      </c>
      <c r="E604">
        <v>56</v>
      </c>
      <c r="F604" t="str" cm="1">
        <f t="array" ref="F604">INDEX(Country!$B$3:$B$250, MATCH(TRUE, ISNUMBER(SEARCH(Country!$A$2:$A$509, Customer_Data[[#This Row],[Country]])),0 ))</f>
        <v>Europe</v>
      </c>
      <c r="G604" t="s">
        <v>953</v>
      </c>
      <c r="H604" t="s">
        <v>1674</v>
      </c>
      <c r="I604" t="s">
        <v>2651</v>
      </c>
      <c r="J604" t="s">
        <v>3643</v>
      </c>
      <c r="K604" s="1">
        <v>45941</v>
      </c>
      <c r="L604">
        <f>YEAR(Customer_Data[[#This Row],[LastPurchaseDate]])</f>
        <v>2025</v>
      </c>
      <c r="M604">
        <f>MONTH(Customer_Data[[#This Row],[LastPurchaseDate]])</f>
        <v>6</v>
      </c>
      <c r="N604" s="7">
        <v>45834</v>
      </c>
      <c r="O604">
        <v>24</v>
      </c>
      <c r="P604" s="4">
        <v>1568.51</v>
      </c>
      <c r="Q604" t="s">
        <v>4034</v>
      </c>
      <c r="R604">
        <v>5</v>
      </c>
      <c r="S604">
        <v>65.349999999999994</v>
      </c>
    </row>
    <row r="605" spans="1:19" x14ac:dyDescent="0.25">
      <c r="A605">
        <v>609</v>
      </c>
      <c r="B605" t="s">
        <v>290</v>
      </c>
      <c r="C605" t="s">
        <v>453</v>
      </c>
      <c r="D605" t="s">
        <v>851</v>
      </c>
      <c r="E605">
        <v>35</v>
      </c>
      <c r="F605" t="str" cm="1">
        <f t="array" ref="F605">INDEX(Country!$B$3:$B$250, MATCH(TRUE, ISNUMBER(SEARCH(Country!$A$2:$A$509, Customer_Data[[#This Row],[Country]])),0 ))</f>
        <v>Africa</v>
      </c>
      <c r="G605" t="s">
        <v>1074</v>
      </c>
      <c r="H605" t="s">
        <v>1675</v>
      </c>
      <c r="I605" t="s">
        <v>2652</v>
      </c>
      <c r="J605" t="s">
        <v>3644</v>
      </c>
      <c r="K605" s="1">
        <v>45779</v>
      </c>
      <c r="L605">
        <f>YEAR(Customer_Data[[#This Row],[LastPurchaseDate]])</f>
        <v>2023</v>
      </c>
      <c r="M605">
        <f>MONTH(Customer_Data[[#This Row],[LastPurchaseDate]])</f>
        <v>12</v>
      </c>
      <c r="N605" s="7">
        <v>45268</v>
      </c>
      <c r="O605">
        <v>9</v>
      </c>
      <c r="P605" s="4">
        <v>7801</v>
      </c>
      <c r="Q605" t="s">
        <v>4035</v>
      </c>
      <c r="R605">
        <v>3</v>
      </c>
      <c r="S605">
        <v>866.78</v>
      </c>
    </row>
    <row r="606" spans="1:19" x14ac:dyDescent="0.25">
      <c r="A606">
        <v>610</v>
      </c>
      <c r="B606" t="s">
        <v>84</v>
      </c>
      <c r="C606" t="s">
        <v>456</v>
      </c>
      <c r="D606" t="s">
        <v>850</v>
      </c>
      <c r="E606">
        <v>19</v>
      </c>
      <c r="F606" t="str" cm="1">
        <f t="array" ref="F606">INDEX(Country!$B$3:$B$250, MATCH(TRUE, ISNUMBER(SEARCH(Country!$A$2:$A$509, Customer_Data[[#This Row],[Country]])),0 ))</f>
        <v>Asia</v>
      </c>
      <c r="G606" t="s">
        <v>1075</v>
      </c>
      <c r="H606" t="s">
        <v>1676</v>
      </c>
      <c r="I606" t="s">
        <v>2653</v>
      </c>
      <c r="J606" t="s">
        <v>3645</v>
      </c>
      <c r="K606" s="1">
        <v>44883</v>
      </c>
      <c r="L606">
        <f>YEAR(Customer_Data[[#This Row],[LastPurchaseDate]])</f>
        <v>2025</v>
      </c>
      <c r="M606">
        <f>MONTH(Customer_Data[[#This Row],[LastPurchaseDate]])</f>
        <v>6</v>
      </c>
      <c r="N606" s="7">
        <v>45812</v>
      </c>
      <c r="O606">
        <v>13</v>
      </c>
      <c r="P606" s="4">
        <v>4191.82</v>
      </c>
      <c r="Q606" t="s">
        <v>4035</v>
      </c>
      <c r="R606">
        <v>4</v>
      </c>
      <c r="S606">
        <v>322.45</v>
      </c>
    </row>
    <row r="607" spans="1:19" x14ac:dyDescent="0.25">
      <c r="A607">
        <v>611</v>
      </c>
      <c r="B607" t="s">
        <v>79</v>
      </c>
      <c r="C607" t="s">
        <v>703</v>
      </c>
      <c r="D607" t="s">
        <v>850</v>
      </c>
      <c r="E607">
        <v>38</v>
      </c>
      <c r="F607" t="str" cm="1">
        <f t="array" ref="F607">INDEX(Country!$B$3:$B$250, MATCH(TRUE, ISNUMBER(SEARCH(Country!$A$2:$A$509, Customer_Data[[#This Row],[Country]])),0 ))</f>
        <v>Africa</v>
      </c>
      <c r="G607" t="s">
        <v>868</v>
      </c>
      <c r="H607" t="s">
        <v>1677</v>
      </c>
      <c r="I607" t="s">
        <v>2654</v>
      </c>
      <c r="J607" t="s">
        <v>3646</v>
      </c>
      <c r="K607" s="1">
        <v>45023</v>
      </c>
      <c r="L607">
        <f>YEAR(Customer_Data[[#This Row],[LastPurchaseDate]])</f>
        <v>2024</v>
      </c>
      <c r="M607">
        <f>MONTH(Customer_Data[[#This Row],[LastPurchaseDate]])</f>
        <v>10</v>
      </c>
      <c r="N607" s="7">
        <v>45578</v>
      </c>
      <c r="O607">
        <v>3</v>
      </c>
      <c r="P607" s="4">
        <v>9527.69</v>
      </c>
      <c r="Q607" t="s">
        <v>4034</v>
      </c>
      <c r="R607">
        <v>3</v>
      </c>
      <c r="S607">
        <v>3175.9</v>
      </c>
    </row>
    <row r="608" spans="1:19" x14ac:dyDescent="0.25">
      <c r="A608">
        <v>612</v>
      </c>
      <c r="B608" t="s">
        <v>115</v>
      </c>
      <c r="C608" t="s">
        <v>704</v>
      </c>
      <c r="D608" t="s">
        <v>850</v>
      </c>
      <c r="E608">
        <v>22</v>
      </c>
      <c r="F608" t="str" cm="1">
        <f t="array" ref="F608">INDEX(Country!$B$3:$B$250, MATCH(TRUE, ISNUMBER(SEARCH(Country!$A$2:$A$509, Customer_Data[[#This Row],[Country]])),0 ))</f>
        <v>Asia</v>
      </c>
      <c r="G608" t="s">
        <v>1054</v>
      </c>
      <c r="H608" t="s">
        <v>1678</v>
      </c>
      <c r="I608" t="s">
        <v>2655</v>
      </c>
      <c r="J608" t="s">
        <v>3647</v>
      </c>
      <c r="K608" s="1">
        <v>44954</v>
      </c>
      <c r="L608">
        <f>YEAR(Customer_Data[[#This Row],[LastPurchaseDate]])</f>
        <v>2024</v>
      </c>
      <c r="M608">
        <f>MONTH(Customer_Data[[#This Row],[LastPurchaseDate]])</f>
        <v>7</v>
      </c>
      <c r="N608" s="7">
        <v>45501</v>
      </c>
      <c r="O608">
        <v>25</v>
      </c>
      <c r="P608" s="4">
        <v>5182.1400000000003</v>
      </c>
      <c r="Q608" t="s">
        <v>4035</v>
      </c>
      <c r="R608">
        <v>3</v>
      </c>
      <c r="S608">
        <v>207.29</v>
      </c>
    </row>
    <row r="609" spans="1:19" x14ac:dyDescent="0.25">
      <c r="A609">
        <v>613</v>
      </c>
      <c r="B609" t="s">
        <v>291</v>
      </c>
      <c r="C609" t="s">
        <v>634</v>
      </c>
      <c r="D609" t="s">
        <v>851</v>
      </c>
      <c r="E609">
        <v>63</v>
      </c>
      <c r="F609" t="str" cm="1">
        <f t="array" ref="F609">INDEX(Country!$B$3:$B$250, MATCH(TRUE, ISNUMBER(SEARCH(Country!$A$2:$A$509, Customer_Data[[#This Row],[Country]])),0 ))</f>
        <v>North America</v>
      </c>
      <c r="G609" t="s">
        <v>1076</v>
      </c>
      <c r="H609" t="s">
        <v>1679</v>
      </c>
      <c r="I609" t="s">
        <v>2656</v>
      </c>
      <c r="J609" t="s">
        <v>3648</v>
      </c>
      <c r="K609" s="1">
        <v>45778</v>
      </c>
      <c r="L609">
        <f>YEAR(Customer_Data[[#This Row],[LastPurchaseDate]])</f>
        <v>2023</v>
      </c>
      <c r="M609">
        <f>MONTH(Customer_Data[[#This Row],[LastPurchaseDate]])</f>
        <v>12</v>
      </c>
      <c r="N609" s="7">
        <v>45266</v>
      </c>
      <c r="O609">
        <v>27</v>
      </c>
      <c r="P609" s="4">
        <v>4393.5600000000004</v>
      </c>
      <c r="Q609" t="s">
        <v>4034</v>
      </c>
      <c r="R609">
        <v>3</v>
      </c>
      <c r="S609">
        <v>162.72</v>
      </c>
    </row>
    <row r="610" spans="1:19" x14ac:dyDescent="0.25">
      <c r="A610">
        <v>614</v>
      </c>
      <c r="B610" t="s">
        <v>292</v>
      </c>
      <c r="C610" t="s">
        <v>705</v>
      </c>
      <c r="D610" t="s">
        <v>850</v>
      </c>
      <c r="E610">
        <v>37</v>
      </c>
      <c r="F610" t="str" cm="1">
        <f t="array" ref="F610">INDEX(Country!$B$3:$B$250, MATCH(TRUE, ISNUMBER(SEARCH(Country!$A$2:$A$509, Customer_Data[[#This Row],[Country]])),0 ))</f>
        <v>South America</v>
      </c>
      <c r="G610" t="s">
        <v>885</v>
      </c>
      <c r="H610" t="s">
        <v>1680</v>
      </c>
      <c r="I610" t="s">
        <v>2657</v>
      </c>
      <c r="J610" t="s">
        <v>3649</v>
      </c>
      <c r="K610" s="1">
        <v>45442</v>
      </c>
      <c r="L610">
        <f>YEAR(Customer_Data[[#This Row],[LastPurchaseDate]])</f>
        <v>2024</v>
      </c>
      <c r="M610">
        <f>MONTH(Customer_Data[[#This Row],[LastPurchaseDate]])</f>
        <v>5</v>
      </c>
      <c r="N610" s="7">
        <v>45428</v>
      </c>
      <c r="O610">
        <v>24</v>
      </c>
      <c r="P610" s="4">
        <v>7577.24</v>
      </c>
      <c r="Q610" t="s">
        <v>4035</v>
      </c>
      <c r="R610">
        <v>3</v>
      </c>
      <c r="S610">
        <v>315.72000000000003</v>
      </c>
    </row>
    <row r="611" spans="1:19" x14ac:dyDescent="0.25">
      <c r="A611">
        <v>615</v>
      </c>
      <c r="B611" t="s">
        <v>99</v>
      </c>
      <c r="C611" t="s">
        <v>307</v>
      </c>
      <c r="D611" t="s">
        <v>850</v>
      </c>
      <c r="E611">
        <v>30</v>
      </c>
      <c r="F611" t="str" cm="1">
        <f t="array" ref="F611">INDEX(Country!$B$3:$B$250, MATCH(TRUE, ISNUMBER(SEARCH(Country!$A$2:$A$509, Customer_Data[[#This Row],[Country]])),0 ))</f>
        <v>North America</v>
      </c>
      <c r="G611" t="s">
        <v>860</v>
      </c>
      <c r="H611" t="s">
        <v>1681</v>
      </c>
      <c r="I611" t="s">
        <v>2658</v>
      </c>
      <c r="J611" t="s">
        <v>3650</v>
      </c>
      <c r="K611" s="1">
        <v>45475</v>
      </c>
      <c r="L611">
        <f>YEAR(Customer_Data[[#This Row],[LastPurchaseDate]])</f>
        <v>2025</v>
      </c>
      <c r="M611">
        <f>MONTH(Customer_Data[[#This Row],[LastPurchaseDate]])</f>
        <v>1</v>
      </c>
      <c r="N611" s="7">
        <v>45663</v>
      </c>
      <c r="O611">
        <v>29</v>
      </c>
      <c r="P611" s="4">
        <v>1360.96</v>
      </c>
      <c r="Q611" t="s">
        <v>4035</v>
      </c>
      <c r="R611">
        <v>4</v>
      </c>
      <c r="S611">
        <v>46.93</v>
      </c>
    </row>
    <row r="612" spans="1:19" x14ac:dyDescent="0.25">
      <c r="A612">
        <v>616</v>
      </c>
      <c r="B612" t="s">
        <v>55</v>
      </c>
      <c r="C612" t="s">
        <v>436</v>
      </c>
      <c r="D612" t="s">
        <v>851</v>
      </c>
      <c r="E612">
        <v>36</v>
      </c>
      <c r="F612" t="str" cm="1">
        <f t="array" ref="F612">INDEX(Country!$B$3:$B$250, MATCH(TRUE, ISNUMBER(SEARCH(Country!$A$2:$A$509, Customer_Data[[#This Row],[Country]])),0 ))</f>
        <v>Africa</v>
      </c>
      <c r="G612" t="s">
        <v>1050</v>
      </c>
      <c r="H612" t="s">
        <v>1682</v>
      </c>
      <c r="I612" t="s">
        <v>2659</v>
      </c>
      <c r="J612" t="s">
        <v>3651</v>
      </c>
      <c r="K612" s="1">
        <v>45119</v>
      </c>
      <c r="L612">
        <f>YEAR(Customer_Data[[#This Row],[LastPurchaseDate]])</f>
        <v>2025</v>
      </c>
      <c r="M612">
        <f>MONTH(Customer_Data[[#This Row],[LastPurchaseDate]])</f>
        <v>1</v>
      </c>
      <c r="N612" s="7">
        <v>45669</v>
      </c>
      <c r="O612">
        <v>28</v>
      </c>
      <c r="P612" s="4">
        <v>444.17</v>
      </c>
      <c r="Q612" t="s">
        <v>4035</v>
      </c>
      <c r="R612">
        <v>5</v>
      </c>
      <c r="S612">
        <v>15.86</v>
      </c>
    </row>
    <row r="613" spans="1:19" x14ac:dyDescent="0.25">
      <c r="A613">
        <v>617</v>
      </c>
      <c r="B613" t="s">
        <v>43</v>
      </c>
      <c r="C613" t="s">
        <v>76</v>
      </c>
      <c r="D613" t="s">
        <v>851</v>
      </c>
      <c r="E613">
        <v>44</v>
      </c>
      <c r="F613" t="str" cm="1">
        <f t="array" ref="F613">INDEX(Country!$B$3:$B$250, MATCH(TRUE, ISNUMBER(SEARCH(Country!$A$2:$A$509, Customer_Data[[#This Row],[Country]])),0 ))</f>
        <v>North America</v>
      </c>
      <c r="G613" t="s">
        <v>976</v>
      </c>
      <c r="H613" t="s">
        <v>1683</v>
      </c>
      <c r="I613" t="s">
        <v>2660</v>
      </c>
      <c r="J613" t="s">
        <v>3652</v>
      </c>
      <c r="K613" s="1">
        <v>45538</v>
      </c>
      <c r="L613">
        <f>YEAR(Customer_Data[[#This Row],[LastPurchaseDate]])</f>
        <v>2025</v>
      </c>
      <c r="M613">
        <f>MONTH(Customer_Data[[#This Row],[LastPurchaseDate]])</f>
        <v>3</v>
      </c>
      <c r="N613" s="7">
        <v>45729</v>
      </c>
      <c r="O613">
        <v>13</v>
      </c>
      <c r="P613" s="4">
        <v>9245.8700000000008</v>
      </c>
      <c r="Q613" t="s">
        <v>4034</v>
      </c>
      <c r="R613">
        <v>2</v>
      </c>
      <c r="S613">
        <v>711.22</v>
      </c>
    </row>
    <row r="614" spans="1:19" x14ac:dyDescent="0.25">
      <c r="A614">
        <v>618</v>
      </c>
      <c r="B614" t="s">
        <v>99</v>
      </c>
      <c r="C614" t="s">
        <v>706</v>
      </c>
      <c r="D614" t="s">
        <v>851</v>
      </c>
      <c r="E614">
        <v>26</v>
      </c>
      <c r="F614" t="str" cm="1">
        <f t="array" ref="F614">INDEX(Country!$B$3:$B$250, MATCH(TRUE, ISNUMBER(SEARCH(Country!$A$2:$A$509, Customer_Data[[#This Row],[Country]])),0 ))</f>
        <v>Antarctica</v>
      </c>
      <c r="G614" t="s">
        <v>1077</v>
      </c>
      <c r="H614" t="s">
        <v>1684</v>
      </c>
      <c r="I614" t="s">
        <v>2661</v>
      </c>
      <c r="J614" t="s">
        <v>3653</v>
      </c>
      <c r="K614" s="1">
        <v>45568</v>
      </c>
      <c r="L614">
        <f>YEAR(Customer_Data[[#This Row],[LastPurchaseDate]])</f>
        <v>2025</v>
      </c>
      <c r="M614">
        <f>MONTH(Customer_Data[[#This Row],[LastPurchaseDate]])</f>
        <v>9</v>
      </c>
      <c r="N614" s="7">
        <v>45917</v>
      </c>
      <c r="O614">
        <v>40</v>
      </c>
      <c r="P614" s="4">
        <v>1806.33</v>
      </c>
      <c r="Q614" t="s">
        <v>4035</v>
      </c>
      <c r="R614">
        <v>5</v>
      </c>
      <c r="S614">
        <v>45.16</v>
      </c>
    </row>
    <row r="615" spans="1:19" x14ac:dyDescent="0.25">
      <c r="A615">
        <v>619</v>
      </c>
      <c r="B615" t="s">
        <v>19</v>
      </c>
      <c r="C615" t="s">
        <v>386</v>
      </c>
      <c r="D615" t="s">
        <v>850</v>
      </c>
      <c r="E615">
        <v>52</v>
      </c>
      <c r="F615" t="str" cm="1">
        <f t="array" ref="F615">INDEX(Country!$B$3:$B$250, MATCH(TRUE, ISNUMBER(SEARCH(Country!$A$2:$A$509, Customer_Data[[#This Row],[Country]])),0 ))</f>
        <v>Asia</v>
      </c>
      <c r="G615" t="s">
        <v>905</v>
      </c>
      <c r="H615" t="s">
        <v>1685</v>
      </c>
      <c r="I615" t="s">
        <v>2662</v>
      </c>
      <c r="J615" t="s">
        <v>3654</v>
      </c>
      <c r="K615" s="1">
        <v>45259</v>
      </c>
      <c r="L615">
        <f>YEAR(Customer_Data[[#This Row],[LastPurchaseDate]])</f>
        <v>2025</v>
      </c>
      <c r="M615">
        <f>MONTH(Customer_Data[[#This Row],[LastPurchaseDate]])</f>
        <v>9</v>
      </c>
      <c r="N615" s="7">
        <v>45917</v>
      </c>
      <c r="O615">
        <v>7</v>
      </c>
      <c r="P615" s="4">
        <v>1655.5</v>
      </c>
      <c r="Q615" t="s">
        <v>4034</v>
      </c>
      <c r="R615">
        <v>3</v>
      </c>
      <c r="S615">
        <v>236.5</v>
      </c>
    </row>
    <row r="616" spans="1:19" x14ac:dyDescent="0.25">
      <c r="A616">
        <v>620</v>
      </c>
      <c r="B616" t="s">
        <v>153</v>
      </c>
      <c r="C616" t="s">
        <v>482</v>
      </c>
      <c r="D616" t="s">
        <v>850</v>
      </c>
      <c r="E616">
        <v>67</v>
      </c>
      <c r="F616" t="str" cm="1">
        <f t="array" ref="F616">INDEX(Country!$B$3:$B$250, MATCH(TRUE, ISNUMBER(SEARCH(Country!$A$2:$A$509, Customer_Data[[#This Row],[Country]])),0 ))</f>
        <v>Africa</v>
      </c>
      <c r="G616" t="s">
        <v>962</v>
      </c>
      <c r="H616" t="s">
        <v>1686</v>
      </c>
      <c r="I616" t="s">
        <v>2663</v>
      </c>
      <c r="J616" t="s">
        <v>3655</v>
      </c>
      <c r="K616" s="1">
        <v>45247</v>
      </c>
      <c r="L616">
        <f>YEAR(Customer_Data[[#This Row],[LastPurchaseDate]])</f>
        <v>2025</v>
      </c>
      <c r="M616">
        <f>MONTH(Customer_Data[[#This Row],[LastPurchaseDate]])</f>
        <v>3</v>
      </c>
      <c r="N616" s="7">
        <v>45737</v>
      </c>
      <c r="O616">
        <v>36</v>
      </c>
      <c r="P616" s="4">
        <v>9790.8799999999992</v>
      </c>
      <c r="Q616" t="s">
        <v>4034</v>
      </c>
      <c r="R616">
        <v>1</v>
      </c>
      <c r="S616">
        <v>271.97000000000003</v>
      </c>
    </row>
    <row r="617" spans="1:19" x14ac:dyDescent="0.25">
      <c r="A617">
        <v>621</v>
      </c>
      <c r="B617" t="s">
        <v>101</v>
      </c>
      <c r="C617" t="s">
        <v>104</v>
      </c>
      <c r="D617" t="s">
        <v>850</v>
      </c>
      <c r="E617">
        <v>53</v>
      </c>
      <c r="F617" t="str" cm="1">
        <f t="array" ref="F617">INDEX(Country!$B$3:$B$250, MATCH(TRUE, ISNUMBER(SEARCH(Country!$A$2:$A$509, Customer_Data[[#This Row],[Country]])),0 ))</f>
        <v>Europe</v>
      </c>
      <c r="G617" t="s">
        <v>1029</v>
      </c>
      <c r="H617" t="s">
        <v>1687</v>
      </c>
      <c r="I617" t="s">
        <v>2664</v>
      </c>
      <c r="J617" t="s">
        <v>3656</v>
      </c>
      <c r="K617" s="1">
        <v>45314</v>
      </c>
      <c r="L617">
        <f>YEAR(Customer_Data[[#This Row],[LastPurchaseDate]])</f>
        <v>2024</v>
      </c>
      <c r="M617">
        <f>MONTH(Customer_Data[[#This Row],[LastPurchaseDate]])</f>
        <v>4</v>
      </c>
      <c r="N617" s="7">
        <v>45385</v>
      </c>
      <c r="O617">
        <v>26</v>
      </c>
      <c r="P617" s="4">
        <v>2389.0500000000002</v>
      </c>
      <c r="Q617" t="s">
        <v>4035</v>
      </c>
      <c r="R617">
        <v>4</v>
      </c>
      <c r="S617">
        <v>91.89</v>
      </c>
    </row>
    <row r="618" spans="1:19" x14ac:dyDescent="0.25">
      <c r="A618">
        <v>622</v>
      </c>
      <c r="B618" t="s">
        <v>213</v>
      </c>
      <c r="C618" t="s">
        <v>408</v>
      </c>
      <c r="D618" t="s">
        <v>851</v>
      </c>
      <c r="E618">
        <v>50</v>
      </c>
      <c r="F618" t="str" cm="1">
        <f t="array" ref="F618">INDEX(Country!$B$3:$B$250, MATCH(TRUE, ISNUMBER(SEARCH(Country!$A$2:$A$509, Customer_Data[[#This Row],[Country]])),0 ))</f>
        <v>Oceania</v>
      </c>
      <c r="G618" t="s">
        <v>930</v>
      </c>
      <c r="H618" t="s">
        <v>1688</v>
      </c>
      <c r="I618" t="s">
        <v>2665</v>
      </c>
      <c r="J618" t="s">
        <v>3657</v>
      </c>
      <c r="K618" s="1">
        <v>45271</v>
      </c>
      <c r="L618">
        <f>YEAR(Customer_Data[[#This Row],[LastPurchaseDate]])</f>
        <v>2025</v>
      </c>
      <c r="M618">
        <f>MONTH(Customer_Data[[#This Row],[LastPurchaseDate]])</f>
        <v>3</v>
      </c>
      <c r="N618" s="7">
        <v>45718</v>
      </c>
      <c r="O618">
        <v>16</v>
      </c>
      <c r="P618" s="4">
        <v>6634.52</v>
      </c>
      <c r="Q618" t="s">
        <v>4035</v>
      </c>
      <c r="R618">
        <v>3</v>
      </c>
      <c r="S618">
        <v>414.66</v>
      </c>
    </row>
    <row r="619" spans="1:19" x14ac:dyDescent="0.25">
      <c r="A619">
        <v>623</v>
      </c>
      <c r="B619" t="s">
        <v>86</v>
      </c>
      <c r="C619" t="s">
        <v>707</v>
      </c>
      <c r="D619" t="s">
        <v>850</v>
      </c>
      <c r="E619">
        <v>54</v>
      </c>
      <c r="F619" t="str" cm="1">
        <f t="array" ref="F619">INDEX(Country!$B$3:$B$250, MATCH(TRUE, ISNUMBER(SEARCH(Country!$A$2:$A$509, Customer_Data[[#This Row],[Country]])),0 ))</f>
        <v>Europe</v>
      </c>
      <c r="G619" t="s">
        <v>998</v>
      </c>
      <c r="H619" t="s">
        <v>1689</v>
      </c>
      <c r="I619" t="s">
        <v>2666</v>
      </c>
      <c r="J619" t="s">
        <v>3658</v>
      </c>
      <c r="K619" s="1">
        <v>45707</v>
      </c>
      <c r="L619">
        <f>YEAR(Customer_Data[[#This Row],[LastPurchaseDate]])</f>
        <v>2023</v>
      </c>
      <c r="M619">
        <f>MONTH(Customer_Data[[#This Row],[LastPurchaseDate]])</f>
        <v>12</v>
      </c>
      <c r="N619" s="7">
        <v>45269</v>
      </c>
      <c r="O619">
        <v>43</v>
      </c>
      <c r="P619" s="4">
        <v>8200.1200000000008</v>
      </c>
      <c r="Q619" t="s">
        <v>4035</v>
      </c>
      <c r="R619">
        <v>1</v>
      </c>
      <c r="S619">
        <v>190.7</v>
      </c>
    </row>
    <row r="620" spans="1:19" x14ac:dyDescent="0.25">
      <c r="A620">
        <v>624</v>
      </c>
      <c r="B620" t="s">
        <v>293</v>
      </c>
      <c r="C620" t="s">
        <v>708</v>
      </c>
      <c r="D620" t="s">
        <v>851</v>
      </c>
      <c r="E620">
        <v>59</v>
      </c>
      <c r="F620" t="str" cm="1">
        <f t="array" ref="F620">INDEX(Country!$B$3:$B$250, MATCH(TRUE, ISNUMBER(SEARCH(Country!$A$2:$A$509, Customer_Data[[#This Row],[Country]])),0 ))</f>
        <v>Antarctica</v>
      </c>
      <c r="G620" t="s">
        <v>1011</v>
      </c>
      <c r="H620" t="s">
        <v>1690</v>
      </c>
      <c r="I620" t="s">
        <v>2667</v>
      </c>
      <c r="J620" t="s">
        <v>3659</v>
      </c>
      <c r="K620" s="1">
        <v>45201</v>
      </c>
      <c r="L620">
        <f>YEAR(Customer_Data[[#This Row],[LastPurchaseDate]])</f>
        <v>2024</v>
      </c>
      <c r="M620">
        <f>MONTH(Customer_Data[[#This Row],[LastPurchaseDate]])</f>
        <v>7</v>
      </c>
      <c r="N620" s="7">
        <v>45475</v>
      </c>
      <c r="O620">
        <v>11</v>
      </c>
      <c r="P620" s="4">
        <v>1358.91</v>
      </c>
      <c r="Q620" t="s">
        <v>4035</v>
      </c>
      <c r="R620">
        <v>2</v>
      </c>
      <c r="S620">
        <v>123.54</v>
      </c>
    </row>
    <row r="621" spans="1:19" x14ac:dyDescent="0.25">
      <c r="A621">
        <v>625</v>
      </c>
      <c r="B621" t="s">
        <v>96</v>
      </c>
      <c r="C621" t="s">
        <v>709</v>
      </c>
      <c r="D621" t="s">
        <v>851</v>
      </c>
      <c r="E621">
        <v>24</v>
      </c>
      <c r="F621" t="str" cm="1">
        <f t="array" ref="F621">INDEX(Country!$B$3:$B$250, MATCH(TRUE, ISNUMBER(SEARCH(Country!$A$2:$A$509, Customer_Data[[#This Row],[Country]])),0 ))</f>
        <v>Africa</v>
      </c>
      <c r="G621" t="s">
        <v>1068</v>
      </c>
      <c r="H621" t="s">
        <v>1691</v>
      </c>
      <c r="I621" t="s">
        <v>2668</v>
      </c>
      <c r="J621" t="s">
        <v>3660</v>
      </c>
      <c r="K621" s="1">
        <v>45379</v>
      </c>
      <c r="L621">
        <f>YEAR(Customer_Data[[#This Row],[LastPurchaseDate]])</f>
        <v>2025</v>
      </c>
      <c r="M621">
        <f>MONTH(Customer_Data[[#This Row],[LastPurchaseDate]])</f>
        <v>1</v>
      </c>
      <c r="N621" s="7">
        <v>45660</v>
      </c>
      <c r="O621">
        <v>27</v>
      </c>
      <c r="P621" s="4">
        <v>6830.66</v>
      </c>
      <c r="Q621" t="s">
        <v>4034</v>
      </c>
      <c r="R621">
        <v>4</v>
      </c>
      <c r="S621">
        <v>252.99</v>
      </c>
    </row>
    <row r="622" spans="1:19" x14ac:dyDescent="0.25">
      <c r="A622">
        <v>626</v>
      </c>
      <c r="B622" t="s">
        <v>294</v>
      </c>
      <c r="C622" t="s">
        <v>416</v>
      </c>
      <c r="D622" t="s">
        <v>850</v>
      </c>
      <c r="E622">
        <v>41</v>
      </c>
      <c r="F622" t="str" cm="1">
        <f t="array" ref="F622">INDEX(Country!$B$3:$B$250, MATCH(TRUE, ISNUMBER(SEARCH(Country!$A$2:$A$509, Customer_Data[[#This Row],[Country]])),0 ))</f>
        <v>Asia</v>
      </c>
      <c r="G622" t="s">
        <v>893</v>
      </c>
      <c r="H622" t="s">
        <v>1692</v>
      </c>
      <c r="I622" t="s">
        <v>2669</v>
      </c>
      <c r="J622" t="s">
        <v>3661</v>
      </c>
      <c r="K622" s="1">
        <v>45734</v>
      </c>
      <c r="L622">
        <f>YEAR(Customer_Data[[#This Row],[LastPurchaseDate]])</f>
        <v>2024</v>
      </c>
      <c r="M622">
        <f>MONTH(Customer_Data[[#This Row],[LastPurchaseDate]])</f>
        <v>9</v>
      </c>
      <c r="N622" s="7">
        <v>45538</v>
      </c>
      <c r="O622">
        <v>45</v>
      </c>
      <c r="P622" s="4">
        <v>5305.91</v>
      </c>
      <c r="Q622" t="s">
        <v>4035</v>
      </c>
      <c r="R622">
        <v>4</v>
      </c>
      <c r="S622">
        <v>117.91</v>
      </c>
    </row>
    <row r="623" spans="1:19" x14ac:dyDescent="0.25">
      <c r="A623">
        <v>627</v>
      </c>
      <c r="B623" t="s">
        <v>220</v>
      </c>
      <c r="C623" t="s">
        <v>710</v>
      </c>
      <c r="D623" t="s">
        <v>851</v>
      </c>
      <c r="E623">
        <v>27</v>
      </c>
      <c r="F623" t="str" cm="1">
        <f t="array" ref="F623">INDEX(Country!$B$3:$B$250, MATCH(TRUE, ISNUMBER(SEARCH(Country!$A$2:$A$509, Customer_Data[[#This Row],[Country]])),0 ))</f>
        <v>North America</v>
      </c>
      <c r="G623" t="s">
        <v>906</v>
      </c>
      <c r="H623" t="s">
        <v>1488</v>
      </c>
      <c r="I623" t="s">
        <v>2670</v>
      </c>
      <c r="J623" t="s">
        <v>3662</v>
      </c>
      <c r="K623" s="1">
        <v>45636</v>
      </c>
      <c r="L623">
        <f>YEAR(Customer_Data[[#This Row],[LastPurchaseDate]])</f>
        <v>2024</v>
      </c>
      <c r="M623">
        <f>MONTH(Customer_Data[[#This Row],[LastPurchaseDate]])</f>
        <v>7</v>
      </c>
      <c r="N623" s="7">
        <v>45493</v>
      </c>
      <c r="O623">
        <v>44</v>
      </c>
      <c r="P623" s="4">
        <v>7668.13</v>
      </c>
      <c r="Q623" t="s">
        <v>4035</v>
      </c>
      <c r="R623">
        <v>3</v>
      </c>
      <c r="S623">
        <v>174.28</v>
      </c>
    </row>
    <row r="624" spans="1:19" x14ac:dyDescent="0.25">
      <c r="A624">
        <v>628</v>
      </c>
      <c r="B624" t="s">
        <v>295</v>
      </c>
      <c r="C624" t="s">
        <v>670</v>
      </c>
      <c r="D624" t="s">
        <v>850</v>
      </c>
      <c r="E624">
        <v>60</v>
      </c>
      <c r="F624" t="str" cm="1">
        <f t="array" ref="F624">INDEX(Country!$B$3:$B$250, MATCH(TRUE, ISNUMBER(SEARCH(Country!$A$2:$A$509, Customer_Data[[#This Row],[Country]])),0 ))</f>
        <v>Europe</v>
      </c>
      <c r="G624" t="s">
        <v>896</v>
      </c>
      <c r="H624" t="s">
        <v>1693</v>
      </c>
      <c r="I624" t="s">
        <v>2671</v>
      </c>
      <c r="J624" t="s">
        <v>3663</v>
      </c>
      <c r="K624" s="1">
        <v>45870</v>
      </c>
      <c r="L624">
        <f>YEAR(Customer_Data[[#This Row],[LastPurchaseDate]])</f>
        <v>2025</v>
      </c>
      <c r="M624">
        <f>MONTH(Customer_Data[[#This Row],[LastPurchaseDate]])</f>
        <v>7</v>
      </c>
      <c r="N624" s="7">
        <v>45866</v>
      </c>
      <c r="O624">
        <v>10</v>
      </c>
      <c r="P624" s="4">
        <v>9483.73</v>
      </c>
      <c r="Q624" t="s">
        <v>4035</v>
      </c>
      <c r="R624">
        <v>1</v>
      </c>
      <c r="S624">
        <v>948.37</v>
      </c>
    </row>
    <row r="625" spans="1:19" x14ac:dyDescent="0.25">
      <c r="A625">
        <v>629</v>
      </c>
      <c r="B625" t="s">
        <v>220</v>
      </c>
      <c r="C625" t="s">
        <v>411</v>
      </c>
      <c r="D625" t="s">
        <v>850</v>
      </c>
      <c r="E625">
        <v>70</v>
      </c>
      <c r="F625" t="str" cm="1">
        <f t="array" ref="F625">INDEX(Country!$B$3:$B$250, MATCH(TRUE, ISNUMBER(SEARCH(Country!$A$2:$A$509, Customer_Data[[#This Row],[Country]])),0 ))</f>
        <v>Europe</v>
      </c>
      <c r="G625" t="s">
        <v>982</v>
      </c>
      <c r="H625" t="s">
        <v>1694</v>
      </c>
      <c r="I625" t="s">
        <v>2672</v>
      </c>
      <c r="J625" t="s">
        <v>3664</v>
      </c>
      <c r="K625" s="1">
        <v>45223</v>
      </c>
      <c r="L625">
        <f>YEAR(Customer_Data[[#This Row],[LastPurchaseDate]])</f>
        <v>2025</v>
      </c>
      <c r="M625">
        <f>MONTH(Customer_Data[[#This Row],[LastPurchaseDate]])</f>
        <v>8</v>
      </c>
      <c r="N625" s="7">
        <v>45900</v>
      </c>
      <c r="O625">
        <v>46</v>
      </c>
      <c r="P625" s="4">
        <v>5756.87</v>
      </c>
      <c r="Q625" t="s">
        <v>4035</v>
      </c>
      <c r="R625">
        <v>2</v>
      </c>
      <c r="S625">
        <v>125.15</v>
      </c>
    </row>
    <row r="626" spans="1:19" x14ac:dyDescent="0.25">
      <c r="A626">
        <v>630</v>
      </c>
      <c r="B626" t="s">
        <v>41</v>
      </c>
      <c r="C626" t="s">
        <v>595</v>
      </c>
      <c r="D626" t="s">
        <v>852</v>
      </c>
      <c r="E626">
        <v>45</v>
      </c>
      <c r="F626" t="str" cm="1">
        <f t="array" ref="F626">INDEX(Country!$B$3:$B$250, MATCH(TRUE, ISNUMBER(SEARCH(Country!$A$2:$A$509, Customer_Data[[#This Row],[Country]])),0 ))</f>
        <v>North America</v>
      </c>
      <c r="G626" t="s">
        <v>1073</v>
      </c>
      <c r="H626" t="s">
        <v>1695</v>
      </c>
      <c r="I626" t="s">
        <v>2673</v>
      </c>
      <c r="J626" t="s">
        <v>3665</v>
      </c>
      <c r="K626" s="1">
        <v>44995</v>
      </c>
      <c r="L626">
        <f>YEAR(Customer_Data[[#This Row],[LastPurchaseDate]])</f>
        <v>2025</v>
      </c>
      <c r="M626">
        <f>MONTH(Customer_Data[[#This Row],[LastPurchaseDate]])</f>
        <v>4</v>
      </c>
      <c r="N626" s="7">
        <v>45752</v>
      </c>
      <c r="O626">
        <v>4</v>
      </c>
      <c r="P626" s="4">
        <v>7570.56</v>
      </c>
      <c r="Q626" t="s">
        <v>4035</v>
      </c>
      <c r="R626">
        <v>5</v>
      </c>
      <c r="S626">
        <v>1892.64</v>
      </c>
    </row>
    <row r="627" spans="1:19" x14ac:dyDescent="0.25">
      <c r="A627">
        <v>631</v>
      </c>
      <c r="B627" t="s">
        <v>272</v>
      </c>
      <c r="C627" t="s">
        <v>386</v>
      </c>
      <c r="D627" t="s">
        <v>851</v>
      </c>
      <c r="E627">
        <v>33</v>
      </c>
      <c r="F627" t="str" cm="1">
        <f t="array" ref="F627">INDEX(Country!$B$3:$B$250, MATCH(TRUE, ISNUMBER(SEARCH(Country!$A$2:$A$509, Customer_Data[[#This Row],[Country]])),0 ))</f>
        <v>North America</v>
      </c>
      <c r="G627" t="s">
        <v>928</v>
      </c>
      <c r="H627" t="s">
        <v>1696</v>
      </c>
      <c r="I627" t="s">
        <v>2674</v>
      </c>
      <c r="J627" t="s">
        <v>3666</v>
      </c>
      <c r="K627" s="1">
        <v>45068</v>
      </c>
      <c r="L627">
        <f>YEAR(Customer_Data[[#This Row],[LastPurchaseDate]])</f>
        <v>2025</v>
      </c>
      <c r="M627">
        <f>MONTH(Customer_Data[[#This Row],[LastPurchaseDate]])</f>
        <v>7</v>
      </c>
      <c r="N627" s="7">
        <v>45840</v>
      </c>
      <c r="O627">
        <v>26</v>
      </c>
      <c r="P627" s="4">
        <v>8509.7099999999991</v>
      </c>
      <c r="Q627" t="s">
        <v>4034</v>
      </c>
      <c r="R627">
        <v>4</v>
      </c>
      <c r="S627">
        <v>327.3</v>
      </c>
    </row>
    <row r="628" spans="1:19" x14ac:dyDescent="0.25">
      <c r="A628">
        <v>632</v>
      </c>
      <c r="B628" t="s">
        <v>202</v>
      </c>
      <c r="C628" t="s">
        <v>430</v>
      </c>
      <c r="D628" t="s">
        <v>851</v>
      </c>
      <c r="E628">
        <v>60</v>
      </c>
      <c r="F628" t="str" cm="1">
        <f t="array" ref="F628">INDEX(Country!$B$3:$B$250, MATCH(TRUE, ISNUMBER(SEARCH(Country!$A$2:$A$509, Customer_Data[[#This Row],[Country]])),0 ))</f>
        <v>South America</v>
      </c>
      <c r="G628" t="s">
        <v>885</v>
      </c>
      <c r="H628" t="s">
        <v>1697</v>
      </c>
      <c r="I628" t="s">
        <v>2675</v>
      </c>
      <c r="J628" t="s">
        <v>3667</v>
      </c>
      <c r="K628" s="1">
        <v>45884</v>
      </c>
      <c r="L628">
        <f>YEAR(Customer_Data[[#This Row],[LastPurchaseDate]])</f>
        <v>2024</v>
      </c>
      <c r="M628">
        <f>MONTH(Customer_Data[[#This Row],[LastPurchaseDate]])</f>
        <v>4</v>
      </c>
      <c r="N628" s="7">
        <v>45389</v>
      </c>
      <c r="O628">
        <v>35</v>
      </c>
      <c r="P628" s="4">
        <v>6306.65</v>
      </c>
      <c r="Q628" t="s">
        <v>4034</v>
      </c>
      <c r="R628">
        <v>1</v>
      </c>
      <c r="S628">
        <v>180.19</v>
      </c>
    </row>
    <row r="629" spans="1:19" x14ac:dyDescent="0.25">
      <c r="A629">
        <v>633</v>
      </c>
      <c r="B629" t="s">
        <v>214</v>
      </c>
      <c r="C629" t="s">
        <v>531</v>
      </c>
      <c r="D629" t="s">
        <v>850</v>
      </c>
      <c r="E629">
        <v>54</v>
      </c>
      <c r="F629" t="str" cm="1">
        <f t="array" ref="F629">INDEX(Country!$B$3:$B$250, MATCH(TRUE, ISNUMBER(SEARCH(Country!$A$2:$A$509, Customer_Data[[#This Row],[Country]])),0 ))</f>
        <v>South America</v>
      </c>
      <c r="G629" t="s">
        <v>1078</v>
      </c>
      <c r="H629" t="s">
        <v>1698</v>
      </c>
      <c r="I629" t="s">
        <v>2676</v>
      </c>
      <c r="J629" t="s">
        <v>3668</v>
      </c>
      <c r="K629" s="1">
        <v>45597</v>
      </c>
      <c r="L629">
        <f>YEAR(Customer_Data[[#This Row],[LastPurchaseDate]])</f>
        <v>2024</v>
      </c>
      <c r="M629">
        <f>MONTH(Customer_Data[[#This Row],[LastPurchaseDate]])</f>
        <v>2</v>
      </c>
      <c r="N629" s="7">
        <v>45326</v>
      </c>
      <c r="O629">
        <v>29</v>
      </c>
      <c r="P629" s="4">
        <v>1639.65</v>
      </c>
      <c r="Q629" t="s">
        <v>4034</v>
      </c>
      <c r="R629">
        <v>5</v>
      </c>
      <c r="S629">
        <v>56.54</v>
      </c>
    </row>
    <row r="630" spans="1:19" x14ac:dyDescent="0.25">
      <c r="A630">
        <v>634</v>
      </c>
      <c r="B630" t="s">
        <v>31</v>
      </c>
      <c r="C630" t="s">
        <v>711</v>
      </c>
      <c r="D630" t="s">
        <v>850</v>
      </c>
      <c r="E630">
        <v>18</v>
      </c>
      <c r="F630" t="str" cm="1">
        <f t="array" ref="F630">INDEX(Country!$B$3:$B$250, MATCH(TRUE, ISNUMBER(SEARCH(Country!$A$2:$A$509, Customer_Data[[#This Row],[Country]])),0 ))</f>
        <v>Africa</v>
      </c>
      <c r="G630" t="s">
        <v>1020</v>
      </c>
      <c r="H630" t="s">
        <v>1699</v>
      </c>
      <c r="I630" t="s">
        <v>2677</v>
      </c>
      <c r="J630" t="s">
        <v>3669</v>
      </c>
      <c r="K630" s="1">
        <v>45276</v>
      </c>
      <c r="L630">
        <f>YEAR(Customer_Data[[#This Row],[LastPurchaseDate]])</f>
        <v>2024</v>
      </c>
      <c r="M630">
        <f>MONTH(Customer_Data[[#This Row],[LastPurchaseDate]])</f>
        <v>7</v>
      </c>
      <c r="N630" s="7">
        <v>45498</v>
      </c>
      <c r="O630">
        <v>14</v>
      </c>
      <c r="P630" s="4">
        <v>1783.48</v>
      </c>
      <c r="Q630" t="s">
        <v>4035</v>
      </c>
      <c r="R630">
        <v>2</v>
      </c>
      <c r="S630">
        <v>127.39</v>
      </c>
    </row>
    <row r="631" spans="1:19" x14ac:dyDescent="0.25">
      <c r="A631">
        <v>635</v>
      </c>
      <c r="B631" t="s">
        <v>67</v>
      </c>
      <c r="C631" t="s">
        <v>712</v>
      </c>
      <c r="D631" t="s">
        <v>850</v>
      </c>
      <c r="E631">
        <v>68</v>
      </c>
      <c r="F631" t="str" cm="1">
        <f t="array" ref="F631">INDEX(Country!$B$3:$B$250, MATCH(TRUE, ISNUMBER(SEARCH(Country!$A$2:$A$509, Customer_Data[[#This Row],[Country]])),0 ))</f>
        <v>Europe</v>
      </c>
      <c r="G631" t="s">
        <v>1072</v>
      </c>
      <c r="H631" t="s">
        <v>1700</v>
      </c>
      <c r="I631" t="s">
        <v>2678</v>
      </c>
      <c r="J631" t="s">
        <v>3670</v>
      </c>
      <c r="K631" s="1">
        <v>45318</v>
      </c>
      <c r="L631">
        <f>YEAR(Customer_Data[[#This Row],[LastPurchaseDate]])</f>
        <v>2025</v>
      </c>
      <c r="M631">
        <f>MONTH(Customer_Data[[#This Row],[LastPurchaseDate]])</f>
        <v>2</v>
      </c>
      <c r="N631" s="7">
        <v>45711</v>
      </c>
      <c r="O631">
        <v>37</v>
      </c>
      <c r="P631" s="4">
        <v>5311.31</v>
      </c>
      <c r="Q631" t="s">
        <v>4035</v>
      </c>
      <c r="R631">
        <v>5</v>
      </c>
      <c r="S631">
        <v>143.55000000000001</v>
      </c>
    </row>
    <row r="632" spans="1:19" x14ac:dyDescent="0.25">
      <c r="A632">
        <v>636</v>
      </c>
      <c r="B632" t="s">
        <v>68</v>
      </c>
      <c r="C632" t="s">
        <v>670</v>
      </c>
      <c r="D632" t="s">
        <v>851</v>
      </c>
      <c r="E632">
        <v>41</v>
      </c>
      <c r="F632" t="str" cm="1">
        <f t="array" ref="F632">INDEX(Country!$B$3:$B$250, MATCH(TRUE, ISNUMBER(SEARCH(Country!$A$2:$A$509, Customer_Data[[#This Row],[Country]])),0 ))</f>
        <v>Europe</v>
      </c>
      <c r="G632" t="s">
        <v>879</v>
      </c>
      <c r="H632" t="s">
        <v>1701</v>
      </c>
      <c r="I632" t="s">
        <v>2679</v>
      </c>
      <c r="J632" t="s">
        <v>3671</v>
      </c>
      <c r="K632" s="1">
        <v>45790</v>
      </c>
      <c r="L632">
        <f>YEAR(Customer_Data[[#This Row],[LastPurchaseDate]])</f>
        <v>2023</v>
      </c>
      <c r="M632">
        <f>MONTH(Customer_Data[[#This Row],[LastPurchaseDate]])</f>
        <v>12</v>
      </c>
      <c r="N632" s="7">
        <v>45270</v>
      </c>
      <c r="O632">
        <v>36</v>
      </c>
      <c r="P632" s="4">
        <v>4821.16</v>
      </c>
      <c r="Q632" t="s">
        <v>4034</v>
      </c>
      <c r="R632">
        <v>4</v>
      </c>
      <c r="S632">
        <v>133.91999999999999</v>
      </c>
    </row>
    <row r="633" spans="1:19" x14ac:dyDescent="0.25">
      <c r="A633">
        <v>637</v>
      </c>
      <c r="B633" t="s">
        <v>87</v>
      </c>
      <c r="C633" t="s">
        <v>255</v>
      </c>
      <c r="D633" t="s">
        <v>852</v>
      </c>
      <c r="E633">
        <v>30</v>
      </c>
      <c r="F633" t="str" cm="1">
        <f t="array" ref="F633">INDEX(Country!$B$3:$B$250, MATCH(TRUE, ISNUMBER(SEARCH(Country!$A$2:$A$509, Customer_Data[[#This Row],[Country]])),0 ))</f>
        <v>Africa</v>
      </c>
      <c r="G633" t="s">
        <v>980</v>
      </c>
      <c r="H633" t="s">
        <v>1702</v>
      </c>
      <c r="I633" t="s">
        <v>2680</v>
      </c>
      <c r="J633" t="s">
        <v>3672</v>
      </c>
      <c r="K633" s="1">
        <v>45513</v>
      </c>
      <c r="L633">
        <f>YEAR(Customer_Data[[#This Row],[LastPurchaseDate]])</f>
        <v>2024</v>
      </c>
      <c r="M633">
        <f>MONTH(Customer_Data[[#This Row],[LastPurchaseDate]])</f>
        <v>1</v>
      </c>
      <c r="N633" s="7">
        <v>45313</v>
      </c>
      <c r="O633">
        <v>16</v>
      </c>
      <c r="P633" s="4">
        <v>6680.4</v>
      </c>
      <c r="Q633" t="s">
        <v>4034</v>
      </c>
      <c r="R633">
        <v>5</v>
      </c>
      <c r="S633">
        <v>417.52</v>
      </c>
    </row>
    <row r="634" spans="1:19" x14ac:dyDescent="0.25">
      <c r="A634">
        <v>638</v>
      </c>
      <c r="B634" t="s">
        <v>264</v>
      </c>
      <c r="C634" t="s">
        <v>523</v>
      </c>
      <c r="D634" t="s">
        <v>850</v>
      </c>
      <c r="E634">
        <v>50</v>
      </c>
      <c r="F634" t="str" cm="1">
        <f t="array" ref="F634">INDEX(Country!$B$3:$B$250, MATCH(TRUE, ISNUMBER(SEARCH(Country!$A$2:$A$509, Customer_Data[[#This Row],[Country]])),0 ))</f>
        <v>Asia</v>
      </c>
      <c r="G634" t="s">
        <v>888</v>
      </c>
      <c r="H634" t="s">
        <v>1703</v>
      </c>
      <c r="I634" t="s">
        <v>2681</v>
      </c>
      <c r="J634" t="s">
        <v>3673</v>
      </c>
      <c r="K634" s="1">
        <v>45203</v>
      </c>
      <c r="L634">
        <f>YEAR(Customer_Data[[#This Row],[LastPurchaseDate]])</f>
        <v>2025</v>
      </c>
      <c r="M634">
        <f>MONTH(Customer_Data[[#This Row],[LastPurchaseDate]])</f>
        <v>2</v>
      </c>
      <c r="N634" s="7">
        <v>45702</v>
      </c>
      <c r="O634">
        <v>8</v>
      </c>
      <c r="P634" s="4">
        <v>1222.8699999999999</v>
      </c>
      <c r="Q634" t="s">
        <v>4035</v>
      </c>
      <c r="R634">
        <v>1</v>
      </c>
      <c r="S634">
        <v>152.86000000000001</v>
      </c>
    </row>
    <row r="635" spans="1:19" x14ac:dyDescent="0.25">
      <c r="A635">
        <v>639</v>
      </c>
      <c r="B635" t="s">
        <v>232</v>
      </c>
      <c r="C635" t="s">
        <v>449</v>
      </c>
      <c r="D635" t="s">
        <v>850</v>
      </c>
      <c r="E635">
        <v>32</v>
      </c>
      <c r="F635" t="str" cm="1">
        <f t="array" ref="F635">INDEX(Country!$B$3:$B$250, MATCH(TRUE, ISNUMBER(SEARCH(Country!$A$2:$A$509, Customer_Data[[#This Row],[Country]])),0 ))</f>
        <v>Africa</v>
      </c>
      <c r="G635" t="s">
        <v>1016</v>
      </c>
      <c r="H635" t="s">
        <v>1704</v>
      </c>
      <c r="I635" t="s">
        <v>2682</v>
      </c>
      <c r="J635" t="s">
        <v>3674</v>
      </c>
      <c r="K635" s="1">
        <v>45590</v>
      </c>
      <c r="L635">
        <f>YEAR(Customer_Data[[#This Row],[LastPurchaseDate]])</f>
        <v>2025</v>
      </c>
      <c r="M635">
        <f>MONTH(Customer_Data[[#This Row],[LastPurchaseDate]])</f>
        <v>1</v>
      </c>
      <c r="N635" s="7">
        <v>45688</v>
      </c>
      <c r="O635">
        <v>33</v>
      </c>
      <c r="P635" s="4">
        <v>5616.73</v>
      </c>
      <c r="Q635" t="s">
        <v>4035</v>
      </c>
      <c r="R635">
        <v>2</v>
      </c>
      <c r="S635">
        <v>170.2</v>
      </c>
    </row>
    <row r="636" spans="1:19" x14ac:dyDescent="0.25">
      <c r="A636">
        <v>640</v>
      </c>
      <c r="B636" t="s">
        <v>296</v>
      </c>
      <c r="C636" t="s">
        <v>668</v>
      </c>
      <c r="D636" t="s">
        <v>850</v>
      </c>
      <c r="E636">
        <v>47</v>
      </c>
      <c r="F636" t="str" cm="1">
        <f t="array" ref="F636">INDEX(Country!$B$3:$B$250, MATCH(TRUE, ISNUMBER(SEARCH(Country!$A$2:$A$509, Customer_Data[[#This Row],[Country]])),0 ))</f>
        <v>North America</v>
      </c>
      <c r="G636" t="s">
        <v>1076</v>
      </c>
      <c r="H636" t="s">
        <v>1705</v>
      </c>
      <c r="I636" t="s">
        <v>2683</v>
      </c>
      <c r="J636" t="s">
        <v>3675</v>
      </c>
      <c r="K636" s="1">
        <v>45655</v>
      </c>
      <c r="L636">
        <f>YEAR(Customer_Data[[#This Row],[LastPurchaseDate]])</f>
        <v>2024</v>
      </c>
      <c r="M636">
        <f>MONTH(Customer_Data[[#This Row],[LastPurchaseDate]])</f>
        <v>6</v>
      </c>
      <c r="N636" s="7">
        <v>45467</v>
      </c>
      <c r="O636">
        <v>36</v>
      </c>
      <c r="P636" s="4">
        <v>2381.85</v>
      </c>
      <c r="Q636" t="s">
        <v>4034</v>
      </c>
      <c r="R636">
        <v>2</v>
      </c>
      <c r="S636">
        <v>66.16</v>
      </c>
    </row>
    <row r="637" spans="1:19" x14ac:dyDescent="0.25">
      <c r="A637">
        <v>641</v>
      </c>
      <c r="B637" t="s">
        <v>67</v>
      </c>
      <c r="C637" t="s">
        <v>76</v>
      </c>
      <c r="D637" t="s">
        <v>851</v>
      </c>
      <c r="E637">
        <v>71</v>
      </c>
      <c r="F637" t="str" cm="1">
        <f t="array" ref="F637">INDEX(Country!$B$3:$B$250, MATCH(TRUE, ISNUMBER(SEARCH(Country!$A$2:$A$509, Customer_Data[[#This Row],[Country]])),0 ))</f>
        <v>North America</v>
      </c>
      <c r="G637" t="s">
        <v>1062</v>
      </c>
      <c r="H637" t="s">
        <v>1706</v>
      </c>
      <c r="I637" t="s">
        <v>2684</v>
      </c>
      <c r="J637" t="s">
        <v>3676</v>
      </c>
      <c r="K637" s="1">
        <v>45772</v>
      </c>
      <c r="L637">
        <f>YEAR(Customer_Data[[#This Row],[LastPurchaseDate]])</f>
        <v>2025</v>
      </c>
      <c r="M637">
        <f>MONTH(Customer_Data[[#This Row],[LastPurchaseDate]])</f>
        <v>3</v>
      </c>
      <c r="N637" s="7">
        <v>45744</v>
      </c>
      <c r="O637">
        <v>6</v>
      </c>
      <c r="P637" s="4">
        <v>6669.71</v>
      </c>
      <c r="Q637" t="s">
        <v>4035</v>
      </c>
      <c r="R637">
        <v>1</v>
      </c>
      <c r="S637">
        <v>1111.6199999999999</v>
      </c>
    </row>
    <row r="638" spans="1:19" x14ac:dyDescent="0.25">
      <c r="A638">
        <v>642</v>
      </c>
      <c r="B638" t="s">
        <v>115</v>
      </c>
      <c r="C638" t="s">
        <v>713</v>
      </c>
      <c r="D638" t="s">
        <v>851</v>
      </c>
      <c r="E638">
        <v>18</v>
      </c>
      <c r="F638" t="str" cm="1">
        <f t="array" ref="F638">INDEX(Country!$B$3:$B$250, MATCH(TRUE, ISNUMBER(SEARCH(Country!$A$2:$A$509, Customer_Data[[#This Row],[Country]])),0 ))</f>
        <v>Asia</v>
      </c>
      <c r="G638" t="s">
        <v>1007</v>
      </c>
      <c r="H638" t="s">
        <v>1254</v>
      </c>
      <c r="I638" t="s">
        <v>2685</v>
      </c>
      <c r="J638" t="s">
        <v>3677</v>
      </c>
      <c r="K638" s="1">
        <v>45169</v>
      </c>
      <c r="L638">
        <f>YEAR(Customer_Data[[#This Row],[LastPurchaseDate]])</f>
        <v>2024</v>
      </c>
      <c r="M638">
        <f>MONTH(Customer_Data[[#This Row],[LastPurchaseDate]])</f>
        <v>6</v>
      </c>
      <c r="N638" s="7">
        <v>45447</v>
      </c>
      <c r="O638">
        <v>2</v>
      </c>
      <c r="P638" s="4">
        <v>8616.7199999999993</v>
      </c>
      <c r="Q638" t="s">
        <v>4034</v>
      </c>
      <c r="R638">
        <v>1</v>
      </c>
      <c r="S638">
        <v>4308.3599999999997</v>
      </c>
    </row>
    <row r="639" spans="1:19" x14ac:dyDescent="0.25">
      <c r="A639">
        <v>643</v>
      </c>
      <c r="B639" t="s">
        <v>92</v>
      </c>
      <c r="C639" t="s">
        <v>714</v>
      </c>
      <c r="D639" t="s">
        <v>850</v>
      </c>
      <c r="E639">
        <v>63</v>
      </c>
      <c r="F639" t="str" cm="1">
        <f t="array" ref="F639">INDEX(Country!$B$3:$B$250, MATCH(TRUE, ISNUMBER(SEARCH(Country!$A$2:$A$509, Customer_Data[[#This Row],[Country]])),0 ))</f>
        <v>Europe</v>
      </c>
      <c r="G639" t="s">
        <v>1060</v>
      </c>
      <c r="H639" t="s">
        <v>1707</v>
      </c>
      <c r="I639" t="s">
        <v>2686</v>
      </c>
      <c r="J639" t="s">
        <v>3678</v>
      </c>
      <c r="K639" s="1">
        <v>45769</v>
      </c>
      <c r="L639">
        <f>YEAR(Customer_Data[[#This Row],[LastPurchaseDate]])</f>
        <v>2023</v>
      </c>
      <c r="M639">
        <f>MONTH(Customer_Data[[#This Row],[LastPurchaseDate]])</f>
        <v>12</v>
      </c>
      <c r="N639" s="7">
        <v>45273</v>
      </c>
      <c r="O639">
        <v>9</v>
      </c>
      <c r="P639" s="4">
        <v>285.51</v>
      </c>
      <c r="Q639" t="s">
        <v>4035</v>
      </c>
      <c r="R639">
        <v>2</v>
      </c>
      <c r="S639">
        <v>31.72</v>
      </c>
    </row>
    <row r="640" spans="1:19" x14ac:dyDescent="0.25">
      <c r="A640">
        <v>644</v>
      </c>
      <c r="B640" t="s">
        <v>34</v>
      </c>
      <c r="C640" t="s">
        <v>416</v>
      </c>
      <c r="D640" t="s">
        <v>851</v>
      </c>
      <c r="E640">
        <v>30</v>
      </c>
      <c r="F640" t="str" cm="1">
        <f t="array" ref="F640">INDEX(Country!$B$3:$B$250, MATCH(TRUE, ISNUMBER(SEARCH(Country!$A$2:$A$509, Customer_Data[[#This Row],[Country]])),0 ))</f>
        <v>Asia</v>
      </c>
      <c r="G640" t="s">
        <v>1018</v>
      </c>
      <c r="H640" t="s">
        <v>1708</v>
      </c>
      <c r="I640" t="s">
        <v>2687</v>
      </c>
      <c r="J640" t="s">
        <v>3679</v>
      </c>
      <c r="K640" s="1">
        <v>44896</v>
      </c>
      <c r="L640">
        <f>YEAR(Customer_Data[[#This Row],[LastPurchaseDate]])</f>
        <v>2025</v>
      </c>
      <c r="M640">
        <f>MONTH(Customer_Data[[#This Row],[LastPurchaseDate]])</f>
        <v>10</v>
      </c>
      <c r="N640" s="7">
        <v>45935</v>
      </c>
      <c r="O640">
        <v>24</v>
      </c>
      <c r="P640" s="4">
        <v>8039.83</v>
      </c>
      <c r="Q640" t="s">
        <v>4035</v>
      </c>
      <c r="R640">
        <v>4</v>
      </c>
      <c r="S640">
        <v>334.99</v>
      </c>
    </row>
    <row r="641" spans="1:19" x14ac:dyDescent="0.25">
      <c r="A641">
        <v>645</v>
      </c>
      <c r="B641" t="s">
        <v>248</v>
      </c>
      <c r="C641" t="s">
        <v>715</v>
      </c>
      <c r="D641" t="s">
        <v>851</v>
      </c>
      <c r="E641">
        <v>66</v>
      </c>
      <c r="F641" t="str" cm="1">
        <f t="array" ref="F641">INDEX(Country!$B$3:$B$250, MATCH(TRUE, ISNUMBER(SEARCH(Country!$A$2:$A$509, Customer_Data[[#This Row],[Country]])),0 ))</f>
        <v>Asia</v>
      </c>
      <c r="G641" t="s">
        <v>1079</v>
      </c>
      <c r="H641" t="s">
        <v>1709</v>
      </c>
      <c r="I641" t="s">
        <v>2688</v>
      </c>
      <c r="J641" t="s">
        <v>3680</v>
      </c>
      <c r="K641" s="1">
        <v>45622</v>
      </c>
      <c r="L641">
        <f>YEAR(Customer_Data[[#This Row],[LastPurchaseDate]])</f>
        <v>2024</v>
      </c>
      <c r="M641">
        <f>MONTH(Customer_Data[[#This Row],[LastPurchaseDate]])</f>
        <v>3</v>
      </c>
      <c r="N641" s="7">
        <v>45352</v>
      </c>
      <c r="O641">
        <v>16</v>
      </c>
      <c r="P641" s="4">
        <v>3996.62</v>
      </c>
      <c r="Q641" t="s">
        <v>4035</v>
      </c>
      <c r="R641">
        <v>3</v>
      </c>
      <c r="S641">
        <v>249.79</v>
      </c>
    </row>
    <row r="642" spans="1:19" x14ac:dyDescent="0.25">
      <c r="A642">
        <v>646</v>
      </c>
      <c r="B642" t="s">
        <v>196</v>
      </c>
      <c r="C642" t="s">
        <v>716</v>
      </c>
      <c r="D642" t="s">
        <v>850</v>
      </c>
      <c r="E642">
        <v>73</v>
      </c>
      <c r="F642" t="str" cm="1">
        <f t="array" ref="F642">INDEX(Country!$B$3:$B$250, MATCH(TRUE, ISNUMBER(SEARCH(Country!$A$2:$A$509, Customer_Data[[#This Row],[Country]])),0 ))</f>
        <v>Europe</v>
      </c>
      <c r="G642" t="s">
        <v>853</v>
      </c>
      <c r="H642" t="s">
        <v>1710</v>
      </c>
      <c r="I642" t="s">
        <v>2689</v>
      </c>
      <c r="J642" t="s">
        <v>3681</v>
      </c>
      <c r="K642" s="1">
        <v>45707</v>
      </c>
      <c r="L642">
        <f>YEAR(Customer_Data[[#This Row],[LastPurchaseDate]])</f>
        <v>2025</v>
      </c>
      <c r="M642">
        <f>MONTH(Customer_Data[[#This Row],[LastPurchaseDate]])</f>
        <v>10</v>
      </c>
      <c r="N642" s="7">
        <v>45940</v>
      </c>
      <c r="O642">
        <v>44</v>
      </c>
      <c r="P642" s="4">
        <v>1616.75</v>
      </c>
      <c r="Q642" t="s">
        <v>4035</v>
      </c>
      <c r="R642">
        <v>5</v>
      </c>
      <c r="S642">
        <v>36.74</v>
      </c>
    </row>
    <row r="643" spans="1:19" x14ac:dyDescent="0.25">
      <c r="A643">
        <v>647</v>
      </c>
      <c r="B643" t="s">
        <v>91</v>
      </c>
      <c r="C643" t="s">
        <v>411</v>
      </c>
      <c r="D643" t="s">
        <v>850</v>
      </c>
      <c r="E643">
        <v>23</v>
      </c>
      <c r="F643" t="str" cm="1">
        <f t="array" ref="F643">INDEX(Country!$B$3:$B$250, MATCH(TRUE, ISNUMBER(SEARCH(Country!$A$2:$A$509, Customer_Data[[#This Row],[Country]])),0 ))</f>
        <v>North America</v>
      </c>
      <c r="G643" t="s">
        <v>910</v>
      </c>
      <c r="H643" t="s">
        <v>1711</v>
      </c>
      <c r="I643" t="s">
        <v>2690</v>
      </c>
      <c r="J643" t="s">
        <v>3682</v>
      </c>
      <c r="K643" s="1">
        <v>44992</v>
      </c>
      <c r="L643">
        <f>YEAR(Customer_Data[[#This Row],[LastPurchaseDate]])</f>
        <v>2025</v>
      </c>
      <c r="M643">
        <f>MONTH(Customer_Data[[#This Row],[LastPurchaseDate]])</f>
        <v>5</v>
      </c>
      <c r="N643" s="7">
        <v>45778</v>
      </c>
      <c r="O643">
        <v>38</v>
      </c>
      <c r="P643" s="4">
        <v>5680.13</v>
      </c>
      <c r="Q643" t="s">
        <v>4034</v>
      </c>
      <c r="R643">
        <v>4</v>
      </c>
      <c r="S643">
        <v>149.47999999999999</v>
      </c>
    </row>
    <row r="644" spans="1:19" x14ac:dyDescent="0.25">
      <c r="A644">
        <v>648</v>
      </c>
      <c r="B644" t="s">
        <v>297</v>
      </c>
      <c r="C644" t="s">
        <v>412</v>
      </c>
      <c r="D644" t="s">
        <v>850</v>
      </c>
      <c r="E644">
        <v>26</v>
      </c>
      <c r="F644" t="str" cm="1">
        <f t="array" ref="F644">INDEX(Country!$B$3:$B$250, MATCH(TRUE, ISNUMBER(SEARCH(Country!$A$2:$A$509, Customer_Data[[#This Row],[Country]])),0 ))</f>
        <v>Oceania</v>
      </c>
      <c r="G644" t="s">
        <v>926</v>
      </c>
      <c r="H644" t="s">
        <v>1712</v>
      </c>
      <c r="I644" t="s">
        <v>2691</v>
      </c>
      <c r="J644" t="s">
        <v>3683</v>
      </c>
      <c r="K644" s="1">
        <v>45419</v>
      </c>
      <c r="L644">
        <f>YEAR(Customer_Data[[#This Row],[LastPurchaseDate]])</f>
        <v>2024</v>
      </c>
      <c r="M644">
        <f>MONTH(Customer_Data[[#This Row],[LastPurchaseDate]])</f>
        <v>4</v>
      </c>
      <c r="N644" s="7">
        <v>45410</v>
      </c>
      <c r="O644">
        <v>18</v>
      </c>
      <c r="P644" s="4">
        <v>129.21</v>
      </c>
      <c r="Q644" t="s">
        <v>4034</v>
      </c>
      <c r="R644">
        <v>3</v>
      </c>
      <c r="S644">
        <v>7.18</v>
      </c>
    </row>
    <row r="645" spans="1:19" x14ac:dyDescent="0.25">
      <c r="A645">
        <v>649</v>
      </c>
      <c r="B645" t="s">
        <v>193</v>
      </c>
      <c r="C645" t="s">
        <v>717</v>
      </c>
      <c r="D645" t="s">
        <v>852</v>
      </c>
      <c r="E645">
        <v>58</v>
      </c>
      <c r="F645" t="str" cm="1">
        <f t="array" ref="F645">INDEX(Country!$B$3:$B$250, MATCH(TRUE, ISNUMBER(SEARCH(Country!$A$2:$A$509, Customer_Data[[#This Row],[Country]])),0 ))</f>
        <v>North America</v>
      </c>
      <c r="G645" t="s">
        <v>1001</v>
      </c>
      <c r="H645" t="s">
        <v>1713</v>
      </c>
      <c r="I645" t="s">
        <v>2692</v>
      </c>
      <c r="J645" t="s">
        <v>3684</v>
      </c>
      <c r="K645" s="1">
        <v>45350</v>
      </c>
      <c r="L645">
        <f>YEAR(Customer_Data[[#This Row],[LastPurchaseDate]])</f>
        <v>2025</v>
      </c>
      <c r="M645">
        <f>MONTH(Customer_Data[[#This Row],[LastPurchaseDate]])</f>
        <v>1</v>
      </c>
      <c r="N645" s="7">
        <v>45688</v>
      </c>
      <c r="O645">
        <v>6</v>
      </c>
      <c r="P645" s="4">
        <v>1024.3499999999999</v>
      </c>
      <c r="Q645" t="s">
        <v>4034</v>
      </c>
      <c r="R645">
        <v>5</v>
      </c>
      <c r="S645">
        <v>170.72</v>
      </c>
    </row>
    <row r="646" spans="1:19" x14ac:dyDescent="0.25">
      <c r="A646">
        <v>650</v>
      </c>
      <c r="B646" t="s">
        <v>41</v>
      </c>
      <c r="C646" t="s">
        <v>435</v>
      </c>
      <c r="D646" t="s">
        <v>850</v>
      </c>
      <c r="E646">
        <v>37</v>
      </c>
      <c r="F646" t="str" cm="1">
        <f t="array" ref="F646">INDEX(Country!$B$3:$B$250, MATCH(TRUE, ISNUMBER(SEARCH(Country!$A$2:$A$509, Customer_Data[[#This Row],[Country]])),0 ))</f>
        <v>Oceania</v>
      </c>
      <c r="G646" t="s">
        <v>883</v>
      </c>
      <c r="H646" t="s">
        <v>1714</v>
      </c>
      <c r="I646" t="s">
        <v>2693</v>
      </c>
      <c r="J646" t="s">
        <v>3685</v>
      </c>
      <c r="K646" s="1">
        <v>45362</v>
      </c>
      <c r="L646">
        <f>YEAR(Customer_Data[[#This Row],[LastPurchaseDate]])</f>
        <v>2025</v>
      </c>
      <c r="M646">
        <f>MONTH(Customer_Data[[#This Row],[LastPurchaseDate]])</f>
        <v>9</v>
      </c>
      <c r="N646" s="7">
        <v>45910</v>
      </c>
      <c r="O646">
        <v>7</v>
      </c>
      <c r="P646" s="4">
        <v>7805.84</v>
      </c>
      <c r="Q646" t="s">
        <v>4035</v>
      </c>
      <c r="R646">
        <v>5</v>
      </c>
      <c r="S646">
        <v>1115.1199999999999</v>
      </c>
    </row>
    <row r="647" spans="1:19" x14ac:dyDescent="0.25">
      <c r="A647">
        <v>651</v>
      </c>
      <c r="B647" t="s">
        <v>232</v>
      </c>
      <c r="C647" t="s">
        <v>718</v>
      </c>
      <c r="D647" t="s">
        <v>851</v>
      </c>
      <c r="E647">
        <v>72</v>
      </c>
      <c r="F647" t="str" cm="1">
        <f t="array" ref="F647">INDEX(Country!$B$3:$B$250, MATCH(TRUE, ISNUMBER(SEARCH(Country!$A$2:$A$509, Customer_Data[[#This Row],[Country]])),0 ))</f>
        <v>Asia</v>
      </c>
      <c r="G647" t="s">
        <v>159</v>
      </c>
      <c r="H647" t="s">
        <v>1715</v>
      </c>
      <c r="I647" t="s">
        <v>2694</v>
      </c>
      <c r="J647" t="s">
        <v>3686</v>
      </c>
      <c r="K647" s="1">
        <v>45114</v>
      </c>
      <c r="L647">
        <f>YEAR(Customer_Data[[#This Row],[LastPurchaseDate]])</f>
        <v>2024</v>
      </c>
      <c r="M647">
        <f>MONTH(Customer_Data[[#This Row],[LastPurchaseDate]])</f>
        <v>7</v>
      </c>
      <c r="N647" s="7">
        <v>45491</v>
      </c>
      <c r="O647">
        <v>10</v>
      </c>
      <c r="P647" s="4">
        <v>8266.57</v>
      </c>
      <c r="Q647" t="s">
        <v>4034</v>
      </c>
      <c r="R647">
        <v>2</v>
      </c>
      <c r="S647">
        <v>826.66</v>
      </c>
    </row>
    <row r="648" spans="1:19" x14ac:dyDescent="0.25">
      <c r="A648">
        <v>652</v>
      </c>
      <c r="B648" t="s">
        <v>298</v>
      </c>
      <c r="C648" t="s">
        <v>407</v>
      </c>
      <c r="D648" t="s">
        <v>850</v>
      </c>
      <c r="E648">
        <v>19</v>
      </c>
      <c r="F648" t="str" cm="1">
        <f t="array" ref="F648">INDEX(Country!$B$3:$B$250, MATCH(TRUE, ISNUMBER(SEARCH(Country!$A$2:$A$509, Customer_Data[[#This Row],[Country]])),0 ))</f>
        <v>Asia</v>
      </c>
      <c r="G648" t="s">
        <v>905</v>
      </c>
      <c r="H648" t="s">
        <v>1716</v>
      </c>
      <c r="I648" t="s">
        <v>2695</v>
      </c>
      <c r="J648" t="s">
        <v>3687</v>
      </c>
      <c r="K648" s="1">
        <v>45664</v>
      </c>
      <c r="L648">
        <f>YEAR(Customer_Data[[#This Row],[LastPurchaseDate]])</f>
        <v>2023</v>
      </c>
      <c r="M648">
        <f>MONTH(Customer_Data[[#This Row],[LastPurchaseDate]])</f>
        <v>11</v>
      </c>
      <c r="N648" s="7">
        <v>45239</v>
      </c>
      <c r="O648">
        <v>6</v>
      </c>
      <c r="P648" s="4">
        <v>5292.83</v>
      </c>
      <c r="Q648" t="s">
        <v>4035</v>
      </c>
      <c r="R648">
        <v>4</v>
      </c>
      <c r="S648">
        <v>882.14</v>
      </c>
    </row>
    <row r="649" spans="1:19" x14ac:dyDescent="0.25">
      <c r="A649">
        <v>653</v>
      </c>
      <c r="B649" t="s">
        <v>299</v>
      </c>
      <c r="C649" t="s">
        <v>470</v>
      </c>
      <c r="D649" t="s">
        <v>850</v>
      </c>
      <c r="E649">
        <v>68</v>
      </c>
      <c r="F649" t="str" cm="1">
        <f t="array" ref="F649">INDEX(Country!$B$3:$B$250, MATCH(TRUE, ISNUMBER(SEARCH(Country!$A$2:$A$509, Customer_Data[[#This Row],[Country]])),0 ))</f>
        <v>South America</v>
      </c>
      <c r="G649" t="s">
        <v>873</v>
      </c>
      <c r="H649" t="s">
        <v>1717</v>
      </c>
      <c r="I649" t="s">
        <v>2696</v>
      </c>
      <c r="J649" t="s">
        <v>3688</v>
      </c>
      <c r="K649" s="1">
        <v>44890</v>
      </c>
      <c r="L649">
        <f>YEAR(Customer_Data[[#This Row],[LastPurchaseDate]])</f>
        <v>2025</v>
      </c>
      <c r="M649">
        <f>MONTH(Customer_Data[[#This Row],[LastPurchaseDate]])</f>
        <v>3</v>
      </c>
      <c r="N649" s="7">
        <v>45727</v>
      </c>
      <c r="O649">
        <v>45</v>
      </c>
      <c r="P649" s="4">
        <v>3978.34</v>
      </c>
      <c r="Q649" t="s">
        <v>4034</v>
      </c>
      <c r="R649">
        <v>5</v>
      </c>
      <c r="S649">
        <v>88.41</v>
      </c>
    </row>
    <row r="650" spans="1:19" x14ac:dyDescent="0.25">
      <c r="A650">
        <v>654</v>
      </c>
      <c r="B650" t="s">
        <v>43</v>
      </c>
      <c r="C650" t="s">
        <v>719</v>
      </c>
      <c r="D650" t="s">
        <v>850</v>
      </c>
      <c r="E650">
        <v>28</v>
      </c>
      <c r="F650" t="str" cm="1">
        <f t="array" ref="F650">INDEX(Country!$B$3:$B$250, MATCH(TRUE, ISNUMBER(SEARCH(Country!$A$2:$A$509, Customer_Data[[#This Row],[Country]])),0 ))</f>
        <v>Oceania</v>
      </c>
      <c r="G650" t="s">
        <v>918</v>
      </c>
      <c r="H650" t="s">
        <v>1718</v>
      </c>
      <c r="I650" t="s">
        <v>2697</v>
      </c>
      <c r="J650" t="s">
        <v>3689</v>
      </c>
      <c r="K650" s="1">
        <v>45509</v>
      </c>
      <c r="L650">
        <f>YEAR(Customer_Data[[#This Row],[LastPurchaseDate]])</f>
        <v>2024</v>
      </c>
      <c r="M650">
        <f>MONTH(Customer_Data[[#This Row],[LastPurchaseDate]])</f>
        <v>9</v>
      </c>
      <c r="N650" s="7">
        <v>45537</v>
      </c>
      <c r="O650">
        <v>11</v>
      </c>
      <c r="P650" s="4">
        <v>5930.23</v>
      </c>
      <c r="Q650" t="s">
        <v>4035</v>
      </c>
      <c r="R650">
        <v>4</v>
      </c>
      <c r="S650">
        <v>539.11</v>
      </c>
    </row>
    <row r="651" spans="1:19" x14ac:dyDescent="0.25">
      <c r="A651">
        <v>655</v>
      </c>
      <c r="B651" t="s">
        <v>300</v>
      </c>
      <c r="C651" t="s">
        <v>503</v>
      </c>
      <c r="D651" t="s">
        <v>851</v>
      </c>
      <c r="E651">
        <v>21</v>
      </c>
      <c r="F651" t="str" cm="1">
        <f t="array" ref="F651">INDEX(Country!$B$3:$B$250, MATCH(TRUE, ISNUMBER(SEARCH(Country!$A$2:$A$509, Customer_Data[[#This Row],[Country]])),0 ))</f>
        <v>Europe</v>
      </c>
      <c r="G651" t="s">
        <v>1029</v>
      </c>
      <c r="H651" t="s">
        <v>1719</v>
      </c>
      <c r="I651" t="s">
        <v>2698</v>
      </c>
      <c r="J651" t="s">
        <v>3690</v>
      </c>
      <c r="K651" s="1">
        <v>45434</v>
      </c>
      <c r="L651">
        <f>YEAR(Customer_Data[[#This Row],[LastPurchaseDate]])</f>
        <v>2025</v>
      </c>
      <c r="M651">
        <f>MONTH(Customer_Data[[#This Row],[LastPurchaseDate]])</f>
        <v>5</v>
      </c>
      <c r="N651" s="7">
        <v>45790</v>
      </c>
      <c r="O651">
        <v>31</v>
      </c>
      <c r="P651" s="4">
        <v>4312.75</v>
      </c>
      <c r="Q651" t="s">
        <v>4035</v>
      </c>
      <c r="R651">
        <v>3</v>
      </c>
      <c r="S651">
        <v>139.12</v>
      </c>
    </row>
    <row r="652" spans="1:19" x14ac:dyDescent="0.25">
      <c r="A652">
        <v>656</v>
      </c>
      <c r="B652" t="s">
        <v>288</v>
      </c>
      <c r="C652" t="s">
        <v>497</v>
      </c>
      <c r="D652" t="s">
        <v>852</v>
      </c>
      <c r="E652">
        <v>52</v>
      </c>
      <c r="F652" t="str" cm="1">
        <f t="array" ref="F652">INDEX(Country!$B$3:$B$250, MATCH(TRUE, ISNUMBER(SEARCH(Country!$A$2:$A$509, Customer_Data[[#This Row],[Country]])),0 ))</f>
        <v>Asia</v>
      </c>
      <c r="G652" t="s">
        <v>1018</v>
      </c>
      <c r="H652" t="s">
        <v>1720</v>
      </c>
      <c r="I652" t="s">
        <v>2699</v>
      </c>
      <c r="J652" t="s">
        <v>3691</v>
      </c>
      <c r="K652" s="1">
        <v>45114</v>
      </c>
      <c r="L652">
        <f>YEAR(Customer_Data[[#This Row],[LastPurchaseDate]])</f>
        <v>2024</v>
      </c>
      <c r="M652">
        <f>MONTH(Customer_Data[[#This Row],[LastPurchaseDate]])</f>
        <v>3</v>
      </c>
      <c r="N652" s="7">
        <v>45354</v>
      </c>
      <c r="O652">
        <v>32</v>
      </c>
      <c r="P652" s="4">
        <v>4241.67</v>
      </c>
      <c r="Q652" t="s">
        <v>4035</v>
      </c>
      <c r="R652">
        <v>2</v>
      </c>
      <c r="S652">
        <v>132.55000000000001</v>
      </c>
    </row>
    <row r="653" spans="1:19" x14ac:dyDescent="0.25">
      <c r="A653">
        <v>657</v>
      </c>
      <c r="B653" t="s">
        <v>301</v>
      </c>
      <c r="C653" t="s">
        <v>534</v>
      </c>
      <c r="D653" t="s">
        <v>850</v>
      </c>
      <c r="E653">
        <v>73</v>
      </c>
      <c r="F653" t="str" cm="1">
        <f t="array" ref="F653">INDEX(Country!$B$3:$B$250, MATCH(TRUE, ISNUMBER(SEARCH(Country!$A$2:$A$509, Customer_Data[[#This Row],[Country]])),0 ))</f>
        <v>Europe</v>
      </c>
      <c r="G653" t="s">
        <v>1029</v>
      </c>
      <c r="H653" t="s">
        <v>1721</v>
      </c>
      <c r="I653" t="s">
        <v>2700</v>
      </c>
      <c r="J653" t="s">
        <v>3692</v>
      </c>
      <c r="K653" s="1">
        <v>45583</v>
      </c>
      <c r="L653">
        <f>YEAR(Customer_Data[[#This Row],[LastPurchaseDate]])</f>
        <v>2023</v>
      </c>
      <c r="M653">
        <f>MONTH(Customer_Data[[#This Row],[LastPurchaseDate]])</f>
        <v>12</v>
      </c>
      <c r="N653" s="7">
        <v>45270</v>
      </c>
      <c r="O653">
        <v>10</v>
      </c>
      <c r="P653" s="4">
        <v>848.39</v>
      </c>
      <c r="Q653" t="s">
        <v>4034</v>
      </c>
      <c r="R653">
        <v>4</v>
      </c>
      <c r="S653">
        <v>84.84</v>
      </c>
    </row>
    <row r="654" spans="1:19" x14ac:dyDescent="0.25">
      <c r="A654">
        <v>658</v>
      </c>
      <c r="B654" t="s">
        <v>70</v>
      </c>
      <c r="C654" t="s">
        <v>413</v>
      </c>
      <c r="D654" t="s">
        <v>851</v>
      </c>
      <c r="E654">
        <v>54</v>
      </c>
      <c r="F654" t="str" cm="1">
        <f t="array" ref="F654">INDEX(Country!$B$3:$B$250, MATCH(TRUE, ISNUMBER(SEARCH(Country!$A$2:$A$509, Customer_Data[[#This Row],[Country]])),0 ))</f>
        <v>North America</v>
      </c>
      <c r="G654" t="s">
        <v>1073</v>
      </c>
      <c r="H654" t="s">
        <v>1722</v>
      </c>
      <c r="I654" t="s">
        <v>2701</v>
      </c>
      <c r="J654" t="s">
        <v>3693</v>
      </c>
      <c r="K654" s="1">
        <v>45955</v>
      </c>
      <c r="L654">
        <f>YEAR(Customer_Data[[#This Row],[LastPurchaseDate]])</f>
        <v>2025</v>
      </c>
      <c r="M654">
        <f>MONTH(Customer_Data[[#This Row],[LastPurchaseDate]])</f>
        <v>10</v>
      </c>
      <c r="N654" s="7">
        <v>45939</v>
      </c>
      <c r="O654">
        <v>39</v>
      </c>
      <c r="P654" s="4">
        <v>4781.92</v>
      </c>
      <c r="Q654" t="s">
        <v>4034</v>
      </c>
      <c r="R654">
        <v>1</v>
      </c>
      <c r="S654">
        <v>122.61</v>
      </c>
    </row>
    <row r="655" spans="1:19" x14ac:dyDescent="0.25">
      <c r="A655">
        <v>659</v>
      </c>
      <c r="B655" t="s">
        <v>302</v>
      </c>
      <c r="C655" t="s">
        <v>720</v>
      </c>
      <c r="D655" t="s">
        <v>850</v>
      </c>
      <c r="E655">
        <v>73</v>
      </c>
      <c r="F655" t="str" cm="1">
        <f t="array" ref="F655">INDEX(Country!$B$3:$B$250, MATCH(TRUE, ISNUMBER(SEARCH(Country!$A$2:$A$509, Customer_Data[[#This Row],[Country]])),0 ))</f>
        <v>South America</v>
      </c>
      <c r="G655" t="s">
        <v>1078</v>
      </c>
      <c r="H655" t="s">
        <v>1723</v>
      </c>
      <c r="I655" t="s">
        <v>2702</v>
      </c>
      <c r="J655" t="s">
        <v>3694</v>
      </c>
      <c r="K655" s="1">
        <v>45746</v>
      </c>
      <c r="L655">
        <f>YEAR(Customer_Data[[#This Row],[LastPurchaseDate]])</f>
        <v>2025</v>
      </c>
      <c r="M655">
        <f>MONTH(Customer_Data[[#This Row],[LastPurchaseDate]])</f>
        <v>8</v>
      </c>
      <c r="N655" s="7">
        <v>45889</v>
      </c>
      <c r="O655">
        <v>47</v>
      </c>
      <c r="P655" s="4">
        <v>3642.6</v>
      </c>
      <c r="Q655" t="s">
        <v>4034</v>
      </c>
      <c r="R655">
        <v>1</v>
      </c>
      <c r="S655">
        <v>77.5</v>
      </c>
    </row>
    <row r="656" spans="1:19" x14ac:dyDescent="0.25">
      <c r="A656">
        <v>660</v>
      </c>
      <c r="B656" t="s">
        <v>243</v>
      </c>
      <c r="C656" t="s">
        <v>721</v>
      </c>
      <c r="D656" t="s">
        <v>852</v>
      </c>
      <c r="E656">
        <v>42</v>
      </c>
      <c r="F656" t="str" cm="1">
        <f t="array" ref="F656">INDEX(Country!$B$3:$B$250, MATCH(TRUE, ISNUMBER(SEARCH(Country!$A$2:$A$509, Customer_Data[[#This Row],[Country]])),0 ))</f>
        <v>North America</v>
      </c>
      <c r="G656" t="s">
        <v>1021</v>
      </c>
      <c r="H656" t="s">
        <v>1724</v>
      </c>
      <c r="I656" t="s">
        <v>2703</v>
      </c>
      <c r="J656" t="s">
        <v>3695</v>
      </c>
      <c r="K656" s="1">
        <v>45280</v>
      </c>
      <c r="L656">
        <f>YEAR(Customer_Data[[#This Row],[LastPurchaseDate]])</f>
        <v>2024</v>
      </c>
      <c r="M656">
        <f>MONTH(Customer_Data[[#This Row],[LastPurchaseDate]])</f>
        <v>1</v>
      </c>
      <c r="N656" s="7">
        <v>45316</v>
      </c>
      <c r="O656">
        <v>48</v>
      </c>
      <c r="P656" s="4">
        <v>5524.57</v>
      </c>
      <c r="Q656" t="s">
        <v>4035</v>
      </c>
      <c r="R656">
        <v>2</v>
      </c>
      <c r="S656">
        <v>115.1</v>
      </c>
    </row>
    <row r="657" spans="1:19" x14ac:dyDescent="0.25">
      <c r="A657">
        <v>661</v>
      </c>
      <c r="B657" t="s">
        <v>303</v>
      </c>
      <c r="C657" t="s">
        <v>722</v>
      </c>
      <c r="D657" t="s">
        <v>851</v>
      </c>
      <c r="E657">
        <v>27</v>
      </c>
      <c r="F657" t="str" cm="1">
        <f t="array" ref="F657">INDEX(Country!$B$3:$B$250, MATCH(TRUE, ISNUMBER(SEARCH(Country!$A$2:$A$509, Customer_Data[[#This Row],[Country]])),0 ))</f>
        <v>Europe</v>
      </c>
      <c r="G657" t="s">
        <v>892</v>
      </c>
      <c r="H657" t="s">
        <v>1725</v>
      </c>
      <c r="I657" t="s">
        <v>2704</v>
      </c>
      <c r="J657" t="s">
        <v>3696</v>
      </c>
      <c r="K657" s="1">
        <v>45381</v>
      </c>
      <c r="L657">
        <f>YEAR(Customer_Data[[#This Row],[LastPurchaseDate]])</f>
        <v>2023</v>
      </c>
      <c r="M657">
        <f>MONTH(Customer_Data[[#This Row],[LastPurchaseDate]])</f>
        <v>11</v>
      </c>
      <c r="N657" s="7">
        <v>45237</v>
      </c>
      <c r="O657">
        <v>29</v>
      </c>
      <c r="P657" s="4">
        <v>228.86</v>
      </c>
      <c r="Q657" t="s">
        <v>4035</v>
      </c>
      <c r="R657">
        <v>3</v>
      </c>
      <c r="S657">
        <v>7.89</v>
      </c>
    </row>
    <row r="658" spans="1:19" x14ac:dyDescent="0.25">
      <c r="A658">
        <v>662</v>
      </c>
      <c r="B658" t="s">
        <v>304</v>
      </c>
      <c r="C658" t="s">
        <v>472</v>
      </c>
      <c r="D658" t="s">
        <v>851</v>
      </c>
      <c r="E658">
        <v>69</v>
      </c>
      <c r="F658" t="str" cm="1">
        <f t="array" ref="F658">INDEX(Country!$B$3:$B$250, MATCH(TRUE, ISNUMBER(SEARCH(Country!$A$2:$A$509, Customer_Data[[#This Row],[Country]])),0 ))</f>
        <v>Europe</v>
      </c>
      <c r="G658" t="s">
        <v>855</v>
      </c>
      <c r="H658" t="s">
        <v>1562</v>
      </c>
      <c r="I658" t="s">
        <v>2705</v>
      </c>
      <c r="J658" t="s">
        <v>3697</v>
      </c>
      <c r="K658" s="1">
        <v>45090</v>
      </c>
      <c r="L658">
        <f>YEAR(Customer_Data[[#This Row],[LastPurchaseDate]])</f>
        <v>2024</v>
      </c>
      <c r="M658">
        <f>MONTH(Customer_Data[[#This Row],[LastPurchaseDate]])</f>
        <v>1</v>
      </c>
      <c r="N658" s="7">
        <v>45316</v>
      </c>
      <c r="O658">
        <v>43</v>
      </c>
      <c r="P658" s="4">
        <v>9504.69</v>
      </c>
      <c r="Q658" t="s">
        <v>4035</v>
      </c>
      <c r="R658">
        <v>5</v>
      </c>
      <c r="S658">
        <v>221.04</v>
      </c>
    </row>
    <row r="659" spans="1:19" x14ac:dyDescent="0.25">
      <c r="A659">
        <v>663</v>
      </c>
      <c r="B659" t="s">
        <v>61</v>
      </c>
      <c r="C659" t="s">
        <v>133</v>
      </c>
      <c r="D659" t="s">
        <v>851</v>
      </c>
      <c r="E659">
        <v>61</v>
      </c>
      <c r="F659" t="str" cm="1">
        <f t="array" ref="F659">INDEX(Country!$B$3:$B$250, MATCH(TRUE, ISNUMBER(SEARCH(Country!$A$2:$A$509, Customer_Data[[#This Row],[Country]])),0 ))</f>
        <v>Oceania</v>
      </c>
      <c r="G659" t="s">
        <v>932</v>
      </c>
      <c r="H659" t="s">
        <v>1726</v>
      </c>
      <c r="I659" t="s">
        <v>2706</v>
      </c>
      <c r="J659" t="s">
        <v>3698</v>
      </c>
      <c r="K659" s="1">
        <v>45841</v>
      </c>
      <c r="L659">
        <f>YEAR(Customer_Data[[#This Row],[LastPurchaseDate]])</f>
        <v>2024</v>
      </c>
      <c r="M659">
        <f>MONTH(Customer_Data[[#This Row],[LastPurchaseDate]])</f>
        <v>10</v>
      </c>
      <c r="N659" s="7">
        <v>45573</v>
      </c>
      <c r="O659">
        <v>27</v>
      </c>
      <c r="P659" s="4">
        <v>148.13</v>
      </c>
      <c r="Q659" t="s">
        <v>4035</v>
      </c>
      <c r="R659">
        <v>5</v>
      </c>
      <c r="S659">
        <v>5.49</v>
      </c>
    </row>
    <row r="660" spans="1:19" x14ac:dyDescent="0.25">
      <c r="A660">
        <v>664</v>
      </c>
      <c r="B660" t="s">
        <v>305</v>
      </c>
      <c r="C660" t="s">
        <v>723</v>
      </c>
      <c r="D660" t="s">
        <v>851</v>
      </c>
      <c r="E660">
        <v>38</v>
      </c>
      <c r="F660" t="str" cm="1">
        <f t="array" ref="F660">INDEX(Country!$B$3:$B$250, MATCH(TRUE, ISNUMBER(SEARCH(Country!$A$2:$A$509, Customer_Data[[#This Row],[Country]])),0 ))</f>
        <v>North America</v>
      </c>
      <c r="G660" t="s">
        <v>993</v>
      </c>
      <c r="H660" t="s">
        <v>1727</v>
      </c>
      <c r="I660" t="s">
        <v>2707</v>
      </c>
      <c r="J660" t="s">
        <v>3699</v>
      </c>
      <c r="K660" s="1">
        <v>44950</v>
      </c>
      <c r="L660">
        <f>YEAR(Customer_Data[[#This Row],[LastPurchaseDate]])</f>
        <v>2025</v>
      </c>
      <c r="M660">
        <f>MONTH(Customer_Data[[#This Row],[LastPurchaseDate]])</f>
        <v>3</v>
      </c>
      <c r="N660" s="7">
        <v>45739</v>
      </c>
      <c r="O660">
        <v>48</v>
      </c>
      <c r="P660" s="4">
        <v>1688.85</v>
      </c>
      <c r="Q660" t="s">
        <v>4035</v>
      </c>
      <c r="R660">
        <v>3</v>
      </c>
      <c r="S660">
        <v>35.18</v>
      </c>
    </row>
    <row r="661" spans="1:19" x14ac:dyDescent="0.25">
      <c r="A661">
        <v>665</v>
      </c>
      <c r="B661" t="s">
        <v>306</v>
      </c>
      <c r="C661" t="s">
        <v>399</v>
      </c>
      <c r="D661" t="s">
        <v>850</v>
      </c>
      <c r="E661">
        <v>52</v>
      </c>
      <c r="F661" t="str" cm="1">
        <f t="array" ref="F661">INDEX(Country!$B$3:$B$250, MATCH(TRUE, ISNUMBER(SEARCH(Country!$A$2:$A$509, Customer_Data[[#This Row],[Country]])),0 ))</f>
        <v>Africa</v>
      </c>
      <c r="G661" t="s">
        <v>1074</v>
      </c>
      <c r="H661" t="s">
        <v>1728</v>
      </c>
      <c r="I661" t="s">
        <v>2708</v>
      </c>
      <c r="J661" t="s">
        <v>3700</v>
      </c>
      <c r="K661" s="1">
        <v>45572</v>
      </c>
      <c r="L661">
        <f>YEAR(Customer_Data[[#This Row],[LastPurchaseDate]])</f>
        <v>2025</v>
      </c>
      <c r="M661">
        <f>MONTH(Customer_Data[[#This Row],[LastPurchaseDate]])</f>
        <v>8</v>
      </c>
      <c r="N661" s="7">
        <v>45886</v>
      </c>
      <c r="O661">
        <v>10</v>
      </c>
      <c r="P661" s="4">
        <v>1926.84</v>
      </c>
      <c r="Q661" t="s">
        <v>4035</v>
      </c>
      <c r="R661">
        <v>4</v>
      </c>
      <c r="S661">
        <v>192.68</v>
      </c>
    </row>
    <row r="662" spans="1:19" x14ac:dyDescent="0.25">
      <c r="A662">
        <v>666</v>
      </c>
      <c r="B662" t="s">
        <v>128</v>
      </c>
      <c r="C662" t="s">
        <v>724</v>
      </c>
      <c r="D662" t="s">
        <v>851</v>
      </c>
      <c r="E662">
        <v>65</v>
      </c>
      <c r="F662" t="str" cm="1">
        <f t="array" ref="F662">INDEX(Country!$B$3:$B$250, MATCH(TRUE, ISNUMBER(SEARCH(Country!$A$2:$A$509, Customer_Data[[#This Row],[Country]])),0 ))</f>
        <v>Asia</v>
      </c>
      <c r="G662" t="s">
        <v>1049</v>
      </c>
      <c r="H662" t="s">
        <v>1729</v>
      </c>
      <c r="I662" t="s">
        <v>2709</v>
      </c>
      <c r="J662" t="s">
        <v>3701</v>
      </c>
      <c r="K662" s="1">
        <v>44921</v>
      </c>
      <c r="L662">
        <f>YEAR(Customer_Data[[#This Row],[LastPurchaseDate]])</f>
        <v>2025</v>
      </c>
      <c r="M662">
        <f>MONTH(Customer_Data[[#This Row],[LastPurchaseDate]])</f>
        <v>10</v>
      </c>
      <c r="N662" s="7">
        <v>45951</v>
      </c>
      <c r="O662">
        <v>22</v>
      </c>
      <c r="P662" s="4">
        <v>892.33</v>
      </c>
      <c r="Q662" t="s">
        <v>4035</v>
      </c>
      <c r="R662">
        <v>3</v>
      </c>
      <c r="S662">
        <v>40.56</v>
      </c>
    </row>
    <row r="663" spans="1:19" x14ac:dyDescent="0.25">
      <c r="A663">
        <v>667</v>
      </c>
      <c r="B663" t="s">
        <v>307</v>
      </c>
      <c r="C663" t="s">
        <v>680</v>
      </c>
      <c r="D663" t="s">
        <v>851</v>
      </c>
      <c r="E663">
        <v>57</v>
      </c>
      <c r="F663" t="str" cm="1">
        <f t="array" ref="F663">INDEX(Country!$B$3:$B$250, MATCH(TRUE, ISNUMBER(SEARCH(Country!$A$2:$A$509, Customer_Data[[#This Row],[Country]])),0 ))</f>
        <v>Africa</v>
      </c>
      <c r="G663" t="s">
        <v>900</v>
      </c>
      <c r="H663" t="s">
        <v>1730</v>
      </c>
      <c r="I663" t="s">
        <v>2710</v>
      </c>
      <c r="J663" t="s">
        <v>3702</v>
      </c>
      <c r="K663" s="1">
        <v>45599</v>
      </c>
      <c r="L663">
        <f>YEAR(Customer_Data[[#This Row],[LastPurchaseDate]])</f>
        <v>2025</v>
      </c>
      <c r="M663">
        <f>MONTH(Customer_Data[[#This Row],[LastPurchaseDate]])</f>
        <v>1</v>
      </c>
      <c r="N663" s="7">
        <v>45666</v>
      </c>
      <c r="O663">
        <v>44</v>
      </c>
      <c r="P663" s="4">
        <v>9737.0300000000007</v>
      </c>
      <c r="Q663" t="s">
        <v>4035</v>
      </c>
      <c r="R663">
        <v>4</v>
      </c>
      <c r="S663">
        <v>221.3</v>
      </c>
    </row>
    <row r="664" spans="1:19" x14ac:dyDescent="0.25">
      <c r="A664">
        <v>668</v>
      </c>
      <c r="B664" t="s">
        <v>64</v>
      </c>
      <c r="C664" t="s">
        <v>725</v>
      </c>
      <c r="D664" t="s">
        <v>850</v>
      </c>
      <c r="E664">
        <v>49</v>
      </c>
      <c r="F664" t="str" cm="1">
        <f t="array" ref="F664">INDEX(Country!$B$3:$B$250, MATCH(TRUE, ISNUMBER(SEARCH(Country!$A$2:$A$509, Customer_Data[[#This Row],[Country]])),0 ))</f>
        <v>Europe</v>
      </c>
      <c r="G664" t="s">
        <v>996</v>
      </c>
      <c r="H664" t="s">
        <v>1731</v>
      </c>
      <c r="I664" t="s">
        <v>2711</v>
      </c>
      <c r="J664" t="s">
        <v>3703</v>
      </c>
      <c r="K664" s="1">
        <v>45117</v>
      </c>
      <c r="L664">
        <f>YEAR(Customer_Data[[#This Row],[LastPurchaseDate]])</f>
        <v>2025</v>
      </c>
      <c r="M664">
        <f>MONTH(Customer_Data[[#This Row],[LastPurchaseDate]])</f>
        <v>5</v>
      </c>
      <c r="N664" s="7">
        <v>45785</v>
      </c>
      <c r="O664">
        <v>33</v>
      </c>
      <c r="P664" s="4">
        <v>9130.57</v>
      </c>
      <c r="Q664" t="s">
        <v>4034</v>
      </c>
      <c r="R664">
        <v>1</v>
      </c>
      <c r="S664">
        <v>276.68</v>
      </c>
    </row>
    <row r="665" spans="1:19" x14ac:dyDescent="0.25">
      <c r="A665">
        <v>669</v>
      </c>
      <c r="B665" t="s">
        <v>308</v>
      </c>
      <c r="C665" t="s">
        <v>380</v>
      </c>
      <c r="D665" t="s">
        <v>850</v>
      </c>
      <c r="E665">
        <v>60</v>
      </c>
      <c r="F665" t="str" cm="1">
        <f t="array" ref="F665">INDEX(Country!$B$3:$B$250, MATCH(TRUE, ISNUMBER(SEARCH(Country!$A$2:$A$509, Customer_Data[[#This Row],[Country]])),0 ))</f>
        <v>Asia</v>
      </c>
      <c r="G665" t="s">
        <v>924</v>
      </c>
      <c r="H665" t="s">
        <v>1732</v>
      </c>
      <c r="I665" t="s">
        <v>2712</v>
      </c>
      <c r="J665" t="s">
        <v>3704</v>
      </c>
      <c r="K665" s="1">
        <v>45409</v>
      </c>
      <c r="L665">
        <f>YEAR(Customer_Data[[#This Row],[LastPurchaseDate]])</f>
        <v>2025</v>
      </c>
      <c r="M665">
        <f>MONTH(Customer_Data[[#This Row],[LastPurchaseDate]])</f>
        <v>8</v>
      </c>
      <c r="N665" s="7">
        <v>45882</v>
      </c>
      <c r="O665">
        <v>4</v>
      </c>
      <c r="P665" s="4">
        <v>7426.89</v>
      </c>
      <c r="Q665" t="s">
        <v>4034</v>
      </c>
      <c r="R665">
        <v>4</v>
      </c>
      <c r="S665">
        <v>1856.72</v>
      </c>
    </row>
    <row r="666" spans="1:19" x14ac:dyDescent="0.25">
      <c r="A666">
        <v>670</v>
      </c>
      <c r="B666" t="s">
        <v>230</v>
      </c>
      <c r="C666" t="s">
        <v>615</v>
      </c>
      <c r="D666" t="s">
        <v>850</v>
      </c>
      <c r="E666">
        <v>69</v>
      </c>
      <c r="F666" t="str" cm="1">
        <f t="array" ref="F666">INDEX(Country!$B$3:$B$250, MATCH(TRUE, ISNUMBER(SEARCH(Country!$A$2:$A$509, Customer_Data[[#This Row],[Country]])),0 ))</f>
        <v>Asia</v>
      </c>
      <c r="G666" t="s">
        <v>1080</v>
      </c>
      <c r="H666" t="s">
        <v>1733</v>
      </c>
      <c r="I666" t="s">
        <v>2713</v>
      </c>
      <c r="J666" t="s">
        <v>3705</v>
      </c>
      <c r="K666" s="1">
        <v>45744</v>
      </c>
      <c r="L666">
        <f>YEAR(Customer_Data[[#This Row],[LastPurchaseDate]])</f>
        <v>2025</v>
      </c>
      <c r="M666">
        <f>MONTH(Customer_Data[[#This Row],[LastPurchaseDate]])</f>
        <v>4</v>
      </c>
      <c r="N666" s="7">
        <v>45753</v>
      </c>
      <c r="O666">
        <v>22</v>
      </c>
      <c r="P666" s="4">
        <v>4790.76</v>
      </c>
      <c r="Q666" t="s">
        <v>4034</v>
      </c>
      <c r="R666">
        <v>1</v>
      </c>
      <c r="S666">
        <v>217.76</v>
      </c>
    </row>
    <row r="667" spans="1:19" x14ac:dyDescent="0.25">
      <c r="A667">
        <v>671</v>
      </c>
      <c r="B667" t="s">
        <v>62</v>
      </c>
      <c r="C667" t="s">
        <v>417</v>
      </c>
      <c r="D667" t="s">
        <v>851</v>
      </c>
      <c r="E667">
        <v>20</v>
      </c>
      <c r="F667" t="str" cm="1">
        <f t="array" ref="F667">INDEX(Country!$B$3:$B$250, MATCH(TRUE, ISNUMBER(SEARCH(Country!$A$2:$A$509, Customer_Data[[#This Row],[Country]])),0 ))</f>
        <v>Africa</v>
      </c>
      <c r="G667" t="s">
        <v>944</v>
      </c>
      <c r="H667" t="s">
        <v>1734</v>
      </c>
      <c r="I667" t="s">
        <v>2714</v>
      </c>
      <c r="J667" t="s">
        <v>3706</v>
      </c>
      <c r="K667" s="1">
        <v>45307</v>
      </c>
      <c r="L667">
        <f>YEAR(Customer_Data[[#This Row],[LastPurchaseDate]])</f>
        <v>2025</v>
      </c>
      <c r="M667">
        <f>MONTH(Customer_Data[[#This Row],[LastPurchaseDate]])</f>
        <v>4</v>
      </c>
      <c r="N667" s="7">
        <v>45762</v>
      </c>
      <c r="O667">
        <v>6</v>
      </c>
      <c r="P667" s="4">
        <v>8019.63</v>
      </c>
      <c r="Q667" t="s">
        <v>4035</v>
      </c>
      <c r="R667">
        <v>2</v>
      </c>
      <c r="S667">
        <v>1336.6</v>
      </c>
    </row>
    <row r="668" spans="1:19" x14ac:dyDescent="0.25">
      <c r="A668">
        <v>672</v>
      </c>
      <c r="B668" t="s">
        <v>309</v>
      </c>
      <c r="C668" t="s">
        <v>726</v>
      </c>
      <c r="D668" t="s">
        <v>850</v>
      </c>
      <c r="E668">
        <v>39</v>
      </c>
      <c r="F668" t="str" cm="1">
        <f t="array" ref="F668">INDEX(Country!$B$3:$B$250, MATCH(TRUE, ISNUMBER(SEARCH(Country!$A$2:$A$509, Customer_Data[[#This Row],[Country]])),0 ))</f>
        <v>Europe</v>
      </c>
      <c r="G668" t="s">
        <v>960</v>
      </c>
      <c r="H668" t="s">
        <v>1735</v>
      </c>
      <c r="I668" t="s">
        <v>2715</v>
      </c>
      <c r="J668" t="s">
        <v>3707</v>
      </c>
      <c r="K668" s="1">
        <v>45487</v>
      </c>
      <c r="L668">
        <f>YEAR(Customer_Data[[#This Row],[LastPurchaseDate]])</f>
        <v>2024</v>
      </c>
      <c r="M668">
        <f>MONTH(Customer_Data[[#This Row],[LastPurchaseDate]])</f>
        <v>3</v>
      </c>
      <c r="N668" s="7">
        <v>45376</v>
      </c>
      <c r="O668">
        <v>11</v>
      </c>
      <c r="P668" s="4">
        <v>4119.59</v>
      </c>
      <c r="Q668" t="s">
        <v>4035</v>
      </c>
      <c r="R668">
        <v>5</v>
      </c>
      <c r="S668">
        <v>374.51</v>
      </c>
    </row>
    <row r="669" spans="1:19" x14ac:dyDescent="0.25">
      <c r="A669">
        <v>673</v>
      </c>
      <c r="B669" t="s">
        <v>41</v>
      </c>
      <c r="C669" t="s">
        <v>379</v>
      </c>
      <c r="D669" t="s">
        <v>851</v>
      </c>
      <c r="E669">
        <v>53</v>
      </c>
      <c r="F669" t="str" cm="1">
        <f t="array" ref="F669">INDEX(Country!$B$3:$B$250, MATCH(TRUE, ISNUMBER(SEARCH(Country!$A$2:$A$509, Customer_Data[[#This Row],[Country]])),0 ))</f>
        <v>Africa</v>
      </c>
      <c r="G669" t="s">
        <v>1014</v>
      </c>
      <c r="H669" t="s">
        <v>1736</v>
      </c>
      <c r="I669" t="s">
        <v>2716</v>
      </c>
      <c r="J669" t="s">
        <v>3708</v>
      </c>
      <c r="K669" s="1">
        <v>45545</v>
      </c>
      <c r="L669">
        <f>YEAR(Customer_Data[[#This Row],[LastPurchaseDate]])</f>
        <v>2025</v>
      </c>
      <c r="M669">
        <f>MONTH(Customer_Data[[#This Row],[LastPurchaseDate]])</f>
        <v>8</v>
      </c>
      <c r="N669" s="7">
        <v>45900</v>
      </c>
      <c r="O669">
        <v>15</v>
      </c>
      <c r="P669" s="4">
        <v>267.58</v>
      </c>
      <c r="Q669" t="s">
        <v>4034</v>
      </c>
      <c r="R669">
        <v>5</v>
      </c>
      <c r="S669">
        <v>17.84</v>
      </c>
    </row>
    <row r="670" spans="1:19" x14ac:dyDescent="0.25">
      <c r="A670">
        <v>674</v>
      </c>
      <c r="B670" t="s">
        <v>307</v>
      </c>
      <c r="C670" t="s">
        <v>521</v>
      </c>
      <c r="D670" t="s">
        <v>850</v>
      </c>
      <c r="E670">
        <v>63</v>
      </c>
      <c r="F670" t="str" cm="1">
        <f t="array" ref="F670">INDEX(Country!$B$3:$B$250, MATCH(TRUE, ISNUMBER(SEARCH(Country!$A$2:$A$509, Customer_Data[[#This Row],[Country]])),0 ))</f>
        <v>Antarctica</v>
      </c>
      <c r="G670" t="s">
        <v>986</v>
      </c>
      <c r="H670" t="s">
        <v>1737</v>
      </c>
      <c r="I670" t="s">
        <v>2717</v>
      </c>
      <c r="J670" t="s">
        <v>3709</v>
      </c>
      <c r="K670" s="1">
        <v>44996</v>
      </c>
      <c r="L670">
        <f>YEAR(Customer_Data[[#This Row],[LastPurchaseDate]])</f>
        <v>2025</v>
      </c>
      <c r="M670">
        <f>MONTH(Customer_Data[[#This Row],[LastPurchaseDate]])</f>
        <v>9</v>
      </c>
      <c r="N670" s="7">
        <v>45927</v>
      </c>
      <c r="O670">
        <v>30</v>
      </c>
      <c r="P670" s="4">
        <v>4346.03</v>
      </c>
      <c r="Q670" t="s">
        <v>4034</v>
      </c>
      <c r="R670">
        <v>5</v>
      </c>
      <c r="S670">
        <v>144.87</v>
      </c>
    </row>
    <row r="671" spans="1:19" x14ac:dyDescent="0.25">
      <c r="A671">
        <v>675</v>
      </c>
      <c r="B671" t="s">
        <v>71</v>
      </c>
      <c r="C671" t="s">
        <v>509</v>
      </c>
      <c r="D671" t="s">
        <v>851</v>
      </c>
      <c r="E671">
        <v>53</v>
      </c>
      <c r="F671" t="str" cm="1">
        <f t="array" ref="F671">INDEX(Country!$B$3:$B$250, MATCH(TRUE, ISNUMBER(SEARCH(Country!$A$2:$A$509, Customer_Data[[#This Row],[Country]])),0 ))</f>
        <v>Africa</v>
      </c>
      <c r="G671" t="s">
        <v>908</v>
      </c>
      <c r="H671" t="s">
        <v>1738</v>
      </c>
      <c r="I671" t="s">
        <v>2718</v>
      </c>
      <c r="J671" t="s">
        <v>3710</v>
      </c>
      <c r="K671" s="1">
        <v>44943</v>
      </c>
      <c r="L671">
        <f>YEAR(Customer_Data[[#This Row],[LastPurchaseDate]])</f>
        <v>2025</v>
      </c>
      <c r="M671">
        <f>MONTH(Customer_Data[[#This Row],[LastPurchaseDate]])</f>
        <v>1</v>
      </c>
      <c r="N671" s="7">
        <v>45668</v>
      </c>
      <c r="O671">
        <v>8</v>
      </c>
      <c r="P671" s="4">
        <v>5292.62</v>
      </c>
      <c r="Q671" t="s">
        <v>4035</v>
      </c>
      <c r="R671">
        <v>2</v>
      </c>
      <c r="S671">
        <v>661.58</v>
      </c>
    </row>
    <row r="672" spans="1:19" x14ac:dyDescent="0.25">
      <c r="A672">
        <v>676</v>
      </c>
      <c r="B672" t="s">
        <v>52</v>
      </c>
      <c r="C672" t="s">
        <v>727</v>
      </c>
      <c r="D672" t="s">
        <v>851</v>
      </c>
      <c r="E672">
        <v>43</v>
      </c>
      <c r="F672" t="str" cm="1">
        <f t="array" ref="F672">INDEX(Country!$B$3:$B$250, MATCH(TRUE, ISNUMBER(SEARCH(Country!$A$2:$A$509, Customer_Data[[#This Row],[Country]])),0 ))</f>
        <v>South America</v>
      </c>
      <c r="G672" t="s">
        <v>858</v>
      </c>
      <c r="H672" t="s">
        <v>1739</v>
      </c>
      <c r="I672" t="s">
        <v>2719</v>
      </c>
      <c r="J672" t="s">
        <v>3711</v>
      </c>
      <c r="K672" s="1">
        <v>45110</v>
      </c>
      <c r="L672">
        <f>YEAR(Customer_Data[[#This Row],[LastPurchaseDate]])</f>
        <v>2024</v>
      </c>
      <c r="M672">
        <f>MONTH(Customer_Data[[#This Row],[LastPurchaseDate]])</f>
        <v>4</v>
      </c>
      <c r="N672" s="7">
        <v>45397</v>
      </c>
      <c r="O672">
        <v>38</v>
      </c>
      <c r="P672" s="4">
        <v>8710.24</v>
      </c>
      <c r="Q672" t="s">
        <v>4035</v>
      </c>
      <c r="R672">
        <v>5</v>
      </c>
      <c r="S672">
        <v>229.22</v>
      </c>
    </row>
    <row r="673" spans="1:19" x14ac:dyDescent="0.25">
      <c r="A673">
        <v>677</v>
      </c>
      <c r="B673" t="s">
        <v>137</v>
      </c>
      <c r="C673" t="s">
        <v>728</v>
      </c>
      <c r="D673" t="s">
        <v>850</v>
      </c>
      <c r="E673">
        <v>56</v>
      </c>
      <c r="F673" t="str" cm="1">
        <f t="array" ref="F673">INDEX(Country!$B$3:$B$250, MATCH(TRUE, ISNUMBER(SEARCH(Country!$A$2:$A$509, Customer_Data[[#This Row],[Country]])),0 ))</f>
        <v>Africa</v>
      </c>
      <c r="G673" t="s">
        <v>887</v>
      </c>
      <c r="H673" t="s">
        <v>1740</v>
      </c>
      <c r="I673" t="s">
        <v>2720</v>
      </c>
      <c r="J673" t="s">
        <v>3712</v>
      </c>
      <c r="K673" s="1">
        <v>45947</v>
      </c>
      <c r="L673">
        <f>YEAR(Customer_Data[[#This Row],[LastPurchaseDate]])</f>
        <v>2025</v>
      </c>
      <c r="M673">
        <f>MONTH(Customer_Data[[#This Row],[LastPurchaseDate]])</f>
        <v>9</v>
      </c>
      <c r="N673" s="7">
        <v>45908</v>
      </c>
      <c r="O673">
        <v>47</v>
      </c>
      <c r="P673" s="4">
        <v>2479.59</v>
      </c>
      <c r="Q673" t="s">
        <v>4034</v>
      </c>
      <c r="R673">
        <v>3</v>
      </c>
      <c r="S673">
        <v>52.76</v>
      </c>
    </row>
    <row r="674" spans="1:19" x14ac:dyDescent="0.25">
      <c r="A674">
        <v>678</v>
      </c>
      <c r="B674" t="s">
        <v>140</v>
      </c>
      <c r="C674" t="s">
        <v>729</v>
      </c>
      <c r="D674" t="s">
        <v>850</v>
      </c>
      <c r="E674">
        <v>40</v>
      </c>
      <c r="F674" t="str" cm="1">
        <f t="array" ref="F674">INDEX(Country!$B$3:$B$250, MATCH(TRUE, ISNUMBER(SEARCH(Country!$A$2:$A$509, Customer_Data[[#This Row],[Country]])),0 ))</f>
        <v>North America</v>
      </c>
      <c r="G674" t="s">
        <v>954</v>
      </c>
      <c r="H674" t="s">
        <v>1741</v>
      </c>
      <c r="I674" t="s">
        <v>2721</v>
      </c>
      <c r="J674" t="s">
        <v>3713</v>
      </c>
      <c r="K674" s="1">
        <v>45603</v>
      </c>
      <c r="L674">
        <f>YEAR(Customer_Data[[#This Row],[LastPurchaseDate]])</f>
        <v>2023</v>
      </c>
      <c r="M674">
        <f>MONTH(Customer_Data[[#This Row],[LastPurchaseDate]])</f>
        <v>12</v>
      </c>
      <c r="N674" s="7">
        <v>45271</v>
      </c>
      <c r="O674">
        <v>32</v>
      </c>
      <c r="P674" s="4">
        <v>7439.92</v>
      </c>
      <c r="Q674" t="s">
        <v>4034</v>
      </c>
      <c r="R674">
        <v>3</v>
      </c>
      <c r="S674">
        <v>232.5</v>
      </c>
    </row>
    <row r="675" spans="1:19" x14ac:dyDescent="0.25">
      <c r="A675">
        <v>679</v>
      </c>
      <c r="B675" t="s">
        <v>64</v>
      </c>
      <c r="C675" t="s">
        <v>730</v>
      </c>
      <c r="D675" t="s">
        <v>851</v>
      </c>
      <c r="E675">
        <v>59</v>
      </c>
      <c r="F675" t="str" cm="1">
        <f t="array" ref="F675">INDEX(Country!$B$3:$B$250, MATCH(TRUE, ISNUMBER(SEARCH(Country!$A$2:$A$509, Customer_Data[[#This Row],[Country]])),0 ))</f>
        <v>Oceania</v>
      </c>
      <c r="G675" t="s">
        <v>926</v>
      </c>
      <c r="H675" t="s">
        <v>1742</v>
      </c>
      <c r="I675" t="s">
        <v>2722</v>
      </c>
      <c r="J675" t="s">
        <v>3714</v>
      </c>
      <c r="K675" s="1">
        <v>44930</v>
      </c>
      <c r="L675">
        <f>YEAR(Customer_Data[[#This Row],[LastPurchaseDate]])</f>
        <v>2025</v>
      </c>
      <c r="M675">
        <f>MONTH(Customer_Data[[#This Row],[LastPurchaseDate]])</f>
        <v>3</v>
      </c>
      <c r="N675" s="7">
        <v>45724</v>
      </c>
      <c r="O675">
        <v>41</v>
      </c>
      <c r="P675" s="4">
        <v>1339.2</v>
      </c>
      <c r="Q675" t="s">
        <v>4034</v>
      </c>
      <c r="R675">
        <v>4</v>
      </c>
      <c r="S675">
        <v>32.659999999999997</v>
      </c>
    </row>
    <row r="676" spans="1:19" x14ac:dyDescent="0.25">
      <c r="A676">
        <v>680</v>
      </c>
      <c r="B676" t="s">
        <v>250</v>
      </c>
      <c r="C676" t="s">
        <v>376</v>
      </c>
      <c r="D676" t="s">
        <v>851</v>
      </c>
      <c r="E676">
        <v>74</v>
      </c>
      <c r="F676" t="str" cm="1">
        <f t="array" ref="F676">INDEX(Country!$B$3:$B$250, MATCH(TRUE, ISNUMBER(SEARCH(Country!$A$2:$A$509, Customer_Data[[#This Row],[Country]])),0 ))</f>
        <v>Africa</v>
      </c>
      <c r="G676" t="s">
        <v>967</v>
      </c>
      <c r="H676" t="s">
        <v>1743</v>
      </c>
      <c r="I676" t="s">
        <v>2723</v>
      </c>
      <c r="J676" t="s">
        <v>3715</v>
      </c>
      <c r="K676" s="1">
        <v>45804</v>
      </c>
      <c r="L676">
        <f>YEAR(Customer_Data[[#This Row],[LastPurchaseDate]])</f>
        <v>2024</v>
      </c>
      <c r="M676">
        <f>MONTH(Customer_Data[[#This Row],[LastPurchaseDate]])</f>
        <v>5</v>
      </c>
      <c r="N676" s="7">
        <v>45424</v>
      </c>
      <c r="O676">
        <v>1</v>
      </c>
      <c r="P676" s="4">
        <v>9941.0400000000009</v>
      </c>
      <c r="Q676" t="s">
        <v>4035</v>
      </c>
      <c r="R676">
        <v>2</v>
      </c>
      <c r="S676">
        <v>9941.0400000000009</v>
      </c>
    </row>
    <row r="677" spans="1:19" x14ac:dyDescent="0.25">
      <c r="A677">
        <v>681</v>
      </c>
      <c r="B677" t="s">
        <v>310</v>
      </c>
      <c r="C677" t="s">
        <v>731</v>
      </c>
      <c r="D677" t="s">
        <v>851</v>
      </c>
      <c r="E677">
        <v>52</v>
      </c>
      <c r="F677" t="str" cm="1">
        <f t="array" ref="F677">INDEX(Country!$B$3:$B$250, MATCH(TRUE, ISNUMBER(SEARCH(Country!$A$2:$A$509, Customer_Data[[#This Row],[Country]])),0 ))</f>
        <v>Asia</v>
      </c>
      <c r="G677" t="s">
        <v>1075</v>
      </c>
      <c r="H677" t="s">
        <v>1744</v>
      </c>
      <c r="I677" t="s">
        <v>2724</v>
      </c>
      <c r="J677" t="s">
        <v>3716</v>
      </c>
      <c r="K677" s="1">
        <v>45764</v>
      </c>
      <c r="L677">
        <f>YEAR(Customer_Data[[#This Row],[LastPurchaseDate]])</f>
        <v>2024</v>
      </c>
      <c r="M677">
        <f>MONTH(Customer_Data[[#This Row],[LastPurchaseDate]])</f>
        <v>2</v>
      </c>
      <c r="N677" s="7">
        <v>45325</v>
      </c>
      <c r="O677">
        <v>10</v>
      </c>
      <c r="P677" s="4">
        <v>766.72</v>
      </c>
      <c r="Q677" t="s">
        <v>4035</v>
      </c>
      <c r="R677">
        <v>5</v>
      </c>
      <c r="S677">
        <v>76.67</v>
      </c>
    </row>
    <row r="678" spans="1:19" x14ac:dyDescent="0.25">
      <c r="A678">
        <v>682</v>
      </c>
      <c r="B678" t="s">
        <v>78</v>
      </c>
      <c r="C678" t="s">
        <v>732</v>
      </c>
      <c r="D678" t="s">
        <v>850</v>
      </c>
      <c r="E678">
        <v>39</v>
      </c>
      <c r="F678" t="str" cm="1">
        <f t="array" ref="F678">INDEX(Country!$B$3:$B$250, MATCH(TRUE, ISNUMBER(SEARCH(Country!$A$2:$A$509, Customer_Data[[#This Row],[Country]])),0 ))</f>
        <v>Oceania</v>
      </c>
      <c r="G678" t="s">
        <v>1044</v>
      </c>
      <c r="H678" t="s">
        <v>1745</v>
      </c>
      <c r="I678" t="s">
        <v>2725</v>
      </c>
      <c r="J678" t="s">
        <v>3717</v>
      </c>
      <c r="K678" s="1">
        <v>45470</v>
      </c>
      <c r="L678">
        <f>YEAR(Customer_Data[[#This Row],[LastPurchaseDate]])</f>
        <v>2025</v>
      </c>
      <c r="M678">
        <f>MONTH(Customer_Data[[#This Row],[LastPurchaseDate]])</f>
        <v>5</v>
      </c>
      <c r="N678" s="7">
        <v>45778</v>
      </c>
      <c r="O678">
        <v>9</v>
      </c>
      <c r="P678" s="4">
        <v>8356.7099999999991</v>
      </c>
      <c r="Q678" t="s">
        <v>4035</v>
      </c>
      <c r="R678">
        <v>1</v>
      </c>
      <c r="S678">
        <v>928.52</v>
      </c>
    </row>
    <row r="679" spans="1:19" x14ac:dyDescent="0.25">
      <c r="A679">
        <v>683</v>
      </c>
      <c r="B679" t="s">
        <v>311</v>
      </c>
      <c r="C679" t="s">
        <v>451</v>
      </c>
      <c r="D679" t="s">
        <v>851</v>
      </c>
      <c r="E679">
        <v>63</v>
      </c>
      <c r="F679" t="str" cm="1">
        <f t="array" ref="F679">INDEX(Country!$B$3:$B$250, MATCH(TRUE, ISNUMBER(SEARCH(Country!$A$2:$A$509, Customer_Data[[#This Row],[Country]])),0 ))</f>
        <v>Africa</v>
      </c>
      <c r="G679" t="s">
        <v>1069</v>
      </c>
      <c r="H679" t="s">
        <v>1746</v>
      </c>
      <c r="I679" t="s">
        <v>2726</v>
      </c>
      <c r="J679" t="s">
        <v>3718</v>
      </c>
      <c r="K679" s="1">
        <v>45152</v>
      </c>
      <c r="L679">
        <f>YEAR(Customer_Data[[#This Row],[LastPurchaseDate]])</f>
        <v>2023</v>
      </c>
      <c r="M679">
        <f>MONTH(Customer_Data[[#This Row],[LastPurchaseDate]])</f>
        <v>11</v>
      </c>
      <c r="N679" s="7">
        <v>45254</v>
      </c>
      <c r="O679">
        <v>20</v>
      </c>
      <c r="P679" s="4">
        <v>1150.44</v>
      </c>
      <c r="Q679" t="s">
        <v>4035</v>
      </c>
      <c r="R679">
        <v>4</v>
      </c>
      <c r="S679">
        <v>57.52</v>
      </c>
    </row>
    <row r="680" spans="1:19" x14ac:dyDescent="0.25">
      <c r="A680">
        <v>684</v>
      </c>
      <c r="B680" t="s">
        <v>312</v>
      </c>
      <c r="C680" t="s">
        <v>733</v>
      </c>
      <c r="D680" t="s">
        <v>850</v>
      </c>
      <c r="E680">
        <v>67</v>
      </c>
      <c r="F680" t="str" cm="1">
        <f t="array" ref="F680">INDEX(Country!$B$3:$B$250, MATCH(TRUE, ISNUMBER(SEARCH(Country!$A$2:$A$509, Customer_Data[[#This Row],[Country]])),0 ))</f>
        <v>Oceania</v>
      </c>
      <c r="G680" t="s">
        <v>1041</v>
      </c>
      <c r="H680" t="s">
        <v>1747</v>
      </c>
      <c r="I680" t="s">
        <v>2727</v>
      </c>
      <c r="J680" t="s">
        <v>3719</v>
      </c>
      <c r="K680" s="1">
        <v>45154</v>
      </c>
      <c r="L680">
        <f>YEAR(Customer_Data[[#This Row],[LastPurchaseDate]])</f>
        <v>2024</v>
      </c>
      <c r="M680">
        <f>MONTH(Customer_Data[[#This Row],[LastPurchaseDate]])</f>
        <v>3</v>
      </c>
      <c r="N680" s="7">
        <v>45375</v>
      </c>
      <c r="O680">
        <v>4</v>
      </c>
      <c r="P680" s="4">
        <v>2614.8200000000002</v>
      </c>
      <c r="Q680" t="s">
        <v>4035</v>
      </c>
      <c r="R680">
        <v>4</v>
      </c>
      <c r="S680">
        <v>653.71</v>
      </c>
    </row>
    <row r="681" spans="1:19" x14ac:dyDescent="0.25">
      <c r="A681">
        <v>685</v>
      </c>
      <c r="B681" t="s">
        <v>58</v>
      </c>
      <c r="C681" t="s">
        <v>734</v>
      </c>
      <c r="D681" t="s">
        <v>852</v>
      </c>
      <c r="E681">
        <v>29</v>
      </c>
      <c r="F681" t="str" cm="1">
        <f t="array" ref="F681">INDEX(Country!$B$3:$B$250, MATCH(TRUE, ISNUMBER(SEARCH(Country!$A$2:$A$509, Customer_Data[[#This Row],[Country]])),0 ))</f>
        <v>Africa</v>
      </c>
      <c r="G681" t="s">
        <v>1043</v>
      </c>
      <c r="H681" t="s">
        <v>1748</v>
      </c>
      <c r="I681" t="s">
        <v>2728</v>
      </c>
      <c r="J681" t="s">
        <v>3720</v>
      </c>
      <c r="K681" s="1">
        <v>45779</v>
      </c>
      <c r="L681">
        <f>YEAR(Customer_Data[[#This Row],[LastPurchaseDate]])</f>
        <v>2024</v>
      </c>
      <c r="M681">
        <f>MONTH(Customer_Data[[#This Row],[LastPurchaseDate]])</f>
        <v>7</v>
      </c>
      <c r="N681" s="7">
        <v>45476</v>
      </c>
      <c r="O681">
        <v>29</v>
      </c>
      <c r="P681" s="4">
        <v>1507.59</v>
      </c>
      <c r="Q681" t="s">
        <v>4035</v>
      </c>
      <c r="R681">
        <v>5</v>
      </c>
      <c r="S681">
        <v>51.99</v>
      </c>
    </row>
    <row r="682" spans="1:19" x14ac:dyDescent="0.25">
      <c r="A682">
        <v>686</v>
      </c>
      <c r="B682" t="s">
        <v>33</v>
      </c>
      <c r="C682" t="s">
        <v>735</v>
      </c>
      <c r="D682" t="s">
        <v>850</v>
      </c>
      <c r="E682">
        <v>25</v>
      </c>
      <c r="F682" t="str" cm="1">
        <f t="array" ref="F682">INDEX(Country!$B$3:$B$250, MATCH(TRUE, ISNUMBER(SEARCH(Country!$A$2:$A$509, Customer_Data[[#This Row],[Country]])),0 ))</f>
        <v>Oceania</v>
      </c>
      <c r="G682" t="s">
        <v>930</v>
      </c>
      <c r="H682" t="s">
        <v>1749</v>
      </c>
      <c r="I682" t="s">
        <v>2729</v>
      </c>
      <c r="J682" t="s">
        <v>3721</v>
      </c>
      <c r="K682" s="1">
        <v>45195</v>
      </c>
      <c r="L682">
        <f>YEAR(Customer_Data[[#This Row],[LastPurchaseDate]])</f>
        <v>2024</v>
      </c>
      <c r="M682">
        <f>MONTH(Customer_Data[[#This Row],[LastPurchaseDate]])</f>
        <v>12</v>
      </c>
      <c r="N682" s="7">
        <v>45649</v>
      </c>
      <c r="O682">
        <v>23</v>
      </c>
      <c r="P682" s="4">
        <v>3245.25</v>
      </c>
      <c r="Q682" t="s">
        <v>4034</v>
      </c>
      <c r="R682">
        <v>4</v>
      </c>
      <c r="S682">
        <v>141.1</v>
      </c>
    </row>
    <row r="683" spans="1:19" x14ac:dyDescent="0.25">
      <c r="A683">
        <v>687</v>
      </c>
      <c r="B683" t="s">
        <v>111</v>
      </c>
      <c r="C683" t="s">
        <v>416</v>
      </c>
      <c r="D683" t="s">
        <v>851</v>
      </c>
      <c r="E683">
        <v>31</v>
      </c>
      <c r="F683" t="str" cm="1">
        <f t="array" ref="F683">INDEX(Country!$B$3:$B$250, MATCH(TRUE, ISNUMBER(SEARCH(Country!$A$2:$A$509, Customer_Data[[#This Row],[Country]])),0 ))</f>
        <v>Oceania</v>
      </c>
      <c r="G683" t="s">
        <v>1035</v>
      </c>
      <c r="H683" t="s">
        <v>1677</v>
      </c>
      <c r="I683" t="s">
        <v>2730</v>
      </c>
      <c r="J683" t="s">
        <v>3722</v>
      </c>
      <c r="K683" s="1">
        <v>45086</v>
      </c>
      <c r="L683">
        <f>YEAR(Customer_Data[[#This Row],[LastPurchaseDate]])</f>
        <v>2025</v>
      </c>
      <c r="M683">
        <f>MONTH(Customer_Data[[#This Row],[LastPurchaseDate]])</f>
        <v>1</v>
      </c>
      <c r="N683" s="7">
        <v>45661</v>
      </c>
      <c r="O683">
        <v>28</v>
      </c>
      <c r="P683" s="4">
        <v>9982.4599999999991</v>
      </c>
      <c r="Q683" t="s">
        <v>4035</v>
      </c>
      <c r="R683">
        <v>3</v>
      </c>
      <c r="S683">
        <v>356.52</v>
      </c>
    </row>
    <row r="684" spans="1:19" x14ac:dyDescent="0.25">
      <c r="A684">
        <v>688</v>
      </c>
      <c r="B684" t="s">
        <v>117</v>
      </c>
      <c r="C684" t="s">
        <v>556</v>
      </c>
      <c r="D684" t="s">
        <v>850</v>
      </c>
      <c r="E684">
        <v>50</v>
      </c>
      <c r="F684" t="str" cm="1">
        <f t="array" ref="F684">INDEX(Country!$B$3:$B$250, MATCH(TRUE, ISNUMBER(SEARCH(Country!$A$2:$A$509, Customer_Data[[#This Row],[Country]])),0 ))</f>
        <v>Africa</v>
      </c>
      <c r="G684" t="s">
        <v>1057</v>
      </c>
      <c r="H684" t="s">
        <v>1750</v>
      </c>
      <c r="I684" t="s">
        <v>2731</v>
      </c>
      <c r="J684" t="s">
        <v>3723</v>
      </c>
      <c r="K684" s="1">
        <v>45740</v>
      </c>
      <c r="L684">
        <f>YEAR(Customer_Data[[#This Row],[LastPurchaseDate]])</f>
        <v>2024</v>
      </c>
      <c r="M684">
        <f>MONTH(Customer_Data[[#This Row],[LastPurchaseDate]])</f>
        <v>8</v>
      </c>
      <c r="N684" s="7">
        <v>45535</v>
      </c>
      <c r="O684">
        <v>45</v>
      </c>
      <c r="P684" s="4">
        <v>2817.45</v>
      </c>
      <c r="Q684" t="s">
        <v>4034</v>
      </c>
      <c r="R684">
        <v>5</v>
      </c>
      <c r="S684">
        <v>62.61</v>
      </c>
    </row>
    <row r="685" spans="1:19" x14ac:dyDescent="0.25">
      <c r="A685">
        <v>689</v>
      </c>
      <c r="B685" t="s">
        <v>55</v>
      </c>
      <c r="C685" t="s">
        <v>414</v>
      </c>
      <c r="D685" t="s">
        <v>852</v>
      </c>
      <c r="E685">
        <v>64</v>
      </c>
      <c r="F685" t="str" cm="1">
        <f t="array" ref="F685">INDEX(Country!$B$3:$B$250, MATCH(TRUE, ISNUMBER(SEARCH(Country!$A$2:$A$509, Customer_Data[[#This Row],[Country]])),0 ))</f>
        <v>North America</v>
      </c>
      <c r="G685" t="s">
        <v>931</v>
      </c>
      <c r="H685" t="s">
        <v>1751</v>
      </c>
      <c r="I685" t="s">
        <v>2732</v>
      </c>
      <c r="J685" t="s">
        <v>3724</v>
      </c>
      <c r="K685" s="1">
        <v>45044</v>
      </c>
      <c r="L685">
        <f>YEAR(Customer_Data[[#This Row],[LastPurchaseDate]])</f>
        <v>2025</v>
      </c>
      <c r="M685">
        <f>MONTH(Customer_Data[[#This Row],[LastPurchaseDate]])</f>
        <v>9</v>
      </c>
      <c r="N685" s="7">
        <v>45914</v>
      </c>
      <c r="O685">
        <v>28</v>
      </c>
      <c r="P685" s="4">
        <v>608.08000000000004</v>
      </c>
      <c r="Q685" t="s">
        <v>4035</v>
      </c>
      <c r="R685">
        <v>4</v>
      </c>
      <c r="S685">
        <v>21.72</v>
      </c>
    </row>
    <row r="686" spans="1:19" x14ac:dyDescent="0.25">
      <c r="A686">
        <v>690</v>
      </c>
      <c r="B686" t="s">
        <v>210</v>
      </c>
      <c r="C686" t="s">
        <v>608</v>
      </c>
      <c r="D686" t="s">
        <v>851</v>
      </c>
      <c r="E686">
        <v>30</v>
      </c>
      <c r="F686" t="str" cm="1">
        <f t="array" ref="F686">INDEX(Country!$B$3:$B$250, MATCH(TRUE, ISNUMBER(SEARCH(Country!$A$2:$A$509, Customer_Data[[#This Row],[Country]])),0 ))</f>
        <v>North America</v>
      </c>
      <c r="G686" t="s">
        <v>921</v>
      </c>
      <c r="H686" t="s">
        <v>1752</v>
      </c>
      <c r="I686" t="s">
        <v>2733</v>
      </c>
      <c r="J686" t="s">
        <v>3725</v>
      </c>
      <c r="K686" s="1">
        <v>45878</v>
      </c>
      <c r="L686">
        <f>YEAR(Customer_Data[[#This Row],[LastPurchaseDate]])</f>
        <v>2025</v>
      </c>
      <c r="M686">
        <f>MONTH(Customer_Data[[#This Row],[LastPurchaseDate]])</f>
        <v>3</v>
      </c>
      <c r="N686" s="7">
        <v>45718</v>
      </c>
      <c r="O686">
        <v>33</v>
      </c>
      <c r="P686" s="4">
        <v>1764.67</v>
      </c>
      <c r="Q686" t="s">
        <v>4035</v>
      </c>
      <c r="R686">
        <v>3</v>
      </c>
      <c r="S686">
        <v>53.47</v>
      </c>
    </row>
    <row r="687" spans="1:19" x14ac:dyDescent="0.25">
      <c r="A687">
        <v>691</v>
      </c>
      <c r="B687" t="s">
        <v>115</v>
      </c>
      <c r="C687" t="s">
        <v>395</v>
      </c>
      <c r="D687" t="s">
        <v>850</v>
      </c>
      <c r="E687">
        <v>21</v>
      </c>
      <c r="F687" t="str" cm="1">
        <f t="array" ref="F687">INDEX(Country!$B$3:$B$250, MATCH(TRUE, ISNUMBER(SEARCH(Country!$A$2:$A$509, Customer_Data[[#This Row],[Country]])),0 ))</f>
        <v>Africa</v>
      </c>
      <c r="G687" t="s">
        <v>952</v>
      </c>
      <c r="H687" t="s">
        <v>1753</v>
      </c>
      <c r="I687" t="s">
        <v>2734</v>
      </c>
      <c r="J687" t="s">
        <v>3726</v>
      </c>
      <c r="K687" s="1">
        <v>45262</v>
      </c>
      <c r="L687">
        <f>YEAR(Customer_Data[[#This Row],[LastPurchaseDate]])</f>
        <v>2024</v>
      </c>
      <c r="M687">
        <f>MONTH(Customer_Data[[#This Row],[LastPurchaseDate]])</f>
        <v>12</v>
      </c>
      <c r="N687" s="7">
        <v>45656</v>
      </c>
      <c r="O687">
        <v>17</v>
      </c>
      <c r="P687" s="4">
        <v>6153.76</v>
      </c>
      <c r="Q687" t="s">
        <v>4034</v>
      </c>
      <c r="R687">
        <v>5</v>
      </c>
      <c r="S687">
        <v>361.99</v>
      </c>
    </row>
    <row r="688" spans="1:19" x14ac:dyDescent="0.25">
      <c r="A688">
        <v>692</v>
      </c>
      <c r="B688" t="s">
        <v>93</v>
      </c>
      <c r="C688" t="s">
        <v>736</v>
      </c>
      <c r="D688" t="s">
        <v>850</v>
      </c>
      <c r="E688">
        <v>62</v>
      </c>
      <c r="F688" t="str" cm="1">
        <f t="array" ref="F688">INDEX(Country!$B$3:$B$250, MATCH(TRUE, ISNUMBER(SEARCH(Country!$A$2:$A$509, Customer_Data[[#This Row],[Country]])),0 ))</f>
        <v>Africa</v>
      </c>
      <c r="G688" t="s">
        <v>867</v>
      </c>
      <c r="H688" t="s">
        <v>1754</v>
      </c>
      <c r="I688" t="s">
        <v>2735</v>
      </c>
      <c r="J688" t="s">
        <v>3727</v>
      </c>
      <c r="K688" s="1">
        <v>45099</v>
      </c>
      <c r="L688">
        <f>YEAR(Customer_Data[[#This Row],[LastPurchaseDate]])</f>
        <v>2023</v>
      </c>
      <c r="M688">
        <f>MONTH(Customer_Data[[#This Row],[LastPurchaseDate]])</f>
        <v>11</v>
      </c>
      <c r="N688" s="7">
        <v>45255</v>
      </c>
      <c r="O688">
        <v>3</v>
      </c>
      <c r="P688" s="4">
        <v>8912.1</v>
      </c>
      <c r="Q688" t="s">
        <v>4035</v>
      </c>
      <c r="R688">
        <v>2</v>
      </c>
      <c r="S688">
        <v>2970.7</v>
      </c>
    </row>
    <row r="689" spans="1:19" x14ac:dyDescent="0.25">
      <c r="A689">
        <v>693</v>
      </c>
      <c r="B689" t="s">
        <v>68</v>
      </c>
      <c r="C689" t="s">
        <v>737</v>
      </c>
      <c r="D689" t="s">
        <v>851</v>
      </c>
      <c r="E689">
        <v>37</v>
      </c>
      <c r="F689" t="str" cm="1">
        <f t="array" ref="F689">INDEX(Country!$B$3:$B$250, MATCH(TRUE, ISNUMBER(SEARCH(Country!$A$2:$A$509, Customer_Data[[#This Row],[Country]])),0 ))</f>
        <v>Asia</v>
      </c>
      <c r="G689" t="s">
        <v>895</v>
      </c>
      <c r="H689" t="s">
        <v>1755</v>
      </c>
      <c r="I689" t="s">
        <v>2736</v>
      </c>
      <c r="J689" t="s">
        <v>3728</v>
      </c>
      <c r="K689" s="1">
        <v>45004</v>
      </c>
      <c r="L689">
        <f>YEAR(Customer_Data[[#This Row],[LastPurchaseDate]])</f>
        <v>2025</v>
      </c>
      <c r="M689">
        <f>MONTH(Customer_Data[[#This Row],[LastPurchaseDate]])</f>
        <v>10</v>
      </c>
      <c r="N689" s="7">
        <v>45933</v>
      </c>
      <c r="O689">
        <v>22</v>
      </c>
      <c r="P689" s="4">
        <v>5324.5</v>
      </c>
      <c r="Q689" t="s">
        <v>4035</v>
      </c>
      <c r="R689">
        <v>5</v>
      </c>
      <c r="S689">
        <v>242.02</v>
      </c>
    </row>
    <row r="690" spans="1:19" x14ac:dyDescent="0.25">
      <c r="A690">
        <v>694</v>
      </c>
      <c r="B690" t="s">
        <v>150</v>
      </c>
      <c r="C690" t="s">
        <v>735</v>
      </c>
      <c r="D690" t="s">
        <v>850</v>
      </c>
      <c r="E690">
        <v>42</v>
      </c>
      <c r="F690" t="str" cm="1">
        <f t="array" ref="F690">INDEX(Country!$B$3:$B$250, MATCH(TRUE, ISNUMBER(SEARCH(Country!$A$2:$A$509, Customer_Data[[#This Row],[Country]])),0 ))</f>
        <v>Africa</v>
      </c>
      <c r="G690" t="s">
        <v>999</v>
      </c>
      <c r="H690" t="s">
        <v>1756</v>
      </c>
      <c r="I690" t="s">
        <v>2737</v>
      </c>
      <c r="J690" t="s">
        <v>3729</v>
      </c>
      <c r="K690" s="1">
        <v>44967</v>
      </c>
      <c r="L690">
        <f>YEAR(Customer_Data[[#This Row],[LastPurchaseDate]])</f>
        <v>2025</v>
      </c>
      <c r="M690">
        <f>MONTH(Customer_Data[[#This Row],[LastPurchaseDate]])</f>
        <v>5</v>
      </c>
      <c r="N690" s="7">
        <v>45785</v>
      </c>
      <c r="O690">
        <v>21</v>
      </c>
      <c r="P690" s="4">
        <v>9055.8700000000008</v>
      </c>
      <c r="Q690" t="s">
        <v>4035</v>
      </c>
      <c r="R690">
        <v>4</v>
      </c>
      <c r="S690">
        <v>431.23</v>
      </c>
    </row>
    <row r="691" spans="1:19" x14ac:dyDescent="0.25">
      <c r="A691">
        <v>695</v>
      </c>
      <c r="B691" t="s">
        <v>97</v>
      </c>
      <c r="C691" t="s">
        <v>451</v>
      </c>
      <c r="D691" t="s">
        <v>851</v>
      </c>
      <c r="E691">
        <v>35</v>
      </c>
      <c r="F691" t="str" cm="1">
        <f t="array" ref="F691">INDEX(Country!$B$3:$B$250, MATCH(TRUE, ISNUMBER(SEARCH(Country!$A$2:$A$509, Customer_Data[[#This Row],[Country]])),0 ))</f>
        <v>Europe</v>
      </c>
      <c r="G691" t="s">
        <v>1072</v>
      </c>
      <c r="H691" t="s">
        <v>1757</v>
      </c>
      <c r="I691" t="s">
        <v>2738</v>
      </c>
      <c r="J691" t="s">
        <v>3730</v>
      </c>
      <c r="K691" s="1">
        <v>44885</v>
      </c>
      <c r="L691">
        <f>YEAR(Customer_Data[[#This Row],[LastPurchaseDate]])</f>
        <v>2025</v>
      </c>
      <c r="M691">
        <f>MONTH(Customer_Data[[#This Row],[LastPurchaseDate]])</f>
        <v>5</v>
      </c>
      <c r="N691" s="7">
        <v>45795</v>
      </c>
      <c r="O691">
        <v>49</v>
      </c>
      <c r="P691" s="4">
        <v>9386.2099999999991</v>
      </c>
      <c r="Q691" t="s">
        <v>4035</v>
      </c>
      <c r="R691">
        <v>3</v>
      </c>
      <c r="S691">
        <v>191.56</v>
      </c>
    </row>
    <row r="692" spans="1:19" x14ac:dyDescent="0.25">
      <c r="A692">
        <v>696</v>
      </c>
      <c r="B692" t="s">
        <v>179</v>
      </c>
      <c r="C692" t="s">
        <v>738</v>
      </c>
      <c r="D692" t="s">
        <v>851</v>
      </c>
      <c r="E692">
        <v>39</v>
      </c>
      <c r="F692" t="str" cm="1">
        <f t="array" ref="F692">INDEX(Country!$B$3:$B$250, MATCH(TRUE, ISNUMBER(SEARCH(Country!$A$2:$A$509, Customer_Data[[#This Row],[Country]])),0 ))</f>
        <v>Europe</v>
      </c>
      <c r="G692" t="s">
        <v>981</v>
      </c>
      <c r="H692" t="s">
        <v>1758</v>
      </c>
      <c r="I692" t="s">
        <v>2739</v>
      </c>
      <c r="J692" t="s">
        <v>3731</v>
      </c>
      <c r="K692" s="1">
        <v>44989</v>
      </c>
      <c r="L692">
        <f>YEAR(Customer_Data[[#This Row],[LastPurchaseDate]])</f>
        <v>2025</v>
      </c>
      <c r="M692">
        <f>MONTH(Customer_Data[[#This Row],[LastPurchaseDate]])</f>
        <v>8</v>
      </c>
      <c r="N692" s="7">
        <v>45891</v>
      </c>
      <c r="O692">
        <v>22</v>
      </c>
      <c r="P692" s="4">
        <v>3120.1</v>
      </c>
      <c r="Q692" t="s">
        <v>4034</v>
      </c>
      <c r="R692">
        <v>5</v>
      </c>
      <c r="S692">
        <v>141.82</v>
      </c>
    </row>
    <row r="693" spans="1:19" x14ac:dyDescent="0.25">
      <c r="A693">
        <v>697</v>
      </c>
      <c r="B693" t="s">
        <v>313</v>
      </c>
      <c r="C693" t="s">
        <v>480</v>
      </c>
      <c r="D693" t="s">
        <v>850</v>
      </c>
      <c r="E693">
        <v>47</v>
      </c>
      <c r="F693" t="str" cm="1">
        <f t="array" ref="F693">INDEX(Country!$B$3:$B$250, MATCH(TRUE, ISNUMBER(SEARCH(Country!$A$2:$A$509, Customer_Data[[#This Row],[Country]])),0 ))</f>
        <v>North America</v>
      </c>
      <c r="G693" t="s">
        <v>976</v>
      </c>
      <c r="H693" t="s">
        <v>1759</v>
      </c>
      <c r="I693" t="s">
        <v>2740</v>
      </c>
      <c r="J693" t="s">
        <v>3732</v>
      </c>
      <c r="K693" s="1">
        <v>44915</v>
      </c>
      <c r="L693">
        <f>YEAR(Customer_Data[[#This Row],[LastPurchaseDate]])</f>
        <v>2024</v>
      </c>
      <c r="M693">
        <f>MONTH(Customer_Data[[#This Row],[LastPurchaseDate]])</f>
        <v>10</v>
      </c>
      <c r="N693" s="7">
        <v>45573</v>
      </c>
      <c r="O693">
        <v>26</v>
      </c>
      <c r="P693" s="4">
        <v>1341.41</v>
      </c>
      <c r="Q693" t="s">
        <v>4035</v>
      </c>
      <c r="R693">
        <v>1</v>
      </c>
      <c r="S693">
        <v>51.59</v>
      </c>
    </row>
    <row r="694" spans="1:19" x14ac:dyDescent="0.25">
      <c r="A694">
        <v>698</v>
      </c>
      <c r="B694" t="s">
        <v>134</v>
      </c>
      <c r="C694" t="s">
        <v>739</v>
      </c>
      <c r="D694" t="s">
        <v>851</v>
      </c>
      <c r="E694">
        <v>57</v>
      </c>
      <c r="F694" t="str" cm="1">
        <f t="array" ref="F694">INDEX(Country!$B$3:$B$250, MATCH(TRUE, ISNUMBER(SEARCH(Country!$A$2:$A$509, Customer_Data[[#This Row],[Country]])),0 ))</f>
        <v>Africa</v>
      </c>
      <c r="G694" t="s">
        <v>955</v>
      </c>
      <c r="H694" t="s">
        <v>1760</v>
      </c>
      <c r="I694" t="s">
        <v>2741</v>
      </c>
      <c r="J694" t="s">
        <v>3733</v>
      </c>
      <c r="K694" s="1">
        <v>45401</v>
      </c>
      <c r="L694">
        <f>YEAR(Customer_Data[[#This Row],[LastPurchaseDate]])</f>
        <v>2025</v>
      </c>
      <c r="M694">
        <f>MONTH(Customer_Data[[#This Row],[LastPurchaseDate]])</f>
        <v>3</v>
      </c>
      <c r="N694" s="7">
        <v>45739</v>
      </c>
      <c r="O694">
        <v>26</v>
      </c>
      <c r="P694" s="4">
        <v>7750.55</v>
      </c>
      <c r="Q694" t="s">
        <v>4034</v>
      </c>
      <c r="R694">
        <v>5</v>
      </c>
      <c r="S694">
        <v>298.10000000000002</v>
      </c>
    </row>
    <row r="695" spans="1:19" x14ac:dyDescent="0.25">
      <c r="A695">
        <v>699</v>
      </c>
      <c r="B695" t="s">
        <v>210</v>
      </c>
      <c r="C695" t="s">
        <v>595</v>
      </c>
      <c r="D695" t="s">
        <v>850</v>
      </c>
      <c r="E695">
        <v>38</v>
      </c>
      <c r="F695" t="str" cm="1">
        <f t="array" ref="F695">INDEX(Country!$B$3:$B$250, MATCH(TRUE, ISNUMBER(SEARCH(Country!$A$2:$A$509, Customer_Data[[#This Row],[Country]])),0 ))</f>
        <v>Oceania</v>
      </c>
      <c r="G695" t="s">
        <v>1048</v>
      </c>
      <c r="H695" t="s">
        <v>1761</v>
      </c>
      <c r="I695" t="s">
        <v>2742</v>
      </c>
      <c r="J695" t="s">
        <v>3734</v>
      </c>
      <c r="K695" s="1">
        <v>45821</v>
      </c>
      <c r="L695">
        <f>YEAR(Customer_Data[[#This Row],[LastPurchaseDate]])</f>
        <v>2024</v>
      </c>
      <c r="M695">
        <f>MONTH(Customer_Data[[#This Row],[LastPurchaseDate]])</f>
        <v>8</v>
      </c>
      <c r="N695" s="7">
        <v>45535</v>
      </c>
      <c r="O695">
        <v>14</v>
      </c>
      <c r="P695" s="4">
        <v>1309.3</v>
      </c>
      <c r="Q695" t="s">
        <v>4034</v>
      </c>
      <c r="R695">
        <v>2</v>
      </c>
      <c r="S695">
        <v>93.52</v>
      </c>
    </row>
    <row r="696" spans="1:19" x14ac:dyDescent="0.25">
      <c r="A696">
        <v>700</v>
      </c>
      <c r="B696" t="s">
        <v>314</v>
      </c>
      <c r="C696" t="s">
        <v>740</v>
      </c>
      <c r="D696" t="s">
        <v>850</v>
      </c>
      <c r="E696">
        <v>29</v>
      </c>
      <c r="F696" t="str" cm="1">
        <f t="array" ref="F696">INDEX(Country!$B$3:$B$250, MATCH(TRUE, ISNUMBER(SEARCH(Country!$A$2:$A$509, Customer_Data[[#This Row],[Country]])),0 ))</f>
        <v>Africa</v>
      </c>
      <c r="G696" t="s">
        <v>1057</v>
      </c>
      <c r="H696" t="s">
        <v>1762</v>
      </c>
      <c r="I696" t="s">
        <v>2743</v>
      </c>
      <c r="J696" t="s">
        <v>3735</v>
      </c>
      <c r="K696" s="1">
        <v>45111</v>
      </c>
      <c r="L696">
        <f>YEAR(Customer_Data[[#This Row],[LastPurchaseDate]])</f>
        <v>2025</v>
      </c>
      <c r="M696">
        <f>MONTH(Customer_Data[[#This Row],[LastPurchaseDate]])</f>
        <v>9</v>
      </c>
      <c r="N696" s="7">
        <v>45912</v>
      </c>
      <c r="O696">
        <v>34</v>
      </c>
      <c r="P696" s="4">
        <v>610.88</v>
      </c>
      <c r="Q696" t="s">
        <v>4035</v>
      </c>
      <c r="R696">
        <v>3</v>
      </c>
      <c r="S696">
        <v>17.97</v>
      </c>
    </row>
    <row r="697" spans="1:19" x14ac:dyDescent="0.25">
      <c r="A697">
        <v>701</v>
      </c>
      <c r="B697" t="s">
        <v>297</v>
      </c>
      <c r="C697" t="s">
        <v>716</v>
      </c>
      <c r="D697" t="s">
        <v>850</v>
      </c>
      <c r="E697">
        <v>35</v>
      </c>
      <c r="F697" t="str" cm="1">
        <f t="array" ref="F697">INDEX(Country!$B$3:$B$250, MATCH(TRUE, ISNUMBER(SEARCH(Country!$A$2:$A$509, Customer_Data[[#This Row],[Country]])),0 ))</f>
        <v>North America</v>
      </c>
      <c r="G697" t="s">
        <v>1001</v>
      </c>
      <c r="H697" t="s">
        <v>1763</v>
      </c>
      <c r="I697" t="s">
        <v>2744</v>
      </c>
      <c r="J697" t="s">
        <v>3736</v>
      </c>
      <c r="K697" s="1">
        <v>44914</v>
      </c>
      <c r="L697">
        <f>YEAR(Customer_Data[[#This Row],[LastPurchaseDate]])</f>
        <v>2025</v>
      </c>
      <c r="M697">
        <f>MONTH(Customer_Data[[#This Row],[LastPurchaseDate]])</f>
        <v>9</v>
      </c>
      <c r="N697" s="7">
        <v>45901</v>
      </c>
      <c r="O697">
        <v>13</v>
      </c>
      <c r="P697" s="4">
        <v>3997.1</v>
      </c>
      <c r="Q697" t="s">
        <v>4035</v>
      </c>
      <c r="R697">
        <v>1</v>
      </c>
      <c r="S697">
        <v>307.47000000000003</v>
      </c>
    </row>
    <row r="698" spans="1:19" x14ac:dyDescent="0.25">
      <c r="A698">
        <v>702</v>
      </c>
      <c r="B698" t="s">
        <v>296</v>
      </c>
      <c r="C698" t="s">
        <v>741</v>
      </c>
      <c r="D698" t="s">
        <v>851</v>
      </c>
      <c r="E698">
        <v>59</v>
      </c>
      <c r="F698" t="str" cm="1">
        <f t="array" ref="F698">INDEX(Country!$B$3:$B$250, MATCH(TRUE, ISNUMBER(SEARCH(Country!$A$2:$A$509, Customer_Data[[#This Row],[Country]])),0 ))</f>
        <v>Asia</v>
      </c>
      <c r="G698" t="s">
        <v>1051</v>
      </c>
      <c r="H698" t="s">
        <v>1764</v>
      </c>
      <c r="I698" t="s">
        <v>2745</v>
      </c>
      <c r="J698" t="s">
        <v>3737</v>
      </c>
      <c r="K698" s="1">
        <v>45418</v>
      </c>
      <c r="L698">
        <f>YEAR(Customer_Data[[#This Row],[LastPurchaseDate]])</f>
        <v>2023</v>
      </c>
      <c r="M698">
        <f>MONTH(Customer_Data[[#This Row],[LastPurchaseDate]])</f>
        <v>11</v>
      </c>
      <c r="N698" s="7">
        <v>45241</v>
      </c>
      <c r="O698">
        <v>18</v>
      </c>
      <c r="P698" s="4">
        <v>1394.62</v>
      </c>
      <c r="Q698" t="s">
        <v>4035</v>
      </c>
      <c r="R698">
        <v>2</v>
      </c>
      <c r="S698">
        <v>77.48</v>
      </c>
    </row>
    <row r="699" spans="1:19" x14ac:dyDescent="0.25">
      <c r="A699">
        <v>703</v>
      </c>
      <c r="B699" t="s">
        <v>177</v>
      </c>
      <c r="C699" t="s">
        <v>742</v>
      </c>
      <c r="D699" t="s">
        <v>850</v>
      </c>
      <c r="E699">
        <v>68</v>
      </c>
      <c r="F699" t="str" cm="1">
        <f t="array" ref="F699">INDEX(Country!$B$3:$B$250, MATCH(TRUE, ISNUMBER(SEARCH(Country!$A$2:$A$509, Customer_Data[[#This Row],[Country]])),0 ))</f>
        <v>Europe</v>
      </c>
      <c r="G699" t="s">
        <v>981</v>
      </c>
      <c r="H699" t="s">
        <v>1765</v>
      </c>
      <c r="I699" t="s">
        <v>2746</v>
      </c>
      <c r="J699" t="s">
        <v>3738</v>
      </c>
      <c r="K699" s="1">
        <v>45102</v>
      </c>
      <c r="L699">
        <f>YEAR(Customer_Data[[#This Row],[LastPurchaseDate]])</f>
        <v>2025</v>
      </c>
      <c r="M699">
        <f>MONTH(Customer_Data[[#This Row],[LastPurchaseDate]])</f>
        <v>1</v>
      </c>
      <c r="N699" s="7">
        <v>45688</v>
      </c>
      <c r="O699">
        <v>3</v>
      </c>
      <c r="P699" s="4">
        <v>3168.9</v>
      </c>
      <c r="Q699" t="s">
        <v>4035</v>
      </c>
      <c r="R699">
        <v>3</v>
      </c>
      <c r="S699">
        <v>1056.3</v>
      </c>
    </row>
    <row r="700" spans="1:19" x14ac:dyDescent="0.25">
      <c r="A700">
        <v>704</v>
      </c>
      <c r="B700" t="s">
        <v>31</v>
      </c>
      <c r="C700" t="s">
        <v>743</v>
      </c>
      <c r="D700" t="s">
        <v>851</v>
      </c>
      <c r="E700">
        <v>33</v>
      </c>
      <c r="F700" t="str" cm="1">
        <f t="array" ref="F700">INDEX(Country!$B$3:$B$250, MATCH(TRUE, ISNUMBER(SEARCH(Country!$A$2:$A$509, Customer_Data[[#This Row],[Country]])),0 ))</f>
        <v>Asia</v>
      </c>
      <c r="G700" t="s">
        <v>909</v>
      </c>
      <c r="H700" t="s">
        <v>1766</v>
      </c>
      <c r="I700" t="s">
        <v>2747</v>
      </c>
      <c r="J700" t="s">
        <v>3739</v>
      </c>
      <c r="K700" s="1">
        <v>45003</v>
      </c>
      <c r="L700">
        <f>YEAR(Customer_Data[[#This Row],[LastPurchaseDate]])</f>
        <v>2025</v>
      </c>
      <c r="M700">
        <f>MONTH(Customer_Data[[#This Row],[LastPurchaseDate]])</f>
        <v>8</v>
      </c>
      <c r="N700" s="7">
        <v>45877</v>
      </c>
      <c r="O700">
        <v>8</v>
      </c>
      <c r="P700" s="4">
        <v>278.95</v>
      </c>
      <c r="Q700" t="s">
        <v>4035</v>
      </c>
      <c r="R700">
        <v>3</v>
      </c>
      <c r="S700">
        <v>34.869999999999997</v>
      </c>
    </row>
    <row r="701" spans="1:19" x14ac:dyDescent="0.25">
      <c r="A701">
        <v>705</v>
      </c>
      <c r="B701" t="s">
        <v>145</v>
      </c>
      <c r="C701" t="s">
        <v>744</v>
      </c>
      <c r="D701" t="s">
        <v>850</v>
      </c>
      <c r="E701">
        <v>42</v>
      </c>
      <c r="F701" t="str" cm="1">
        <f t="array" ref="F701">INDEX(Country!$B$3:$B$250, MATCH(TRUE, ISNUMBER(SEARCH(Country!$A$2:$A$509, Customer_Data[[#This Row],[Country]])),0 ))</f>
        <v>Antarctica</v>
      </c>
      <c r="G701" t="s">
        <v>986</v>
      </c>
      <c r="H701" t="s">
        <v>1767</v>
      </c>
      <c r="I701" t="s">
        <v>2748</v>
      </c>
      <c r="J701" t="s">
        <v>3740</v>
      </c>
      <c r="K701" s="1">
        <v>45836</v>
      </c>
      <c r="L701">
        <f>YEAR(Customer_Data[[#This Row],[LastPurchaseDate]])</f>
        <v>2025</v>
      </c>
      <c r="M701">
        <f>MONTH(Customer_Data[[#This Row],[LastPurchaseDate]])</f>
        <v>8</v>
      </c>
      <c r="N701" s="7">
        <v>45890</v>
      </c>
      <c r="O701">
        <v>28</v>
      </c>
      <c r="P701" s="4">
        <v>8971.08</v>
      </c>
      <c r="Q701" t="s">
        <v>4035</v>
      </c>
      <c r="R701">
        <v>4</v>
      </c>
      <c r="S701">
        <v>320.39999999999998</v>
      </c>
    </row>
    <row r="702" spans="1:19" x14ac:dyDescent="0.25">
      <c r="A702">
        <v>706</v>
      </c>
      <c r="B702" t="s">
        <v>103</v>
      </c>
      <c r="C702" t="s">
        <v>487</v>
      </c>
      <c r="D702" t="s">
        <v>851</v>
      </c>
      <c r="E702">
        <v>54</v>
      </c>
      <c r="F702" t="str" cm="1">
        <f t="array" ref="F702">INDEX(Country!$B$3:$B$250, MATCH(TRUE, ISNUMBER(SEARCH(Country!$A$2:$A$509, Customer_Data[[#This Row],[Country]])),0 ))</f>
        <v>North America</v>
      </c>
      <c r="G702" t="s">
        <v>864</v>
      </c>
      <c r="H702" t="s">
        <v>1768</v>
      </c>
      <c r="I702" t="s">
        <v>2749</v>
      </c>
      <c r="J702" t="s">
        <v>3741</v>
      </c>
      <c r="K702" s="1">
        <v>45331</v>
      </c>
      <c r="L702">
        <f>YEAR(Customer_Data[[#This Row],[LastPurchaseDate]])</f>
        <v>2025</v>
      </c>
      <c r="M702">
        <f>MONTH(Customer_Data[[#This Row],[LastPurchaseDate]])</f>
        <v>5</v>
      </c>
      <c r="N702" s="7">
        <v>45808</v>
      </c>
      <c r="O702">
        <v>43</v>
      </c>
      <c r="P702" s="4">
        <v>5449.06</v>
      </c>
      <c r="Q702" t="s">
        <v>4034</v>
      </c>
      <c r="R702">
        <v>2</v>
      </c>
      <c r="S702">
        <v>126.72</v>
      </c>
    </row>
    <row r="703" spans="1:19" x14ac:dyDescent="0.25">
      <c r="A703">
        <v>707</v>
      </c>
      <c r="B703" t="s">
        <v>177</v>
      </c>
      <c r="C703" t="s">
        <v>412</v>
      </c>
      <c r="D703" t="s">
        <v>850</v>
      </c>
      <c r="E703">
        <v>37</v>
      </c>
      <c r="F703" t="str" cm="1">
        <f t="array" ref="F703">INDEX(Country!$B$3:$B$250, MATCH(TRUE, ISNUMBER(SEARCH(Country!$A$2:$A$509, Customer_Data[[#This Row],[Country]])),0 ))</f>
        <v>Oceania</v>
      </c>
      <c r="G703" t="s">
        <v>1081</v>
      </c>
      <c r="H703" t="s">
        <v>1769</v>
      </c>
      <c r="I703" t="s">
        <v>2750</v>
      </c>
      <c r="J703" t="s">
        <v>3742</v>
      </c>
      <c r="K703" s="1">
        <v>45212</v>
      </c>
      <c r="L703">
        <f>YEAR(Customer_Data[[#This Row],[LastPurchaseDate]])</f>
        <v>2024</v>
      </c>
      <c r="M703">
        <f>MONTH(Customer_Data[[#This Row],[LastPurchaseDate]])</f>
        <v>12</v>
      </c>
      <c r="N703" s="7">
        <v>45650</v>
      </c>
      <c r="O703">
        <v>46</v>
      </c>
      <c r="P703" s="4">
        <v>2511.7600000000002</v>
      </c>
      <c r="Q703" t="s">
        <v>4034</v>
      </c>
      <c r="R703">
        <v>3</v>
      </c>
      <c r="S703">
        <v>54.6</v>
      </c>
    </row>
    <row r="704" spans="1:19" x14ac:dyDescent="0.25">
      <c r="A704">
        <v>708</v>
      </c>
      <c r="B704" t="s">
        <v>181</v>
      </c>
      <c r="C704" t="s">
        <v>745</v>
      </c>
      <c r="D704" t="s">
        <v>851</v>
      </c>
      <c r="E704">
        <v>41</v>
      </c>
      <c r="F704" t="str" cm="1">
        <f t="array" ref="F704">INDEX(Country!$B$3:$B$250, MATCH(TRUE, ISNUMBER(SEARCH(Country!$A$2:$A$509, Customer_Data[[#This Row],[Country]])),0 ))</f>
        <v>Asia</v>
      </c>
      <c r="G704" t="s">
        <v>893</v>
      </c>
      <c r="H704" t="s">
        <v>1770</v>
      </c>
      <c r="I704" t="s">
        <v>2751</v>
      </c>
      <c r="J704" t="s">
        <v>3743</v>
      </c>
      <c r="K704" s="1">
        <v>45425</v>
      </c>
      <c r="L704">
        <f>YEAR(Customer_Data[[#This Row],[LastPurchaseDate]])</f>
        <v>2025</v>
      </c>
      <c r="M704">
        <f>MONTH(Customer_Data[[#This Row],[LastPurchaseDate]])</f>
        <v>5</v>
      </c>
      <c r="N704" s="7">
        <v>45784</v>
      </c>
      <c r="O704">
        <v>17</v>
      </c>
      <c r="P704" s="4">
        <v>8399.5</v>
      </c>
      <c r="Q704" t="s">
        <v>4034</v>
      </c>
      <c r="R704">
        <v>5</v>
      </c>
      <c r="S704">
        <v>494.09</v>
      </c>
    </row>
    <row r="705" spans="1:19" x14ac:dyDescent="0.25">
      <c r="A705">
        <v>709</v>
      </c>
      <c r="B705" t="s">
        <v>288</v>
      </c>
      <c r="C705" t="s">
        <v>599</v>
      </c>
      <c r="D705" t="s">
        <v>851</v>
      </c>
      <c r="E705">
        <v>64</v>
      </c>
      <c r="F705" t="str" cm="1">
        <f t="array" ref="F705">INDEX(Country!$B$3:$B$250, MATCH(TRUE, ISNUMBER(SEARCH(Country!$A$2:$A$509, Customer_Data[[#This Row],[Country]])),0 ))</f>
        <v>Asia</v>
      </c>
      <c r="G705" t="s">
        <v>1071</v>
      </c>
      <c r="H705" t="s">
        <v>1771</v>
      </c>
      <c r="I705" t="s">
        <v>2752</v>
      </c>
      <c r="J705" t="s">
        <v>3744</v>
      </c>
      <c r="K705" s="1">
        <v>45870</v>
      </c>
      <c r="L705">
        <f>YEAR(Customer_Data[[#This Row],[LastPurchaseDate]])</f>
        <v>2024</v>
      </c>
      <c r="M705">
        <f>MONTH(Customer_Data[[#This Row],[LastPurchaseDate]])</f>
        <v>5</v>
      </c>
      <c r="N705" s="7">
        <v>45422</v>
      </c>
      <c r="O705">
        <v>2</v>
      </c>
      <c r="P705" s="4">
        <v>3048.35</v>
      </c>
      <c r="Q705" t="s">
        <v>4035</v>
      </c>
      <c r="R705">
        <v>4</v>
      </c>
      <c r="S705">
        <v>1524.18</v>
      </c>
    </row>
    <row r="706" spans="1:19" x14ac:dyDescent="0.25">
      <c r="A706">
        <v>710</v>
      </c>
      <c r="B706" t="s">
        <v>36</v>
      </c>
      <c r="C706" t="s">
        <v>569</v>
      </c>
      <c r="D706" t="s">
        <v>851</v>
      </c>
      <c r="E706">
        <v>51</v>
      </c>
      <c r="F706" t="str" cm="1">
        <f t="array" ref="F706">INDEX(Country!$B$3:$B$250, MATCH(TRUE, ISNUMBER(SEARCH(Country!$A$2:$A$509, Customer_Data[[#This Row],[Country]])),0 ))</f>
        <v>North America</v>
      </c>
      <c r="G706" t="s">
        <v>875</v>
      </c>
      <c r="H706" t="s">
        <v>1772</v>
      </c>
      <c r="I706" t="s">
        <v>2753</v>
      </c>
      <c r="J706" t="s">
        <v>3745</v>
      </c>
      <c r="K706" s="1">
        <v>45476</v>
      </c>
      <c r="L706">
        <f>YEAR(Customer_Data[[#This Row],[LastPurchaseDate]])</f>
        <v>2025</v>
      </c>
      <c r="M706">
        <f>MONTH(Customer_Data[[#This Row],[LastPurchaseDate]])</f>
        <v>6</v>
      </c>
      <c r="N706" s="7">
        <v>45813</v>
      </c>
      <c r="O706">
        <v>1</v>
      </c>
      <c r="P706" s="4">
        <v>6998.63</v>
      </c>
      <c r="Q706" t="s">
        <v>4035</v>
      </c>
      <c r="R706">
        <v>5</v>
      </c>
      <c r="S706">
        <v>6998.63</v>
      </c>
    </row>
    <row r="707" spans="1:19" x14ac:dyDescent="0.25">
      <c r="A707">
        <v>711</v>
      </c>
      <c r="B707" t="s">
        <v>52</v>
      </c>
      <c r="C707" t="s">
        <v>746</v>
      </c>
      <c r="D707" t="s">
        <v>850</v>
      </c>
      <c r="E707">
        <v>48</v>
      </c>
      <c r="F707" t="str" cm="1">
        <f t="array" ref="F707">INDEX(Country!$B$3:$B$250, MATCH(TRUE, ISNUMBER(SEARCH(Country!$A$2:$A$509, Customer_Data[[#This Row],[Country]])),0 ))</f>
        <v>Africa</v>
      </c>
      <c r="G707" t="s">
        <v>81</v>
      </c>
      <c r="H707" t="s">
        <v>1773</v>
      </c>
      <c r="I707" t="s">
        <v>2754</v>
      </c>
      <c r="J707" t="s">
        <v>3746</v>
      </c>
      <c r="K707" s="1">
        <v>45538</v>
      </c>
      <c r="L707">
        <f>YEAR(Customer_Data[[#This Row],[LastPurchaseDate]])</f>
        <v>2024</v>
      </c>
      <c r="M707">
        <f>MONTH(Customer_Data[[#This Row],[LastPurchaseDate]])</f>
        <v>3</v>
      </c>
      <c r="N707" s="7">
        <v>45368</v>
      </c>
      <c r="O707">
        <v>10</v>
      </c>
      <c r="P707" s="4">
        <v>5194.45</v>
      </c>
      <c r="Q707" t="s">
        <v>4035</v>
      </c>
      <c r="R707">
        <v>4</v>
      </c>
      <c r="S707">
        <v>519.44000000000005</v>
      </c>
    </row>
    <row r="708" spans="1:19" x14ac:dyDescent="0.25">
      <c r="A708">
        <v>712</v>
      </c>
      <c r="B708" t="s">
        <v>67</v>
      </c>
      <c r="C708" t="s">
        <v>747</v>
      </c>
      <c r="D708" t="s">
        <v>851</v>
      </c>
      <c r="E708">
        <v>31</v>
      </c>
      <c r="F708" t="str" cm="1">
        <f t="array" ref="F708">INDEX(Country!$B$3:$B$250, MATCH(TRUE, ISNUMBER(SEARCH(Country!$A$2:$A$509, Customer_Data[[#This Row],[Country]])),0 ))</f>
        <v>Africa</v>
      </c>
      <c r="G708" t="s">
        <v>890</v>
      </c>
      <c r="H708" t="s">
        <v>1774</v>
      </c>
      <c r="I708" t="s">
        <v>2755</v>
      </c>
      <c r="J708" t="s">
        <v>3747</v>
      </c>
      <c r="K708" s="1">
        <v>45531</v>
      </c>
      <c r="L708">
        <f>YEAR(Customer_Data[[#This Row],[LastPurchaseDate]])</f>
        <v>2024</v>
      </c>
      <c r="M708">
        <f>MONTH(Customer_Data[[#This Row],[LastPurchaseDate]])</f>
        <v>11</v>
      </c>
      <c r="N708" s="7">
        <v>45598</v>
      </c>
      <c r="O708">
        <v>19</v>
      </c>
      <c r="P708" s="4">
        <v>3921.32</v>
      </c>
      <c r="Q708" t="s">
        <v>4035</v>
      </c>
      <c r="R708">
        <v>5</v>
      </c>
      <c r="S708">
        <v>206.39</v>
      </c>
    </row>
    <row r="709" spans="1:19" x14ac:dyDescent="0.25">
      <c r="A709">
        <v>713</v>
      </c>
      <c r="B709" t="s">
        <v>315</v>
      </c>
      <c r="C709" t="s">
        <v>384</v>
      </c>
      <c r="D709" t="s">
        <v>851</v>
      </c>
      <c r="E709">
        <v>69</v>
      </c>
      <c r="F709" t="str" cm="1">
        <f t="array" ref="F709">INDEX(Country!$B$3:$B$250, MATCH(TRUE, ISNUMBER(SEARCH(Country!$A$2:$A$509, Customer_Data[[#This Row],[Country]])),0 ))</f>
        <v>Asia</v>
      </c>
      <c r="G709" t="s">
        <v>985</v>
      </c>
      <c r="H709" t="s">
        <v>1775</v>
      </c>
      <c r="I709" t="s">
        <v>2756</v>
      </c>
      <c r="J709" t="s">
        <v>3748</v>
      </c>
      <c r="K709" s="1">
        <v>44978</v>
      </c>
      <c r="L709">
        <f>YEAR(Customer_Data[[#This Row],[LastPurchaseDate]])</f>
        <v>2024</v>
      </c>
      <c r="M709">
        <f>MONTH(Customer_Data[[#This Row],[LastPurchaseDate]])</f>
        <v>9</v>
      </c>
      <c r="N709" s="7">
        <v>45540</v>
      </c>
      <c r="O709">
        <v>21</v>
      </c>
      <c r="P709" s="4">
        <v>793.82</v>
      </c>
      <c r="Q709" t="s">
        <v>4035</v>
      </c>
      <c r="R709">
        <v>4</v>
      </c>
      <c r="S709">
        <v>37.799999999999997</v>
      </c>
    </row>
    <row r="710" spans="1:19" x14ac:dyDescent="0.25">
      <c r="A710">
        <v>714</v>
      </c>
      <c r="B710" t="s">
        <v>31</v>
      </c>
      <c r="C710" t="s">
        <v>433</v>
      </c>
      <c r="D710" t="s">
        <v>850</v>
      </c>
      <c r="E710">
        <v>44</v>
      </c>
      <c r="F710" t="str" cm="1">
        <f t="array" ref="F710">INDEX(Country!$B$3:$B$250, MATCH(TRUE, ISNUMBER(SEARCH(Country!$A$2:$A$509, Customer_Data[[#This Row],[Country]])),0 ))</f>
        <v>Europe</v>
      </c>
      <c r="G710" t="s">
        <v>1082</v>
      </c>
      <c r="H710" t="s">
        <v>1776</v>
      </c>
      <c r="I710" t="s">
        <v>2757</v>
      </c>
      <c r="J710" t="s">
        <v>3749</v>
      </c>
      <c r="K710" s="1">
        <v>45669</v>
      </c>
      <c r="L710">
        <f>YEAR(Customer_Data[[#This Row],[LastPurchaseDate]])</f>
        <v>2025</v>
      </c>
      <c r="M710">
        <f>MONTH(Customer_Data[[#This Row],[LastPurchaseDate]])</f>
        <v>6</v>
      </c>
      <c r="N710" s="7">
        <v>45837</v>
      </c>
      <c r="O710">
        <v>10</v>
      </c>
      <c r="P710" s="4">
        <v>6639.71</v>
      </c>
      <c r="Q710" t="s">
        <v>4034</v>
      </c>
      <c r="R710">
        <v>4</v>
      </c>
      <c r="S710">
        <v>663.97</v>
      </c>
    </row>
    <row r="711" spans="1:19" x14ac:dyDescent="0.25">
      <c r="A711">
        <v>715</v>
      </c>
      <c r="B711" t="s">
        <v>306</v>
      </c>
      <c r="C711" t="s">
        <v>748</v>
      </c>
      <c r="D711" t="s">
        <v>850</v>
      </c>
      <c r="E711">
        <v>34</v>
      </c>
      <c r="F711" t="str" cm="1">
        <f t="array" ref="F711">INDEX(Country!$B$3:$B$250, MATCH(TRUE, ISNUMBER(SEARCH(Country!$A$2:$A$509, Customer_Data[[#This Row],[Country]])),0 ))</f>
        <v>Asia</v>
      </c>
      <c r="G711" t="s">
        <v>959</v>
      </c>
      <c r="H711" t="s">
        <v>1777</v>
      </c>
      <c r="I711" t="s">
        <v>2758</v>
      </c>
      <c r="J711" t="s">
        <v>3750</v>
      </c>
      <c r="K711" s="1">
        <v>45380</v>
      </c>
      <c r="L711">
        <f>YEAR(Customer_Data[[#This Row],[LastPurchaseDate]])</f>
        <v>2024</v>
      </c>
      <c r="M711">
        <f>MONTH(Customer_Data[[#This Row],[LastPurchaseDate]])</f>
        <v>3</v>
      </c>
      <c r="N711" s="7">
        <v>45354</v>
      </c>
      <c r="O711">
        <v>5</v>
      </c>
      <c r="P711" s="4">
        <v>5169.22</v>
      </c>
      <c r="Q711" t="s">
        <v>4034</v>
      </c>
      <c r="R711">
        <v>5</v>
      </c>
      <c r="S711">
        <v>1033.8399999999999</v>
      </c>
    </row>
    <row r="712" spans="1:19" x14ac:dyDescent="0.25">
      <c r="A712">
        <v>716</v>
      </c>
      <c r="B712" t="s">
        <v>204</v>
      </c>
      <c r="C712" t="s">
        <v>630</v>
      </c>
      <c r="D712" t="s">
        <v>850</v>
      </c>
      <c r="E712">
        <v>46</v>
      </c>
      <c r="F712" t="str" cm="1">
        <f t="array" ref="F712">INDEX(Country!$B$3:$B$250, MATCH(TRUE, ISNUMBER(SEARCH(Country!$A$2:$A$509, Customer_Data[[#This Row],[Country]])),0 ))</f>
        <v>North America</v>
      </c>
      <c r="G712" t="s">
        <v>878</v>
      </c>
      <c r="H712" t="s">
        <v>1778</v>
      </c>
      <c r="I712" t="s">
        <v>2759</v>
      </c>
      <c r="J712" t="s">
        <v>3751</v>
      </c>
      <c r="K712" s="1">
        <v>45060</v>
      </c>
      <c r="L712">
        <f>YEAR(Customer_Data[[#This Row],[LastPurchaseDate]])</f>
        <v>2025</v>
      </c>
      <c r="M712">
        <f>MONTH(Customer_Data[[#This Row],[LastPurchaseDate]])</f>
        <v>4</v>
      </c>
      <c r="N712" s="7">
        <v>45777</v>
      </c>
      <c r="O712">
        <v>41</v>
      </c>
      <c r="P712" s="4">
        <v>7351.21</v>
      </c>
      <c r="Q712" t="s">
        <v>4034</v>
      </c>
      <c r="R712">
        <v>3</v>
      </c>
      <c r="S712">
        <v>179.3</v>
      </c>
    </row>
    <row r="713" spans="1:19" x14ac:dyDescent="0.25">
      <c r="A713">
        <v>717</v>
      </c>
      <c r="B713" t="s">
        <v>33</v>
      </c>
      <c r="C713" t="s">
        <v>749</v>
      </c>
      <c r="D713" t="s">
        <v>850</v>
      </c>
      <c r="E713">
        <v>55</v>
      </c>
      <c r="F713" t="str" cm="1">
        <f t="array" ref="F713">INDEX(Country!$B$3:$B$250, MATCH(TRUE, ISNUMBER(SEARCH(Country!$A$2:$A$509, Customer_Data[[#This Row],[Country]])),0 ))</f>
        <v>Oceania</v>
      </c>
      <c r="G713" t="s">
        <v>983</v>
      </c>
      <c r="H713" t="s">
        <v>1779</v>
      </c>
      <c r="I713" t="s">
        <v>2760</v>
      </c>
      <c r="J713" t="s">
        <v>3752</v>
      </c>
      <c r="K713" s="1">
        <v>44942</v>
      </c>
      <c r="L713">
        <f>YEAR(Customer_Data[[#This Row],[LastPurchaseDate]])</f>
        <v>2024</v>
      </c>
      <c r="M713">
        <f>MONTH(Customer_Data[[#This Row],[LastPurchaseDate]])</f>
        <v>8</v>
      </c>
      <c r="N713" s="7">
        <v>45531</v>
      </c>
      <c r="O713">
        <v>42</v>
      </c>
      <c r="P713" s="4">
        <v>940.91</v>
      </c>
      <c r="Q713" t="s">
        <v>4035</v>
      </c>
      <c r="R713">
        <v>2</v>
      </c>
      <c r="S713">
        <v>22.4</v>
      </c>
    </row>
    <row r="714" spans="1:19" x14ac:dyDescent="0.25">
      <c r="A714">
        <v>718</v>
      </c>
      <c r="B714" t="s">
        <v>53</v>
      </c>
      <c r="C714" t="s">
        <v>750</v>
      </c>
      <c r="D714" t="s">
        <v>850</v>
      </c>
      <c r="E714">
        <v>18</v>
      </c>
      <c r="F714" t="str" cm="1">
        <f t="array" ref="F714">INDEX(Country!$B$3:$B$250, MATCH(TRUE, ISNUMBER(SEARCH(Country!$A$2:$A$509, Customer_Data[[#This Row],[Country]])),0 ))</f>
        <v>Africa</v>
      </c>
      <c r="G714" t="s">
        <v>867</v>
      </c>
      <c r="H714" t="s">
        <v>1780</v>
      </c>
      <c r="I714" t="s">
        <v>2761</v>
      </c>
      <c r="J714" t="s">
        <v>3753</v>
      </c>
      <c r="K714" s="1">
        <v>44958</v>
      </c>
      <c r="L714">
        <f>YEAR(Customer_Data[[#This Row],[LastPurchaseDate]])</f>
        <v>2025</v>
      </c>
      <c r="M714">
        <f>MONTH(Customer_Data[[#This Row],[LastPurchaseDate]])</f>
        <v>9</v>
      </c>
      <c r="N714" s="7">
        <v>45922</v>
      </c>
      <c r="O714">
        <v>35</v>
      </c>
      <c r="P714" s="4">
        <v>5955.57</v>
      </c>
      <c r="Q714" t="s">
        <v>4034</v>
      </c>
      <c r="R714">
        <v>2</v>
      </c>
      <c r="S714">
        <v>170.16</v>
      </c>
    </row>
    <row r="715" spans="1:19" x14ac:dyDescent="0.25">
      <c r="A715">
        <v>719</v>
      </c>
      <c r="B715" t="s">
        <v>28</v>
      </c>
      <c r="C715" t="s">
        <v>751</v>
      </c>
      <c r="D715" t="s">
        <v>851</v>
      </c>
      <c r="E715">
        <v>32</v>
      </c>
      <c r="F715" t="str" cm="1">
        <f t="array" ref="F715">INDEX(Country!$B$3:$B$250, MATCH(TRUE, ISNUMBER(SEARCH(Country!$A$2:$A$509, Customer_Data[[#This Row],[Country]])),0 ))</f>
        <v>Asia</v>
      </c>
      <c r="G715" t="s">
        <v>1040</v>
      </c>
      <c r="H715" t="s">
        <v>1202</v>
      </c>
      <c r="I715" t="s">
        <v>2762</v>
      </c>
      <c r="J715" t="s">
        <v>3754</v>
      </c>
      <c r="K715" s="1">
        <v>44991</v>
      </c>
      <c r="L715">
        <f>YEAR(Customer_Data[[#This Row],[LastPurchaseDate]])</f>
        <v>2023</v>
      </c>
      <c r="M715">
        <f>MONTH(Customer_Data[[#This Row],[LastPurchaseDate]])</f>
        <v>12</v>
      </c>
      <c r="N715" s="7">
        <v>45264</v>
      </c>
      <c r="O715">
        <v>49</v>
      </c>
      <c r="P715" s="4">
        <v>580.44000000000005</v>
      </c>
      <c r="Q715" t="s">
        <v>4035</v>
      </c>
      <c r="R715">
        <v>2</v>
      </c>
      <c r="S715">
        <v>11.85</v>
      </c>
    </row>
    <row r="716" spans="1:19" x14ac:dyDescent="0.25">
      <c r="A716">
        <v>720</v>
      </c>
      <c r="B716" t="s">
        <v>213</v>
      </c>
      <c r="C716" t="s">
        <v>412</v>
      </c>
      <c r="D716" t="s">
        <v>851</v>
      </c>
      <c r="E716">
        <v>67</v>
      </c>
      <c r="F716" t="str" cm="1">
        <f t="array" ref="F716">INDEX(Country!$B$3:$B$250, MATCH(TRUE, ISNUMBER(SEARCH(Country!$A$2:$A$509, Customer_Data[[#This Row],[Country]])),0 ))</f>
        <v>South America</v>
      </c>
      <c r="G716" t="s">
        <v>885</v>
      </c>
      <c r="H716" t="s">
        <v>1781</v>
      </c>
      <c r="I716" t="s">
        <v>2763</v>
      </c>
      <c r="J716" t="s">
        <v>3755</v>
      </c>
      <c r="K716" s="1">
        <v>45893</v>
      </c>
      <c r="L716">
        <f>YEAR(Customer_Data[[#This Row],[LastPurchaseDate]])</f>
        <v>2024</v>
      </c>
      <c r="M716">
        <f>MONTH(Customer_Data[[#This Row],[LastPurchaseDate]])</f>
        <v>10</v>
      </c>
      <c r="N716" s="7">
        <v>45582</v>
      </c>
      <c r="O716">
        <v>10</v>
      </c>
      <c r="P716" s="4">
        <v>3499.42</v>
      </c>
      <c r="Q716" t="s">
        <v>4034</v>
      </c>
      <c r="R716">
        <v>2</v>
      </c>
      <c r="S716">
        <v>349.94</v>
      </c>
    </row>
    <row r="717" spans="1:19" x14ac:dyDescent="0.25">
      <c r="A717">
        <v>721</v>
      </c>
      <c r="B717" t="s">
        <v>63</v>
      </c>
      <c r="C717" t="s">
        <v>752</v>
      </c>
      <c r="D717" t="s">
        <v>851</v>
      </c>
      <c r="E717">
        <v>61</v>
      </c>
      <c r="F717" t="str" cm="1">
        <f t="array" ref="F717">INDEX(Country!$B$3:$B$250, MATCH(TRUE, ISNUMBER(SEARCH(Country!$A$2:$A$509, Customer_Data[[#This Row],[Country]])),0 ))</f>
        <v>Africa</v>
      </c>
      <c r="G717" t="s">
        <v>1069</v>
      </c>
      <c r="H717" t="s">
        <v>1782</v>
      </c>
      <c r="I717" t="s">
        <v>2764</v>
      </c>
      <c r="J717" t="s">
        <v>3756</v>
      </c>
      <c r="K717" s="1">
        <v>45132</v>
      </c>
      <c r="L717">
        <f>YEAR(Customer_Data[[#This Row],[LastPurchaseDate]])</f>
        <v>2024</v>
      </c>
      <c r="M717">
        <f>MONTH(Customer_Data[[#This Row],[LastPurchaseDate]])</f>
        <v>10</v>
      </c>
      <c r="N717" s="7">
        <v>45593</v>
      </c>
      <c r="O717">
        <v>24</v>
      </c>
      <c r="P717" s="4">
        <v>6859.62</v>
      </c>
      <c r="Q717" t="s">
        <v>4035</v>
      </c>
      <c r="R717">
        <v>4</v>
      </c>
      <c r="S717">
        <v>285.82</v>
      </c>
    </row>
    <row r="718" spans="1:19" x14ac:dyDescent="0.25">
      <c r="A718">
        <v>722</v>
      </c>
      <c r="B718" t="s">
        <v>137</v>
      </c>
      <c r="C718" t="s">
        <v>753</v>
      </c>
      <c r="D718" t="s">
        <v>850</v>
      </c>
      <c r="E718">
        <v>47</v>
      </c>
      <c r="F718" t="str" cm="1">
        <f t="array" ref="F718">INDEX(Country!$B$3:$B$250, MATCH(TRUE, ISNUMBER(SEARCH(Country!$A$2:$A$509, Customer_Data[[#This Row],[Country]])),0 ))</f>
        <v>Asia</v>
      </c>
      <c r="G718" t="s">
        <v>915</v>
      </c>
      <c r="H718" t="s">
        <v>1783</v>
      </c>
      <c r="I718" t="s">
        <v>2765</v>
      </c>
      <c r="J718" t="s">
        <v>3757</v>
      </c>
      <c r="K718" s="1">
        <v>45169</v>
      </c>
      <c r="L718">
        <f>YEAR(Customer_Data[[#This Row],[LastPurchaseDate]])</f>
        <v>2024</v>
      </c>
      <c r="M718">
        <f>MONTH(Customer_Data[[#This Row],[LastPurchaseDate]])</f>
        <v>11</v>
      </c>
      <c r="N718" s="7">
        <v>45625</v>
      </c>
      <c r="O718">
        <v>8</v>
      </c>
      <c r="P718" s="4">
        <v>2636.43</v>
      </c>
      <c r="Q718" t="s">
        <v>4034</v>
      </c>
      <c r="R718">
        <v>3</v>
      </c>
      <c r="S718">
        <v>329.55</v>
      </c>
    </row>
    <row r="719" spans="1:19" x14ac:dyDescent="0.25">
      <c r="A719">
        <v>723</v>
      </c>
      <c r="B719" t="s">
        <v>249</v>
      </c>
      <c r="C719" t="s">
        <v>754</v>
      </c>
      <c r="D719" t="s">
        <v>850</v>
      </c>
      <c r="E719">
        <v>35</v>
      </c>
      <c r="F719" t="str" cm="1">
        <f t="array" ref="F719">INDEX(Country!$B$3:$B$250, MATCH(TRUE, ISNUMBER(SEARCH(Country!$A$2:$A$509, Customer_Data[[#This Row],[Country]])),0 ))</f>
        <v>South America</v>
      </c>
      <c r="G719" t="s">
        <v>1034</v>
      </c>
      <c r="H719" t="s">
        <v>1784</v>
      </c>
      <c r="I719" t="s">
        <v>2766</v>
      </c>
      <c r="J719" t="s">
        <v>3758</v>
      </c>
      <c r="K719" s="1">
        <v>45493</v>
      </c>
      <c r="L719">
        <f>YEAR(Customer_Data[[#This Row],[LastPurchaseDate]])</f>
        <v>2025</v>
      </c>
      <c r="M719">
        <f>MONTH(Customer_Data[[#This Row],[LastPurchaseDate]])</f>
        <v>8</v>
      </c>
      <c r="N719" s="7">
        <v>45900</v>
      </c>
      <c r="O719">
        <v>32</v>
      </c>
      <c r="P719" s="4">
        <v>5178.84</v>
      </c>
      <c r="Q719" t="s">
        <v>4035</v>
      </c>
      <c r="R719">
        <v>5</v>
      </c>
      <c r="S719">
        <v>161.84</v>
      </c>
    </row>
    <row r="720" spans="1:19" x14ac:dyDescent="0.25">
      <c r="A720">
        <v>724</v>
      </c>
      <c r="B720" t="s">
        <v>188</v>
      </c>
      <c r="C720" t="s">
        <v>397</v>
      </c>
      <c r="D720" t="s">
        <v>851</v>
      </c>
      <c r="E720">
        <v>34</v>
      </c>
      <c r="F720" t="str" cm="1">
        <f t="array" ref="F720">INDEX(Country!$B$3:$B$250, MATCH(TRUE, ISNUMBER(SEARCH(Country!$A$2:$A$509, Customer_Data[[#This Row],[Country]])),0 ))</f>
        <v>Africa</v>
      </c>
      <c r="G720" t="s">
        <v>881</v>
      </c>
      <c r="H720" t="s">
        <v>1785</v>
      </c>
      <c r="I720" t="s">
        <v>2767</v>
      </c>
      <c r="J720" t="s">
        <v>3759</v>
      </c>
      <c r="K720" s="1">
        <v>45688</v>
      </c>
      <c r="L720">
        <f>YEAR(Customer_Data[[#This Row],[LastPurchaseDate]])</f>
        <v>2024</v>
      </c>
      <c r="M720">
        <f>MONTH(Customer_Data[[#This Row],[LastPurchaseDate]])</f>
        <v>12</v>
      </c>
      <c r="N720" s="7">
        <v>45651</v>
      </c>
      <c r="O720">
        <v>46</v>
      </c>
      <c r="P720" s="4">
        <v>9279.27</v>
      </c>
      <c r="Q720" t="s">
        <v>4035</v>
      </c>
      <c r="R720">
        <v>4</v>
      </c>
      <c r="S720">
        <v>201.72</v>
      </c>
    </row>
    <row r="721" spans="1:19" x14ac:dyDescent="0.25">
      <c r="A721">
        <v>725</v>
      </c>
      <c r="B721" t="s">
        <v>35</v>
      </c>
      <c r="C721" t="s">
        <v>755</v>
      </c>
      <c r="D721" t="s">
        <v>851</v>
      </c>
      <c r="E721">
        <v>40</v>
      </c>
      <c r="F721" t="str" cm="1">
        <f t="array" ref="F721">INDEX(Country!$B$3:$B$250, MATCH(TRUE, ISNUMBER(SEARCH(Country!$A$2:$A$509, Customer_Data[[#This Row],[Country]])),0 ))</f>
        <v>Africa</v>
      </c>
      <c r="G721" t="s">
        <v>973</v>
      </c>
      <c r="H721" t="s">
        <v>1786</v>
      </c>
      <c r="I721" t="s">
        <v>2768</v>
      </c>
      <c r="J721" t="s">
        <v>3760</v>
      </c>
      <c r="K721" s="1">
        <v>45744</v>
      </c>
      <c r="L721">
        <f>YEAR(Customer_Data[[#This Row],[LastPurchaseDate]])</f>
        <v>2024</v>
      </c>
      <c r="M721">
        <f>MONTH(Customer_Data[[#This Row],[LastPurchaseDate]])</f>
        <v>7</v>
      </c>
      <c r="N721" s="7">
        <v>45490</v>
      </c>
      <c r="O721">
        <v>2</v>
      </c>
      <c r="P721" s="4">
        <v>9731.32</v>
      </c>
      <c r="Q721" t="s">
        <v>4035</v>
      </c>
      <c r="R721">
        <v>5</v>
      </c>
      <c r="S721">
        <v>4865.66</v>
      </c>
    </row>
    <row r="722" spans="1:19" x14ac:dyDescent="0.25">
      <c r="A722">
        <v>726</v>
      </c>
      <c r="B722" t="s">
        <v>316</v>
      </c>
      <c r="C722" t="s">
        <v>756</v>
      </c>
      <c r="D722" t="s">
        <v>851</v>
      </c>
      <c r="E722">
        <v>23</v>
      </c>
      <c r="F722" t="str" cm="1">
        <f t="array" ref="F722">INDEX(Country!$B$3:$B$250, MATCH(TRUE, ISNUMBER(SEARCH(Country!$A$2:$A$509, Customer_Data[[#This Row],[Country]])),0 ))</f>
        <v>Africa</v>
      </c>
      <c r="G722" t="s">
        <v>952</v>
      </c>
      <c r="H722" t="s">
        <v>1787</v>
      </c>
      <c r="I722" t="s">
        <v>2769</v>
      </c>
      <c r="J722" t="s">
        <v>3761</v>
      </c>
      <c r="K722" s="1">
        <v>45436</v>
      </c>
      <c r="L722">
        <f>YEAR(Customer_Data[[#This Row],[LastPurchaseDate]])</f>
        <v>2025</v>
      </c>
      <c r="M722">
        <f>MONTH(Customer_Data[[#This Row],[LastPurchaseDate]])</f>
        <v>1</v>
      </c>
      <c r="N722" s="7">
        <v>45660</v>
      </c>
      <c r="O722">
        <v>37</v>
      </c>
      <c r="P722" s="4">
        <v>800.84</v>
      </c>
      <c r="Q722" t="s">
        <v>4034</v>
      </c>
      <c r="R722">
        <v>5</v>
      </c>
      <c r="S722">
        <v>21.64</v>
      </c>
    </row>
    <row r="723" spans="1:19" x14ac:dyDescent="0.25">
      <c r="A723">
        <v>727</v>
      </c>
      <c r="B723" t="s">
        <v>80</v>
      </c>
      <c r="C723" t="s">
        <v>47</v>
      </c>
      <c r="D723" t="s">
        <v>851</v>
      </c>
      <c r="E723">
        <v>42</v>
      </c>
      <c r="F723" t="str" cm="1">
        <f t="array" ref="F723">INDEX(Country!$B$3:$B$250, MATCH(TRUE, ISNUMBER(SEARCH(Country!$A$2:$A$509, Customer_Data[[#This Row],[Country]])),0 ))</f>
        <v>South America</v>
      </c>
      <c r="G723" t="s">
        <v>1034</v>
      </c>
      <c r="H723" t="s">
        <v>1788</v>
      </c>
      <c r="I723" t="s">
        <v>2770</v>
      </c>
      <c r="J723" t="s">
        <v>3762</v>
      </c>
      <c r="K723" s="1">
        <v>44950</v>
      </c>
      <c r="L723">
        <f>YEAR(Customer_Data[[#This Row],[LastPurchaseDate]])</f>
        <v>2025</v>
      </c>
      <c r="M723">
        <f>MONTH(Customer_Data[[#This Row],[LastPurchaseDate]])</f>
        <v>4</v>
      </c>
      <c r="N723" s="7">
        <v>45754</v>
      </c>
      <c r="O723">
        <v>6</v>
      </c>
      <c r="P723" s="4">
        <v>3659.14</v>
      </c>
      <c r="Q723" t="s">
        <v>4035</v>
      </c>
      <c r="R723">
        <v>1</v>
      </c>
      <c r="S723">
        <v>609.86</v>
      </c>
    </row>
    <row r="724" spans="1:19" x14ac:dyDescent="0.25">
      <c r="A724">
        <v>728</v>
      </c>
      <c r="B724" t="s">
        <v>317</v>
      </c>
      <c r="C724" t="s">
        <v>376</v>
      </c>
      <c r="D724" t="s">
        <v>851</v>
      </c>
      <c r="E724">
        <v>21</v>
      </c>
      <c r="F724" t="str" cm="1">
        <f t="array" ref="F724">INDEX(Country!$B$3:$B$250, MATCH(TRUE, ISNUMBER(SEARCH(Country!$A$2:$A$509, Customer_Data[[#This Row],[Country]])),0 ))</f>
        <v>North America</v>
      </c>
      <c r="G724" t="s">
        <v>993</v>
      </c>
      <c r="H724" t="s">
        <v>1789</v>
      </c>
      <c r="I724" t="s">
        <v>2771</v>
      </c>
      <c r="J724" t="s">
        <v>3763</v>
      </c>
      <c r="K724" s="1">
        <v>45748</v>
      </c>
      <c r="L724">
        <f>YEAR(Customer_Data[[#This Row],[LastPurchaseDate]])</f>
        <v>2024</v>
      </c>
      <c r="M724">
        <f>MONTH(Customer_Data[[#This Row],[LastPurchaseDate]])</f>
        <v>11</v>
      </c>
      <c r="N724" s="7">
        <v>45617</v>
      </c>
      <c r="O724">
        <v>19</v>
      </c>
      <c r="P724" s="4">
        <v>2733.3</v>
      </c>
      <c r="Q724" t="s">
        <v>4035</v>
      </c>
      <c r="R724">
        <v>3</v>
      </c>
      <c r="S724">
        <v>143.86000000000001</v>
      </c>
    </row>
    <row r="725" spans="1:19" x14ac:dyDescent="0.25">
      <c r="A725">
        <v>729</v>
      </c>
      <c r="B725" t="s">
        <v>128</v>
      </c>
      <c r="C725" t="s">
        <v>604</v>
      </c>
      <c r="D725" t="s">
        <v>851</v>
      </c>
      <c r="E725">
        <v>66</v>
      </c>
      <c r="F725" t="str" cm="1">
        <f t="array" ref="F725">INDEX(Country!$B$3:$B$250, MATCH(TRUE, ISNUMBER(SEARCH(Country!$A$2:$A$509, Customer_Data[[#This Row],[Country]])),0 ))</f>
        <v>Asia</v>
      </c>
      <c r="G725" t="s">
        <v>975</v>
      </c>
      <c r="H725" t="s">
        <v>1790</v>
      </c>
      <c r="I725" t="s">
        <v>2772</v>
      </c>
      <c r="J725" t="s">
        <v>3764</v>
      </c>
      <c r="K725" s="1">
        <v>45941</v>
      </c>
      <c r="L725">
        <f>YEAR(Customer_Data[[#This Row],[LastPurchaseDate]])</f>
        <v>2025</v>
      </c>
      <c r="M725">
        <f>MONTH(Customer_Data[[#This Row],[LastPurchaseDate]])</f>
        <v>5</v>
      </c>
      <c r="N725" s="7">
        <v>45790</v>
      </c>
      <c r="O725">
        <v>17</v>
      </c>
      <c r="P725" s="4">
        <v>6189.61</v>
      </c>
      <c r="Q725" t="s">
        <v>4035</v>
      </c>
      <c r="R725">
        <v>4</v>
      </c>
      <c r="S725">
        <v>364.09</v>
      </c>
    </row>
    <row r="726" spans="1:19" x14ac:dyDescent="0.25">
      <c r="A726">
        <v>730</v>
      </c>
      <c r="B726" t="s">
        <v>103</v>
      </c>
      <c r="C726" t="s">
        <v>469</v>
      </c>
      <c r="D726" t="s">
        <v>851</v>
      </c>
      <c r="E726">
        <v>25</v>
      </c>
      <c r="F726" t="str" cm="1">
        <f t="array" ref="F726">INDEX(Country!$B$3:$B$250, MATCH(TRUE, ISNUMBER(SEARCH(Country!$A$2:$A$509, Customer_Data[[#This Row],[Country]])),0 ))</f>
        <v>Africa</v>
      </c>
      <c r="G726" t="s">
        <v>1036</v>
      </c>
      <c r="H726" t="s">
        <v>1791</v>
      </c>
      <c r="I726" t="s">
        <v>2773</v>
      </c>
      <c r="J726" t="s">
        <v>3765</v>
      </c>
      <c r="K726" s="1">
        <v>45102</v>
      </c>
      <c r="L726">
        <f>YEAR(Customer_Data[[#This Row],[LastPurchaseDate]])</f>
        <v>2023</v>
      </c>
      <c r="M726">
        <f>MONTH(Customer_Data[[#This Row],[LastPurchaseDate]])</f>
        <v>12</v>
      </c>
      <c r="N726" s="7">
        <v>45276</v>
      </c>
      <c r="O726">
        <v>29</v>
      </c>
      <c r="P726" s="4">
        <v>4188.7299999999996</v>
      </c>
      <c r="Q726" t="s">
        <v>4035</v>
      </c>
      <c r="R726">
        <v>3</v>
      </c>
      <c r="S726">
        <v>144.44</v>
      </c>
    </row>
    <row r="727" spans="1:19" x14ac:dyDescent="0.25">
      <c r="A727">
        <v>731</v>
      </c>
      <c r="B727" t="s">
        <v>109</v>
      </c>
      <c r="C727" t="s">
        <v>531</v>
      </c>
      <c r="D727" t="s">
        <v>850</v>
      </c>
      <c r="E727">
        <v>58</v>
      </c>
      <c r="F727" t="str" cm="1">
        <f t="array" ref="F727">INDEX(Country!$B$3:$B$250, MATCH(TRUE, ISNUMBER(SEARCH(Country!$A$2:$A$509, Customer_Data[[#This Row],[Country]])),0 ))</f>
        <v>Africa</v>
      </c>
      <c r="G727" t="s">
        <v>868</v>
      </c>
      <c r="H727" t="s">
        <v>1792</v>
      </c>
      <c r="I727" t="s">
        <v>2774</v>
      </c>
      <c r="J727" t="s">
        <v>3766</v>
      </c>
      <c r="K727" s="1">
        <v>45826</v>
      </c>
      <c r="L727">
        <f>YEAR(Customer_Data[[#This Row],[LastPurchaseDate]])</f>
        <v>2025</v>
      </c>
      <c r="M727">
        <f>MONTH(Customer_Data[[#This Row],[LastPurchaseDate]])</f>
        <v>10</v>
      </c>
      <c r="N727" s="7">
        <v>45938</v>
      </c>
      <c r="O727">
        <v>26</v>
      </c>
      <c r="P727" s="4">
        <v>100.09</v>
      </c>
      <c r="Q727" t="s">
        <v>4034</v>
      </c>
      <c r="R727">
        <v>3</v>
      </c>
      <c r="S727">
        <v>3.85</v>
      </c>
    </row>
    <row r="728" spans="1:19" x14ac:dyDescent="0.25">
      <c r="A728">
        <v>732</v>
      </c>
      <c r="B728" t="s">
        <v>279</v>
      </c>
      <c r="C728" t="s">
        <v>757</v>
      </c>
      <c r="D728" t="s">
        <v>850</v>
      </c>
      <c r="E728">
        <v>66</v>
      </c>
      <c r="F728" t="str" cm="1">
        <f t="array" ref="F728">INDEX(Country!$B$3:$B$250, MATCH(TRUE, ISNUMBER(SEARCH(Country!$A$2:$A$509, Customer_Data[[#This Row],[Country]])),0 ))</f>
        <v>Antarctica</v>
      </c>
      <c r="G728" t="s">
        <v>1052</v>
      </c>
      <c r="H728" t="s">
        <v>1793</v>
      </c>
      <c r="I728" t="s">
        <v>2775</v>
      </c>
      <c r="J728" t="s">
        <v>3767</v>
      </c>
      <c r="K728" s="1">
        <v>45368</v>
      </c>
      <c r="L728">
        <f>YEAR(Customer_Data[[#This Row],[LastPurchaseDate]])</f>
        <v>2025</v>
      </c>
      <c r="M728">
        <f>MONTH(Customer_Data[[#This Row],[LastPurchaseDate]])</f>
        <v>10</v>
      </c>
      <c r="N728" s="7">
        <v>45947</v>
      </c>
      <c r="O728">
        <v>23</v>
      </c>
      <c r="P728" s="4">
        <v>2391.9499999999998</v>
      </c>
      <c r="Q728" t="s">
        <v>4035</v>
      </c>
      <c r="R728">
        <v>1</v>
      </c>
      <c r="S728">
        <v>104</v>
      </c>
    </row>
    <row r="729" spans="1:19" x14ac:dyDescent="0.25">
      <c r="A729">
        <v>733</v>
      </c>
      <c r="B729" t="s">
        <v>43</v>
      </c>
      <c r="C729" t="s">
        <v>758</v>
      </c>
      <c r="D729" t="s">
        <v>850</v>
      </c>
      <c r="E729">
        <v>41</v>
      </c>
      <c r="F729" t="str" cm="1">
        <f t="array" ref="F729">INDEX(Country!$B$3:$B$250, MATCH(TRUE, ISNUMBER(SEARCH(Country!$A$2:$A$509, Customer_Data[[#This Row],[Country]])),0 ))</f>
        <v>Asia</v>
      </c>
      <c r="G729" t="s">
        <v>1018</v>
      </c>
      <c r="H729" t="s">
        <v>1794</v>
      </c>
      <c r="I729" t="s">
        <v>2776</v>
      </c>
      <c r="J729" t="s">
        <v>3768</v>
      </c>
      <c r="K729" s="1">
        <v>45385</v>
      </c>
      <c r="L729">
        <f>YEAR(Customer_Data[[#This Row],[LastPurchaseDate]])</f>
        <v>2024</v>
      </c>
      <c r="M729">
        <f>MONTH(Customer_Data[[#This Row],[LastPurchaseDate]])</f>
        <v>1</v>
      </c>
      <c r="N729" s="7">
        <v>45306</v>
      </c>
      <c r="O729">
        <v>19</v>
      </c>
      <c r="P729" s="4">
        <v>6434.07</v>
      </c>
      <c r="Q729" t="s">
        <v>4034</v>
      </c>
      <c r="R729">
        <v>5</v>
      </c>
      <c r="S729">
        <v>338.64</v>
      </c>
    </row>
    <row r="730" spans="1:19" x14ac:dyDescent="0.25">
      <c r="A730">
        <v>734</v>
      </c>
      <c r="B730" t="s">
        <v>70</v>
      </c>
      <c r="C730" t="s">
        <v>140</v>
      </c>
      <c r="D730" t="s">
        <v>850</v>
      </c>
      <c r="E730">
        <v>71</v>
      </c>
      <c r="F730" t="str" cm="1">
        <f t="array" ref="F730">INDEX(Country!$B$3:$B$250, MATCH(TRUE, ISNUMBER(SEARCH(Country!$A$2:$A$509, Customer_Data[[#This Row],[Country]])),0 ))</f>
        <v>Antarctica</v>
      </c>
      <c r="G730" t="s">
        <v>1011</v>
      </c>
      <c r="H730" t="s">
        <v>1795</v>
      </c>
      <c r="I730" t="s">
        <v>2777</v>
      </c>
      <c r="J730" t="s">
        <v>3769</v>
      </c>
      <c r="K730" s="1">
        <v>45194</v>
      </c>
      <c r="L730">
        <f>YEAR(Customer_Data[[#This Row],[LastPurchaseDate]])</f>
        <v>2025</v>
      </c>
      <c r="M730">
        <f>MONTH(Customer_Data[[#This Row],[LastPurchaseDate]])</f>
        <v>10</v>
      </c>
      <c r="N730" s="7">
        <v>45953</v>
      </c>
      <c r="O730">
        <v>36</v>
      </c>
      <c r="P730" s="4">
        <v>1306.71</v>
      </c>
      <c r="Q730" t="s">
        <v>4034</v>
      </c>
      <c r="R730">
        <v>4</v>
      </c>
      <c r="S730">
        <v>36.299999999999997</v>
      </c>
    </row>
    <row r="731" spans="1:19" x14ac:dyDescent="0.25">
      <c r="A731">
        <v>735</v>
      </c>
      <c r="B731" t="s">
        <v>318</v>
      </c>
      <c r="C731" t="s">
        <v>508</v>
      </c>
      <c r="D731" t="s">
        <v>851</v>
      </c>
      <c r="E731">
        <v>53</v>
      </c>
      <c r="F731" t="str" cm="1">
        <f t="array" ref="F731">INDEX(Country!$B$3:$B$250, MATCH(TRUE, ISNUMBER(SEARCH(Country!$A$2:$A$509, Customer_Data[[#This Row],[Country]])),0 ))</f>
        <v>Oceania</v>
      </c>
      <c r="G731" t="s">
        <v>862</v>
      </c>
      <c r="H731" t="s">
        <v>1796</v>
      </c>
      <c r="I731" t="s">
        <v>2778</v>
      </c>
      <c r="J731" t="s">
        <v>3770</v>
      </c>
      <c r="K731" s="1">
        <v>45879</v>
      </c>
      <c r="L731">
        <f>YEAR(Customer_Data[[#This Row],[LastPurchaseDate]])</f>
        <v>2025</v>
      </c>
      <c r="M731">
        <f>MONTH(Customer_Data[[#This Row],[LastPurchaseDate]])</f>
        <v>10</v>
      </c>
      <c r="N731" s="7">
        <v>45931</v>
      </c>
      <c r="O731">
        <v>12</v>
      </c>
      <c r="P731" s="4">
        <v>4655.8599999999997</v>
      </c>
      <c r="Q731" t="s">
        <v>4035</v>
      </c>
      <c r="R731">
        <v>3</v>
      </c>
      <c r="S731">
        <v>387.99</v>
      </c>
    </row>
    <row r="732" spans="1:19" x14ac:dyDescent="0.25">
      <c r="A732">
        <v>736</v>
      </c>
      <c r="B732" t="s">
        <v>319</v>
      </c>
      <c r="C732" t="s">
        <v>448</v>
      </c>
      <c r="D732" t="s">
        <v>851</v>
      </c>
      <c r="E732">
        <v>51</v>
      </c>
      <c r="F732" t="str" cm="1">
        <f t="array" ref="F732">INDEX(Country!$B$3:$B$250, MATCH(TRUE, ISNUMBER(SEARCH(Country!$A$2:$A$509, Customer_Data[[#This Row],[Country]])),0 ))</f>
        <v>Asia</v>
      </c>
      <c r="G732" t="s">
        <v>924</v>
      </c>
      <c r="H732" t="s">
        <v>1797</v>
      </c>
      <c r="I732" t="s">
        <v>2779</v>
      </c>
      <c r="J732" t="s">
        <v>3771</v>
      </c>
      <c r="K732" s="1">
        <v>45391</v>
      </c>
      <c r="L732">
        <f>YEAR(Customer_Data[[#This Row],[LastPurchaseDate]])</f>
        <v>2025</v>
      </c>
      <c r="M732">
        <f>MONTH(Customer_Data[[#This Row],[LastPurchaseDate]])</f>
        <v>1</v>
      </c>
      <c r="N732" s="7">
        <v>45684</v>
      </c>
      <c r="O732">
        <v>32</v>
      </c>
      <c r="P732" s="4">
        <v>3004.02</v>
      </c>
      <c r="Q732" t="s">
        <v>4034</v>
      </c>
      <c r="R732">
        <v>4</v>
      </c>
      <c r="S732">
        <v>93.88</v>
      </c>
    </row>
    <row r="733" spans="1:19" x14ac:dyDescent="0.25">
      <c r="A733">
        <v>737</v>
      </c>
      <c r="B733" t="s">
        <v>76</v>
      </c>
      <c r="C733" t="s">
        <v>486</v>
      </c>
      <c r="D733" t="s">
        <v>851</v>
      </c>
      <c r="E733">
        <v>27</v>
      </c>
      <c r="F733" t="str" cm="1">
        <f t="array" ref="F733">INDEX(Country!$B$3:$B$250, MATCH(TRUE, ISNUMBER(SEARCH(Country!$A$2:$A$509, Customer_Data[[#This Row],[Country]])),0 ))</f>
        <v>South America</v>
      </c>
      <c r="G733" t="s">
        <v>1078</v>
      </c>
      <c r="H733" t="s">
        <v>1798</v>
      </c>
      <c r="I733" t="s">
        <v>2780</v>
      </c>
      <c r="J733" t="s">
        <v>3772</v>
      </c>
      <c r="K733" s="1">
        <v>45413</v>
      </c>
      <c r="L733">
        <f>YEAR(Customer_Data[[#This Row],[LastPurchaseDate]])</f>
        <v>2025</v>
      </c>
      <c r="M733">
        <f>MONTH(Customer_Data[[#This Row],[LastPurchaseDate]])</f>
        <v>1</v>
      </c>
      <c r="N733" s="7">
        <v>45686</v>
      </c>
      <c r="O733">
        <v>7</v>
      </c>
      <c r="P733" s="4">
        <v>9352.82</v>
      </c>
      <c r="Q733" t="s">
        <v>4034</v>
      </c>
      <c r="R733">
        <v>4</v>
      </c>
      <c r="S733">
        <v>1336.12</v>
      </c>
    </row>
    <row r="734" spans="1:19" x14ac:dyDescent="0.25">
      <c r="A734">
        <v>738</v>
      </c>
      <c r="B734" t="s">
        <v>313</v>
      </c>
      <c r="C734" t="s">
        <v>412</v>
      </c>
      <c r="D734" t="s">
        <v>851</v>
      </c>
      <c r="E734">
        <v>46</v>
      </c>
      <c r="F734" t="str" cm="1">
        <f t="array" ref="F734">INDEX(Country!$B$3:$B$250, MATCH(TRUE, ISNUMBER(SEARCH(Country!$A$2:$A$509, Customer_Data[[#This Row],[Country]])),0 ))</f>
        <v>North America</v>
      </c>
      <c r="G734" t="s">
        <v>947</v>
      </c>
      <c r="H734" t="s">
        <v>1799</v>
      </c>
      <c r="I734" t="s">
        <v>2781</v>
      </c>
      <c r="J734" t="s">
        <v>3773</v>
      </c>
      <c r="K734" s="1">
        <v>45598</v>
      </c>
      <c r="L734">
        <f>YEAR(Customer_Data[[#This Row],[LastPurchaseDate]])</f>
        <v>2024</v>
      </c>
      <c r="M734">
        <f>MONTH(Customer_Data[[#This Row],[LastPurchaseDate]])</f>
        <v>10</v>
      </c>
      <c r="N734" s="7">
        <v>45583</v>
      </c>
      <c r="O734">
        <v>49</v>
      </c>
      <c r="P734" s="4">
        <v>256.01</v>
      </c>
      <c r="Q734" t="s">
        <v>4035</v>
      </c>
      <c r="R734">
        <v>4</v>
      </c>
      <c r="S734">
        <v>5.22</v>
      </c>
    </row>
    <row r="735" spans="1:19" x14ac:dyDescent="0.25">
      <c r="A735">
        <v>739</v>
      </c>
      <c r="B735" t="s">
        <v>91</v>
      </c>
      <c r="C735" t="s">
        <v>759</v>
      </c>
      <c r="D735" t="s">
        <v>851</v>
      </c>
      <c r="E735">
        <v>57</v>
      </c>
      <c r="F735" t="str" cm="1">
        <f t="array" ref="F735">INDEX(Country!$B$3:$B$250, MATCH(TRUE, ISNUMBER(SEARCH(Country!$A$2:$A$509, Customer_Data[[#This Row],[Country]])),0 ))</f>
        <v>Africa</v>
      </c>
      <c r="G735" t="s">
        <v>1083</v>
      </c>
      <c r="H735" t="s">
        <v>1800</v>
      </c>
      <c r="I735" t="s">
        <v>2782</v>
      </c>
      <c r="J735" t="s">
        <v>3774</v>
      </c>
      <c r="K735" s="1">
        <v>44981</v>
      </c>
      <c r="L735">
        <f>YEAR(Customer_Data[[#This Row],[LastPurchaseDate]])</f>
        <v>2025</v>
      </c>
      <c r="M735">
        <f>MONTH(Customer_Data[[#This Row],[LastPurchaseDate]])</f>
        <v>8</v>
      </c>
      <c r="N735" s="7">
        <v>45874</v>
      </c>
      <c r="O735">
        <v>10</v>
      </c>
      <c r="P735" s="4">
        <v>4322.1400000000003</v>
      </c>
      <c r="Q735" t="s">
        <v>4035</v>
      </c>
      <c r="R735">
        <v>1</v>
      </c>
      <c r="S735">
        <v>432.21</v>
      </c>
    </row>
    <row r="736" spans="1:19" x14ac:dyDescent="0.25">
      <c r="A736">
        <v>740</v>
      </c>
      <c r="B736" t="s">
        <v>33</v>
      </c>
      <c r="C736" t="s">
        <v>133</v>
      </c>
      <c r="D736" t="s">
        <v>850</v>
      </c>
      <c r="E736">
        <v>41</v>
      </c>
      <c r="F736" t="str" cm="1">
        <f t="array" ref="F736">INDEX(Country!$B$3:$B$250, MATCH(TRUE, ISNUMBER(SEARCH(Country!$A$2:$A$509, Customer_Data[[#This Row],[Country]])),0 ))</f>
        <v>Asia</v>
      </c>
      <c r="G736" t="s">
        <v>963</v>
      </c>
      <c r="H736" t="s">
        <v>1801</v>
      </c>
      <c r="I736" t="s">
        <v>2783</v>
      </c>
      <c r="J736" t="s">
        <v>3775</v>
      </c>
      <c r="K736" s="1">
        <v>44920</v>
      </c>
      <c r="L736">
        <f>YEAR(Customer_Data[[#This Row],[LastPurchaseDate]])</f>
        <v>2024</v>
      </c>
      <c r="M736">
        <f>MONTH(Customer_Data[[#This Row],[LastPurchaseDate]])</f>
        <v>6</v>
      </c>
      <c r="N736" s="7">
        <v>45461</v>
      </c>
      <c r="O736">
        <v>23</v>
      </c>
      <c r="P736" s="4">
        <v>1491.7</v>
      </c>
      <c r="Q736" t="s">
        <v>4035</v>
      </c>
      <c r="R736">
        <v>3</v>
      </c>
      <c r="S736">
        <v>64.86</v>
      </c>
    </row>
    <row r="737" spans="1:19" x14ac:dyDescent="0.25">
      <c r="A737">
        <v>741</v>
      </c>
      <c r="B737" t="s">
        <v>320</v>
      </c>
      <c r="C737" t="s">
        <v>760</v>
      </c>
      <c r="D737" t="s">
        <v>851</v>
      </c>
      <c r="E737">
        <v>24</v>
      </c>
      <c r="F737" t="str" cm="1">
        <f t="array" ref="F737">INDEX(Country!$B$3:$B$250, MATCH(TRUE, ISNUMBER(SEARCH(Country!$A$2:$A$509, Customer_Data[[#This Row],[Country]])),0 ))</f>
        <v>North America</v>
      </c>
      <c r="G737" t="s">
        <v>906</v>
      </c>
      <c r="H737" t="s">
        <v>1802</v>
      </c>
      <c r="I737" t="s">
        <v>2784</v>
      </c>
      <c r="J737" t="s">
        <v>3776</v>
      </c>
      <c r="K737" s="1">
        <v>45414</v>
      </c>
      <c r="L737">
        <f>YEAR(Customer_Data[[#This Row],[LastPurchaseDate]])</f>
        <v>2025</v>
      </c>
      <c r="M737">
        <f>MONTH(Customer_Data[[#This Row],[LastPurchaseDate]])</f>
        <v>8</v>
      </c>
      <c r="N737" s="7">
        <v>45884</v>
      </c>
      <c r="O737">
        <v>37</v>
      </c>
      <c r="P737" s="4">
        <v>872.82</v>
      </c>
      <c r="Q737" t="s">
        <v>4035</v>
      </c>
      <c r="R737">
        <v>3</v>
      </c>
      <c r="S737">
        <v>23.59</v>
      </c>
    </row>
    <row r="738" spans="1:19" x14ac:dyDescent="0.25">
      <c r="A738">
        <v>742</v>
      </c>
      <c r="B738" t="s">
        <v>321</v>
      </c>
      <c r="C738" t="s">
        <v>750</v>
      </c>
      <c r="D738" t="s">
        <v>850</v>
      </c>
      <c r="E738">
        <v>27</v>
      </c>
      <c r="F738" t="str" cm="1">
        <f t="array" ref="F738">INDEX(Country!$B$3:$B$250, MATCH(TRUE, ISNUMBER(SEARCH(Country!$A$2:$A$509, Customer_Data[[#This Row],[Country]])),0 ))</f>
        <v>Asia</v>
      </c>
      <c r="G738" t="s">
        <v>895</v>
      </c>
      <c r="H738" t="s">
        <v>1803</v>
      </c>
      <c r="I738" t="s">
        <v>2785</v>
      </c>
      <c r="J738" t="s">
        <v>3777</v>
      </c>
      <c r="K738" s="1">
        <v>45841</v>
      </c>
      <c r="L738">
        <f>YEAR(Customer_Data[[#This Row],[LastPurchaseDate]])</f>
        <v>2025</v>
      </c>
      <c r="M738">
        <f>MONTH(Customer_Data[[#This Row],[LastPurchaseDate]])</f>
        <v>7</v>
      </c>
      <c r="N738" s="7">
        <v>45840</v>
      </c>
      <c r="O738">
        <v>26</v>
      </c>
      <c r="P738" s="4">
        <v>2374.3000000000002</v>
      </c>
      <c r="Q738" t="s">
        <v>4034</v>
      </c>
      <c r="R738">
        <v>4</v>
      </c>
      <c r="S738">
        <v>91.32</v>
      </c>
    </row>
    <row r="739" spans="1:19" x14ac:dyDescent="0.25">
      <c r="A739">
        <v>743</v>
      </c>
      <c r="B739" t="s">
        <v>322</v>
      </c>
      <c r="C739" t="s">
        <v>761</v>
      </c>
      <c r="D739" t="s">
        <v>851</v>
      </c>
      <c r="E739">
        <v>61</v>
      </c>
      <c r="F739" t="str" cm="1">
        <f t="array" ref="F739">INDEX(Country!$B$3:$B$250, MATCH(TRUE, ISNUMBER(SEARCH(Country!$A$2:$A$509, Customer_Data[[#This Row],[Country]])),0 ))</f>
        <v>North America</v>
      </c>
      <c r="G739" t="s">
        <v>1084</v>
      </c>
      <c r="H739" t="s">
        <v>1804</v>
      </c>
      <c r="I739" t="s">
        <v>2786</v>
      </c>
      <c r="J739" t="s">
        <v>3778</v>
      </c>
      <c r="K739" s="1">
        <v>45933</v>
      </c>
      <c r="L739">
        <f>YEAR(Customer_Data[[#This Row],[LastPurchaseDate]])</f>
        <v>2025</v>
      </c>
      <c r="M739">
        <f>MONTH(Customer_Data[[#This Row],[LastPurchaseDate]])</f>
        <v>4</v>
      </c>
      <c r="N739" s="7">
        <v>45759</v>
      </c>
      <c r="O739">
        <v>10</v>
      </c>
      <c r="P739" s="4">
        <v>5301.95</v>
      </c>
      <c r="Q739" t="s">
        <v>4034</v>
      </c>
      <c r="R739">
        <v>1</v>
      </c>
      <c r="S739">
        <v>530.19000000000005</v>
      </c>
    </row>
    <row r="740" spans="1:19" x14ac:dyDescent="0.25">
      <c r="A740">
        <v>744</v>
      </c>
      <c r="B740" t="s">
        <v>95</v>
      </c>
      <c r="C740" t="s">
        <v>762</v>
      </c>
      <c r="D740" t="s">
        <v>850</v>
      </c>
      <c r="E740">
        <v>57</v>
      </c>
      <c r="F740" t="str" cm="1">
        <f t="array" ref="F740">INDEX(Country!$B$3:$B$250, MATCH(TRUE, ISNUMBER(SEARCH(Country!$A$2:$A$509, Customer_Data[[#This Row],[Country]])),0 ))</f>
        <v>Europe</v>
      </c>
      <c r="G740" t="s">
        <v>899</v>
      </c>
      <c r="H740" t="s">
        <v>1805</v>
      </c>
      <c r="I740" t="s">
        <v>2787</v>
      </c>
      <c r="J740" t="s">
        <v>3779</v>
      </c>
      <c r="K740" s="1">
        <v>45526</v>
      </c>
      <c r="L740">
        <f>YEAR(Customer_Data[[#This Row],[LastPurchaseDate]])</f>
        <v>2024</v>
      </c>
      <c r="M740">
        <f>MONTH(Customer_Data[[#This Row],[LastPurchaseDate]])</f>
        <v>10</v>
      </c>
      <c r="N740" s="7">
        <v>45588</v>
      </c>
      <c r="O740">
        <v>39</v>
      </c>
      <c r="P740" s="4">
        <v>2202.29</v>
      </c>
      <c r="Q740" t="s">
        <v>4034</v>
      </c>
      <c r="R740">
        <v>2</v>
      </c>
      <c r="S740">
        <v>56.47</v>
      </c>
    </row>
    <row r="741" spans="1:19" x14ac:dyDescent="0.25">
      <c r="A741">
        <v>745</v>
      </c>
      <c r="B741" t="s">
        <v>63</v>
      </c>
      <c r="C741" t="s">
        <v>384</v>
      </c>
      <c r="D741" t="s">
        <v>850</v>
      </c>
      <c r="E741">
        <v>61</v>
      </c>
      <c r="F741" t="str" cm="1">
        <f t="array" ref="F741">INDEX(Country!$B$3:$B$250, MATCH(TRUE, ISNUMBER(SEARCH(Country!$A$2:$A$509, Customer_Data[[#This Row],[Country]])),0 ))</f>
        <v>Oceania</v>
      </c>
      <c r="G741" t="s">
        <v>862</v>
      </c>
      <c r="H741" t="s">
        <v>1806</v>
      </c>
      <c r="I741" t="s">
        <v>2788</v>
      </c>
      <c r="J741" t="s">
        <v>3780</v>
      </c>
      <c r="K741" s="1">
        <v>45188</v>
      </c>
      <c r="L741">
        <f>YEAR(Customer_Data[[#This Row],[LastPurchaseDate]])</f>
        <v>2025</v>
      </c>
      <c r="M741">
        <f>MONTH(Customer_Data[[#This Row],[LastPurchaseDate]])</f>
        <v>6</v>
      </c>
      <c r="N741" s="7">
        <v>45823</v>
      </c>
      <c r="O741">
        <v>29</v>
      </c>
      <c r="P741" s="4">
        <v>5359.28</v>
      </c>
      <c r="Q741" t="s">
        <v>4035</v>
      </c>
      <c r="R741">
        <v>2</v>
      </c>
      <c r="S741">
        <v>184.8</v>
      </c>
    </row>
    <row r="742" spans="1:19" x14ac:dyDescent="0.25">
      <c r="A742">
        <v>746</v>
      </c>
      <c r="B742" t="s">
        <v>119</v>
      </c>
      <c r="C742" t="s">
        <v>509</v>
      </c>
      <c r="D742" t="s">
        <v>850</v>
      </c>
      <c r="E742">
        <v>63</v>
      </c>
      <c r="F742" t="str" cm="1">
        <f t="array" ref="F742">INDEX(Country!$B$3:$B$250, MATCH(TRUE, ISNUMBER(SEARCH(Country!$A$2:$A$509, Customer_Data[[#This Row],[Country]])),0 ))</f>
        <v>Africa</v>
      </c>
      <c r="G742" t="s">
        <v>1059</v>
      </c>
      <c r="H742" t="s">
        <v>1807</v>
      </c>
      <c r="I742" t="s">
        <v>2789</v>
      </c>
      <c r="J742" t="s">
        <v>3781</v>
      </c>
      <c r="K742" s="1">
        <v>45237</v>
      </c>
      <c r="L742">
        <f>YEAR(Customer_Data[[#This Row],[LastPurchaseDate]])</f>
        <v>2025</v>
      </c>
      <c r="M742">
        <f>MONTH(Customer_Data[[#This Row],[LastPurchaseDate]])</f>
        <v>7</v>
      </c>
      <c r="N742" s="7">
        <v>45861</v>
      </c>
      <c r="O742">
        <v>15</v>
      </c>
      <c r="P742" s="4">
        <v>2843.22</v>
      </c>
      <c r="Q742" t="s">
        <v>4035</v>
      </c>
      <c r="R742">
        <v>4</v>
      </c>
      <c r="S742">
        <v>189.55</v>
      </c>
    </row>
    <row r="743" spans="1:19" x14ac:dyDescent="0.25">
      <c r="A743">
        <v>747</v>
      </c>
      <c r="B743" t="s">
        <v>52</v>
      </c>
      <c r="C743" t="s">
        <v>407</v>
      </c>
      <c r="D743" t="s">
        <v>850</v>
      </c>
      <c r="E743">
        <v>39</v>
      </c>
      <c r="F743" t="str" cm="1">
        <f t="array" ref="F743">INDEX(Country!$B$3:$B$250, MATCH(TRUE, ISNUMBER(SEARCH(Country!$A$2:$A$509, Customer_Data[[#This Row],[Country]])),0 ))</f>
        <v>North America</v>
      </c>
      <c r="G743" t="s">
        <v>1073</v>
      </c>
      <c r="H743" t="s">
        <v>1808</v>
      </c>
      <c r="I743" t="s">
        <v>2790</v>
      </c>
      <c r="J743" t="s">
        <v>3782</v>
      </c>
      <c r="K743" s="1">
        <v>45406</v>
      </c>
      <c r="L743">
        <f>YEAR(Customer_Data[[#This Row],[LastPurchaseDate]])</f>
        <v>2024</v>
      </c>
      <c r="M743">
        <f>MONTH(Customer_Data[[#This Row],[LastPurchaseDate]])</f>
        <v>4</v>
      </c>
      <c r="N743" s="7">
        <v>45384</v>
      </c>
      <c r="O743">
        <v>15</v>
      </c>
      <c r="P743" s="4">
        <v>1516.01</v>
      </c>
      <c r="Q743" t="s">
        <v>4035</v>
      </c>
      <c r="R743">
        <v>3</v>
      </c>
      <c r="S743">
        <v>101.07</v>
      </c>
    </row>
    <row r="744" spans="1:19" x14ac:dyDescent="0.25">
      <c r="A744">
        <v>748</v>
      </c>
      <c r="B744" t="s">
        <v>323</v>
      </c>
      <c r="C744" t="s">
        <v>379</v>
      </c>
      <c r="D744" t="s">
        <v>850</v>
      </c>
      <c r="E744">
        <v>57</v>
      </c>
      <c r="F744" t="str" cm="1">
        <f t="array" ref="F744">INDEX(Country!$B$3:$B$250, MATCH(TRUE, ISNUMBER(SEARCH(Country!$A$2:$A$509, Customer_Data[[#This Row],[Country]])),0 ))</f>
        <v>Africa</v>
      </c>
      <c r="G744" t="s">
        <v>857</v>
      </c>
      <c r="H744" t="s">
        <v>1809</v>
      </c>
      <c r="I744" t="s">
        <v>2791</v>
      </c>
      <c r="J744" t="s">
        <v>3783</v>
      </c>
      <c r="K744" s="1">
        <v>45103</v>
      </c>
      <c r="L744">
        <f>YEAR(Customer_Data[[#This Row],[LastPurchaseDate]])</f>
        <v>2023</v>
      </c>
      <c r="M744">
        <f>MONTH(Customer_Data[[#This Row],[LastPurchaseDate]])</f>
        <v>11</v>
      </c>
      <c r="N744" s="7">
        <v>45256</v>
      </c>
      <c r="O744">
        <v>7</v>
      </c>
      <c r="P744" s="4">
        <v>7423.28</v>
      </c>
      <c r="Q744" t="s">
        <v>4034</v>
      </c>
      <c r="R744">
        <v>3</v>
      </c>
      <c r="S744">
        <v>1060.47</v>
      </c>
    </row>
    <row r="745" spans="1:19" x14ac:dyDescent="0.25">
      <c r="A745">
        <v>749</v>
      </c>
      <c r="B745" t="s">
        <v>243</v>
      </c>
      <c r="C745" t="s">
        <v>763</v>
      </c>
      <c r="D745" t="s">
        <v>851</v>
      </c>
      <c r="E745">
        <v>47</v>
      </c>
      <c r="F745" t="str" cm="1">
        <f t="array" ref="F745">INDEX(Country!$B$3:$B$250, MATCH(TRUE, ISNUMBER(SEARCH(Country!$A$2:$A$509, Customer_Data[[#This Row],[Country]])),0 ))</f>
        <v>Oceania</v>
      </c>
      <c r="G745" t="s">
        <v>961</v>
      </c>
      <c r="H745" t="s">
        <v>1810</v>
      </c>
      <c r="I745" t="s">
        <v>2792</v>
      </c>
      <c r="J745" t="s">
        <v>3784</v>
      </c>
      <c r="K745" s="1">
        <v>45072</v>
      </c>
      <c r="L745">
        <f>YEAR(Customer_Data[[#This Row],[LastPurchaseDate]])</f>
        <v>2024</v>
      </c>
      <c r="M745">
        <f>MONTH(Customer_Data[[#This Row],[LastPurchaseDate]])</f>
        <v>11</v>
      </c>
      <c r="N745" s="7">
        <v>45604</v>
      </c>
      <c r="O745">
        <v>27</v>
      </c>
      <c r="P745" s="4">
        <v>1359.23</v>
      </c>
      <c r="Q745" t="s">
        <v>4035</v>
      </c>
      <c r="R745">
        <v>3</v>
      </c>
      <c r="S745">
        <v>50.34</v>
      </c>
    </row>
    <row r="746" spans="1:19" x14ac:dyDescent="0.25">
      <c r="A746">
        <v>750</v>
      </c>
      <c r="B746" t="s">
        <v>108</v>
      </c>
      <c r="C746" t="s">
        <v>34</v>
      </c>
      <c r="D746" t="s">
        <v>851</v>
      </c>
      <c r="E746">
        <v>52</v>
      </c>
      <c r="F746" t="str" cm="1">
        <f t="array" ref="F746">INDEX(Country!$B$3:$B$250, MATCH(TRUE, ISNUMBER(SEARCH(Country!$A$2:$A$509, Customer_Data[[#This Row],[Country]])),0 ))</f>
        <v>Asia</v>
      </c>
      <c r="G746" t="s">
        <v>924</v>
      </c>
      <c r="H746" t="s">
        <v>1811</v>
      </c>
      <c r="I746" t="s">
        <v>2793</v>
      </c>
      <c r="J746" t="s">
        <v>3785</v>
      </c>
      <c r="K746" s="1">
        <v>45505</v>
      </c>
      <c r="L746">
        <f>YEAR(Customer_Data[[#This Row],[LastPurchaseDate]])</f>
        <v>2024</v>
      </c>
      <c r="M746">
        <f>MONTH(Customer_Data[[#This Row],[LastPurchaseDate]])</f>
        <v>7</v>
      </c>
      <c r="N746" s="7">
        <v>45475</v>
      </c>
      <c r="O746">
        <v>12</v>
      </c>
      <c r="P746" s="4">
        <v>7658.32</v>
      </c>
      <c r="Q746" t="s">
        <v>4035</v>
      </c>
      <c r="R746">
        <v>3</v>
      </c>
      <c r="S746">
        <v>638.19000000000005</v>
      </c>
    </row>
    <row r="747" spans="1:19" x14ac:dyDescent="0.25">
      <c r="A747">
        <v>751</v>
      </c>
      <c r="B747" t="s">
        <v>63</v>
      </c>
      <c r="C747" t="s">
        <v>376</v>
      </c>
      <c r="D747" t="s">
        <v>851</v>
      </c>
      <c r="E747">
        <v>54</v>
      </c>
      <c r="F747" t="str" cm="1">
        <f t="array" ref="F747">INDEX(Country!$B$3:$B$250, MATCH(TRUE, ISNUMBER(SEARCH(Country!$A$2:$A$509, Customer_Data[[#This Row],[Country]])),0 ))</f>
        <v>Europe</v>
      </c>
      <c r="G747" t="s">
        <v>919</v>
      </c>
      <c r="H747" t="s">
        <v>1220</v>
      </c>
      <c r="I747" t="s">
        <v>2794</v>
      </c>
      <c r="J747" t="s">
        <v>3786</v>
      </c>
      <c r="K747" s="1">
        <v>44935</v>
      </c>
      <c r="L747">
        <f>YEAR(Customer_Data[[#This Row],[LastPurchaseDate]])</f>
        <v>2024</v>
      </c>
      <c r="M747">
        <f>MONTH(Customer_Data[[#This Row],[LastPurchaseDate]])</f>
        <v>11</v>
      </c>
      <c r="N747" s="7">
        <v>45599</v>
      </c>
      <c r="O747">
        <v>15</v>
      </c>
      <c r="P747" s="4">
        <v>8180.31</v>
      </c>
      <c r="Q747" t="s">
        <v>4034</v>
      </c>
      <c r="R747">
        <v>4</v>
      </c>
      <c r="S747">
        <v>545.35</v>
      </c>
    </row>
    <row r="748" spans="1:19" x14ac:dyDescent="0.25">
      <c r="A748">
        <v>752</v>
      </c>
      <c r="B748" t="s">
        <v>99</v>
      </c>
      <c r="C748" t="s">
        <v>764</v>
      </c>
      <c r="D748" t="s">
        <v>851</v>
      </c>
      <c r="E748">
        <v>58</v>
      </c>
      <c r="F748" t="str" cm="1">
        <f t="array" ref="F748">INDEX(Country!$B$3:$B$250, MATCH(TRUE, ISNUMBER(SEARCH(Country!$A$2:$A$509, Customer_Data[[#This Row],[Country]])),0 ))</f>
        <v>Europe</v>
      </c>
      <c r="G748" t="s">
        <v>1030</v>
      </c>
      <c r="H748" t="s">
        <v>1812</v>
      </c>
      <c r="I748" t="s">
        <v>2795</v>
      </c>
      <c r="J748" t="s">
        <v>3787</v>
      </c>
      <c r="K748" s="1">
        <v>45709</v>
      </c>
      <c r="L748">
        <f>YEAR(Customer_Data[[#This Row],[LastPurchaseDate]])</f>
        <v>2024</v>
      </c>
      <c r="M748">
        <f>MONTH(Customer_Data[[#This Row],[LastPurchaseDate]])</f>
        <v>6</v>
      </c>
      <c r="N748" s="7">
        <v>45461</v>
      </c>
      <c r="O748">
        <v>2</v>
      </c>
      <c r="P748" s="4">
        <v>9723.61</v>
      </c>
      <c r="Q748" t="s">
        <v>4035</v>
      </c>
      <c r="R748">
        <v>2</v>
      </c>
      <c r="S748">
        <v>4861.8</v>
      </c>
    </row>
    <row r="749" spans="1:19" x14ac:dyDescent="0.25">
      <c r="A749">
        <v>753</v>
      </c>
      <c r="B749" t="s">
        <v>149</v>
      </c>
      <c r="C749" t="s">
        <v>173</v>
      </c>
      <c r="D749" t="s">
        <v>850</v>
      </c>
      <c r="E749">
        <v>69</v>
      </c>
      <c r="F749" t="str" cm="1">
        <f t="array" ref="F749">INDEX(Country!$B$3:$B$250, MATCH(TRUE, ISNUMBER(SEARCH(Country!$A$2:$A$509, Customer_Data[[#This Row],[Country]])),0 ))</f>
        <v>Asia</v>
      </c>
      <c r="G749" t="s">
        <v>915</v>
      </c>
      <c r="H749" t="s">
        <v>1813</v>
      </c>
      <c r="I749" t="s">
        <v>2796</v>
      </c>
      <c r="J749" t="s">
        <v>3788</v>
      </c>
      <c r="K749" s="1">
        <v>45542</v>
      </c>
      <c r="L749">
        <f>YEAR(Customer_Data[[#This Row],[LastPurchaseDate]])</f>
        <v>2024</v>
      </c>
      <c r="M749">
        <f>MONTH(Customer_Data[[#This Row],[LastPurchaseDate]])</f>
        <v>4</v>
      </c>
      <c r="N749" s="7">
        <v>45399</v>
      </c>
      <c r="O749">
        <v>3</v>
      </c>
      <c r="P749" s="4">
        <v>2163.1799999999998</v>
      </c>
      <c r="Q749" t="s">
        <v>4035</v>
      </c>
      <c r="R749">
        <v>5</v>
      </c>
      <c r="S749">
        <v>721.06</v>
      </c>
    </row>
    <row r="750" spans="1:19" x14ac:dyDescent="0.25">
      <c r="A750">
        <v>754</v>
      </c>
      <c r="B750" t="s">
        <v>146</v>
      </c>
      <c r="C750" t="s">
        <v>765</v>
      </c>
      <c r="D750" t="s">
        <v>851</v>
      </c>
      <c r="E750">
        <v>65</v>
      </c>
      <c r="F750" t="str" cm="1">
        <f t="array" ref="F750">INDEX(Country!$B$3:$B$250, MATCH(TRUE, ISNUMBER(SEARCH(Country!$A$2:$A$509, Customer_Data[[#This Row],[Country]])),0 ))</f>
        <v>Asia</v>
      </c>
      <c r="G750" t="s">
        <v>939</v>
      </c>
      <c r="H750" t="s">
        <v>1814</v>
      </c>
      <c r="I750" t="s">
        <v>2797</v>
      </c>
      <c r="J750" t="s">
        <v>3789</v>
      </c>
      <c r="K750" s="1">
        <v>45232</v>
      </c>
      <c r="L750">
        <f>YEAR(Customer_Data[[#This Row],[LastPurchaseDate]])</f>
        <v>2025</v>
      </c>
      <c r="M750">
        <f>MONTH(Customer_Data[[#This Row],[LastPurchaseDate]])</f>
        <v>4</v>
      </c>
      <c r="N750" s="7">
        <v>45759</v>
      </c>
      <c r="O750">
        <v>27</v>
      </c>
      <c r="P750" s="4">
        <v>6947.73</v>
      </c>
      <c r="Q750" t="s">
        <v>4034</v>
      </c>
      <c r="R750">
        <v>2</v>
      </c>
      <c r="S750">
        <v>257.32</v>
      </c>
    </row>
    <row r="751" spans="1:19" x14ac:dyDescent="0.25">
      <c r="A751">
        <v>755</v>
      </c>
      <c r="B751" t="s">
        <v>34</v>
      </c>
      <c r="C751" t="s">
        <v>634</v>
      </c>
      <c r="D751" t="s">
        <v>851</v>
      </c>
      <c r="E751">
        <v>46</v>
      </c>
      <c r="F751" t="str" cm="1">
        <f t="array" ref="F751">INDEX(Country!$B$3:$B$250, MATCH(TRUE, ISNUMBER(SEARCH(Country!$A$2:$A$509, Customer_Data[[#This Row],[Country]])),0 ))</f>
        <v>Africa</v>
      </c>
      <c r="G751" t="s">
        <v>957</v>
      </c>
      <c r="H751" t="s">
        <v>1815</v>
      </c>
      <c r="I751" t="s">
        <v>2798</v>
      </c>
      <c r="J751" t="s">
        <v>3790</v>
      </c>
      <c r="K751" s="1">
        <v>45653</v>
      </c>
      <c r="L751">
        <f>YEAR(Customer_Data[[#This Row],[LastPurchaseDate]])</f>
        <v>2025</v>
      </c>
      <c r="M751">
        <f>MONTH(Customer_Data[[#This Row],[LastPurchaseDate]])</f>
        <v>5</v>
      </c>
      <c r="N751" s="7">
        <v>45800</v>
      </c>
      <c r="O751">
        <v>15</v>
      </c>
      <c r="P751" s="4">
        <v>80.81</v>
      </c>
      <c r="Q751" t="s">
        <v>4034</v>
      </c>
      <c r="R751">
        <v>1</v>
      </c>
      <c r="S751">
        <v>5.39</v>
      </c>
    </row>
    <row r="752" spans="1:19" x14ac:dyDescent="0.25">
      <c r="A752">
        <v>756</v>
      </c>
      <c r="B752" t="s">
        <v>222</v>
      </c>
      <c r="C752" t="s">
        <v>766</v>
      </c>
      <c r="D752" t="s">
        <v>850</v>
      </c>
      <c r="E752">
        <v>21</v>
      </c>
      <c r="F752" t="str" cm="1">
        <f t="array" ref="F752">INDEX(Country!$B$3:$B$250, MATCH(TRUE, ISNUMBER(SEARCH(Country!$A$2:$A$509, Customer_Data[[#This Row],[Country]])),0 ))</f>
        <v>Oceania</v>
      </c>
      <c r="G752" t="s">
        <v>903</v>
      </c>
      <c r="H752" t="s">
        <v>1816</v>
      </c>
      <c r="I752" t="s">
        <v>2799</v>
      </c>
      <c r="J752" t="s">
        <v>3791</v>
      </c>
      <c r="K752" s="1">
        <v>45647</v>
      </c>
      <c r="L752">
        <f>YEAR(Customer_Data[[#This Row],[LastPurchaseDate]])</f>
        <v>2025</v>
      </c>
      <c r="M752">
        <f>MONTH(Customer_Data[[#This Row],[LastPurchaseDate]])</f>
        <v>5</v>
      </c>
      <c r="N752" s="7">
        <v>45798</v>
      </c>
      <c r="O752">
        <v>17</v>
      </c>
      <c r="P752" s="4">
        <v>6915.76</v>
      </c>
      <c r="Q752" t="s">
        <v>4034</v>
      </c>
      <c r="R752">
        <v>4</v>
      </c>
      <c r="S752">
        <v>406.81</v>
      </c>
    </row>
    <row r="753" spans="1:19" x14ac:dyDescent="0.25">
      <c r="A753">
        <v>757</v>
      </c>
      <c r="B753" t="s">
        <v>34</v>
      </c>
      <c r="C753" t="s">
        <v>767</v>
      </c>
      <c r="D753" t="s">
        <v>850</v>
      </c>
      <c r="E753">
        <v>51</v>
      </c>
      <c r="F753" t="str" cm="1">
        <f t="array" ref="F753">INDEX(Country!$B$3:$B$250, MATCH(TRUE, ISNUMBER(SEARCH(Country!$A$2:$A$509, Customer_Data[[#This Row],[Country]])),0 ))</f>
        <v>Africa</v>
      </c>
      <c r="G753" t="s">
        <v>1085</v>
      </c>
      <c r="H753" t="s">
        <v>1817</v>
      </c>
      <c r="I753" t="s">
        <v>2800</v>
      </c>
      <c r="J753" t="s">
        <v>3792</v>
      </c>
      <c r="K753" s="1">
        <v>44969</v>
      </c>
      <c r="L753">
        <f>YEAR(Customer_Data[[#This Row],[LastPurchaseDate]])</f>
        <v>2025</v>
      </c>
      <c r="M753">
        <f>MONTH(Customer_Data[[#This Row],[LastPurchaseDate]])</f>
        <v>9</v>
      </c>
      <c r="N753" s="7">
        <v>45926</v>
      </c>
      <c r="O753">
        <v>18</v>
      </c>
      <c r="P753" s="4">
        <v>4674.8999999999996</v>
      </c>
      <c r="Q753" t="s">
        <v>4034</v>
      </c>
      <c r="R753">
        <v>1</v>
      </c>
      <c r="S753">
        <v>259.72000000000003</v>
      </c>
    </row>
    <row r="754" spans="1:19" x14ac:dyDescent="0.25">
      <c r="A754">
        <v>758</v>
      </c>
      <c r="B754" t="s">
        <v>250</v>
      </c>
      <c r="C754" t="s">
        <v>572</v>
      </c>
      <c r="D754" t="s">
        <v>851</v>
      </c>
      <c r="E754">
        <v>34</v>
      </c>
      <c r="F754" t="str" cm="1">
        <f t="array" ref="F754">INDEX(Country!$B$3:$B$250, MATCH(TRUE, ISNUMBER(SEARCH(Country!$A$2:$A$509, Customer_Data[[#This Row],[Country]])),0 ))</f>
        <v>North America</v>
      </c>
      <c r="G754" t="s">
        <v>1001</v>
      </c>
      <c r="H754" t="s">
        <v>1818</v>
      </c>
      <c r="I754" t="s">
        <v>2801</v>
      </c>
      <c r="J754" t="s">
        <v>3793</v>
      </c>
      <c r="K754" s="1">
        <v>45321</v>
      </c>
      <c r="L754">
        <f>YEAR(Customer_Data[[#This Row],[LastPurchaseDate]])</f>
        <v>2024</v>
      </c>
      <c r="M754">
        <f>MONTH(Customer_Data[[#This Row],[LastPurchaseDate]])</f>
        <v>4</v>
      </c>
      <c r="N754" s="7">
        <v>45399</v>
      </c>
      <c r="O754">
        <v>10</v>
      </c>
      <c r="P754" s="4">
        <v>2145.06</v>
      </c>
      <c r="Q754" t="s">
        <v>4035</v>
      </c>
      <c r="R754">
        <v>4</v>
      </c>
      <c r="S754">
        <v>214.51</v>
      </c>
    </row>
    <row r="755" spans="1:19" x14ac:dyDescent="0.25">
      <c r="A755">
        <v>759</v>
      </c>
      <c r="B755" t="s">
        <v>298</v>
      </c>
      <c r="C755" t="s">
        <v>620</v>
      </c>
      <c r="D755" t="s">
        <v>850</v>
      </c>
      <c r="E755">
        <v>40</v>
      </c>
      <c r="F755" t="str" cm="1">
        <f t="array" ref="F755">INDEX(Country!$B$3:$B$250, MATCH(TRUE, ISNUMBER(SEARCH(Country!$A$2:$A$509, Customer_Data[[#This Row],[Country]])),0 ))</f>
        <v>Oceania</v>
      </c>
      <c r="G755" t="s">
        <v>1041</v>
      </c>
      <c r="H755" t="s">
        <v>1819</v>
      </c>
      <c r="I755" t="s">
        <v>2802</v>
      </c>
      <c r="J755" t="s">
        <v>3794</v>
      </c>
      <c r="K755" s="1">
        <v>45668</v>
      </c>
      <c r="L755">
        <f>YEAR(Customer_Data[[#This Row],[LastPurchaseDate]])</f>
        <v>2025</v>
      </c>
      <c r="M755">
        <f>MONTH(Customer_Data[[#This Row],[LastPurchaseDate]])</f>
        <v>10</v>
      </c>
      <c r="N755" s="7">
        <v>45943</v>
      </c>
      <c r="O755">
        <v>35</v>
      </c>
      <c r="P755" s="4">
        <v>2456.13</v>
      </c>
      <c r="Q755" t="s">
        <v>4034</v>
      </c>
      <c r="R755">
        <v>1</v>
      </c>
      <c r="S755">
        <v>70.180000000000007</v>
      </c>
    </row>
    <row r="756" spans="1:19" x14ac:dyDescent="0.25">
      <c r="A756">
        <v>760</v>
      </c>
      <c r="B756" t="s">
        <v>143</v>
      </c>
      <c r="C756" t="s">
        <v>414</v>
      </c>
      <c r="D756" t="s">
        <v>850</v>
      </c>
      <c r="E756">
        <v>29</v>
      </c>
      <c r="F756" t="str" cm="1">
        <f t="array" ref="F756">INDEX(Country!$B$3:$B$250, MATCH(TRUE, ISNUMBER(SEARCH(Country!$A$2:$A$509, Customer_Data[[#This Row],[Country]])),0 ))</f>
        <v>South America</v>
      </c>
      <c r="G756" t="s">
        <v>858</v>
      </c>
      <c r="H756" t="s">
        <v>1820</v>
      </c>
      <c r="I756" t="s">
        <v>2803</v>
      </c>
      <c r="J756" t="s">
        <v>3795</v>
      </c>
      <c r="K756" s="1">
        <v>45180</v>
      </c>
      <c r="L756">
        <f>YEAR(Customer_Data[[#This Row],[LastPurchaseDate]])</f>
        <v>2025</v>
      </c>
      <c r="M756">
        <f>MONTH(Customer_Data[[#This Row],[LastPurchaseDate]])</f>
        <v>5</v>
      </c>
      <c r="N756" s="7">
        <v>45785</v>
      </c>
      <c r="O756">
        <v>24</v>
      </c>
      <c r="P756" s="4">
        <v>3252.89</v>
      </c>
      <c r="Q756" t="s">
        <v>4035</v>
      </c>
      <c r="R756">
        <v>5</v>
      </c>
      <c r="S756">
        <v>135.54</v>
      </c>
    </row>
    <row r="757" spans="1:19" x14ac:dyDescent="0.25">
      <c r="A757">
        <v>761</v>
      </c>
      <c r="B757" t="s">
        <v>53</v>
      </c>
      <c r="C757" t="s">
        <v>458</v>
      </c>
      <c r="D757" t="s">
        <v>850</v>
      </c>
      <c r="E757">
        <v>20</v>
      </c>
      <c r="F757" t="str" cm="1">
        <f t="array" ref="F757">INDEX(Country!$B$3:$B$250, MATCH(TRUE, ISNUMBER(SEARCH(Country!$A$2:$A$509, Customer_Data[[#This Row],[Country]])),0 ))</f>
        <v>Europe</v>
      </c>
      <c r="G757" t="s">
        <v>953</v>
      </c>
      <c r="H757" t="s">
        <v>1821</v>
      </c>
      <c r="I757" t="s">
        <v>2804</v>
      </c>
      <c r="J757" t="s">
        <v>3796</v>
      </c>
      <c r="K757" s="1">
        <v>45074</v>
      </c>
      <c r="L757">
        <f>YEAR(Customer_Data[[#This Row],[LastPurchaseDate]])</f>
        <v>2023</v>
      </c>
      <c r="M757">
        <f>MONTH(Customer_Data[[#This Row],[LastPurchaseDate]])</f>
        <v>11</v>
      </c>
      <c r="N757" s="7">
        <v>45243</v>
      </c>
      <c r="O757">
        <v>16</v>
      </c>
      <c r="P757" s="4">
        <v>7220.94</v>
      </c>
      <c r="Q757" t="s">
        <v>4035</v>
      </c>
      <c r="R757">
        <v>3</v>
      </c>
      <c r="S757">
        <v>451.31</v>
      </c>
    </row>
    <row r="758" spans="1:19" x14ac:dyDescent="0.25">
      <c r="A758">
        <v>762</v>
      </c>
      <c r="B758" t="s">
        <v>164</v>
      </c>
      <c r="C758" t="s">
        <v>495</v>
      </c>
      <c r="D758" t="s">
        <v>850</v>
      </c>
      <c r="E758">
        <v>45</v>
      </c>
      <c r="F758" t="str" cm="1">
        <f t="array" ref="F758">INDEX(Country!$B$3:$B$250, MATCH(TRUE, ISNUMBER(SEARCH(Country!$A$2:$A$509, Customer_Data[[#This Row],[Country]])),0 ))</f>
        <v>Asia</v>
      </c>
      <c r="G758" t="s">
        <v>1075</v>
      </c>
      <c r="H758" t="s">
        <v>1822</v>
      </c>
      <c r="I758" t="s">
        <v>2805</v>
      </c>
      <c r="J758" t="s">
        <v>3797</v>
      </c>
      <c r="K758" s="1">
        <v>45503</v>
      </c>
      <c r="L758">
        <f>YEAR(Customer_Data[[#This Row],[LastPurchaseDate]])</f>
        <v>2024</v>
      </c>
      <c r="M758">
        <f>MONTH(Customer_Data[[#This Row],[LastPurchaseDate]])</f>
        <v>2</v>
      </c>
      <c r="N758" s="7">
        <v>45344</v>
      </c>
      <c r="O758">
        <v>15</v>
      </c>
      <c r="P758" s="4">
        <v>6787.68</v>
      </c>
      <c r="Q758" t="s">
        <v>4035</v>
      </c>
      <c r="R758">
        <v>1</v>
      </c>
      <c r="S758">
        <v>452.51</v>
      </c>
    </row>
    <row r="759" spans="1:19" x14ac:dyDescent="0.25">
      <c r="A759">
        <v>763</v>
      </c>
      <c r="B759" t="s">
        <v>324</v>
      </c>
      <c r="C759" t="s">
        <v>402</v>
      </c>
      <c r="D759" t="s">
        <v>850</v>
      </c>
      <c r="E759">
        <v>39</v>
      </c>
      <c r="F759" t="str" cm="1">
        <f t="array" ref="F759">INDEX(Country!$B$3:$B$250, MATCH(TRUE, ISNUMBER(SEARCH(Country!$A$2:$A$509, Customer_Data[[#This Row],[Country]])),0 ))</f>
        <v>Asia</v>
      </c>
      <c r="G759" t="s">
        <v>1051</v>
      </c>
      <c r="H759" t="s">
        <v>1823</v>
      </c>
      <c r="I759" t="s">
        <v>2769</v>
      </c>
      <c r="J759" t="s">
        <v>3798</v>
      </c>
      <c r="K759" s="1">
        <v>45695</v>
      </c>
      <c r="L759">
        <f>YEAR(Customer_Data[[#This Row],[LastPurchaseDate]])</f>
        <v>2025</v>
      </c>
      <c r="M759">
        <f>MONTH(Customer_Data[[#This Row],[LastPurchaseDate]])</f>
        <v>2</v>
      </c>
      <c r="N759" s="7">
        <v>45698</v>
      </c>
      <c r="O759">
        <v>4</v>
      </c>
      <c r="P759" s="4">
        <v>6754.49</v>
      </c>
      <c r="Q759" t="s">
        <v>4034</v>
      </c>
      <c r="R759">
        <v>1</v>
      </c>
      <c r="S759">
        <v>1688.62</v>
      </c>
    </row>
    <row r="760" spans="1:19" x14ac:dyDescent="0.25">
      <c r="A760">
        <v>764</v>
      </c>
      <c r="B760" t="s">
        <v>128</v>
      </c>
      <c r="C760" t="s">
        <v>768</v>
      </c>
      <c r="D760" t="s">
        <v>850</v>
      </c>
      <c r="E760">
        <v>52</v>
      </c>
      <c r="F760" t="str" cm="1">
        <f t="array" ref="F760">INDEX(Country!$B$3:$B$250, MATCH(TRUE, ISNUMBER(SEARCH(Country!$A$2:$A$509, Customer_Data[[#This Row],[Country]])),0 ))</f>
        <v>Europe</v>
      </c>
      <c r="G760" t="s">
        <v>935</v>
      </c>
      <c r="H760" t="s">
        <v>1824</v>
      </c>
      <c r="I760" t="s">
        <v>2806</v>
      </c>
      <c r="J760" t="s">
        <v>3799</v>
      </c>
      <c r="K760" s="1">
        <v>45628</v>
      </c>
      <c r="L760">
        <f>YEAR(Customer_Data[[#This Row],[LastPurchaseDate]])</f>
        <v>2024</v>
      </c>
      <c r="M760">
        <f>MONTH(Customer_Data[[#This Row],[LastPurchaseDate]])</f>
        <v>2</v>
      </c>
      <c r="N760" s="7">
        <v>45329</v>
      </c>
      <c r="O760">
        <v>4</v>
      </c>
      <c r="P760" s="4">
        <v>3540.82</v>
      </c>
      <c r="Q760" t="s">
        <v>4035</v>
      </c>
      <c r="R760">
        <v>2</v>
      </c>
      <c r="S760">
        <v>885.2</v>
      </c>
    </row>
    <row r="761" spans="1:19" x14ac:dyDescent="0.25">
      <c r="A761">
        <v>765</v>
      </c>
      <c r="B761" t="s">
        <v>37</v>
      </c>
      <c r="C761" t="s">
        <v>416</v>
      </c>
      <c r="D761" t="s">
        <v>850</v>
      </c>
      <c r="E761">
        <v>52</v>
      </c>
      <c r="F761" t="str" cm="1">
        <f t="array" ref="F761">INDEX(Country!$B$3:$B$250, MATCH(TRUE, ISNUMBER(SEARCH(Country!$A$2:$A$509, Customer_Data[[#This Row],[Country]])),0 ))</f>
        <v>Oceania</v>
      </c>
      <c r="G761" t="s">
        <v>918</v>
      </c>
      <c r="H761" t="s">
        <v>1825</v>
      </c>
      <c r="I761" t="s">
        <v>2807</v>
      </c>
      <c r="J761" t="s">
        <v>3800</v>
      </c>
      <c r="K761" s="1">
        <v>45088</v>
      </c>
      <c r="L761">
        <f>YEAR(Customer_Data[[#This Row],[LastPurchaseDate]])</f>
        <v>2025</v>
      </c>
      <c r="M761">
        <f>MONTH(Customer_Data[[#This Row],[LastPurchaseDate]])</f>
        <v>2</v>
      </c>
      <c r="N761" s="7">
        <v>45709</v>
      </c>
      <c r="O761">
        <v>36</v>
      </c>
      <c r="P761" s="4">
        <v>7969.72</v>
      </c>
      <c r="Q761" t="s">
        <v>4034</v>
      </c>
      <c r="R761">
        <v>4</v>
      </c>
      <c r="S761">
        <v>221.38</v>
      </c>
    </row>
    <row r="762" spans="1:19" x14ac:dyDescent="0.25">
      <c r="A762">
        <v>766</v>
      </c>
      <c r="B762" t="s">
        <v>155</v>
      </c>
      <c r="C762" t="s">
        <v>104</v>
      </c>
      <c r="D762" t="s">
        <v>850</v>
      </c>
      <c r="E762">
        <v>20</v>
      </c>
      <c r="F762" t="str" cm="1">
        <f t="array" ref="F762">INDEX(Country!$B$3:$B$250, MATCH(TRUE, ISNUMBER(SEARCH(Country!$A$2:$A$509, Customer_Data[[#This Row],[Country]])),0 ))</f>
        <v>Africa</v>
      </c>
      <c r="G762" t="s">
        <v>890</v>
      </c>
      <c r="H762" t="s">
        <v>1826</v>
      </c>
      <c r="I762" t="s">
        <v>2808</v>
      </c>
      <c r="J762" t="s">
        <v>3801</v>
      </c>
      <c r="K762" s="1">
        <v>45604</v>
      </c>
      <c r="L762">
        <f>YEAR(Customer_Data[[#This Row],[LastPurchaseDate]])</f>
        <v>2024</v>
      </c>
      <c r="M762">
        <f>MONTH(Customer_Data[[#This Row],[LastPurchaseDate]])</f>
        <v>5</v>
      </c>
      <c r="N762" s="7">
        <v>45425</v>
      </c>
      <c r="O762">
        <v>44</v>
      </c>
      <c r="P762" s="4">
        <v>8772.25</v>
      </c>
      <c r="Q762" t="s">
        <v>4034</v>
      </c>
      <c r="R762">
        <v>1</v>
      </c>
      <c r="S762">
        <v>199.37</v>
      </c>
    </row>
    <row r="763" spans="1:19" x14ac:dyDescent="0.25">
      <c r="A763">
        <v>767</v>
      </c>
      <c r="B763" t="s">
        <v>37</v>
      </c>
      <c r="C763" t="s">
        <v>476</v>
      </c>
      <c r="D763" t="s">
        <v>850</v>
      </c>
      <c r="E763">
        <v>68</v>
      </c>
      <c r="F763" t="str" cm="1">
        <f t="array" ref="F763">INDEX(Country!$B$3:$B$250, MATCH(TRUE, ISNUMBER(SEARCH(Country!$A$2:$A$509, Customer_Data[[#This Row],[Country]])),0 ))</f>
        <v>Asia</v>
      </c>
      <c r="G763" t="s">
        <v>1049</v>
      </c>
      <c r="H763" t="s">
        <v>1363</v>
      </c>
      <c r="I763" t="s">
        <v>2809</v>
      </c>
      <c r="J763" t="s">
        <v>3802</v>
      </c>
      <c r="K763" s="1">
        <v>45830</v>
      </c>
      <c r="L763">
        <f>YEAR(Customer_Data[[#This Row],[LastPurchaseDate]])</f>
        <v>2024</v>
      </c>
      <c r="M763">
        <f>MONTH(Customer_Data[[#This Row],[LastPurchaseDate]])</f>
        <v>7</v>
      </c>
      <c r="N763" s="7">
        <v>45490</v>
      </c>
      <c r="O763">
        <v>26</v>
      </c>
      <c r="P763" s="4">
        <v>9399.9500000000007</v>
      </c>
      <c r="Q763" t="s">
        <v>4034</v>
      </c>
      <c r="R763">
        <v>3</v>
      </c>
      <c r="S763">
        <v>361.54</v>
      </c>
    </row>
    <row r="764" spans="1:19" x14ac:dyDescent="0.25">
      <c r="A764">
        <v>768</v>
      </c>
      <c r="B764" t="s">
        <v>103</v>
      </c>
      <c r="C764" t="s">
        <v>769</v>
      </c>
      <c r="D764" t="s">
        <v>850</v>
      </c>
      <c r="E764">
        <v>46</v>
      </c>
      <c r="F764" t="str" cm="1">
        <f t="array" ref="F764">INDEX(Country!$B$3:$B$250, MATCH(TRUE, ISNUMBER(SEARCH(Country!$A$2:$A$509, Customer_Data[[#This Row],[Country]])),0 ))</f>
        <v>Oceania</v>
      </c>
      <c r="G764" t="s">
        <v>1012</v>
      </c>
      <c r="H764" t="s">
        <v>1827</v>
      </c>
      <c r="I764" t="s">
        <v>2810</v>
      </c>
      <c r="J764" t="s">
        <v>3803</v>
      </c>
      <c r="K764" s="1">
        <v>45250</v>
      </c>
      <c r="L764">
        <f>YEAR(Customer_Data[[#This Row],[LastPurchaseDate]])</f>
        <v>2024</v>
      </c>
      <c r="M764">
        <f>MONTH(Customer_Data[[#This Row],[LastPurchaseDate]])</f>
        <v>7</v>
      </c>
      <c r="N764" s="7">
        <v>45482</v>
      </c>
      <c r="O764">
        <v>2</v>
      </c>
      <c r="P764" s="4">
        <v>5076.83</v>
      </c>
      <c r="Q764" t="s">
        <v>4035</v>
      </c>
      <c r="R764">
        <v>3</v>
      </c>
      <c r="S764">
        <v>2538.42</v>
      </c>
    </row>
    <row r="765" spans="1:19" x14ac:dyDescent="0.25">
      <c r="A765">
        <v>769</v>
      </c>
      <c r="B765" t="s">
        <v>325</v>
      </c>
      <c r="C765" t="s">
        <v>537</v>
      </c>
      <c r="D765" t="s">
        <v>851</v>
      </c>
      <c r="E765">
        <v>44</v>
      </c>
      <c r="F765" t="str" cm="1">
        <f t="array" ref="F765">INDEX(Country!$B$3:$B$250, MATCH(TRUE, ISNUMBER(SEARCH(Country!$A$2:$A$509, Customer_Data[[#This Row],[Country]])),0 ))</f>
        <v>Africa</v>
      </c>
      <c r="G765" t="s">
        <v>941</v>
      </c>
      <c r="H765" t="s">
        <v>1828</v>
      </c>
      <c r="I765" t="s">
        <v>2811</v>
      </c>
      <c r="J765" t="s">
        <v>3804</v>
      </c>
      <c r="K765" s="1">
        <v>45601</v>
      </c>
      <c r="L765">
        <f>YEAR(Customer_Data[[#This Row],[LastPurchaseDate]])</f>
        <v>2024</v>
      </c>
      <c r="M765">
        <f>MONTH(Customer_Data[[#This Row],[LastPurchaseDate]])</f>
        <v>1</v>
      </c>
      <c r="N765" s="7">
        <v>45315</v>
      </c>
      <c r="O765">
        <v>25</v>
      </c>
      <c r="P765" s="4">
        <v>7323.84</v>
      </c>
      <c r="Q765" t="s">
        <v>4035</v>
      </c>
      <c r="R765">
        <v>4</v>
      </c>
      <c r="S765">
        <v>292.95</v>
      </c>
    </row>
    <row r="766" spans="1:19" x14ac:dyDescent="0.25">
      <c r="A766">
        <v>770</v>
      </c>
      <c r="B766" t="s">
        <v>302</v>
      </c>
      <c r="C766" t="s">
        <v>456</v>
      </c>
      <c r="D766" t="s">
        <v>850</v>
      </c>
      <c r="E766">
        <v>64</v>
      </c>
      <c r="F766" t="str" cm="1">
        <f t="array" ref="F766">INDEX(Country!$B$3:$B$250, MATCH(TRUE, ISNUMBER(SEARCH(Country!$A$2:$A$509, Customer_Data[[#This Row],[Country]])),0 ))</f>
        <v>Oceania</v>
      </c>
      <c r="G766" t="s">
        <v>869</v>
      </c>
      <c r="H766" t="s">
        <v>1829</v>
      </c>
      <c r="I766" t="s">
        <v>2812</v>
      </c>
      <c r="J766" t="s">
        <v>3805</v>
      </c>
      <c r="K766" s="1">
        <v>44984</v>
      </c>
      <c r="L766">
        <f>YEAR(Customer_Data[[#This Row],[LastPurchaseDate]])</f>
        <v>2024</v>
      </c>
      <c r="M766">
        <f>MONTH(Customer_Data[[#This Row],[LastPurchaseDate]])</f>
        <v>8</v>
      </c>
      <c r="N766" s="7">
        <v>45509</v>
      </c>
      <c r="O766">
        <v>48</v>
      </c>
      <c r="P766" s="4">
        <v>78.48</v>
      </c>
      <c r="Q766" t="s">
        <v>4035</v>
      </c>
      <c r="R766">
        <v>4</v>
      </c>
      <c r="S766">
        <v>1.64</v>
      </c>
    </row>
    <row r="767" spans="1:19" x14ac:dyDescent="0.25">
      <c r="A767">
        <v>771</v>
      </c>
      <c r="B767" t="s">
        <v>33</v>
      </c>
      <c r="C767" t="s">
        <v>770</v>
      </c>
      <c r="D767" t="s">
        <v>850</v>
      </c>
      <c r="E767">
        <v>29</v>
      </c>
      <c r="F767" t="str" cm="1">
        <f t="array" ref="F767">INDEX(Country!$B$3:$B$250, MATCH(TRUE, ISNUMBER(SEARCH(Country!$A$2:$A$509, Customer_Data[[#This Row],[Country]])),0 ))</f>
        <v>Europe</v>
      </c>
      <c r="G767" t="s">
        <v>912</v>
      </c>
      <c r="H767" t="s">
        <v>1830</v>
      </c>
      <c r="I767" t="s">
        <v>2813</v>
      </c>
      <c r="J767" t="s">
        <v>3806</v>
      </c>
      <c r="K767" s="1">
        <v>45673</v>
      </c>
      <c r="L767">
        <f>YEAR(Customer_Data[[#This Row],[LastPurchaseDate]])</f>
        <v>2024</v>
      </c>
      <c r="M767">
        <f>MONTH(Customer_Data[[#This Row],[LastPurchaseDate]])</f>
        <v>9</v>
      </c>
      <c r="N767" s="7">
        <v>45538</v>
      </c>
      <c r="O767">
        <v>6</v>
      </c>
      <c r="P767" s="4">
        <v>8712</v>
      </c>
      <c r="Q767" t="s">
        <v>4035</v>
      </c>
      <c r="R767">
        <v>5</v>
      </c>
      <c r="S767">
        <v>1452</v>
      </c>
    </row>
    <row r="768" spans="1:19" x14ac:dyDescent="0.25">
      <c r="A768">
        <v>772</v>
      </c>
      <c r="B768" t="s">
        <v>67</v>
      </c>
      <c r="C768" t="s">
        <v>441</v>
      </c>
      <c r="D768" t="s">
        <v>851</v>
      </c>
      <c r="E768">
        <v>73</v>
      </c>
      <c r="F768" t="str" cm="1">
        <f t="array" ref="F768">INDEX(Country!$B$3:$B$250, MATCH(TRUE, ISNUMBER(SEARCH(Country!$A$2:$A$509, Customer_Data[[#This Row],[Country]])),0 ))</f>
        <v>Oceania</v>
      </c>
      <c r="G768" t="s">
        <v>961</v>
      </c>
      <c r="H768" t="s">
        <v>1831</v>
      </c>
      <c r="I768" t="s">
        <v>2814</v>
      </c>
      <c r="J768" t="s">
        <v>3807</v>
      </c>
      <c r="K768" s="1">
        <v>45770</v>
      </c>
      <c r="L768">
        <f>YEAR(Customer_Data[[#This Row],[LastPurchaseDate]])</f>
        <v>2023</v>
      </c>
      <c r="M768">
        <f>MONTH(Customer_Data[[#This Row],[LastPurchaseDate]])</f>
        <v>11</v>
      </c>
      <c r="N768" s="7">
        <v>45240</v>
      </c>
      <c r="O768">
        <v>47</v>
      </c>
      <c r="P768" s="4">
        <v>9906.15</v>
      </c>
      <c r="Q768" t="s">
        <v>4034</v>
      </c>
      <c r="R768">
        <v>1</v>
      </c>
      <c r="S768">
        <v>210.77</v>
      </c>
    </row>
    <row r="769" spans="1:19" x14ac:dyDescent="0.25">
      <c r="A769">
        <v>773</v>
      </c>
      <c r="B769" t="s">
        <v>107</v>
      </c>
      <c r="C769" t="s">
        <v>771</v>
      </c>
      <c r="D769" t="s">
        <v>851</v>
      </c>
      <c r="E769">
        <v>38</v>
      </c>
      <c r="F769" t="str" cm="1">
        <f t="array" ref="F769">INDEX(Country!$B$3:$B$250, MATCH(TRUE, ISNUMBER(SEARCH(Country!$A$2:$A$509, Customer_Data[[#This Row],[Country]])),0 ))</f>
        <v>South America</v>
      </c>
      <c r="G769" t="s">
        <v>873</v>
      </c>
      <c r="H769" t="s">
        <v>1832</v>
      </c>
      <c r="I769" t="s">
        <v>2815</v>
      </c>
      <c r="J769" t="s">
        <v>3808</v>
      </c>
      <c r="K769" s="1">
        <v>45754</v>
      </c>
      <c r="L769">
        <f>YEAR(Customer_Data[[#This Row],[LastPurchaseDate]])</f>
        <v>2023</v>
      </c>
      <c r="M769">
        <f>MONTH(Customer_Data[[#This Row],[LastPurchaseDate]])</f>
        <v>11</v>
      </c>
      <c r="N769" s="7">
        <v>45254</v>
      </c>
      <c r="O769">
        <v>44</v>
      </c>
      <c r="P769" s="4">
        <v>9737.86</v>
      </c>
      <c r="Q769" t="s">
        <v>4034</v>
      </c>
      <c r="R769">
        <v>2</v>
      </c>
      <c r="S769">
        <v>221.32</v>
      </c>
    </row>
    <row r="770" spans="1:19" x14ac:dyDescent="0.25">
      <c r="A770">
        <v>774</v>
      </c>
      <c r="B770" t="s">
        <v>43</v>
      </c>
      <c r="C770" t="s">
        <v>772</v>
      </c>
      <c r="D770" t="s">
        <v>850</v>
      </c>
      <c r="E770">
        <v>18</v>
      </c>
      <c r="F770" t="str" cm="1">
        <f t="array" ref="F770">INDEX(Country!$B$3:$B$250, MATCH(TRUE, ISNUMBER(SEARCH(Country!$A$2:$A$509, Customer_Data[[#This Row],[Country]])),0 ))</f>
        <v>South America</v>
      </c>
      <c r="G770" t="s">
        <v>1034</v>
      </c>
      <c r="H770" t="s">
        <v>1833</v>
      </c>
      <c r="I770" t="s">
        <v>2816</v>
      </c>
      <c r="J770" t="s">
        <v>3809</v>
      </c>
      <c r="K770" s="1">
        <v>45303</v>
      </c>
      <c r="L770">
        <f>YEAR(Customer_Data[[#This Row],[LastPurchaseDate]])</f>
        <v>2025</v>
      </c>
      <c r="M770">
        <f>MONTH(Customer_Data[[#This Row],[LastPurchaseDate]])</f>
        <v>5</v>
      </c>
      <c r="N770" s="7">
        <v>45806</v>
      </c>
      <c r="O770">
        <v>41</v>
      </c>
      <c r="P770" s="4">
        <v>263.33</v>
      </c>
      <c r="Q770" t="s">
        <v>4034</v>
      </c>
      <c r="R770">
        <v>1</v>
      </c>
      <c r="S770">
        <v>6.42</v>
      </c>
    </row>
    <row r="771" spans="1:19" x14ac:dyDescent="0.25">
      <c r="A771">
        <v>775</v>
      </c>
      <c r="B771" t="s">
        <v>326</v>
      </c>
      <c r="C771" t="s">
        <v>694</v>
      </c>
      <c r="D771" t="s">
        <v>851</v>
      </c>
      <c r="E771">
        <v>59</v>
      </c>
      <c r="F771" t="str" cm="1">
        <f t="array" ref="F771">INDEX(Country!$B$3:$B$250, MATCH(TRUE, ISNUMBER(SEARCH(Country!$A$2:$A$509, Customer_Data[[#This Row],[Country]])),0 ))</f>
        <v>North America</v>
      </c>
      <c r="G771" t="s">
        <v>875</v>
      </c>
      <c r="H771" t="s">
        <v>1834</v>
      </c>
      <c r="I771" t="s">
        <v>2817</v>
      </c>
      <c r="J771" t="s">
        <v>3810</v>
      </c>
      <c r="K771" s="1">
        <v>44980</v>
      </c>
      <c r="L771">
        <f>YEAR(Customer_Data[[#This Row],[LastPurchaseDate]])</f>
        <v>2025</v>
      </c>
      <c r="M771">
        <f>MONTH(Customer_Data[[#This Row],[LastPurchaseDate]])</f>
        <v>7</v>
      </c>
      <c r="N771" s="7">
        <v>45859</v>
      </c>
      <c r="O771">
        <v>22</v>
      </c>
      <c r="P771" s="4">
        <v>1165.1500000000001</v>
      </c>
      <c r="Q771" t="s">
        <v>4034</v>
      </c>
      <c r="R771">
        <v>5</v>
      </c>
      <c r="S771">
        <v>52.96</v>
      </c>
    </row>
    <row r="772" spans="1:19" x14ac:dyDescent="0.25">
      <c r="A772">
        <v>776</v>
      </c>
      <c r="B772" t="s">
        <v>295</v>
      </c>
      <c r="C772" t="s">
        <v>571</v>
      </c>
      <c r="D772" t="s">
        <v>851</v>
      </c>
      <c r="E772">
        <v>25</v>
      </c>
      <c r="F772" t="str" cm="1">
        <f t="array" ref="F772">INDEX(Country!$B$3:$B$250, MATCH(TRUE, ISNUMBER(SEARCH(Country!$A$2:$A$509, Customer_Data[[#This Row],[Country]])),0 ))</f>
        <v>North America</v>
      </c>
      <c r="G772" t="s">
        <v>1073</v>
      </c>
      <c r="H772" t="s">
        <v>1835</v>
      </c>
      <c r="I772" t="s">
        <v>2818</v>
      </c>
      <c r="J772" t="s">
        <v>3811</v>
      </c>
      <c r="K772" s="1">
        <v>45045</v>
      </c>
      <c r="L772">
        <f>YEAR(Customer_Data[[#This Row],[LastPurchaseDate]])</f>
        <v>2024</v>
      </c>
      <c r="M772">
        <f>MONTH(Customer_Data[[#This Row],[LastPurchaseDate]])</f>
        <v>10</v>
      </c>
      <c r="N772" s="7">
        <v>45591</v>
      </c>
      <c r="O772">
        <v>33</v>
      </c>
      <c r="P772" s="4">
        <v>8340.7800000000007</v>
      </c>
      <c r="Q772" t="s">
        <v>4035</v>
      </c>
      <c r="R772">
        <v>1</v>
      </c>
      <c r="S772">
        <v>252.75</v>
      </c>
    </row>
    <row r="773" spans="1:19" x14ac:dyDescent="0.25">
      <c r="A773">
        <v>777</v>
      </c>
      <c r="B773" t="s">
        <v>164</v>
      </c>
      <c r="C773" t="s">
        <v>764</v>
      </c>
      <c r="D773" t="s">
        <v>850</v>
      </c>
      <c r="E773">
        <v>63</v>
      </c>
      <c r="F773" t="str" cm="1">
        <f t="array" ref="F773">INDEX(Country!$B$3:$B$250, MATCH(TRUE, ISNUMBER(SEARCH(Country!$A$2:$A$509, Customer_Data[[#This Row],[Country]])),0 ))</f>
        <v>Africa</v>
      </c>
      <c r="G773" t="s">
        <v>856</v>
      </c>
      <c r="H773" t="s">
        <v>1836</v>
      </c>
      <c r="I773" t="s">
        <v>2819</v>
      </c>
      <c r="J773" t="s">
        <v>3812</v>
      </c>
      <c r="K773" s="1">
        <v>45016</v>
      </c>
      <c r="L773">
        <f>YEAR(Customer_Data[[#This Row],[LastPurchaseDate]])</f>
        <v>2025</v>
      </c>
      <c r="M773">
        <f>MONTH(Customer_Data[[#This Row],[LastPurchaseDate]])</f>
        <v>4</v>
      </c>
      <c r="N773" s="7">
        <v>45759</v>
      </c>
      <c r="O773">
        <v>1</v>
      </c>
      <c r="P773" s="4">
        <v>4625.79</v>
      </c>
      <c r="Q773" t="s">
        <v>4035</v>
      </c>
      <c r="R773">
        <v>1</v>
      </c>
      <c r="S773">
        <v>4625.79</v>
      </c>
    </row>
    <row r="774" spans="1:19" x14ac:dyDescent="0.25">
      <c r="A774">
        <v>778</v>
      </c>
      <c r="B774" t="s">
        <v>327</v>
      </c>
      <c r="C774" t="s">
        <v>442</v>
      </c>
      <c r="D774" t="s">
        <v>851</v>
      </c>
      <c r="E774">
        <v>64</v>
      </c>
      <c r="F774" t="str" cm="1">
        <f t="array" ref="F774">INDEX(Country!$B$3:$B$250, MATCH(TRUE, ISNUMBER(SEARCH(Country!$A$2:$A$509, Customer_Data[[#This Row],[Country]])),0 ))</f>
        <v>Oceania</v>
      </c>
      <c r="G774" t="s">
        <v>916</v>
      </c>
      <c r="H774" t="s">
        <v>1603</v>
      </c>
      <c r="I774" t="s">
        <v>2820</v>
      </c>
      <c r="J774" t="s">
        <v>3813</v>
      </c>
      <c r="K774" s="1">
        <v>45616</v>
      </c>
      <c r="L774">
        <f>YEAR(Customer_Data[[#This Row],[LastPurchaseDate]])</f>
        <v>2024</v>
      </c>
      <c r="M774">
        <f>MONTH(Customer_Data[[#This Row],[LastPurchaseDate]])</f>
        <v>8</v>
      </c>
      <c r="N774" s="7">
        <v>45511</v>
      </c>
      <c r="O774">
        <v>20</v>
      </c>
      <c r="P774" s="4">
        <v>6988.91</v>
      </c>
      <c r="Q774" t="s">
        <v>4034</v>
      </c>
      <c r="R774">
        <v>1</v>
      </c>
      <c r="S774">
        <v>349.45</v>
      </c>
    </row>
    <row r="775" spans="1:19" x14ac:dyDescent="0.25">
      <c r="A775">
        <v>779</v>
      </c>
      <c r="B775" t="s">
        <v>31</v>
      </c>
      <c r="C775" t="s">
        <v>773</v>
      </c>
      <c r="D775" t="s">
        <v>851</v>
      </c>
      <c r="E775">
        <v>37</v>
      </c>
      <c r="F775" t="str" cm="1">
        <f t="array" ref="F775">INDEX(Country!$B$3:$B$250, MATCH(TRUE, ISNUMBER(SEARCH(Country!$A$2:$A$509, Customer_Data[[#This Row],[Country]])),0 ))</f>
        <v>North America</v>
      </c>
      <c r="G775" t="s">
        <v>1026</v>
      </c>
      <c r="H775" t="s">
        <v>1837</v>
      </c>
      <c r="I775" t="s">
        <v>2821</v>
      </c>
      <c r="J775" t="s">
        <v>3814</v>
      </c>
      <c r="K775" s="1">
        <v>45881</v>
      </c>
      <c r="L775">
        <f>YEAR(Customer_Data[[#This Row],[LastPurchaseDate]])</f>
        <v>2023</v>
      </c>
      <c r="M775">
        <f>MONTH(Customer_Data[[#This Row],[LastPurchaseDate]])</f>
        <v>12</v>
      </c>
      <c r="N775" s="7">
        <v>45291</v>
      </c>
      <c r="O775">
        <v>31</v>
      </c>
      <c r="P775" s="4">
        <v>9027.15</v>
      </c>
      <c r="Q775" t="s">
        <v>4034</v>
      </c>
      <c r="R775">
        <v>1</v>
      </c>
      <c r="S775">
        <v>291.2</v>
      </c>
    </row>
    <row r="776" spans="1:19" x14ac:dyDescent="0.25">
      <c r="A776">
        <v>780</v>
      </c>
      <c r="B776" t="s">
        <v>328</v>
      </c>
      <c r="C776" t="s">
        <v>621</v>
      </c>
      <c r="D776" t="s">
        <v>850</v>
      </c>
      <c r="E776">
        <v>29</v>
      </c>
      <c r="F776" t="str" cm="1">
        <f t="array" ref="F776">INDEX(Country!$B$3:$B$250, MATCH(TRUE, ISNUMBER(SEARCH(Country!$A$2:$A$509, Customer_Data[[#This Row],[Country]])),0 ))</f>
        <v>Asia</v>
      </c>
      <c r="G776" t="s">
        <v>1086</v>
      </c>
      <c r="H776" t="s">
        <v>1838</v>
      </c>
      <c r="I776" t="s">
        <v>2822</v>
      </c>
      <c r="J776" t="s">
        <v>3815</v>
      </c>
      <c r="K776" s="1">
        <v>45344</v>
      </c>
      <c r="L776">
        <f>YEAR(Customer_Data[[#This Row],[LastPurchaseDate]])</f>
        <v>2025</v>
      </c>
      <c r="M776">
        <f>MONTH(Customer_Data[[#This Row],[LastPurchaseDate]])</f>
        <v>5</v>
      </c>
      <c r="N776" s="7">
        <v>45799</v>
      </c>
      <c r="O776">
        <v>47</v>
      </c>
      <c r="P776" s="4">
        <v>6903.72</v>
      </c>
      <c r="Q776" t="s">
        <v>4035</v>
      </c>
      <c r="R776">
        <v>4</v>
      </c>
      <c r="S776">
        <v>146.88999999999999</v>
      </c>
    </row>
    <row r="777" spans="1:19" x14ac:dyDescent="0.25">
      <c r="A777">
        <v>781</v>
      </c>
      <c r="B777" t="s">
        <v>177</v>
      </c>
      <c r="C777" t="s">
        <v>451</v>
      </c>
      <c r="D777" t="s">
        <v>851</v>
      </c>
      <c r="E777">
        <v>28</v>
      </c>
      <c r="F777" t="str" cm="1">
        <f t="array" ref="F777">INDEX(Country!$B$3:$B$250, MATCH(TRUE, ISNUMBER(SEARCH(Country!$A$2:$A$509, Customer_Data[[#This Row],[Country]])),0 ))</f>
        <v>Africa</v>
      </c>
      <c r="G777" t="s">
        <v>1036</v>
      </c>
      <c r="H777" t="s">
        <v>1839</v>
      </c>
      <c r="I777" t="s">
        <v>2823</v>
      </c>
      <c r="J777" t="s">
        <v>3816</v>
      </c>
      <c r="K777" s="1">
        <v>45458</v>
      </c>
      <c r="L777">
        <f>YEAR(Customer_Data[[#This Row],[LastPurchaseDate]])</f>
        <v>2024</v>
      </c>
      <c r="M777">
        <f>MONTH(Customer_Data[[#This Row],[LastPurchaseDate]])</f>
        <v>6</v>
      </c>
      <c r="N777" s="7">
        <v>45462</v>
      </c>
      <c r="O777">
        <v>4</v>
      </c>
      <c r="P777" s="4">
        <v>3115.56</v>
      </c>
      <c r="Q777" t="s">
        <v>4035</v>
      </c>
      <c r="R777">
        <v>1</v>
      </c>
      <c r="S777">
        <v>778.89</v>
      </c>
    </row>
    <row r="778" spans="1:19" x14ac:dyDescent="0.25">
      <c r="A778">
        <v>782</v>
      </c>
      <c r="B778" t="s">
        <v>278</v>
      </c>
      <c r="C778" t="s">
        <v>414</v>
      </c>
      <c r="D778" t="s">
        <v>850</v>
      </c>
      <c r="E778">
        <v>29</v>
      </c>
      <c r="F778" t="str" cm="1">
        <f t="array" ref="F778">INDEX(Country!$B$3:$B$250, MATCH(TRUE, ISNUMBER(SEARCH(Country!$A$2:$A$509, Customer_Data[[#This Row],[Country]])),0 ))</f>
        <v>Asia</v>
      </c>
      <c r="G778" t="s">
        <v>975</v>
      </c>
      <c r="H778" t="s">
        <v>1840</v>
      </c>
      <c r="I778" t="s">
        <v>2824</v>
      </c>
      <c r="J778" t="s">
        <v>3817</v>
      </c>
      <c r="K778" s="1">
        <v>45771</v>
      </c>
      <c r="L778">
        <f>YEAR(Customer_Data[[#This Row],[LastPurchaseDate]])</f>
        <v>2024</v>
      </c>
      <c r="M778">
        <f>MONTH(Customer_Data[[#This Row],[LastPurchaseDate]])</f>
        <v>5</v>
      </c>
      <c r="N778" s="7">
        <v>45415</v>
      </c>
      <c r="O778">
        <v>36</v>
      </c>
      <c r="P778" s="4">
        <v>2585.48</v>
      </c>
      <c r="Q778" t="s">
        <v>4034</v>
      </c>
      <c r="R778">
        <v>2</v>
      </c>
      <c r="S778">
        <v>71.819999999999993</v>
      </c>
    </row>
    <row r="779" spans="1:19" x14ac:dyDescent="0.25">
      <c r="A779">
        <v>783</v>
      </c>
      <c r="B779" t="s">
        <v>182</v>
      </c>
      <c r="C779" t="s">
        <v>774</v>
      </c>
      <c r="D779" t="s">
        <v>850</v>
      </c>
      <c r="E779">
        <v>37</v>
      </c>
      <c r="F779" t="str" cm="1">
        <f t="array" ref="F779">INDEX(Country!$B$3:$B$250, MATCH(TRUE, ISNUMBER(SEARCH(Country!$A$2:$A$509, Customer_Data[[#This Row],[Country]])),0 ))</f>
        <v>North America</v>
      </c>
      <c r="G779" t="s">
        <v>920</v>
      </c>
      <c r="H779" t="s">
        <v>1841</v>
      </c>
      <c r="I779" t="s">
        <v>2825</v>
      </c>
      <c r="J779" t="s">
        <v>3818</v>
      </c>
      <c r="K779" s="1">
        <v>45250</v>
      </c>
      <c r="L779">
        <f>YEAR(Customer_Data[[#This Row],[LastPurchaseDate]])</f>
        <v>2024</v>
      </c>
      <c r="M779">
        <f>MONTH(Customer_Data[[#This Row],[LastPurchaseDate]])</f>
        <v>2</v>
      </c>
      <c r="N779" s="7">
        <v>45347</v>
      </c>
      <c r="O779">
        <v>20</v>
      </c>
      <c r="P779" s="4">
        <v>6376.86</v>
      </c>
      <c r="Q779" t="s">
        <v>4034</v>
      </c>
      <c r="R779">
        <v>5</v>
      </c>
      <c r="S779">
        <v>318.83999999999997</v>
      </c>
    </row>
    <row r="780" spans="1:19" x14ac:dyDescent="0.25">
      <c r="A780">
        <v>784</v>
      </c>
      <c r="B780" t="s">
        <v>235</v>
      </c>
      <c r="C780" t="s">
        <v>644</v>
      </c>
      <c r="D780" t="s">
        <v>850</v>
      </c>
      <c r="E780">
        <v>35</v>
      </c>
      <c r="F780" t="str" cm="1">
        <f t="array" ref="F780">INDEX(Country!$B$3:$B$250, MATCH(TRUE, ISNUMBER(SEARCH(Country!$A$2:$A$509, Customer_Data[[#This Row],[Country]])),0 ))</f>
        <v>Europe</v>
      </c>
      <c r="G780" t="s">
        <v>929</v>
      </c>
      <c r="H780" t="s">
        <v>1842</v>
      </c>
      <c r="I780" t="s">
        <v>2826</v>
      </c>
      <c r="J780" t="s">
        <v>3819</v>
      </c>
      <c r="K780" s="1">
        <v>45880</v>
      </c>
      <c r="L780">
        <f>YEAR(Customer_Data[[#This Row],[LastPurchaseDate]])</f>
        <v>2024</v>
      </c>
      <c r="M780">
        <f>MONTH(Customer_Data[[#This Row],[LastPurchaseDate]])</f>
        <v>7</v>
      </c>
      <c r="N780" s="7">
        <v>45479</v>
      </c>
      <c r="O780">
        <v>16</v>
      </c>
      <c r="P780" s="4">
        <v>4566.53</v>
      </c>
      <c r="Q780" t="s">
        <v>4034</v>
      </c>
      <c r="R780">
        <v>4</v>
      </c>
      <c r="S780">
        <v>285.41000000000003</v>
      </c>
    </row>
    <row r="781" spans="1:19" x14ac:dyDescent="0.25">
      <c r="A781">
        <v>785</v>
      </c>
      <c r="B781" t="s">
        <v>307</v>
      </c>
      <c r="C781" t="s">
        <v>539</v>
      </c>
      <c r="D781" t="s">
        <v>850</v>
      </c>
      <c r="E781">
        <v>28</v>
      </c>
      <c r="F781" t="str" cm="1">
        <f t="array" ref="F781">INDEX(Country!$B$3:$B$250, MATCH(TRUE, ISNUMBER(SEARCH(Country!$A$2:$A$509, Customer_Data[[#This Row],[Country]])),0 ))</f>
        <v>Asia</v>
      </c>
      <c r="G781" t="s">
        <v>1007</v>
      </c>
      <c r="H781" t="s">
        <v>1843</v>
      </c>
      <c r="I781" t="s">
        <v>2827</v>
      </c>
      <c r="J781" t="s">
        <v>3820</v>
      </c>
      <c r="K781" s="1">
        <v>45041</v>
      </c>
      <c r="L781">
        <f>YEAR(Customer_Data[[#This Row],[LastPurchaseDate]])</f>
        <v>2025</v>
      </c>
      <c r="M781">
        <f>MONTH(Customer_Data[[#This Row],[LastPurchaseDate]])</f>
        <v>8</v>
      </c>
      <c r="N781" s="7">
        <v>45884</v>
      </c>
      <c r="O781">
        <v>7</v>
      </c>
      <c r="P781" s="4">
        <v>7765.65</v>
      </c>
      <c r="Q781" t="s">
        <v>4034</v>
      </c>
      <c r="R781">
        <v>2</v>
      </c>
      <c r="S781">
        <v>1109.3800000000001</v>
      </c>
    </row>
    <row r="782" spans="1:19" x14ac:dyDescent="0.25">
      <c r="A782">
        <v>786</v>
      </c>
      <c r="B782" t="s">
        <v>329</v>
      </c>
      <c r="C782" t="s">
        <v>398</v>
      </c>
      <c r="D782" t="s">
        <v>850</v>
      </c>
      <c r="E782">
        <v>36</v>
      </c>
      <c r="F782" t="str" cm="1">
        <f t="array" ref="F782">INDEX(Country!$B$3:$B$250, MATCH(TRUE, ISNUMBER(SEARCH(Country!$A$2:$A$509, Customer_Data[[#This Row],[Country]])),0 ))</f>
        <v>Africa</v>
      </c>
      <c r="G782" t="s">
        <v>948</v>
      </c>
      <c r="H782" t="s">
        <v>1844</v>
      </c>
      <c r="I782" t="s">
        <v>2828</v>
      </c>
      <c r="J782" t="s">
        <v>3821</v>
      </c>
      <c r="K782" s="1">
        <v>45704</v>
      </c>
      <c r="L782">
        <f>YEAR(Customer_Data[[#This Row],[LastPurchaseDate]])</f>
        <v>2024</v>
      </c>
      <c r="M782">
        <f>MONTH(Customer_Data[[#This Row],[LastPurchaseDate]])</f>
        <v>12</v>
      </c>
      <c r="N782" s="7">
        <v>45634</v>
      </c>
      <c r="O782">
        <v>29</v>
      </c>
      <c r="P782" s="4">
        <v>2286.0700000000002</v>
      </c>
      <c r="Q782" t="s">
        <v>4034</v>
      </c>
      <c r="R782">
        <v>3</v>
      </c>
      <c r="S782">
        <v>78.83</v>
      </c>
    </row>
    <row r="783" spans="1:19" x14ac:dyDescent="0.25">
      <c r="A783">
        <v>787</v>
      </c>
      <c r="B783" t="s">
        <v>248</v>
      </c>
      <c r="C783" t="s">
        <v>775</v>
      </c>
      <c r="D783" t="s">
        <v>850</v>
      </c>
      <c r="E783">
        <v>49</v>
      </c>
      <c r="F783" t="str" cm="1">
        <f t="array" ref="F783">INDEX(Country!$B$3:$B$250, MATCH(TRUE, ISNUMBER(SEARCH(Country!$A$2:$A$509, Customer_Data[[#This Row],[Country]])),0 ))</f>
        <v>Africa</v>
      </c>
      <c r="G783" t="s">
        <v>1059</v>
      </c>
      <c r="H783" t="s">
        <v>1845</v>
      </c>
      <c r="I783" t="s">
        <v>2829</v>
      </c>
      <c r="J783" t="s">
        <v>3822</v>
      </c>
      <c r="K783" s="1">
        <v>45767</v>
      </c>
      <c r="L783">
        <f>YEAR(Customer_Data[[#This Row],[LastPurchaseDate]])</f>
        <v>2024</v>
      </c>
      <c r="M783">
        <f>MONTH(Customer_Data[[#This Row],[LastPurchaseDate]])</f>
        <v>4</v>
      </c>
      <c r="N783" s="7">
        <v>45392</v>
      </c>
      <c r="O783">
        <v>31</v>
      </c>
      <c r="P783" s="4">
        <v>6559.18</v>
      </c>
      <c r="Q783" t="s">
        <v>4034</v>
      </c>
      <c r="R783">
        <v>4</v>
      </c>
      <c r="S783">
        <v>211.59</v>
      </c>
    </row>
    <row r="784" spans="1:19" x14ac:dyDescent="0.25">
      <c r="A784">
        <v>788</v>
      </c>
      <c r="B784" t="s">
        <v>96</v>
      </c>
      <c r="C784" t="s">
        <v>776</v>
      </c>
      <c r="D784" t="s">
        <v>850</v>
      </c>
      <c r="E784">
        <v>66</v>
      </c>
      <c r="F784" t="str" cm="1">
        <f t="array" ref="F784">INDEX(Country!$B$3:$B$250, MATCH(TRUE, ISNUMBER(SEARCH(Country!$A$2:$A$509, Customer_Data[[#This Row],[Country]])),0 ))</f>
        <v>Africa</v>
      </c>
      <c r="G784" t="s">
        <v>1068</v>
      </c>
      <c r="H784" t="s">
        <v>1846</v>
      </c>
      <c r="I784" t="s">
        <v>2830</v>
      </c>
      <c r="J784" t="s">
        <v>3823</v>
      </c>
      <c r="K784" s="1">
        <v>45311</v>
      </c>
      <c r="L784">
        <f>YEAR(Customer_Data[[#This Row],[LastPurchaseDate]])</f>
        <v>2025</v>
      </c>
      <c r="M784">
        <f>MONTH(Customer_Data[[#This Row],[LastPurchaseDate]])</f>
        <v>3</v>
      </c>
      <c r="N784" s="7">
        <v>45723</v>
      </c>
      <c r="O784">
        <v>44</v>
      </c>
      <c r="P784" s="4">
        <v>8893.49</v>
      </c>
      <c r="Q784" t="s">
        <v>4034</v>
      </c>
      <c r="R784">
        <v>4</v>
      </c>
      <c r="S784">
        <v>202.12</v>
      </c>
    </row>
    <row r="785" spans="1:19" x14ac:dyDescent="0.25">
      <c r="A785">
        <v>789</v>
      </c>
      <c r="B785" t="s">
        <v>279</v>
      </c>
      <c r="C785" t="s">
        <v>550</v>
      </c>
      <c r="D785" t="s">
        <v>850</v>
      </c>
      <c r="E785">
        <v>63</v>
      </c>
      <c r="F785" t="str" cm="1">
        <f t="array" ref="F785">INDEX(Country!$B$3:$B$250, MATCH(TRUE, ISNUMBER(SEARCH(Country!$A$2:$A$509, Customer_Data[[#This Row],[Country]])),0 ))</f>
        <v>North America</v>
      </c>
      <c r="G785" t="s">
        <v>1026</v>
      </c>
      <c r="H785" t="s">
        <v>1847</v>
      </c>
      <c r="I785" t="s">
        <v>2831</v>
      </c>
      <c r="J785" t="s">
        <v>3824</v>
      </c>
      <c r="K785" s="1">
        <v>44943</v>
      </c>
      <c r="L785">
        <f>YEAR(Customer_Data[[#This Row],[LastPurchaseDate]])</f>
        <v>2024</v>
      </c>
      <c r="M785">
        <f>MONTH(Customer_Data[[#This Row],[LastPurchaseDate]])</f>
        <v>5</v>
      </c>
      <c r="N785" s="7">
        <v>45440</v>
      </c>
      <c r="O785">
        <v>27</v>
      </c>
      <c r="P785" s="4">
        <v>2505.75</v>
      </c>
      <c r="Q785" t="s">
        <v>4034</v>
      </c>
      <c r="R785">
        <v>3</v>
      </c>
      <c r="S785">
        <v>92.81</v>
      </c>
    </row>
    <row r="786" spans="1:19" x14ac:dyDescent="0.25">
      <c r="A786">
        <v>790</v>
      </c>
      <c r="B786" t="s">
        <v>330</v>
      </c>
      <c r="C786" t="s">
        <v>550</v>
      </c>
      <c r="D786" t="s">
        <v>852</v>
      </c>
      <c r="E786">
        <v>74</v>
      </c>
      <c r="F786" t="str" cm="1">
        <f t="array" ref="F786">INDEX(Country!$B$3:$B$250, MATCH(TRUE, ISNUMBER(SEARCH(Country!$A$2:$A$509, Customer_Data[[#This Row],[Country]])),0 ))</f>
        <v>Asia</v>
      </c>
      <c r="G786" t="s">
        <v>1049</v>
      </c>
      <c r="H786" t="s">
        <v>1848</v>
      </c>
      <c r="I786" t="s">
        <v>2832</v>
      </c>
      <c r="J786" t="s">
        <v>3825</v>
      </c>
      <c r="K786" s="1">
        <v>45369</v>
      </c>
      <c r="L786">
        <f>YEAR(Customer_Data[[#This Row],[LastPurchaseDate]])</f>
        <v>2025</v>
      </c>
      <c r="M786">
        <f>MONTH(Customer_Data[[#This Row],[LastPurchaseDate]])</f>
        <v>5</v>
      </c>
      <c r="N786" s="7">
        <v>45790</v>
      </c>
      <c r="O786">
        <v>34</v>
      </c>
      <c r="P786" s="4">
        <v>4853.7</v>
      </c>
      <c r="Q786" t="s">
        <v>4034</v>
      </c>
      <c r="R786">
        <v>1</v>
      </c>
      <c r="S786">
        <v>142.76</v>
      </c>
    </row>
    <row r="787" spans="1:19" x14ac:dyDescent="0.25">
      <c r="A787">
        <v>791</v>
      </c>
      <c r="B787" t="s">
        <v>141</v>
      </c>
      <c r="C787" t="s">
        <v>777</v>
      </c>
      <c r="D787" t="s">
        <v>852</v>
      </c>
      <c r="E787">
        <v>46</v>
      </c>
      <c r="F787" t="str" cm="1">
        <f t="array" ref="F787">INDEX(Country!$B$3:$B$250, MATCH(TRUE, ISNUMBER(SEARCH(Country!$A$2:$A$509, Customer_Data[[#This Row],[Country]])),0 ))</f>
        <v>Asia</v>
      </c>
      <c r="G787" t="s">
        <v>1067</v>
      </c>
      <c r="H787" t="s">
        <v>1849</v>
      </c>
      <c r="I787" t="s">
        <v>2833</v>
      </c>
      <c r="J787" t="s">
        <v>3826</v>
      </c>
      <c r="K787" s="1">
        <v>45385</v>
      </c>
      <c r="L787">
        <f>YEAR(Customer_Data[[#This Row],[LastPurchaseDate]])</f>
        <v>2024</v>
      </c>
      <c r="M787">
        <f>MONTH(Customer_Data[[#This Row],[LastPurchaseDate]])</f>
        <v>8</v>
      </c>
      <c r="N787" s="7">
        <v>45511</v>
      </c>
      <c r="O787">
        <v>48</v>
      </c>
      <c r="P787" s="4">
        <v>2079.52</v>
      </c>
      <c r="Q787" t="s">
        <v>4035</v>
      </c>
      <c r="R787">
        <v>4</v>
      </c>
      <c r="S787">
        <v>43.32</v>
      </c>
    </row>
    <row r="788" spans="1:19" x14ac:dyDescent="0.25">
      <c r="A788">
        <v>792</v>
      </c>
      <c r="B788" t="s">
        <v>28</v>
      </c>
      <c r="C788" t="s">
        <v>456</v>
      </c>
      <c r="D788" t="s">
        <v>850</v>
      </c>
      <c r="E788">
        <v>35</v>
      </c>
      <c r="F788" t="str" cm="1">
        <f t="array" ref="F788">INDEX(Country!$B$3:$B$250, MATCH(TRUE, ISNUMBER(SEARCH(Country!$A$2:$A$509, Customer_Data[[#This Row],[Country]])),0 ))</f>
        <v>Europe</v>
      </c>
      <c r="G788" t="s">
        <v>1064</v>
      </c>
      <c r="H788" t="s">
        <v>1850</v>
      </c>
      <c r="I788" t="s">
        <v>2834</v>
      </c>
      <c r="J788" t="s">
        <v>3827</v>
      </c>
      <c r="K788" s="1">
        <v>44929</v>
      </c>
      <c r="L788">
        <f>YEAR(Customer_Data[[#This Row],[LastPurchaseDate]])</f>
        <v>2024</v>
      </c>
      <c r="M788">
        <f>MONTH(Customer_Data[[#This Row],[LastPurchaseDate]])</f>
        <v>11</v>
      </c>
      <c r="N788" s="7">
        <v>45612</v>
      </c>
      <c r="O788">
        <v>22</v>
      </c>
      <c r="P788" s="4">
        <v>8531.5499999999993</v>
      </c>
      <c r="Q788" t="s">
        <v>4034</v>
      </c>
      <c r="R788">
        <v>1</v>
      </c>
      <c r="S788">
        <v>387.8</v>
      </c>
    </row>
    <row r="789" spans="1:19" x14ac:dyDescent="0.25">
      <c r="A789">
        <v>793</v>
      </c>
      <c r="B789" t="s">
        <v>291</v>
      </c>
      <c r="C789" t="s">
        <v>778</v>
      </c>
      <c r="D789" t="s">
        <v>852</v>
      </c>
      <c r="E789">
        <v>23</v>
      </c>
      <c r="F789" t="str" cm="1">
        <f t="array" ref="F789">INDEX(Country!$B$3:$B$250, MATCH(TRUE, ISNUMBER(SEARCH(Country!$A$2:$A$509, Customer_Data[[#This Row],[Country]])),0 ))</f>
        <v>Oceania</v>
      </c>
      <c r="G789" t="s">
        <v>869</v>
      </c>
      <c r="H789" t="s">
        <v>1851</v>
      </c>
      <c r="I789" t="s">
        <v>2835</v>
      </c>
      <c r="J789" t="s">
        <v>3828</v>
      </c>
      <c r="K789" s="1">
        <v>45230</v>
      </c>
      <c r="L789">
        <f>YEAR(Customer_Data[[#This Row],[LastPurchaseDate]])</f>
        <v>2025</v>
      </c>
      <c r="M789">
        <f>MONTH(Customer_Data[[#This Row],[LastPurchaseDate]])</f>
        <v>9</v>
      </c>
      <c r="N789" s="7">
        <v>45926</v>
      </c>
      <c r="O789">
        <v>40</v>
      </c>
      <c r="P789" s="4">
        <v>4011.12</v>
      </c>
      <c r="Q789" t="s">
        <v>4034</v>
      </c>
      <c r="R789">
        <v>5</v>
      </c>
      <c r="S789">
        <v>100.28</v>
      </c>
    </row>
    <row r="790" spans="1:19" x14ac:dyDescent="0.25">
      <c r="A790">
        <v>794</v>
      </c>
      <c r="B790" t="s">
        <v>41</v>
      </c>
      <c r="C790" t="s">
        <v>416</v>
      </c>
      <c r="D790" t="s">
        <v>851</v>
      </c>
      <c r="E790">
        <v>61</v>
      </c>
      <c r="F790" t="str" cm="1">
        <f t="array" ref="F790">INDEX(Country!$B$3:$B$250, MATCH(TRUE, ISNUMBER(SEARCH(Country!$A$2:$A$509, Customer_Data[[#This Row],[Country]])),0 ))</f>
        <v>Asia</v>
      </c>
      <c r="G790" t="s">
        <v>1051</v>
      </c>
      <c r="H790" t="s">
        <v>1852</v>
      </c>
      <c r="I790" t="s">
        <v>2836</v>
      </c>
      <c r="J790" t="s">
        <v>3829</v>
      </c>
      <c r="K790" s="1">
        <v>45797</v>
      </c>
      <c r="L790">
        <f>YEAR(Customer_Data[[#This Row],[LastPurchaseDate]])</f>
        <v>2024</v>
      </c>
      <c r="M790">
        <f>MONTH(Customer_Data[[#This Row],[LastPurchaseDate]])</f>
        <v>1</v>
      </c>
      <c r="N790" s="7">
        <v>45319</v>
      </c>
      <c r="O790">
        <v>36</v>
      </c>
      <c r="P790" s="4">
        <v>8306.83</v>
      </c>
      <c r="Q790" t="s">
        <v>4034</v>
      </c>
      <c r="R790">
        <v>3</v>
      </c>
      <c r="S790">
        <v>230.75</v>
      </c>
    </row>
    <row r="791" spans="1:19" x14ac:dyDescent="0.25">
      <c r="A791">
        <v>795</v>
      </c>
      <c r="B791" t="s">
        <v>142</v>
      </c>
      <c r="C791" t="s">
        <v>779</v>
      </c>
      <c r="D791" t="s">
        <v>851</v>
      </c>
      <c r="E791">
        <v>24</v>
      </c>
      <c r="F791" t="str" cm="1">
        <f t="array" ref="F791">INDEX(Country!$B$3:$B$250, MATCH(TRUE, ISNUMBER(SEARCH(Country!$A$2:$A$509, Customer_Data[[#This Row],[Country]])),0 ))</f>
        <v>Africa</v>
      </c>
      <c r="G791" t="s">
        <v>1057</v>
      </c>
      <c r="H791" t="s">
        <v>1853</v>
      </c>
      <c r="I791" t="s">
        <v>2837</v>
      </c>
      <c r="J791" t="s">
        <v>3830</v>
      </c>
      <c r="K791" s="1">
        <v>44957</v>
      </c>
      <c r="L791">
        <f>YEAR(Customer_Data[[#This Row],[LastPurchaseDate]])</f>
        <v>2025</v>
      </c>
      <c r="M791">
        <f>MONTH(Customer_Data[[#This Row],[LastPurchaseDate]])</f>
        <v>3</v>
      </c>
      <c r="N791" s="7">
        <v>45731</v>
      </c>
      <c r="O791">
        <v>32</v>
      </c>
      <c r="P791" s="4">
        <v>7275.39</v>
      </c>
      <c r="Q791" t="s">
        <v>4034</v>
      </c>
      <c r="R791">
        <v>3</v>
      </c>
      <c r="S791">
        <v>227.36</v>
      </c>
    </row>
    <row r="792" spans="1:19" x14ac:dyDescent="0.25">
      <c r="A792">
        <v>796</v>
      </c>
      <c r="B792" t="s">
        <v>243</v>
      </c>
      <c r="C792" t="s">
        <v>780</v>
      </c>
      <c r="D792" t="s">
        <v>851</v>
      </c>
      <c r="E792">
        <v>37</v>
      </c>
      <c r="F792" t="str" cm="1">
        <f t="array" ref="F792">INDEX(Country!$B$3:$B$250, MATCH(TRUE, ISNUMBER(SEARCH(Country!$A$2:$A$509, Customer_Data[[#This Row],[Country]])),0 ))</f>
        <v>Asia</v>
      </c>
      <c r="G792" t="s">
        <v>956</v>
      </c>
      <c r="H792" t="s">
        <v>1854</v>
      </c>
      <c r="I792" t="s">
        <v>2838</v>
      </c>
      <c r="J792" t="s">
        <v>3831</v>
      </c>
      <c r="K792" s="1">
        <v>45728</v>
      </c>
      <c r="L792">
        <f>YEAR(Customer_Data[[#This Row],[LastPurchaseDate]])</f>
        <v>2024</v>
      </c>
      <c r="M792">
        <f>MONTH(Customer_Data[[#This Row],[LastPurchaseDate]])</f>
        <v>5</v>
      </c>
      <c r="N792" s="7">
        <v>45426</v>
      </c>
      <c r="O792">
        <v>38</v>
      </c>
      <c r="P792" s="4">
        <v>9599.25</v>
      </c>
      <c r="Q792" t="s">
        <v>4034</v>
      </c>
      <c r="R792">
        <v>4</v>
      </c>
      <c r="S792">
        <v>252.61</v>
      </c>
    </row>
    <row r="793" spans="1:19" x14ac:dyDescent="0.25">
      <c r="A793">
        <v>797</v>
      </c>
      <c r="B793" t="s">
        <v>120</v>
      </c>
      <c r="C793" t="s">
        <v>409</v>
      </c>
      <c r="D793" t="s">
        <v>851</v>
      </c>
      <c r="E793">
        <v>20</v>
      </c>
      <c r="F793" t="str" cm="1">
        <f t="array" ref="F793">INDEX(Country!$B$3:$B$250, MATCH(TRUE, ISNUMBER(SEARCH(Country!$A$2:$A$509, Customer_Data[[#This Row],[Country]])),0 ))</f>
        <v>Africa</v>
      </c>
      <c r="G793" t="s">
        <v>1074</v>
      </c>
      <c r="H793" t="s">
        <v>1855</v>
      </c>
      <c r="I793" t="s">
        <v>2839</v>
      </c>
      <c r="J793" t="s">
        <v>3832</v>
      </c>
      <c r="K793" s="1">
        <v>45139</v>
      </c>
      <c r="L793">
        <f>YEAR(Customer_Data[[#This Row],[LastPurchaseDate]])</f>
        <v>2024</v>
      </c>
      <c r="M793">
        <f>MONTH(Customer_Data[[#This Row],[LastPurchaseDate]])</f>
        <v>11</v>
      </c>
      <c r="N793" s="7">
        <v>45607</v>
      </c>
      <c r="O793">
        <v>15</v>
      </c>
      <c r="P793" s="4">
        <v>438.42</v>
      </c>
      <c r="Q793" t="s">
        <v>4034</v>
      </c>
      <c r="R793">
        <v>1</v>
      </c>
      <c r="S793">
        <v>29.23</v>
      </c>
    </row>
    <row r="794" spans="1:19" x14ac:dyDescent="0.25">
      <c r="A794">
        <v>798</v>
      </c>
      <c r="B794" t="s">
        <v>119</v>
      </c>
      <c r="C794" t="s">
        <v>412</v>
      </c>
      <c r="D794" t="s">
        <v>850</v>
      </c>
      <c r="E794">
        <v>22</v>
      </c>
      <c r="F794" t="str" cm="1">
        <f t="array" ref="F794">INDEX(Country!$B$3:$B$250, MATCH(TRUE, ISNUMBER(SEARCH(Country!$A$2:$A$509, Customer_Data[[#This Row],[Country]])),0 ))</f>
        <v>Oceania</v>
      </c>
      <c r="G794" t="s">
        <v>897</v>
      </c>
      <c r="H794" t="s">
        <v>1856</v>
      </c>
      <c r="I794" t="s">
        <v>2840</v>
      </c>
      <c r="J794" t="s">
        <v>3833</v>
      </c>
      <c r="K794" s="1">
        <v>45787</v>
      </c>
      <c r="L794">
        <f>YEAR(Customer_Data[[#This Row],[LastPurchaseDate]])</f>
        <v>2024</v>
      </c>
      <c r="M794">
        <f>MONTH(Customer_Data[[#This Row],[LastPurchaseDate]])</f>
        <v>1</v>
      </c>
      <c r="N794" s="7">
        <v>45303</v>
      </c>
      <c r="O794">
        <v>20</v>
      </c>
      <c r="P794" s="4">
        <v>8431.39</v>
      </c>
      <c r="Q794" t="s">
        <v>4035</v>
      </c>
      <c r="R794">
        <v>5</v>
      </c>
      <c r="S794">
        <v>421.57</v>
      </c>
    </row>
    <row r="795" spans="1:19" x14ac:dyDescent="0.25">
      <c r="A795">
        <v>799</v>
      </c>
      <c r="B795" t="s">
        <v>331</v>
      </c>
      <c r="C795" t="s">
        <v>781</v>
      </c>
      <c r="D795" t="s">
        <v>850</v>
      </c>
      <c r="E795">
        <v>63</v>
      </c>
      <c r="F795" t="str" cm="1">
        <f t="array" ref="F795">INDEX(Country!$B$3:$B$250, MATCH(TRUE, ISNUMBER(SEARCH(Country!$A$2:$A$509, Customer_Data[[#This Row],[Country]])),0 ))</f>
        <v>Asia</v>
      </c>
      <c r="G795" t="s">
        <v>942</v>
      </c>
      <c r="H795" t="s">
        <v>1756</v>
      </c>
      <c r="I795" t="s">
        <v>2841</v>
      </c>
      <c r="J795" t="s">
        <v>3834</v>
      </c>
      <c r="K795" s="1">
        <v>45121</v>
      </c>
      <c r="L795">
        <f>YEAR(Customer_Data[[#This Row],[LastPurchaseDate]])</f>
        <v>2024</v>
      </c>
      <c r="M795">
        <f>MONTH(Customer_Data[[#This Row],[LastPurchaseDate]])</f>
        <v>7</v>
      </c>
      <c r="N795" s="7">
        <v>45475</v>
      </c>
      <c r="O795">
        <v>11</v>
      </c>
      <c r="P795" s="4">
        <v>7967.34</v>
      </c>
      <c r="Q795" t="s">
        <v>4035</v>
      </c>
      <c r="R795">
        <v>1</v>
      </c>
      <c r="S795">
        <v>724.3</v>
      </c>
    </row>
    <row r="796" spans="1:19" x14ac:dyDescent="0.25">
      <c r="A796">
        <v>800</v>
      </c>
      <c r="B796" t="s">
        <v>53</v>
      </c>
      <c r="C796" t="s">
        <v>782</v>
      </c>
      <c r="D796" t="s">
        <v>850</v>
      </c>
      <c r="E796">
        <v>63</v>
      </c>
      <c r="F796" t="str" cm="1">
        <f t="array" ref="F796">INDEX(Country!$B$3:$B$250, MATCH(TRUE, ISNUMBER(SEARCH(Country!$A$2:$A$509, Customer_Data[[#This Row],[Country]])),0 ))</f>
        <v>Asia</v>
      </c>
      <c r="G796" t="s">
        <v>937</v>
      </c>
      <c r="H796" t="s">
        <v>1857</v>
      </c>
      <c r="I796" t="s">
        <v>2842</v>
      </c>
      <c r="J796" t="s">
        <v>3835</v>
      </c>
      <c r="K796" s="1">
        <v>45942</v>
      </c>
      <c r="L796">
        <f>YEAR(Customer_Data[[#This Row],[LastPurchaseDate]])</f>
        <v>2024</v>
      </c>
      <c r="M796">
        <f>MONTH(Customer_Data[[#This Row],[LastPurchaseDate]])</f>
        <v>1</v>
      </c>
      <c r="N796" s="7">
        <v>45297</v>
      </c>
      <c r="O796">
        <v>29</v>
      </c>
      <c r="P796" s="4">
        <v>9059.6299999999992</v>
      </c>
      <c r="Q796" t="s">
        <v>4035</v>
      </c>
      <c r="R796">
        <v>3</v>
      </c>
      <c r="S796">
        <v>312.39999999999998</v>
      </c>
    </row>
    <row r="797" spans="1:19" x14ac:dyDescent="0.25">
      <c r="A797">
        <v>801</v>
      </c>
      <c r="B797" t="s">
        <v>116</v>
      </c>
      <c r="C797" t="s">
        <v>416</v>
      </c>
      <c r="D797" t="s">
        <v>851</v>
      </c>
      <c r="E797">
        <v>29</v>
      </c>
      <c r="F797" t="str" cm="1">
        <f t="array" ref="F797">INDEX(Country!$B$3:$B$250, MATCH(TRUE, ISNUMBER(SEARCH(Country!$A$2:$A$509, Customer_Data[[#This Row],[Country]])),0 ))</f>
        <v>North America</v>
      </c>
      <c r="G797" t="s">
        <v>1062</v>
      </c>
      <c r="H797" t="s">
        <v>1858</v>
      </c>
      <c r="I797" t="s">
        <v>2843</v>
      </c>
      <c r="J797" t="s">
        <v>3836</v>
      </c>
      <c r="K797" s="1">
        <v>45783</v>
      </c>
      <c r="L797">
        <f>YEAR(Customer_Data[[#This Row],[LastPurchaseDate]])</f>
        <v>2023</v>
      </c>
      <c r="M797">
        <f>MONTH(Customer_Data[[#This Row],[LastPurchaseDate]])</f>
        <v>12</v>
      </c>
      <c r="N797" s="7">
        <v>45263</v>
      </c>
      <c r="O797">
        <v>19</v>
      </c>
      <c r="P797" s="4">
        <v>9618.76</v>
      </c>
      <c r="Q797" t="s">
        <v>4034</v>
      </c>
      <c r="R797">
        <v>3</v>
      </c>
      <c r="S797">
        <v>506.25</v>
      </c>
    </row>
    <row r="798" spans="1:19" x14ac:dyDescent="0.25">
      <c r="A798">
        <v>802</v>
      </c>
      <c r="B798" t="s">
        <v>140</v>
      </c>
      <c r="C798" t="s">
        <v>380</v>
      </c>
      <c r="D798" t="s">
        <v>851</v>
      </c>
      <c r="E798">
        <v>23</v>
      </c>
      <c r="F798" t="str" cm="1">
        <f t="array" ref="F798">INDEX(Country!$B$3:$B$250, MATCH(TRUE, ISNUMBER(SEARCH(Country!$A$2:$A$509, Customer_Data[[#This Row],[Country]])),0 ))</f>
        <v>Africa</v>
      </c>
      <c r="G798" t="s">
        <v>980</v>
      </c>
      <c r="H798" t="s">
        <v>1859</v>
      </c>
      <c r="I798" t="s">
        <v>2844</v>
      </c>
      <c r="J798" t="s">
        <v>3837</v>
      </c>
      <c r="K798" s="1">
        <v>45780</v>
      </c>
      <c r="L798">
        <f>YEAR(Customer_Data[[#This Row],[LastPurchaseDate]])</f>
        <v>2024</v>
      </c>
      <c r="M798">
        <f>MONTH(Customer_Data[[#This Row],[LastPurchaseDate]])</f>
        <v>2</v>
      </c>
      <c r="N798" s="7">
        <v>45331</v>
      </c>
      <c r="O798">
        <v>16</v>
      </c>
      <c r="P798" s="4">
        <v>4942.95</v>
      </c>
      <c r="Q798" t="s">
        <v>4035</v>
      </c>
      <c r="R798">
        <v>4</v>
      </c>
      <c r="S798">
        <v>308.93</v>
      </c>
    </row>
    <row r="799" spans="1:19" x14ac:dyDescent="0.25">
      <c r="A799">
        <v>803</v>
      </c>
      <c r="B799" t="s">
        <v>57</v>
      </c>
      <c r="C799" t="s">
        <v>528</v>
      </c>
      <c r="D799" t="s">
        <v>850</v>
      </c>
      <c r="E799">
        <v>26</v>
      </c>
      <c r="F799" t="str" cm="1">
        <f t="array" ref="F799">INDEX(Country!$B$3:$B$250, MATCH(TRUE, ISNUMBER(SEARCH(Country!$A$2:$A$509, Customer_Data[[#This Row],[Country]])),0 ))</f>
        <v>Asia</v>
      </c>
      <c r="G799" t="s">
        <v>937</v>
      </c>
      <c r="H799" t="s">
        <v>1860</v>
      </c>
      <c r="I799" t="s">
        <v>2845</v>
      </c>
      <c r="J799" t="s">
        <v>3838</v>
      </c>
      <c r="K799" s="1">
        <v>45014</v>
      </c>
      <c r="L799">
        <f>YEAR(Customer_Data[[#This Row],[LastPurchaseDate]])</f>
        <v>2025</v>
      </c>
      <c r="M799">
        <f>MONTH(Customer_Data[[#This Row],[LastPurchaseDate]])</f>
        <v>5</v>
      </c>
      <c r="N799" s="7">
        <v>45784</v>
      </c>
      <c r="O799">
        <v>5</v>
      </c>
      <c r="P799" s="4">
        <v>3685.11</v>
      </c>
      <c r="Q799" t="s">
        <v>4034</v>
      </c>
      <c r="R799">
        <v>4</v>
      </c>
      <c r="S799">
        <v>737.02</v>
      </c>
    </row>
    <row r="800" spans="1:19" x14ac:dyDescent="0.25">
      <c r="A800">
        <v>804</v>
      </c>
      <c r="B800" t="s">
        <v>67</v>
      </c>
      <c r="C800" t="s">
        <v>656</v>
      </c>
      <c r="D800" t="s">
        <v>851</v>
      </c>
      <c r="E800">
        <v>28</v>
      </c>
      <c r="F800" t="str" cm="1">
        <f t="array" ref="F800">INDEX(Country!$B$3:$B$250, MATCH(TRUE, ISNUMBER(SEARCH(Country!$A$2:$A$509, Customer_Data[[#This Row],[Country]])),0 ))</f>
        <v>North America</v>
      </c>
      <c r="G800" t="s">
        <v>1084</v>
      </c>
      <c r="H800" t="s">
        <v>1861</v>
      </c>
      <c r="I800" t="s">
        <v>2846</v>
      </c>
      <c r="J800" t="s">
        <v>3839</v>
      </c>
      <c r="K800" s="1">
        <v>45487</v>
      </c>
      <c r="L800">
        <f>YEAR(Customer_Data[[#This Row],[LastPurchaseDate]])</f>
        <v>2024</v>
      </c>
      <c r="M800">
        <f>MONTH(Customer_Data[[#This Row],[LastPurchaseDate]])</f>
        <v>2</v>
      </c>
      <c r="N800" s="7">
        <v>45346</v>
      </c>
      <c r="O800">
        <v>32</v>
      </c>
      <c r="P800" s="4">
        <v>1297.5</v>
      </c>
      <c r="Q800" t="s">
        <v>4035</v>
      </c>
      <c r="R800">
        <v>5</v>
      </c>
      <c r="S800">
        <v>40.549999999999997</v>
      </c>
    </row>
    <row r="801" spans="1:19" x14ac:dyDescent="0.25">
      <c r="A801">
        <v>806</v>
      </c>
      <c r="B801" t="s">
        <v>332</v>
      </c>
      <c r="C801" t="s">
        <v>47</v>
      </c>
      <c r="D801" t="s">
        <v>850</v>
      </c>
      <c r="E801">
        <v>25</v>
      </c>
      <c r="F801" t="str" cm="1">
        <f t="array" ref="F801">INDEX(Country!$B$3:$B$250, MATCH(TRUE, ISNUMBER(SEARCH(Country!$A$2:$A$509, Customer_Data[[#This Row],[Country]])),0 ))</f>
        <v>Europe</v>
      </c>
      <c r="G801" t="s">
        <v>1064</v>
      </c>
      <c r="H801" t="s">
        <v>1862</v>
      </c>
      <c r="I801" t="s">
        <v>2847</v>
      </c>
      <c r="J801" t="s">
        <v>3840</v>
      </c>
      <c r="K801" s="1">
        <v>45378</v>
      </c>
      <c r="L801">
        <f>YEAR(Customer_Data[[#This Row],[LastPurchaseDate]])</f>
        <v>2024</v>
      </c>
      <c r="M801">
        <f>MONTH(Customer_Data[[#This Row],[LastPurchaseDate]])</f>
        <v>9</v>
      </c>
      <c r="N801" s="7">
        <v>45546</v>
      </c>
      <c r="O801">
        <v>49</v>
      </c>
      <c r="P801" s="4">
        <v>759.06</v>
      </c>
      <c r="Q801" t="s">
        <v>4035</v>
      </c>
      <c r="R801">
        <v>5</v>
      </c>
      <c r="S801">
        <v>15.49</v>
      </c>
    </row>
    <row r="802" spans="1:19" x14ac:dyDescent="0.25">
      <c r="A802">
        <v>807</v>
      </c>
      <c r="B802" t="s">
        <v>198</v>
      </c>
      <c r="C802" t="s">
        <v>783</v>
      </c>
      <c r="D802" t="s">
        <v>851</v>
      </c>
      <c r="E802">
        <v>37</v>
      </c>
      <c r="F802" t="str" cm="1">
        <f t="array" ref="F802">INDEX(Country!$B$3:$B$250, MATCH(TRUE, ISNUMBER(SEARCH(Country!$A$2:$A$509, Customer_Data[[#This Row],[Country]])),0 ))</f>
        <v>Oceania</v>
      </c>
      <c r="G802" t="s">
        <v>1039</v>
      </c>
      <c r="H802" t="s">
        <v>1863</v>
      </c>
      <c r="I802" t="s">
        <v>2848</v>
      </c>
      <c r="J802" t="s">
        <v>3841</v>
      </c>
      <c r="K802" s="1">
        <v>45398</v>
      </c>
      <c r="L802">
        <f>YEAR(Customer_Data[[#This Row],[LastPurchaseDate]])</f>
        <v>2025</v>
      </c>
      <c r="M802">
        <f>MONTH(Customer_Data[[#This Row],[LastPurchaseDate]])</f>
        <v>1</v>
      </c>
      <c r="N802" s="7">
        <v>45684</v>
      </c>
      <c r="O802">
        <v>39</v>
      </c>
      <c r="P802" s="4">
        <v>2232.63</v>
      </c>
      <c r="Q802" t="s">
        <v>4035</v>
      </c>
      <c r="R802">
        <v>1</v>
      </c>
      <c r="S802">
        <v>57.25</v>
      </c>
    </row>
    <row r="803" spans="1:19" x14ac:dyDescent="0.25">
      <c r="A803">
        <v>808</v>
      </c>
      <c r="B803" t="s">
        <v>103</v>
      </c>
      <c r="C803" t="s">
        <v>784</v>
      </c>
      <c r="D803" t="s">
        <v>850</v>
      </c>
      <c r="E803">
        <v>63</v>
      </c>
      <c r="F803" t="str" cm="1">
        <f t="array" ref="F803">INDEX(Country!$B$3:$B$250, MATCH(TRUE, ISNUMBER(SEARCH(Country!$A$2:$A$509, Customer_Data[[#This Row],[Country]])),0 ))</f>
        <v>Africa</v>
      </c>
      <c r="G803" t="s">
        <v>887</v>
      </c>
      <c r="H803" t="s">
        <v>1864</v>
      </c>
      <c r="I803" t="s">
        <v>2849</v>
      </c>
      <c r="J803" t="s">
        <v>3842</v>
      </c>
      <c r="K803" s="1">
        <v>45488</v>
      </c>
      <c r="L803">
        <f>YEAR(Customer_Data[[#This Row],[LastPurchaseDate]])</f>
        <v>2023</v>
      </c>
      <c r="M803">
        <f>MONTH(Customer_Data[[#This Row],[LastPurchaseDate]])</f>
        <v>11</v>
      </c>
      <c r="N803" s="7">
        <v>45247</v>
      </c>
      <c r="O803">
        <v>32</v>
      </c>
      <c r="P803" s="4">
        <v>4940.6899999999996</v>
      </c>
      <c r="Q803" t="s">
        <v>4035</v>
      </c>
      <c r="R803">
        <v>5</v>
      </c>
      <c r="S803">
        <v>154.4</v>
      </c>
    </row>
    <row r="804" spans="1:19" x14ac:dyDescent="0.25">
      <c r="A804">
        <v>809</v>
      </c>
      <c r="B804" t="s">
        <v>250</v>
      </c>
      <c r="C804" t="s">
        <v>785</v>
      </c>
      <c r="D804" t="s">
        <v>850</v>
      </c>
      <c r="E804">
        <v>51</v>
      </c>
      <c r="F804" t="str" cm="1">
        <f t="array" ref="F804">INDEX(Country!$B$3:$B$250, MATCH(TRUE, ISNUMBER(SEARCH(Country!$A$2:$A$509, Customer_Data[[#This Row],[Country]])),0 ))</f>
        <v>Asia</v>
      </c>
      <c r="G804" t="s">
        <v>1002</v>
      </c>
      <c r="H804" t="s">
        <v>1865</v>
      </c>
      <c r="I804" t="s">
        <v>2850</v>
      </c>
      <c r="J804" t="s">
        <v>3843</v>
      </c>
      <c r="K804" s="1">
        <v>45828</v>
      </c>
      <c r="L804">
        <f>YEAR(Customer_Data[[#This Row],[LastPurchaseDate]])</f>
        <v>2024</v>
      </c>
      <c r="M804">
        <f>MONTH(Customer_Data[[#This Row],[LastPurchaseDate]])</f>
        <v>2</v>
      </c>
      <c r="N804" s="7">
        <v>45323</v>
      </c>
      <c r="O804">
        <v>5</v>
      </c>
      <c r="P804" s="4">
        <v>3598.45</v>
      </c>
      <c r="Q804" t="s">
        <v>4034</v>
      </c>
      <c r="R804">
        <v>1</v>
      </c>
      <c r="S804">
        <v>719.69</v>
      </c>
    </row>
    <row r="805" spans="1:19" x14ac:dyDescent="0.25">
      <c r="A805">
        <v>810</v>
      </c>
      <c r="B805" t="s">
        <v>217</v>
      </c>
      <c r="C805" t="s">
        <v>371</v>
      </c>
      <c r="D805" t="s">
        <v>850</v>
      </c>
      <c r="E805">
        <v>18</v>
      </c>
      <c r="F805" t="str" cm="1">
        <f t="array" ref="F805">INDEX(Country!$B$3:$B$250, MATCH(TRUE, ISNUMBER(SEARCH(Country!$A$2:$A$509, Customer_Data[[#This Row],[Country]])),0 ))</f>
        <v>South America</v>
      </c>
      <c r="G805" t="s">
        <v>885</v>
      </c>
      <c r="H805" t="s">
        <v>1866</v>
      </c>
      <c r="I805" t="s">
        <v>2851</v>
      </c>
      <c r="J805" t="s">
        <v>3844</v>
      </c>
      <c r="K805" s="1">
        <v>45796</v>
      </c>
      <c r="L805">
        <f>YEAR(Customer_Data[[#This Row],[LastPurchaseDate]])</f>
        <v>2024</v>
      </c>
      <c r="M805">
        <f>MONTH(Customer_Data[[#This Row],[LastPurchaseDate]])</f>
        <v>4</v>
      </c>
      <c r="N805" s="7">
        <v>45410</v>
      </c>
      <c r="O805">
        <v>11</v>
      </c>
      <c r="P805" s="4">
        <v>5108.3999999999996</v>
      </c>
      <c r="Q805" t="s">
        <v>4035</v>
      </c>
      <c r="R805">
        <v>5</v>
      </c>
      <c r="S805">
        <v>464.4</v>
      </c>
    </row>
    <row r="806" spans="1:19" x14ac:dyDescent="0.25">
      <c r="A806">
        <v>811</v>
      </c>
      <c r="B806" t="s">
        <v>294</v>
      </c>
      <c r="C806" t="s">
        <v>483</v>
      </c>
      <c r="D806" t="s">
        <v>850</v>
      </c>
      <c r="E806">
        <v>59</v>
      </c>
      <c r="F806" t="str" cm="1">
        <f t="array" ref="F806">INDEX(Country!$B$3:$B$250, MATCH(TRUE, ISNUMBER(SEARCH(Country!$A$2:$A$509, Customer_Data[[#This Row],[Country]])),0 ))</f>
        <v>North America</v>
      </c>
      <c r="G806" t="s">
        <v>1028</v>
      </c>
      <c r="H806" t="s">
        <v>1867</v>
      </c>
      <c r="I806" t="s">
        <v>2852</v>
      </c>
      <c r="J806" t="s">
        <v>3845</v>
      </c>
      <c r="K806" s="1">
        <v>45178</v>
      </c>
      <c r="L806">
        <f>YEAR(Customer_Data[[#This Row],[LastPurchaseDate]])</f>
        <v>2025</v>
      </c>
      <c r="M806">
        <f>MONTH(Customer_Data[[#This Row],[LastPurchaseDate]])</f>
        <v>9</v>
      </c>
      <c r="N806" s="7">
        <v>45916</v>
      </c>
      <c r="O806">
        <v>27</v>
      </c>
      <c r="P806" s="4">
        <v>7945.06</v>
      </c>
      <c r="Q806" t="s">
        <v>4035</v>
      </c>
      <c r="R806">
        <v>5</v>
      </c>
      <c r="S806">
        <v>294.26</v>
      </c>
    </row>
    <row r="807" spans="1:19" x14ac:dyDescent="0.25">
      <c r="A807">
        <v>812</v>
      </c>
      <c r="B807" t="s">
        <v>302</v>
      </c>
      <c r="C807" t="s">
        <v>497</v>
      </c>
      <c r="D807" t="s">
        <v>850</v>
      </c>
      <c r="E807">
        <v>45</v>
      </c>
      <c r="F807" t="str" cm="1">
        <f t="array" ref="F807">INDEX(Country!$B$3:$B$250, MATCH(TRUE, ISNUMBER(SEARCH(Country!$A$2:$A$509, Customer_Data[[#This Row],[Country]])),0 ))</f>
        <v>North America</v>
      </c>
      <c r="G807" t="s">
        <v>1027</v>
      </c>
      <c r="H807" t="s">
        <v>1868</v>
      </c>
      <c r="I807" t="s">
        <v>2853</v>
      </c>
      <c r="J807" t="s">
        <v>3846</v>
      </c>
      <c r="K807" s="1">
        <v>45566</v>
      </c>
      <c r="L807">
        <f>YEAR(Customer_Data[[#This Row],[LastPurchaseDate]])</f>
        <v>2024</v>
      </c>
      <c r="M807">
        <f>MONTH(Customer_Data[[#This Row],[LastPurchaseDate]])</f>
        <v>9</v>
      </c>
      <c r="N807" s="7">
        <v>45537</v>
      </c>
      <c r="O807">
        <v>13</v>
      </c>
      <c r="P807" s="4">
        <v>1144.3900000000001</v>
      </c>
      <c r="Q807" t="s">
        <v>4034</v>
      </c>
      <c r="R807">
        <v>1</v>
      </c>
      <c r="S807">
        <v>88.03</v>
      </c>
    </row>
    <row r="808" spans="1:19" x14ac:dyDescent="0.25">
      <c r="A808">
        <v>813</v>
      </c>
      <c r="B808" t="s">
        <v>37</v>
      </c>
      <c r="C808" t="s">
        <v>786</v>
      </c>
      <c r="D808" t="s">
        <v>850</v>
      </c>
      <c r="E808">
        <v>63</v>
      </c>
      <c r="F808" t="str" cm="1">
        <f t="array" ref="F808">INDEX(Country!$B$3:$B$250, MATCH(TRUE, ISNUMBER(SEARCH(Country!$A$2:$A$509, Customer_Data[[#This Row],[Country]])),0 ))</f>
        <v>North America</v>
      </c>
      <c r="G808" t="s">
        <v>938</v>
      </c>
      <c r="H808" t="s">
        <v>1869</v>
      </c>
      <c r="I808" t="s">
        <v>2854</v>
      </c>
      <c r="J808" t="s">
        <v>3847</v>
      </c>
      <c r="K808" s="1">
        <v>45413</v>
      </c>
      <c r="L808">
        <f>YEAR(Customer_Data[[#This Row],[LastPurchaseDate]])</f>
        <v>2025</v>
      </c>
      <c r="M808">
        <f>MONTH(Customer_Data[[#This Row],[LastPurchaseDate]])</f>
        <v>1</v>
      </c>
      <c r="N808" s="7">
        <v>45675</v>
      </c>
      <c r="O808">
        <v>23</v>
      </c>
      <c r="P808" s="4">
        <v>5840.84</v>
      </c>
      <c r="Q808" t="s">
        <v>4034</v>
      </c>
      <c r="R808">
        <v>5</v>
      </c>
      <c r="S808">
        <v>253.95</v>
      </c>
    </row>
    <row r="809" spans="1:19" x14ac:dyDescent="0.25">
      <c r="A809">
        <v>814</v>
      </c>
      <c r="B809" t="s">
        <v>255</v>
      </c>
      <c r="C809" t="s">
        <v>378</v>
      </c>
      <c r="D809" t="s">
        <v>851</v>
      </c>
      <c r="E809">
        <v>34</v>
      </c>
      <c r="F809" t="str" cm="1">
        <f t="array" ref="F809">INDEX(Country!$B$3:$B$250, MATCH(TRUE, ISNUMBER(SEARCH(Country!$A$2:$A$509, Customer_Data[[#This Row],[Country]])),0 ))</f>
        <v>Europe</v>
      </c>
      <c r="G809" t="s">
        <v>960</v>
      </c>
      <c r="H809" t="s">
        <v>1870</v>
      </c>
      <c r="I809" t="s">
        <v>2855</v>
      </c>
      <c r="J809" t="s">
        <v>3848</v>
      </c>
      <c r="K809" s="1">
        <v>45450</v>
      </c>
      <c r="L809">
        <f>YEAR(Customer_Data[[#This Row],[LastPurchaseDate]])</f>
        <v>2025</v>
      </c>
      <c r="M809">
        <f>MONTH(Customer_Data[[#This Row],[LastPurchaseDate]])</f>
        <v>2</v>
      </c>
      <c r="N809" s="7">
        <v>45709</v>
      </c>
      <c r="O809">
        <v>1</v>
      </c>
      <c r="P809" s="4">
        <v>2714.5</v>
      </c>
      <c r="Q809" t="s">
        <v>4034</v>
      </c>
      <c r="R809">
        <v>5</v>
      </c>
      <c r="S809">
        <v>2714.5</v>
      </c>
    </row>
    <row r="810" spans="1:19" x14ac:dyDescent="0.25">
      <c r="A810">
        <v>815</v>
      </c>
      <c r="B810" t="s">
        <v>333</v>
      </c>
      <c r="C810" t="s">
        <v>409</v>
      </c>
      <c r="D810" t="s">
        <v>852</v>
      </c>
      <c r="E810">
        <v>67</v>
      </c>
      <c r="F810" t="str" cm="1">
        <f t="array" ref="F810">INDEX(Country!$B$3:$B$250, MATCH(TRUE, ISNUMBER(SEARCH(Country!$A$2:$A$509, Customer_Data[[#This Row],[Country]])),0 ))</f>
        <v>South America</v>
      </c>
      <c r="G810" t="s">
        <v>891</v>
      </c>
      <c r="H810" t="s">
        <v>1871</v>
      </c>
      <c r="I810" t="s">
        <v>2856</v>
      </c>
      <c r="J810" t="s">
        <v>3849</v>
      </c>
      <c r="K810" s="1">
        <v>45661</v>
      </c>
      <c r="L810">
        <f>YEAR(Customer_Data[[#This Row],[LastPurchaseDate]])</f>
        <v>2024</v>
      </c>
      <c r="M810">
        <f>MONTH(Customer_Data[[#This Row],[LastPurchaseDate]])</f>
        <v>10</v>
      </c>
      <c r="N810" s="7">
        <v>45584</v>
      </c>
      <c r="O810">
        <v>42</v>
      </c>
      <c r="P810" s="4">
        <v>5096.57</v>
      </c>
      <c r="Q810" t="s">
        <v>4035</v>
      </c>
      <c r="R810">
        <v>3</v>
      </c>
      <c r="S810">
        <v>121.35</v>
      </c>
    </row>
    <row r="811" spans="1:19" x14ac:dyDescent="0.25">
      <c r="A811">
        <v>816</v>
      </c>
      <c r="B811" t="s">
        <v>57</v>
      </c>
      <c r="C811" t="s">
        <v>689</v>
      </c>
      <c r="D811" t="s">
        <v>850</v>
      </c>
      <c r="E811">
        <v>57</v>
      </c>
      <c r="F811" t="str" cm="1">
        <f t="array" ref="F811">INDEX(Country!$B$3:$B$250, MATCH(TRUE, ISNUMBER(SEARCH(Country!$A$2:$A$509, Customer_Data[[#This Row],[Country]])),0 ))</f>
        <v>Europe</v>
      </c>
      <c r="G811" t="s">
        <v>899</v>
      </c>
      <c r="H811" t="s">
        <v>1872</v>
      </c>
      <c r="I811" t="s">
        <v>2857</v>
      </c>
      <c r="J811" t="s">
        <v>3850</v>
      </c>
      <c r="K811" s="1">
        <v>45762</v>
      </c>
      <c r="L811">
        <f>YEAR(Customer_Data[[#This Row],[LastPurchaseDate]])</f>
        <v>2024</v>
      </c>
      <c r="M811">
        <f>MONTH(Customer_Data[[#This Row],[LastPurchaseDate]])</f>
        <v>8</v>
      </c>
      <c r="N811" s="7">
        <v>45531</v>
      </c>
      <c r="O811">
        <v>13</v>
      </c>
      <c r="P811" s="4">
        <v>2969.15</v>
      </c>
      <c r="Q811" t="s">
        <v>4034</v>
      </c>
      <c r="R811">
        <v>4</v>
      </c>
      <c r="S811">
        <v>228.4</v>
      </c>
    </row>
    <row r="812" spans="1:19" x14ac:dyDescent="0.25">
      <c r="A812">
        <v>817</v>
      </c>
      <c r="B812" t="s">
        <v>334</v>
      </c>
      <c r="C812" t="s">
        <v>510</v>
      </c>
      <c r="D812" t="s">
        <v>851</v>
      </c>
      <c r="E812">
        <v>42</v>
      </c>
      <c r="F812" t="str" cm="1">
        <f t="array" ref="F812">INDEX(Country!$B$3:$B$250, MATCH(TRUE, ISNUMBER(SEARCH(Country!$A$2:$A$509, Customer_Data[[#This Row],[Country]])),0 ))</f>
        <v>Europe</v>
      </c>
      <c r="G812" t="s">
        <v>914</v>
      </c>
      <c r="H812" t="s">
        <v>1873</v>
      </c>
      <c r="I812" t="s">
        <v>2858</v>
      </c>
      <c r="J812" t="s">
        <v>3851</v>
      </c>
      <c r="K812" s="1">
        <v>45098</v>
      </c>
      <c r="L812">
        <f>YEAR(Customer_Data[[#This Row],[LastPurchaseDate]])</f>
        <v>2024</v>
      </c>
      <c r="M812">
        <f>MONTH(Customer_Data[[#This Row],[LastPurchaseDate]])</f>
        <v>8</v>
      </c>
      <c r="N812" s="7">
        <v>45528</v>
      </c>
      <c r="O812">
        <v>41</v>
      </c>
      <c r="P812" s="4">
        <v>1403.49</v>
      </c>
      <c r="Q812" t="s">
        <v>4035</v>
      </c>
      <c r="R812">
        <v>4</v>
      </c>
      <c r="S812">
        <v>34.229999999999997</v>
      </c>
    </row>
    <row r="813" spans="1:19" x14ac:dyDescent="0.25">
      <c r="A813">
        <v>818</v>
      </c>
      <c r="B813" t="s">
        <v>193</v>
      </c>
      <c r="C813" t="s">
        <v>787</v>
      </c>
      <c r="D813" t="s">
        <v>851</v>
      </c>
      <c r="E813">
        <v>34</v>
      </c>
      <c r="F813" t="str" cm="1">
        <f t="array" ref="F813">INDEX(Country!$B$3:$B$250, MATCH(TRUE, ISNUMBER(SEARCH(Country!$A$2:$A$509, Customer_Data[[#This Row],[Country]])),0 ))</f>
        <v>South America</v>
      </c>
      <c r="G813" t="s">
        <v>974</v>
      </c>
      <c r="H813" t="s">
        <v>1874</v>
      </c>
      <c r="I813" t="s">
        <v>2859</v>
      </c>
      <c r="J813" t="s">
        <v>3852</v>
      </c>
      <c r="K813" s="1">
        <v>45099</v>
      </c>
      <c r="L813">
        <f>YEAR(Customer_Data[[#This Row],[LastPurchaseDate]])</f>
        <v>2025</v>
      </c>
      <c r="M813">
        <f>MONTH(Customer_Data[[#This Row],[LastPurchaseDate]])</f>
        <v>4</v>
      </c>
      <c r="N813" s="7">
        <v>45756</v>
      </c>
      <c r="O813">
        <v>36</v>
      </c>
      <c r="P813" s="4">
        <v>5833.02</v>
      </c>
      <c r="Q813" t="s">
        <v>4035</v>
      </c>
      <c r="R813">
        <v>2</v>
      </c>
      <c r="S813">
        <v>162.03</v>
      </c>
    </row>
    <row r="814" spans="1:19" x14ac:dyDescent="0.25">
      <c r="A814">
        <v>819</v>
      </c>
      <c r="B814" t="s">
        <v>296</v>
      </c>
      <c r="C814" t="s">
        <v>788</v>
      </c>
      <c r="D814" t="s">
        <v>851</v>
      </c>
      <c r="E814">
        <v>61</v>
      </c>
      <c r="F814" t="str" cm="1">
        <f t="array" ref="F814">INDEX(Country!$B$3:$B$250, MATCH(TRUE, ISNUMBER(SEARCH(Country!$A$2:$A$509, Customer_Data[[#This Row],[Country]])),0 ))</f>
        <v>Europe</v>
      </c>
      <c r="G814" t="s">
        <v>989</v>
      </c>
      <c r="H814" t="s">
        <v>1875</v>
      </c>
      <c r="I814" t="s">
        <v>2860</v>
      </c>
      <c r="J814" t="s">
        <v>3853</v>
      </c>
      <c r="K814" s="1">
        <v>45257</v>
      </c>
      <c r="L814">
        <f>YEAR(Customer_Data[[#This Row],[LastPurchaseDate]])</f>
        <v>2024</v>
      </c>
      <c r="M814">
        <f>MONTH(Customer_Data[[#This Row],[LastPurchaseDate]])</f>
        <v>6</v>
      </c>
      <c r="N814" s="7">
        <v>45451</v>
      </c>
      <c r="O814">
        <v>10</v>
      </c>
      <c r="P814" s="4">
        <v>3149.16</v>
      </c>
      <c r="Q814" t="s">
        <v>4035</v>
      </c>
      <c r="R814">
        <v>5</v>
      </c>
      <c r="S814">
        <v>314.92</v>
      </c>
    </row>
    <row r="815" spans="1:19" x14ac:dyDescent="0.25">
      <c r="A815">
        <v>820</v>
      </c>
      <c r="B815" t="s">
        <v>34</v>
      </c>
      <c r="C815" t="s">
        <v>789</v>
      </c>
      <c r="D815" t="s">
        <v>850</v>
      </c>
      <c r="E815">
        <v>72</v>
      </c>
      <c r="F815" t="str" cm="1">
        <f t="array" ref="F815">INDEX(Country!$B$3:$B$250, MATCH(TRUE, ISNUMBER(SEARCH(Country!$A$2:$A$509, Customer_Data[[#This Row],[Country]])),0 ))</f>
        <v>Africa</v>
      </c>
      <c r="G815" t="s">
        <v>857</v>
      </c>
      <c r="H815" t="s">
        <v>1876</v>
      </c>
      <c r="I815" t="s">
        <v>2861</v>
      </c>
      <c r="J815" t="s">
        <v>3854</v>
      </c>
      <c r="K815" s="1">
        <v>44925</v>
      </c>
      <c r="L815">
        <f>YEAR(Customer_Data[[#This Row],[LastPurchaseDate]])</f>
        <v>2025</v>
      </c>
      <c r="M815">
        <f>MONTH(Customer_Data[[#This Row],[LastPurchaseDate]])</f>
        <v>10</v>
      </c>
      <c r="N815" s="7">
        <v>45953</v>
      </c>
      <c r="O815">
        <v>47</v>
      </c>
      <c r="P815" s="4">
        <v>5280.69</v>
      </c>
      <c r="Q815" t="s">
        <v>4034</v>
      </c>
      <c r="R815">
        <v>2</v>
      </c>
      <c r="S815">
        <v>112.36</v>
      </c>
    </row>
    <row r="816" spans="1:19" x14ac:dyDescent="0.25">
      <c r="A816">
        <v>821</v>
      </c>
      <c r="B816" t="s">
        <v>335</v>
      </c>
      <c r="C816" t="s">
        <v>449</v>
      </c>
      <c r="D816" t="s">
        <v>851</v>
      </c>
      <c r="E816">
        <v>21</v>
      </c>
      <c r="F816" t="str" cm="1">
        <f t="array" ref="F816">INDEX(Country!$B$3:$B$250, MATCH(TRUE, ISNUMBER(SEARCH(Country!$A$2:$A$509, Customer_Data[[#This Row],[Country]])),0 ))</f>
        <v>Europe</v>
      </c>
      <c r="G816" t="s">
        <v>946</v>
      </c>
      <c r="H816" t="s">
        <v>1877</v>
      </c>
      <c r="I816" t="s">
        <v>2862</v>
      </c>
      <c r="J816" t="s">
        <v>3855</v>
      </c>
      <c r="K816" s="1">
        <v>45954</v>
      </c>
      <c r="L816">
        <f>YEAR(Customer_Data[[#This Row],[LastPurchaseDate]])</f>
        <v>2024</v>
      </c>
      <c r="M816">
        <f>MONTH(Customer_Data[[#This Row],[LastPurchaseDate]])</f>
        <v>2</v>
      </c>
      <c r="N816" s="7">
        <v>45329</v>
      </c>
      <c r="O816">
        <v>23</v>
      </c>
      <c r="P816" s="4">
        <v>5474.46</v>
      </c>
      <c r="Q816" t="s">
        <v>4035</v>
      </c>
      <c r="R816">
        <v>2</v>
      </c>
      <c r="S816">
        <v>238.02</v>
      </c>
    </row>
    <row r="817" spans="1:19" x14ac:dyDescent="0.25">
      <c r="A817">
        <v>822</v>
      </c>
      <c r="B817" t="s">
        <v>336</v>
      </c>
      <c r="C817" t="s">
        <v>410</v>
      </c>
      <c r="D817" t="s">
        <v>851</v>
      </c>
      <c r="E817">
        <v>47</v>
      </c>
      <c r="F817" t="str" cm="1">
        <f t="array" ref="F817">INDEX(Country!$B$3:$B$250, MATCH(TRUE, ISNUMBER(SEARCH(Country!$A$2:$A$509, Customer_Data[[#This Row],[Country]])),0 ))</f>
        <v>North America</v>
      </c>
      <c r="G817" t="s">
        <v>969</v>
      </c>
      <c r="H817" t="s">
        <v>1878</v>
      </c>
      <c r="I817" t="s">
        <v>2863</v>
      </c>
      <c r="J817" t="s">
        <v>3856</v>
      </c>
      <c r="K817" s="1">
        <v>45897</v>
      </c>
      <c r="L817">
        <f>YEAR(Customer_Data[[#This Row],[LastPurchaseDate]])</f>
        <v>2025</v>
      </c>
      <c r="M817">
        <f>MONTH(Customer_Data[[#This Row],[LastPurchaseDate]])</f>
        <v>1</v>
      </c>
      <c r="N817" s="7">
        <v>45664</v>
      </c>
      <c r="O817">
        <v>13</v>
      </c>
      <c r="P817" s="4">
        <v>3770.56</v>
      </c>
      <c r="Q817" t="s">
        <v>4034</v>
      </c>
      <c r="R817">
        <v>1</v>
      </c>
      <c r="S817">
        <v>290.04000000000002</v>
      </c>
    </row>
    <row r="818" spans="1:19" x14ac:dyDescent="0.25">
      <c r="A818">
        <v>823</v>
      </c>
      <c r="B818" t="s">
        <v>60</v>
      </c>
      <c r="C818" t="s">
        <v>790</v>
      </c>
      <c r="D818" t="s">
        <v>850</v>
      </c>
      <c r="E818">
        <v>43</v>
      </c>
      <c r="F818" t="str" cm="1">
        <f t="array" ref="F818">INDEX(Country!$B$3:$B$250, MATCH(TRUE, ISNUMBER(SEARCH(Country!$A$2:$A$509, Customer_Data[[#This Row],[Country]])),0 ))</f>
        <v>Asia</v>
      </c>
      <c r="G818" t="s">
        <v>925</v>
      </c>
      <c r="H818" t="s">
        <v>1158</v>
      </c>
      <c r="I818" t="s">
        <v>2864</v>
      </c>
      <c r="J818" t="s">
        <v>3857</v>
      </c>
      <c r="K818" s="1">
        <v>45023</v>
      </c>
      <c r="L818">
        <f>YEAR(Customer_Data[[#This Row],[LastPurchaseDate]])</f>
        <v>2025</v>
      </c>
      <c r="M818">
        <f>MONTH(Customer_Data[[#This Row],[LastPurchaseDate]])</f>
        <v>3</v>
      </c>
      <c r="N818" s="7">
        <v>45729</v>
      </c>
      <c r="O818">
        <v>42</v>
      </c>
      <c r="P818" s="4">
        <v>1114.9000000000001</v>
      </c>
      <c r="Q818" t="s">
        <v>4035</v>
      </c>
      <c r="R818">
        <v>5</v>
      </c>
      <c r="S818">
        <v>26.55</v>
      </c>
    </row>
    <row r="819" spans="1:19" x14ac:dyDescent="0.25">
      <c r="A819">
        <v>824</v>
      </c>
      <c r="B819" t="s">
        <v>45</v>
      </c>
      <c r="C819" t="s">
        <v>791</v>
      </c>
      <c r="D819" t="s">
        <v>851</v>
      </c>
      <c r="E819">
        <v>70</v>
      </c>
      <c r="F819" t="str" cm="1">
        <f t="array" ref="F819">INDEX(Country!$B$3:$B$250, MATCH(TRUE, ISNUMBER(SEARCH(Country!$A$2:$A$509, Customer_Data[[#This Row],[Country]])),0 ))</f>
        <v>Asia</v>
      </c>
      <c r="G819" t="s">
        <v>968</v>
      </c>
      <c r="H819" t="s">
        <v>1879</v>
      </c>
      <c r="I819" t="s">
        <v>2865</v>
      </c>
      <c r="J819" t="s">
        <v>3858</v>
      </c>
      <c r="K819" s="1">
        <v>45063</v>
      </c>
      <c r="L819">
        <f>YEAR(Customer_Data[[#This Row],[LastPurchaseDate]])</f>
        <v>2023</v>
      </c>
      <c r="M819">
        <f>MONTH(Customer_Data[[#This Row],[LastPurchaseDate]])</f>
        <v>12</v>
      </c>
      <c r="N819" s="7">
        <v>45286</v>
      </c>
      <c r="O819">
        <v>7</v>
      </c>
      <c r="P819" s="4">
        <v>2376.9699999999998</v>
      </c>
      <c r="Q819" t="s">
        <v>4035</v>
      </c>
      <c r="R819">
        <v>2</v>
      </c>
      <c r="S819">
        <v>339.57</v>
      </c>
    </row>
    <row r="820" spans="1:19" x14ac:dyDescent="0.25">
      <c r="A820">
        <v>825</v>
      </c>
      <c r="B820" t="s">
        <v>93</v>
      </c>
      <c r="C820" t="s">
        <v>255</v>
      </c>
      <c r="D820" t="s">
        <v>850</v>
      </c>
      <c r="E820">
        <v>64</v>
      </c>
      <c r="F820" t="str" cm="1">
        <f t="array" ref="F820">INDEX(Country!$B$3:$B$250, MATCH(TRUE, ISNUMBER(SEARCH(Country!$A$2:$A$509, Customer_Data[[#This Row],[Country]])),0 ))</f>
        <v>North America</v>
      </c>
      <c r="G820" t="s">
        <v>928</v>
      </c>
      <c r="H820" t="s">
        <v>1880</v>
      </c>
      <c r="I820" t="s">
        <v>2866</v>
      </c>
      <c r="J820" t="s">
        <v>3859</v>
      </c>
      <c r="K820" s="1">
        <v>45028</v>
      </c>
      <c r="L820">
        <f>YEAR(Customer_Data[[#This Row],[LastPurchaseDate]])</f>
        <v>2025</v>
      </c>
      <c r="M820">
        <f>MONTH(Customer_Data[[#This Row],[LastPurchaseDate]])</f>
        <v>9</v>
      </c>
      <c r="N820" s="7">
        <v>45904</v>
      </c>
      <c r="O820">
        <v>15</v>
      </c>
      <c r="P820" s="4">
        <v>8681.25</v>
      </c>
      <c r="Q820" t="s">
        <v>4034</v>
      </c>
      <c r="R820">
        <v>4</v>
      </c>
      <c r="S820">
        <v>578.75</v>
      </c>
    </row>
    <row r="821" spans="1:19" x14ac:dyDescent="0.25">
      <c r="A821">
        <v>826</v>
      </c>
      <c r="B821" t="s">
        <v>30</v>
      </c>
      <c r="C821" t="s">
        <v>495</v>
      </c>
      <c r="D821" t="s">
        <v>850</v>
      </c>
      <c r="E821">
        <v>48</v>
      </c>
      <c r="F821" t="str" cm="1">
        <f t="array" ref="F821">INDEX(Country!$B$3:$B$250, MATCH(TRUE, ISNUMBER(SEARCH(Country!$A$2:$A$509, Customer_Data[[#This Row],[Country]])),0 ))</f>
        <v>Oceania</v>
      </c>
      <c r="G821" t="s">
        <v>932</v>
      </c>
      <c r="H821" t="s">
        <v>1881</v>
      </c>
      <c r="I821" t="s">
        <v>2867</v>
      </c>
      <c r="J821" t="s">
        <v>3860</v>
      </c>
      <c r="K821" s="1">
        <v>45337</v>
      </c>
      <c r="L821">
        <f>YEAR(Customer_Data[[#This Row],[LastPurchaseDate]])</f>
        <v>2024</v>
      </c>
      <c r="M821">
        <f>MONTH(Customer_Data[[#This Row],[LastPurchaseDate]])</f>
        <v>8</v>
      </c>
      <c r="N821" s="7">
        <v>45515</v>
      </c>
      <c r="O821">
        <v>31</v>
      </c>
      <c r="P821" s="4">
        <v>7821.06</v>
      </c>
      <c r="Q821" t="s">
        <v>4035</v>
      </c>
      <c r="R821">
        <v>3</v>
      </c>
      <c r="S821">
        <v>252.29</v>
      </c>
    </row>
    <row r="822" spans="1:19" x14ac:dyDescent="0.25">
      <c r="A822">
        <v>827</v>
      </c>
      <c r="B822" t="s">
        <v>107</v>
      </c>
      <c r="C822" t="s">
        <v>419</v>
      </c>
      <c r="D822" t="s">
        <v>850</v>
      </c>
      <c r="E822">
        <v>74</v>
      </c>
      <c r="F822" t="str" cm="1">
        <f t="array" ref="F822">INDEX(Country!$B$3:$B$250, MATCH(TRUE, ISNUMBER(SEARCH(Country!$A$2:$A$509, Customer_Data[[#This Row],[Country]])),0 ))</f>
        <v>Europe</v>
      </c>
      <c r="G822" t="s">
        <v>855</v>
      </c>
      <c r="H822" t="s">
        <v>1882</v>
      </c>
      <c r="I822" t="s">
        <v>2868</v>
      </c>
      <c r="J822" t="s">
        <v>3861</v>
      </c>
      <c r="K822" s="1">
        <v>45186</v>
      </c>
      <c r="L822">
        <f>YEAR(Customer_Data[[#This Row],[LastPurchaseDate]])</f>
        <v>2024</v>
      </c>
      <c r="M822">
        <f>MONTH(Customer_Data[[#This Row],[LastPurchaseDate]])</f>
        <v>6</v>
      </c>
      <c r="N822" s="7">
        <v>45464</v>
      </c>
      <c r="O822">
        <v>22</v>
      </c>
      <c r="P822" s="4">
        <v>2700.7</v>
      </c>
      <c r="Q822" t="s">
        <v>4035</v>
      </c>
      <c r="R822">
        <v>5</v>
      </c>
      <c r="S822">
        <v>122.76</v>
      </c>
    </row>
    <row r="823" spans="1:19" x14ac:dyDescent="0.25">
      <c r="A823">
        <v>828</v>
      </c>
      <c r="B823" t="s">
        <v>337</v>
      </c>
      <c r="C823" t="s">
        <v>451</v>
      </c>
      <c r="D823" t="s">
        <v>851</v>
      </c>
      <c r="E823">
        <v>21</v>
      </c>
      <c r="F823" t="str" cm="1">
        <f t="array" ref="F823">INDEX(Country!$B$3:$B$250, MATCH(TRUE, ISNUMBER(SEARCH(Country!$A$2:$A$509, Customer_Data[[#This Row],[Country]])),0 ))</f>
        <v>North America</v>
      </c>
      <c r="G823" t="s">
        <v>1027</v>
      </c>
      <c r="H823" t="s">
        <v>1883</v>
      </c>
      <c r="I823" t="s">
        <v>2869</v>
      </c>
      <c r="J823" t="s">
        <v>3862</v>
      </c>
      <c r="K823" s="1">
        <v>45056</v>
      </c>
      <c r="L823">
        <f>YEAR(Customer_Data[[#This Row],[LastPurchaseDate]])</f>
        <v>2025</v>
      </c>
      <c r="M823">
        <f>MONTH(Customer_Data[[#This Row],[LastPurchaseDate]])</f>
        <v>1</v>
      </c>
      <c r="N823" s="7">
        <v>45670</v>
      </c>
      <c r="O823">
        <v>29</v>
      </c>
      <c r="P823" s="4">
        <v>1972.1</v>
      </c>
      <c r="Q823" t="s">
        <v>4034</v>
      </c>
      <c r="R823">
        <v>1</v>
      </c>
      <c r="S823">
        <v>68</v>
      </c>
    </row>
    <row r="824" spans="1:19" x14ac:dyDescent="0.25">
      <c r="A824">
        <v>829</v>
      </c>
      <c r="B824" t="s">
        <v>80</v>
      </c>
      <c r="C824" t="s">
        <v>792</v>
      </c>
      <c r="D824" t="s">
        <v>851</v>
      </c>
      <c r="E824">
        <v>55</v>
      </c>
      <c r="F824" t="str" cm="1">
        <f t="array" ref="F824">INDEX(Country!$B$3:$B$250, MATCH(TRUE, ISNUMBER(SEARCH(Country!$A$2:$A$509, Customer_Data[[#This Row],[Country]])),0 ))</f>
        <v>Asia</v>
      </c>
      <c r="G824" t="s">
        <v>876</v>
      </c>
      <c r="H824" t="s">
        <v>1884</v>
      </c>
      <c r="I824" t="s">
        <v>2870</v>
      </c>
      <c r="J824" t="s">
        <v>3863</v>
      </c>
      <c r="K824" s="1">
        <v>45503</v>
      </c>
      <c r="L824">
        <f>YEAR(Customer_Data[[#This Row],[LastPurchaseDate]])</f>
        <v>2025</v>
      </c>
      <c r="M824">
        <f>MONTH(Customer_Data[[#This Row],[LastPurchaseDate]])</f>
        <v>3</v>
      </c>
      <c r="N824" s="7">
        <v>45747</v>
      </c>
      <c r="O824">
        <v>14</v>
      </c>
      <c r="P824" s="4">
        <v>247.06</v>
      </c>
      <c r="Q824" t="s">
        <v>4035</v>
      </c>
      <c r="R824">
        <v>1</v>
      </c>
      <c r="S824">
        <v>17.649999999999999</v>
      </c>
    </row>
    <row r="825" spans="1:19" x14ac:dyDescent="0.25">
      <c r="A825">
        <v>830</v>
      </c>
      <c r="B825" t="s">
        <v>334</v>
      </c>
      <c r="C825" t="s">
        <v>425</v>
      </c>
      <c r="D825" t="s">
        <v>850</v>
      </c>
      <c r="E825">
        <v>28</v>
      </c>
      <c r="F825" t="str" cm="1">
        <f t="array" ref="F825">INDEX(Country!$B$3:$B$250, MATCH(TRUE, ISNUMBER(SEARCH(Country!$A$2:$A$509, Customer_Data[[#This Row],[Country]])),0 ))</f>
        <v>Europe</v>
      </c>
      <c r="G825" t="s">
        <v>1030</v>
      </c>
      <c r="H825" t="s">
        <v>1885</v>
      </c>
      <c r="I825" t="s">
        <v>2871</v>
      </c>
      <c r="J825" t="s">
        <v>3864</v>
      </c>
      <c r="K825" s="1">
        <v>45637</v>
      </c>
      <c r="L825">
        <f>YEAR(Customer_Data[[#This Row],[LastPurchaseDate]])</f>
        <v>2024</v>
      </c>
      <c r="M825">
        <f>MONTH(Customer_Data[[#This Row],[LastPurchaseDate]])</f>
        <v>7</v>
      </c>
      <c r="N825" s="7">
        <v>45478</v>
      </c>
      <c r="O825">
        <v>24</v>
      </c>
      <c r="P825" s="4">
        <v>7174.59</v>
      </c>
      <c r="Q825" t="s">
        <v>4034</v>
      </c>
      <c r="R825">
        <v>2</v>
      </c>
      <c r="S825">
        <v>298.94</v>
      </c>
    </row>
    <row r="826" spans="1:19" x14ac:dyDescent="0.25">
      <c r="A826">
        <v>831</v>
      </c>
      <c r="B826" t="s">
        <v>36</v>
      </c>
      <c r="C826" t="s">
        <v>81</v>
      </c>
      <c r="D826" t="s">
        <v>850</v>
      </c>
      <c r="E826">
        <v>33</v>
      </c>
      <c r="F826" t="str" cm="1">
        <f t="array" ref="F826">INDEX(Country!$B$3:$B$250, MATCH(TRUE, ISNUMBER(SEARCH(Country!$A$2:$A$509, Customer_Data[[#This Row],[Country]])),0 ))</f>
        <v>Africa</v>
      </c>
      <c r="G826" t="s">
        <v>1069</v>
      </c>
      <c r="H826" t="s">
        <v>1886</v>
      </c>
      <c r="I826" t="s">
        <v>2872</v>
      </c>
      <c r="J826" t="s">
        <v>3865</v>
      </c>
      <c r="K826" s="1">
        <v>45100</v>
      </c>
      <c r="L826">
        <f>YEAR(Customer_Data[[#This Row],[LastPurchaseDate]])</f>
        <v>2024</v>
      </c>
      <c r="M826">
        <f>MONTH(Customer_Data[[#This Row],[LastPurchaseDate]])</f>
        <v>8</v>
      </c>
      <c r="N826" s="7">
        <v>45533</v>
      </c>
      <c r="O826">
        <v>6</v>
      </c>
      <c r="P826" s="4">
        <v>4658.84</v>
      </c>
      <c r="Q826" t="s">
        <v>4035</v>
      </c>
      <c r="R826">
        <v>2</v>
      </c>
      <c r="S826">
        <v>776.47</v>
      </c>
    </row>
    <row r="827" spans="1:19" x14ac:dyDescent="0.25">
      <c r="A827">
        <v>832</v>
      </c>
      <c r="B827" t="s">
        <v>198</v>
      </c>
      <c r="C827" t="s">
        <v>793</v>
      </c>
      <c r="D827" t="s">
        <v>851</v>
      </c>
      <c r="E827">
        <v>39</v>
      </c>
      <c r="F827" t="str" cm="1">
        <f t="array" ref="F827">INDEX(Country!$B$3:$B$250, MATCH(TRUE, ISNUMBER(SEARCH(Country!$A$2:$A$509, Customer_Data[[#This Row],[Country]])),0 ))</f>
        <v>Africa</v>
      </c>
      <c r="G827" t="s">
        <v>1013</v>
      </c>
      <c r="H827" t="s">
        <v>1887</v>
      </c>
      <c r="I827" t="s">
        <v>2873</v>
      </c>
      <c r="J827" t="s">
        <v>3866</v>
      </c>
      <c r="K827" s="1">
        <v>44894</v>
      </c>
      <c r="L827">
        <f>YEAR(Customer_Data[[#This Row],[LastPurchaseDate]])</f>
        <v>2024</v>
      </c>
      <c r="M827">
        <f>MONTH(Customer_Data[[#This Row],[LastPurchaseDate]])</f>
        <v>1</v>
      </c>
      <c r="N827" s="7">
        <v>45309</v>
      </c>
      <c r="O827">
        <v>18</v>
      </c>
      <c r="P827" s="4">
        <v>5510.72</v>
      </c>
      <c r="Q827" t="s">
        <v>4034</v>
      </c>
      <c r="R827">
        <v>3</v>
      </c>
      <c r="S827">
        <v>306.14999999999998</v>
      </c>
    </row>
    <row r="828" spans="1:19" x14ac:dyDescent="0.25">
      <c r="A828">
        <v>833</v>
      </c>
      <c r="B828" t="s">
        <v>28</v>
      </c>
      <c r="C828" t="s">
        <v>794</v>
      </c>
      <c r="D828" t="s">
        <v>850</v>
      </c>
      <c r="E828">
        <v>53</v>
      </c>
      <c r="F828" t="str" cm="1">
        <f t="array" ref="F828">INDEX(Country!$B$3:$B$250, MATCH(TRUE, ISNUMBER(SEARCH(Country!$A$2:$A$509, Customer_Data[[#This Row],[Country]])),0 ))</f>
        <v>Antarctica</v>
      </c>
      <c r="G828" t="s">
        <v>1011</v>
      </c>
      <c r="H828" t="s">
        <v>1888</v>
      </c>
      <c r="I828" t="s">
        <v>2874</v>
      </c>
      <c r="J828" t="s">
        <v>3867</v>
      </c>
      <c r="K828" s="1">
        <v>45591</v>
      </c>
      <c r="L828">
        <f>YEAR(Customer_Data[[#This Row],[LastPurchaseDate]])</f>
        <v>2025</v>
      </c>
      <c r="M828">
        <f>MONTH(Customer_Data[[#This Row],[LastPurchaseDate]])</f>
        <v>8</v>
      </c>
      <c r="N828" s="7">
        <v>45878</v>
      </c>
      <c r="O828">
        <v>37</v>
      </c>
      <c r="P828" s="4">
        <v>4939.05</v>
      </c>
      <c r="Q828" t="s">
        <v>4035</v>
      </c>
      <c r="R828">
        <v>1</v>
      </c>
      <c r="S828">
        <v>133.49</v>
      </c>
    </row>
    <row r="829" spans="1:19" x14ac:dyDescent="0.25">
      <c r="A829">
        <v>834</v>
      </c>
      <c r="B829" t="s">
        <v>338</v>
      </c>
      <c r="C829" t="s">
        <v>795</v>
      </c>
      <c r="D829" t="s">
        <v>851</v>
      </c>
      <c r="E829">
        <v>21</v>
      </c>
      <c r="F829" t="str" cm="1">
        <f t="array" ref="F829">INDEX(Country!$B$3:$B$250, MATCH(TRUE, ISNUMBER(SEARCH(Country!$A$2:$A$509, Customer_Data[[#This Row],[Country]])),0 ))</f>
        <v>Europe</v>
      </c>
      <c r="G829" t="s">
        <v>923</v>
      </c>
      <c r="H829" t="s">
        <v>1889</v>
      </c>
      <c r="I829" t="s">
        <v>2875</v>
      </c>
      <c r="J829" t="s">
        <v>3868</v>
      </c>
      <c r="K829" s="1">
        <v>45123</v>
      </c>
      <c r="L829">
        <f>YEAR(Customer_Data[[#This Row],[LastPurchaseDate]])</f>
        <v>2023</v>
      </c>
      <c r="M829">
        <f>MONTH(Customer_Data[[#This Row],[LastPurchaseDate]])</f>
        <v>11</v>
      </c>
      <c r="N829" s="7">
        <v>45249</v>
      </c>
      <c r="O829">
        <v>33</v>
      </c>
      <c r="P829" s="4">
        <v>7515.86</v>
      </c>
      <c r="Q829" t="s">
        <v>4035</v>
      </c>
      <c r="R829">
        <v>2</v>
      </c>
      <c r="S829">
        <v>227.75</v>
      </c>
    </row>
    <row r="830" spans="1:19" x14ac:dyDescent="0.25">
      <c r="A830">
        <v>835</v>
      </c>
      <c r="B830" t="s">
        <v>339</v>
      </c>
      <c r="C830" t="s">
        <v>796</v>
      </c>
      <c r="D830" t="s">
        <v>850</v>
      </c>
      <c r="E830">
        <v>30</v>
      </c>
      <c r="F830" t="str" cm="1">
        <f t="array" ref="F830">INDEX(Country!$B$3:$B$250, MATCH(TRUE, ISNUMBER(SEARCH(Country!$A$2:$A$509, Customer_Data[[#This Row],[Country]])),0 ))</f>
        <v>Asia</v>
      </c>
      <c r="G830" t="s">
        <v>1003</v>
      </c>
      <c r="H830" t="s">
        <v>1890</v>
      </c>
      <c r="I830" t="s">
        <v>2876</v>
      </c>
      <c r="J830" t="s">
        <v>3869</v>
      </c>
      <c r="K830" s="1">
        <v>45173</v>
      </c>
      <c r="L830">
        <f>YEAR(Customer_Data[[#This Row],[LastPurchaseDate]])</f>
        <v>2023</v>
      </c>
      <c r="M830">
        <f>MONTH(Customer_Data[[#This Row],[LastPurchaseDate]])</f>
        <v>11</v>
      </c>
      <c r="N830" s="7">
        <v>45257</v>
      </c>
      <c r="O830">
        <v>38</v>
      </c>
      <c r="P830" s="4">
        <v>3611.97</v>
      </c>
      <c r="Q830" t="s">
        <v>4035</v>
      </c>
      <c r="R830">
        <v>2</v>
      </c>
      <c r="S830">
        <v>95.05</v>
      </c>
    </row>
    <row r="831" spans="1:19" x14ac:dyDescent="0.25">
      <c r="A831">
        <v>836</v>
      </c>
      <c r="B831" t="s">
        <v>139</v>
      </c>
      <c r="C831" t="s">
        <v>670</v>
      </c>
      <c r="D831" t="s">
        <v>850</v>
      </c>
      <c r="E831">
        <v>38</v>
      </c>
      <c r="F831" t="str" cm="1">
        <f t="array" ref="F831">INDEX(Country!$B$3:$B$250, MATCH(TRUE, ISNUMBER(SEARCH(Country!$A$2:$A$509, Customer_Data[[#This Row],[Country]])),0 ))</f>
        <v>Asia</v>
      </c>
      <c r="G831" t="s">
        <v>874</v>
      </c>
      <c r="H831" t="s">
        <v>1891</v>
      </c>
      <c r="I831" t="s">
        <v>2877</v>
      </c>
      <c r="J831" t="s">
        <v>3870</v>
      </c>
      <c r="K831" s="1">
        <v>45550</v>
      </c>
      <c r="L831">
        <f>YEAR(Customer_Data[[#This Row],[LastPurchaseDate]])</f>
        <v>2024</v>
      </c>
      <c r="M831">
        <f>MONTH(Customer_Data[[#This Row],[LastPurchaseDate]])</f>
        <v>6</v>
      </c>
      <c r="N831" s="7">
        <v>45473</v>
      </c>
      <c r="O831">
        <v>26</v>
      </c>
      <c r="P831" s="4">
        <v>3062.6</v>
      </c>
      <c r="Q831" t="s">
        <v>4035</v>
      </c>
      <c r="R831">
        <v>4</v>
      </c>
      <c r="S831">
        <v>117.79</v>
      </c>
    </row>
    <row r="832" spans="1:19" x14ac:dyDescent="0.25">
      <c r="A832">
        <v>837</v>
      </c>
      <c r="B832" t="s">
        <v>70</v>
      </c>
      <c r="C832" t="s">
        <v>407</v>
      </c>
      <c r="D832" t="s">
        <v>851</v>
      </c>
      <c r="E832">
        <v>56</v>
      </c>
      <c r="F832" t="str" cm="1">
        <f t="array" ref="F832">INDEX(Country!$B$3:$B$250, MATCH(TRUE, ISNUMBER(SEARCH(Country!$A$2:$A$509, Customer_Data[[#This Row],[Country]])),0 ))</f>
        <v>Europe</v>
      </c>
      <c r="G832" t="s">
        <v>914</v>
      </c>
      <c r="H832" t="s">
        <v>1892</v>
      </c>
      <c r="I832" t="s">
        <v>2878</v>
      </c>
      <c r="J832" t="s">
        <v>3871</v>
      </c>
      <c r="K832" s="1">
        <v>45423</v>
      </c>
      <c r="L832">
        <f>YEAR(Customer_Data[[#This Row],[LastPurchaseDate]])</f>
        <v>2024</v>
      </c>
      <c r="M832">
        <f>MONTH(Customer_Data[[#This Row],[LastPurchaseDate]])</f>
        <v>4</v>
      </c>
      <c r="N832" s="7">
        <v>45405</v>
      </c>
      <c r="O832">
        <v>21</v>
      </c>
      <c r="P832" s="4">
        <v>9833.9500000000007</v>
      </c>
      <c r="Q832" t="s">
        <v>4035</v>
      </c>
      <c r="R832">
        <v>5</v>
      </c>
      <c r="S832">
        <v>468.28</v>
      </c>
    </row>
    <row r="833" spans="1:19" x14ac:dyDescent="0.25">
      <c r="A833">
        <v>838</v>
      </c>
      <c r="B833" t="s">
        <v>99</v>
      </c>
      <c r="C833" t="s">
        <v>445</v>
      </c>
      <c r="D833" t="s">
        <v>850</v>
      </c>
      <c r="E833">
        <v>52</v>
      </c>
      <c r="F833" t="str" cm="1">
        <f t="array" ref="F833">INDEX(Country!$B$3:$B$250, MATCH(TRUE, ISNUMBER(SEARCH(Country!$A$2:$A$509, Customer_Data[[#This Row],[Country]])),0 ))</f>
        <v>Europe</v>
      </c>
      <c r="G833" t="s">
        <v>989</v>
      </c>
      <c r="H833" t="s">
        <v>1893</v>
      </c>
      <c r="I833" t="s">
        <v>2879</v>
      </c>
      <c r="J833" t="s">
        <v>3872</v>
      </c>
      <c r="K833" s="1">
        <v>45938</v>
      </c>
      <c r="L833">
        <f>YEAR(Customer_Data[[#This Row],[LastPurchaseDate]])</f>
        <v>2024</v>
      </c>
      <c r="M833">
        <f>MONTH(Customer_Data[[#This Row],[LastPurchaseDate]])</f>
        <v>4</v>
      </c>
      <c r="N833" s="7">
        <v>45401</v>
      </c>
      <c r="O833">
        <v>5</v>
      </c>
      <c r="P833" s="4">
        <v>7742.51</v>
      </c>
      <c r="Q833" t="s">
        <v>4034</v>
      </c>
      <c r="R833">
        <v>4</v>
      </c>
      <c r="S833">
        <v>1548.5</v>
      </c>
    </row>
    <row r="834" spans="1:19" x14ac:dyDescent="0.25">
      <c r="A834">
        <v>839</v>
      </c>
      <c r="B834" t="s">
        <v>131</v>
      </c>
      <c r="C834" t="s">
        <v>797</v>
      </c>
      <c r="D834" t="s">
        <v>850</v>
      </c>
      <c r="E834">
        <v>53</v>
      </c>
      <c r="F834" t="str" cm="1">
        <f t="array" ref="F834">INDEX(Country!$B$3:$B$250, MATCH(TRUE, ISNUMBER(SEARCH(Country!$A$2:$A$509, Customer_Data[[#This Row],[Country]])),0 ))</f>
        <v>Africa</v>
      </c>
      <c r="G834" t="s">
        <v>907</v>
      </c>
      <c r="H834" t="s">
        <v>1894</v>
      </c>
      <c r="I834" t="s">
        <v>2880</v>
      </c>
      <c r="J834" t="s">
        <v>3873</v>
      </c>
      <c r="K834" s="1">
        <v>45674</v>
      </c>
      <c r="L834">
        <f>YEAR(Customer_Data[[#This Row],[LastPurchaseDate]])</f>
        <v>2024</v>
      </c>
      <c r="M834">
        <f>MONTH(Customer_Data[[#This Row],[LastPurchaseDate]])</f>
        <v>8</v>
      </c>
      <c r="N834" s="7">
        <v>45535</v>
      </c>
      <c r="O834">
        <v>17</v>
      </c>
      <c r="P834" s="4">
        <v>5625.35</v>
      </c>
      <c r="Q834" t="s">
        <v>4035</v>
      </c>
      <c r="R834">
        <v>5</v>
      </c>
      <c r="S834">
        <v>330.9</v>
      </c>
    </row>
    <row r="835" spans="1:19" x14ac:dyDescent="0.25">
      <c r="A835">
        <v>840</v>
      </c>
      <c r="B835" t="s">
        <v>156</v>
      </c>
      <c r="C835" t="s">
        <v>565</v>
      </c>
      <c r="D835" t="s">
        <v>850</v>
      </c>
      <c r="E835">
        <v>56</v>
      </c>
      <c r="F835" t="str" cm="1">
        <f t="array" ref="F835">INDEX(Country!$B$3:$B$250, MATCH(TRUE, ISNUMBER(SEARCH(Country!$A$2:$A$509, Customer_Data[[#This Row],[Country]])),0 ))</f>
        <v>Africa</v>
      </c>
      <c r="G835" t="s">
        <v>1056</v>
      </c>
      <c r="H835" t="s">
        <v>1895</v>
      </c>
      <c r="I835" t="s">
        <v>2881</v>
      </c>
      <c r="J835" t="s">
        <v>3874</v>
      </c>
      <c r="K835" s="1">
        <v>45300</v>
      </c>
      <c r="L835">
        <f>YEAR(Customer_Data[[#This Row],[LastPurchaseDate]])</f>
        <v>2024</v>
      </c>
      <c r="M835">
        <f>MONTH(Customer_Data[[#This Row],[LastPurchaseDate]])</f>
        <v>1</v>
      </c>
      <c r="N835" s="7">
        <v>45301</v>
      </c>
      <c r="O835">
        <v>25</v>
      </c>
      <c r="P835" s="4">
        <v>2916.44</v>
      </c>
      <c r="Q835" t="s">
        <v>4035</v>
      </c>
      <c r="R835">
        <v>1</v>
      </c>
      <c r="S835">
        <v>116.66</v>
      </c>
    </row>
    <row r="836" spans="1:19" x14ac:dyDescent="0.25">
      <c r="A836">
        <v>841</v>
      </c>
      <c r="B836" t="s">
        <v>234</v>
      </c>
      <c r="C836" t="s">
        <v>506</v>
      </c>
      <c r="D836" t="s">
        <v>850</v>
      </c>
      <c r="E836">
        <v>49</v>
      </c>
      <c r="F836" t="str" cm="1">
        <f t="array" ref="F836">INDEX(Country!$B$3:$B$250, MATCH(TRUE, ISNUMBER(SEARCH(Country!$A$2:$A$509, Customer_Data[[#This Row],[Country]])),0 ))</f>
        <v>Africa</v>
      </c>
      <c r="G836" t="s">
        <v>1074</v>
      </c>
      <c r="H836" t="s">
        <v>1896</v>
      </c>
      <c r="I836" t="s">
        <v>2882</v>
      </c>
      <c r="J836" t="s">
        <v>3875</v>
      </c>
      <c r="K836" s="1">
        <v>45631</v>
      </c>
      <c r="L836">
        <f>YEAR(Customer_Data[[#This Row],[LastPurchaseDate]])</f>
        <v>2025</v>
      </c>
      <c r="M836">
        <f>MONTH(Customer_Data[[#This Row],[LastPurchaseDate]])</f>
        <v>1</v>
      </c>
      <c r="N836" s="7">
        <v>45685</v>
      </c>
      <c r="O836">
        <v>46</v>
      </c>
      <c r="P836" s="4">
        <v>2532.98</v>
      </c>
      <c r="Q836" t="s">
        <v>4034</v>
      </c>
      <c r="R836">
        <v>2</v>
      </c>
      <c r="S836">
        <v>55.06</v>
      </c>
    </row>
    <row r="837" spans="1:19" x14ac:dyDescent="0.25">
      <c r="A837">
        <v>842</v>
      </c>
      <c r="B837" t="s">
        <v>340</v>
      </c>
      <c r="C837" t="s">
        <v>651</v>
      </c>
      <c r="D837" t="s">
        <v>851</v>
      </c>
      <c r="E837">
        <v>50</v>
      </c>
      <c r="F837" t="str" cm="1">
        <f t="array" ref="F837">INDEX(Country!$B$3:$B$250, MATCH(TRUE, ISNUMBER(SEARCH(Country!$A$2:$A$509, Customer_Data[[#This Row],[Country]])),0 ))</f>
        <v>Europe</v>
      </c>
      <c r="G837" t="s">
        <v>1082</v>
      </c>
      <c r="H837" t="s">
        <v>1897</v>
      </c>
      <c r="I837" t="s">
        <v>2883</v>
      </c>
      <c r="J837" t="s">
        <v>3876</v>
      </c>
      <c r="K837" s="1">
        <v>45636</v>
      </c>
      <c r="L837">
        <f>YEAR(Customer_Data[[#This Row],[LastPurchaseDate]])</f>
        <v>2024</v>
      </c>
      <c r="M837">
        <f>MONTH(Customer_Data[[#This Row],[LastPurchaseDate]])</f>
        <v>6</v>
      </c>
      <c r="N837" s="7">
        <v>45448</v>
      </c>
      <c r="O837">
        <v>17</v>
      </c>
      <c r="P837" s="4">
        <v>7826.48</v>
      </c>
      <c r="Q837" t="s">
        <v>4035</v>
      </c>
      <c r="R837">
        <v>1</v>
      </c>
      <c r="S837">
        <v>460.38</v>
      </c>
    </row>
    <row r="838" spans="1:19" x14ac:dyDescent="0.25">
      <c r="A838">
        <v>843</v>
      </c>
      <c r="B838" t="s">
        <v>341</v>
      </c>
      <c r="C838" t="s">
        <v>565</v>
      </c>
      <c r="D838" t="s">
        <v>851</v>
      </c>
      <c r="E838">
        <v>38</v>
      </c>
      <c r="F838" t="str" cm="1">
        <f t="array" ref="F838">INDEX(Country!$B$3:$B$250, MATCH(TRUE, ISNUMBER(SEARCH(Country!$A$2:$A$509, Customer_Data[[#This Row],[Country]])),0 ))</f>
        <v>Africa</v>
      </c>
      <c r="G838" t="s">
        <v>856</v>
      </c>
      <c r="H838" t="s">
        <v>1898</v>
      </c>
      <c r="I838" t="s">
        <v>2884</v>
      </c>
      <c r="J838" t="s">
        <v>3877</v>
      </c>
      <c r="K838" s="1">
        <v>45311</v>
      </c>
      <c r="L838">
        <f>YEAR(Customer_Data[[#This Row],[LastPurchaseDate]])</f>
        <v>2024</v>
      </c>
      <c r="M838">
        <f>MONTH(Customer_Data[[#This Row],[LastPurchaseDate]])</f>
        <v>4</v>
      </c>
      <c r="N838" s="7">
        <v>45408</v>
      </c>
      <c r="O838">
        <v>19</v>
      </c>
      <c r="P838" s="4">
        <v>6352.13</v>
      </c>
      <c r="Q838" t="s">
        <v>4034</v>
      </c>
      <c r="R838">
        <v>2</v>
      </c>
      <c r="S838">
        <v>334.32</v>
      </c>
    </row>
    <row r="839" spans="1:19" x14ac:dyDescent="0.25">
      <c r="A839">
        <v>844</v>
      </c>
      <c r="B839" t="s">
        <v>140</v>
      </c>
      <c r="C839" t="s">
        <v>798</v>
      </c>
      <c r="D839" t="s">
        <v>851</v>
      </c>
      <c r="E839">
        <v>69</v>
      </c>
      <c r="F839" t="str" cm="1">
        <f t="array" ref="F839">INDEX(Country!$B$3:$B$250, MATCH(TRUE, ISNUMBER(SEARCH(Country!$A$2:$A$509, Customer_Data[[#This Row],[Country]])),0 ))</f>
        <v>Africa</v>
      </c>
      <c r="G839" t="s">
        <v>945</v>
      </c>
      <c r="H839" t="s">
        <v>1899</v>
      </c>
      <c r="I839" t="s">
        <v>2885</v>
      </c>
      <c r="J839" t="s">
        <v>3878</v>
      </c>
      <c r="K839" s="1">
        <v>45438</v>
      </c>
      <c r="L839">
        <f>YEAR(Customer_Data[[#This Row],[LastPurchaseDate]])</f>
        <v>2024</v>
      </c>
      <c r="M839">
        <f>MONTH(Customer_Data[[#This Row],[LastPurchaseDate]])</f>
        <v>11</v>
      </c>
      <c r="N839" s="7">
        <v>45604</v>
      </c>
      <c r="O839">
        <v>5</v>
      </c>
      <c r="P839" s="4">
        <v>5611.07</v>
      </c>
      <c r="Q839" t="s">
        <v>4034</v>
      </c>
      <c r="R839">
        <v>4</v>
      </c>
      <c r="S839">
        <v>1122.21</v>
      </c>
    </row>
    <row r="840" spans="1:19" x14ac:dyDescent="0.25">
      <c r="A840">
        <v>845</v>
      </c>
      <c r="B840" t="s">
        <v>342</v>
      </c>
      <c r="C840" t="s">
        <v>799</v>
      </c>
      <c r="D840" t="s">
        <v>851</v>
      </c>
      <c r="E840">
        <v>30</v>
      </c>
      <c r="F840" t="str" cm="1">
        <f t="array" ref="F840">INDEX(Country!$B$3:$B$250, MATCH(TRUE, ISNUMBER(SEARCH(Country!$A$2:$A$509, Customer_Data[[#This Row],[Country]])),0 ))</f>
        <v>North America</v>
      </c>
      <c r="G840" t="s">
        <v>1028</v>
      </c>
      <c r="H840" t="s">
        <v>1900</v>
      </c>
      <c r="I840" t="s">
        <v>2886</v>
      </c>
      <c r="J840" t="s">
        <v>3879</v>
      </c>
      <c r="K840" s="1">
        <v>45313</v>
      </c>
      <c r="L840">
        <f>YEAR(Customer_Data[[#This Row],[LastPurchaseDate]])</f>
        <v>2024</v>
      </c>
      <c r="M840">
        <f>MONTH(Customer_Data[[#This Row],[LastPurchaseDate]])</f>
        <v>5</v>
      </c>
      <c r="N840" s="7">
        <v>45417</v>
      </c>
      <c r="O840">
        <v>14</v>
      </c>
      <c r="P840" s="4">
        <v>3179.62</v>
      </c>
      <c r="Q840" t="s">
        <v>4034</v>
      </c>
      <c r="R840">
        <v>2</v>
      </c>
      <c r="S840">
        <v>227.12</v>
      </c>
    </row>
    <row r="841" spans="1:19" x14ac:dyDescent="0.25">
      <c r="A841">
        <v>846</v>
      </c>
      <c r="B841" t="s">
        <v>343</v>
      </c>
      <c r="C841" t="s">
        <v>531</v>
      </c>
      <c r="D841" t="s">
        <v>850</v>
      </c>
      <c r="E841">
        <v>28</v>
      </c>
      <c r="F841" t="str" cm="1">
        <f t="array" ref="F841">INDEX(Country!$B$3:$B$250, MATCH(TRUE, ISNUMBER(SEARCH(Country!$A$2:$A$509, Customer_Data[[#This Row],[Country]])),0 ))</f>
        <v>Europe</v>
      </c>
      <c r="G841" t="s">
        <v>1029</v>
      </c>
      <c r="H841" t="s">
        <v>1220</v>
      </c>
      <c r="I841" t="s">
        <v>2887</v>
      </c>
      <c r="J841" t="s">
        <v>3880</v>
      </c>
      <c r="K841" s="1">
        <v>45309</v>
      </c>
      <c r="L841">
        <f>YEAR(Customer_Data[[#This Row],[LastPurchaseDate]])</f>
        <v>2023</v>
      </c>
      <c r="M841">
        <f>MONTH(Customer_Data[[#This Row],[LastPurchaseDate]])</f>
        <v>12</v>
      </c>
      <c r="N841" s="7">
        <v>45277</v>
      </c>
      <c r="O841">
        <v>16</v>
      </c>
      <c r="P841" s="4">
        <v>7677.22</v>
      </c>
      <c r="Q841" t="s">
        <v>4035</v>
      </c>
      <c r="R841">
        <v>3</v>
      </c>
      <c r="S841">
        <v>479.83</v>
      </c>
    </row>
    <row r="842" spans="1:19" x14ac:dyDescent="0.25">
      <c r="A842">
        <v>847</v>
      </c>
      <c r="B842" t="s">
        <v>115</v>
      </c>
      <c r="C842" t="s">
        <v>374</v>
      </c>
      <c r="D842" t="s">
        <v>850</v>
      </c>
      <c r="E842">
        <v>49</v>
      </c>
      <c r="F842" t="str" cm="1">
        <f t="array" ref="F842">INDEX(Country!$B$3:$B$250, MATCH(TRUE, ISNUMBER(SEARCH(Country!$A$2:$A$509, Customer_Data[[#This Row],[Country]])),0 ))</f>
        <v>Asia</v>
      </c>
      <c r="G842" t="s">
        <v>909</v>
      </c>
      <c r="H842" t="s">
        <v>1901</v>
      </c>
      <c r="I842" t="s">
        <v>2888</v>
      </c>
      <c r="J842" t="s">
        <v>3881</v>
      </c>
      <c r="K842" s="1">
        <v>45712</v>
      </c>
      <c r="L842">
        <f>YEAR(Customer_Data[[#This Row],[LastPurchaseDate]])</f>
        <v>2025</v>
      </c>
      <c r="M842">
        <f>MONTH(Customer_Data[[#This Row],[LastPurchaseDate]])</f>
        <v>7</v>
      </c>
      <c r="N842" s="7">
        <v>45841</v>
      </c>
      <c r="O842">
        <v>8</v>
      </c>
      <c r="P842" s="4">
        <v>2399.65</v>
      </c>
      <c r="Q842" t="s">
        <v>4034</v>
      </c>
      <c r="R842">
        <v>3</v>
      </c>
      <c r="S842">
        <v>299.95999999999998</v>
      </c>
    </row>
    <row r="843" spans="1:19" x14ac:dyDescent="0.25">
      <c r="A843">
        <v>848</v>
      </c>
      <c r="B843" t="s">
        <v>55</v>
      </c>
      <c r="C843" t="s">
        <v>456</v>
      </c>
      <c r="D843" t="s">
        <v>851</v>
      </c>
      <c r="E843">
        <v>32</v>
      </c>
      <c r="F843" t="str" cm="1">
        <f t="array" ref="F843">INDEX(Country!$B$3:$B$250, MATCH(TRUE, ISNUMBER(SEARCH(Country!$A$2:$A$509, Customer_Data[[#This Row],[Country]])),0 ))</f>
        <v>Africa</v>
      </c>
      <c r="G843" t="s">
        <v>1008</v>
      </c>
      <c r="H843" t="s">
        <v>1902</v>
      </c>
      <c r="I843" t="s">
        <v>2889</v>
      </c>
      <c r="J843" t="s">
        <v>3882</v>
      </c>
      <c r="K843" s="1">
        <v>45865</v>
      </c>
      <c r="L843">
        <f>YEAR(Customer_Data[[#This Row],[LastPurchaseDate]])</f>
        <v>2025</v>
      </c>
      <c r="M843">
        <f>MONTH(Customer_Data[[#This Row],[LastPurchaseDate]])</f>
        <v>4</v>
      </c>
      <c r="N843" s="7">
        <v>45758</v>
      </c>
      <c r="O843">
        <v>45</v>
      </c>
      <c r="P843" s="4">
        <v>1059.54</v>
      </c>
      <c r="Q843" t="s">
        <v>4034</v>
      </c>
      <c r="R843">
        <v>2</v>
      </c>
      <c r="S843">
        <v>23.55</v>
      </c>
    </row>
    <row r="844" spans="1:19" x14ac:dyDescent="0.25">
      <c r="A844">
        <v>849</v>
      </c>
      <c r="B844" t="s">
        <v>344</v>
      </c>
      <c r="C844" t="s">
        <v>607</v>
      </c>
      <c r="D844" t="s">
        <v>851</v>
      </c>
      <c r="E844">
        <v>43</v>
      </c>
      <c r="F844" t="str" cm="1">
        <f t="array" ref="F844">INDEX(Country!$B$3:$B$250, MATCH(TRUE, ISNUMBER(SEARCH(Country!$A$2:$A$509, Customer_Data[[#This Row],[Country]])),0 ))</f>
        <v>Africa</v>
      </c>
      <c r="G844" t="s">
        <v>908</v>
      </c>
      <c r="H844" t="s">
        <v>1903</v>
      </c>
      <c r="I844" t="s">
        <v>2890</v>
      </c>
      <c r="J844" t="s">
        <v>3883</v>
      </c>
      <c r="K844" s="1">
        <v>45072</v>
      </c>
      <c r="L844">
        <f>YEAR(Customer_Data[[#This Row],[LastPurchaseDate]])</f>
        <v>2024</v>
      </c>
      <c r="M844">
        <f>MONTH(Customer_Data[[#This Row],[LastPurchaseDate]])</f>
        <v>11</v>
      </c>
      <c r="N844" s="7">
        <v>45618</v>
      </c>
      <c r="O844">
        <v>17</v>
      </c>
      <c r="P844" s="4">
        <v>8666.26</v>
      </c>
      <c r="Q844" t="s">
        <v>4035</v>
      </c>
      <c r="R844">
        <v>2</v>
      </c>
      <c r="S844">
        <v>509.78</v>
      </c>
    </row>
    <row r="845" spans="1:19" x14ac:dyDescent="0.25">
      <c r="A845">
        <v>850</v>
      </c>
      <c r="B845" t="s">
        <v>345</v>
      </c>
      <c r="C845" t="s">
        <v>386</v>
      </c>
      <c r="D845" t="s">
        <v>851</v>
      </c>
      <c r="E845">
        <v>68</v>
      </c>
      <c r="F845" t="str" cm="1">
        <f t="array" ref="F845">INDEX(Country!$B$3:$B$250, MATCH(TRUE, ISNUMBER(SEARCH(Country!$A$2:$A$509, Customer_Data[[#This Row],[Country]])),0 ))</f>
        <v>Europe</v>
      </c>
      <c r="G845" t="s">
        <v>1031</v>
      </c>
      <c r="H845" t="s">
        <v>1904</v>
      </c>
      <c r="I845" t="s">
        <v>2891</v>
      </c>
      <c r="J845" t="s">
        <v>3884</v>
      </c>
      <c r="K845" s="1">
        <v>45839</v>
      </c>
      <c r="L845">
        <f>YEAR(Customer_Data[[#This Row],[LastPurchaseDate]])</f>
        <v>2024</v>
      </c>
      <c r="M845">
        <f>MONTH(Customer_Data[[#This Row],[LastPurchaseDate]])</f>
        <v>6</v>
      </c>
      <c r="N845" s="7">
        <v>45449</v>
      </c>
      <c r="O845">
        <v>40</v>
      </c>
      <c r="P845" s="4">
        <v>6782.86</v>
      </c>
      <c r="Q845" t="s">
        <v>4035</v>
      </c>
      <c r="R845">
        <v>4</v>
      </c>
      <c r="S845">
        <v>169.57</v>
      </c>
    </row>
    <row r="846" spans="1:19" x14ac:dyDescent="0.25">
      <c r="A846">
        <v>851</v>
      </c>
      <c r="B846" t="s">
        <v>82</v>
      </c>
      <c r="C846" t="s">
        <v>376</v>
      </c>
      <c r="D846" t="s">
        <v>852</v>
      </c>
      <c r="E846">
        <v>46</v>
      </c>
      <c r="F846" t="str" cm="1">
        <f t="array" ref="F846">INDEX(Country!$B$3:$B$250, MATCH(TRUE, ISNUMBER(SEARCH(Country!$A$2:$A$509, Customer_Data[[#This Row],[Country]])),0 ))</f>
        <v>Europe</v>
      </c>
      <c r="G846" t="s">
        <v>1082</v>
      </c>
      <c r="H846" t="s">
        <v>1905</v>
      </c>
      <c r="I846" t="s">
        <v>2892</v>
      </c>
      <c r="J846" t="s">
        <v>3885</v>
      </c>
      <c r="K846" s="1">
        <v>44952</v>
      </c>
      <c r="L846">
        <f>YEAR(Customer_Data[[#This Row],[LastPurchaseDate]])</f>
        <v>2024</v>
      </c>
      <c r="M846">
        <f>MONTH(Customer_Data[[#This Row],[LastPurchaseDate]])</f>
        <v>10</v>
      </c>
      <c r="N846" s="7">
        <v>45577</v>
      </c>
      <c r="O846">
        <v>36</v>
      </c>
      <c r="P846" s="4">
        <v>6118.06</v>
      </c>
      <c r="Q846" t="s">
        <v>4034</v>
      </c>
      <c r="R846">
        <v>5</v>
      </c>
      <c r="S846">
        <v>169.95</v>
      </c>
    </row>
    <row r="847" spans="1:19" x14ac:dyDescent="0.25">
      <c r="A847">
        <v>852</v>
      </c>
      <c r="B847" t="s">
        <v>153</v>
      </c>
      <c r="C847" t="s">
        <v>800</v>
      </c>
      <c r="D847" t="s">
        <v>851</v>
      </c>
      <c r="E847">
        <v>58</v>
      </c>
      <c r="F847" t="str" cm="1">
        <f t="array" ref="F847">INDEX(Country!$B$3:$B$250, MATCH(TRUE, ISNUMBER(SEARCH(Country!$A$2:$A$509, Customer_Data[[#This Row],[Country]])),0 ))</f>
        <v>Asia</v>
      </c>
      <c r="G847" t="s">
        <v>1054</v>
      </c>
      <c r="H847" t="s">
        <v>1906</v>
      </c>
      <c r="I847" t="s">
        <v>2893</v>
      </c>
      <c r="J847" t="s">
        <v>3886</v>
      </c>
      <c r="K847" s="1">
        <v>45114</v>
      </c>
      <c r="L847">
        <f>YEAR(Customer_Data[[#This Row],[LastPurchaseDate]])</f>
        <v>2024</v>
      </c>
      <c r="M847">
        <f>MONTH(Customer_Data[[#This Row],[LastPurchaseDate]])</f>
        <v>2</v>
      </c>
      <c r="N847" s="7">
        <v>45323</v>
      </c>
      <c r="O847">
        <v>6</v>
      </c>
      <c r="P847" s="4">
        <v>4050.9</v>
      </c>
      <c r="Q847" t="s">
        <v>4034</v>
      </c>
      <c r="R847">
        <v>3</v>
      </c>
      <c r="S847">
        <v>675.15</v>
      </c>
    </row>
    <row r="848" spans="1:19" x14ac:dyDescent="0.25">
      <c r="A848">
        <v>853</v>
      </c>
      <c r="B848" t="s">
        <v>346</v>
      </c>
      <c r="C848" t="s">
        <v>395</v>
      </c>
      <c r="D848" t="s">
        <v>851</v>
      </c>
      <c r="E848">
        <v>73</v>
      </c>
      <c r="F848" t="str" cm="1">
        <f t="array" ref="F848">INDEX(Country!$B$3:$B$250, MATCH(TRUE, ISNUMBER(SEARCH(Country!$A$2:$A$509, Customer_Data[[#This Row],[Country]])),0 ))</f>
        <v>Oceania</v>
      </c>
      <c r="G848" t="s">
        <v>918</v>
      </c>
      <c r="H848" t="s">
        <v>1907</v>
      </c>
      <c r="I848" t="s">
        <v>2894</v>
      </c>
      <c r="J848" t="s">
        <v>3887</v>
      </c>
      <c r="K848" s="1">
        <v>45573</v>
      </c>
      <c r="L848">
        <f>YEAR(Customer_Data[[#This Row],[LastPurchaseDate]])</f>
        <v>2024</v>
      </c>
      <c r="M848">
        <f>MONTH(Customer_Data[[#This Row],[LastPurchaseDate]])</f>
        <v>3</v>
      </c>
      <c r="N848" s="7">
        <v>45364</v>
      </c>
      <c r="O848">
        <v>21</v>
      </c>
      <c r="P848" s="4">
        <v>6458.6</v>
      </c>
      <c r="Q848" t="s">
        <v>4035</v>
      </c>
      <c r="R848">
        <v>4</v>
      </c>
      <c r="S848">
        <v>307.55</v>
      </c>
    </row>
    <row r="849" spans="1:19" x14ac:dyDescent="0.25">
      <c r="A849">
        <v>854</v>
      </c>
      <c r="B849" t="s">
        <v>347</v>
      </c>
      <c r="C849" t="s">
        <v>47</v>
      </c>
      <c r="D849" t="s">
        <v>851</v>
      </c>
      <c r="E849">
        <v>43</v>
      </c>
      <c r="F849" t="str" cm="1">
        <f t="array" ref="F849">INDEX(Country!$B$3:$B$250, MATCH(TRUE, ISNUMBER(SEARCH(Country!$A$2:$A$509, Customer_Data[[#This Row],[Country]])),0 ))</f>
        <v>Africa</v>
      </c>
      <c r="G849" t="s">
        <v>941</v>
      </c>
      <c r="H849" t="s">
        <v>1908</v>
      </c>
      <c r="I849" t="s">
        <v>2895</v>
      </c>
      <c r="J849" t="s">
        <v>3888</v>
      </c>
      <c r="K849" s="1">
        <v>45814</v>
      </c>
      <c r="L849">
        <f>YEAR(Customer_Data[[#This Row],[LastPurchaseDate]])</f>
        <v>2025</v>
      </c>
      <c r="M849">
        <f>MONTH(Customer_Data[[#This Row],[LastPurchaseDate]])</f>
        <v>5</v>
      </c>
      <c r="N849" s="7">
        <v>45801</v>
      </c>
      <c r="O849">
        <v>12</v>
      </c>
      <c r="P849" s="4">
        <v>951.97</v>
      </c>
      <c r="Q849" t="s">
        <v>4035</v>
      </c>
      <c r="R849">
        <v>3</v>
      </c>
      <c r="S849">
        <v>79.33</v>
      </c>
    </row>
    <row r="850" spans="1:19" x14ac:dyDescent="0.25">
      <c r="A850">
        <v>855</v>
      </c>
      <c r="B850" t="s">
        <v>68</v>
      </c>
      <c r="C850" t="s">
        <v>801</v>
      </c>
      <c r="D850" t="s">
        <v>850</v>
      </c>
      <c r="E850">
        <v>63</v>
      </c>
      <c r="F850" t="str" cm="1">
        <f t="array" ref="F850">INDEX(Country!$B$3:$B$250, MATCH(TRUE, ISNUMBER(SEARCH(Country!$A$2:$A$509, Customer_Data[[#This Row],[Country]])),0 ))</f>
        <v>Africa</v>
      </c>
      <c r="G850" t="s">
        <v>1068</v>
      </c>
      <c r="H850" t="s">
        <v>1909</v>
      </c>
      <c r="I850" t="s">
        <v>2896</v>
      </c>
      <c r="J850" t="s">
        <v>3889</v>
      </c>
      <c r="K850" s="1">
        <v>45675</v>
      </c>
      <c r="L850">
        <f>YEAR(Customer_Data[[#This Row],[LastPurchaseDate]])</f>
        <v>2025</v>
      </c>
      <c r="M850">
        <f>MONTH(Customer_Data[[#This Row],[LastPurchaseDate]])</f>
        <v>5</v>
      </c>
      <c r="N850" s="7">
        <v>45781</v>
      </c>
      <c r="O850">
        <v>10</v>
      </c>
      <c r="P850" s="4">
        <v>6327.98</v>
      </c>
      <c r="Q850" t="s">
        <v>4034</v>
      </c>
      <c r="R850">
        <v>3</v>
      </c>
      <c r="S850">
        <v>632.79999999999995</v>
      </c>
    </row>
    <row r="851" spans="1:19" x14ac:dyDescent="0.25">
      <c r="A851">
        <v>856</v>
      </c>
      <c r="B851" t="s">
        <v>323</v>
      </c>
      <c r="C851" t="s">
        <v>51</v>
      </c>
      <c r="D851" t="s">
        <v>850</v>
      </c>
      <c r="E851">
        <v>66</v>
      </c>
      <c r="F851" t="str" cm="1">
        <f t="array" ref="F851">INDEX(Country!$B$3:$B$250, MATCH(TRUE, ISNUMBER(SEARCH(Country!$A$2:$A$509, Customer_Data[[#This Row],[Country]])),0 ))</f>
        <v>North America</v>
      </c>
      <c r="G851" t="s">
        <v>976</v>
      </c>
      <c r="H851" t="s">
        <v>1910</v>
      </c>
      <c r="I851" t="s">
        <v>2897</v>
      </c>
      <c r="J851" t="s">
        <v>3890</v>
      </c>
      <c r="K851" s="1">
        <v>45423</v>
      </c>
      <c r="L851">
        <f>YEAR(Customer_Data[[#This Row],[LastPurchaseDate]])</f>
        <v>2025</v>
      </c>
      <c r="M851">
        <f>MONTH(Customer_Data[[#This Row],[LastPurchaseDate]])</f>
        <v>8</v>
      </c>
      <c r="N851" s="7">
        <v>45887</v>
      </c>
      <c r="O851">
        <v>3</v>
      </c>
      <c r="P851" s="4">
        <v>491.35</v>
      </c>
      <c r="Q851" t="s">
        <v>4035</v>
      </c>
      <c r="R851">
        <v>4</v>
      </c>
      <c r="S851">
        <v>163.78</v>
      </c>
    </row>
    <row r="852" spans="1:19" x14ac:dyDescent="0.25">
      <c r="A852">
        <v>857</v>
      </c>
      <c r="B852" t="s">
        <v>69</v>
      </c>
      <c r="C852" t="s">
        <v>691</v>
      </c>
      <c r="D852" t="s">
        <v>851</v>
      </c>
      <c r="E852">
        <v>70</v>
      </c>
      <c r="F852" t="str" cm="1">
        <f t="array" ref="F852">INDEX(Country!$B$3:$B$250, MATCH(TRUE, ISNUMBER(SEARCH(Country!$A$2:$A$509, Customer_Data[[#This Row],[Country]])),0 ))</f>
        <v>Africa</v>
      </c>
      <c r="G852" t="s">
        <v>950</v>
      </c>
      <c r="H852" t="s">
        <v>1911</v>
      </c>
      <c r="I852" t="s">
        <v>2898</v>
      </c>
      <c r="J852" t="s">
        <v>3891</v>
      </c>
      <c r="K852" s="1">
        <v>45531</v>
      </c>
      <c r="L852">
        <f>YEAR(Customer_Data[[#This Row],[LastPurchaseDate]])</f>
        <v>2024</v>
      </c>
      <c r="M852">
        <f>MONTH(Customer_Data[[#This Row],[LastPurchaseDate]])</f>
        <v>11</v>
      </c>
      <c r="N852" s="7">
        <v>45606</v>
      </c>
      <c r="O852">
        <v>19</v>
      </c>
      <c r="P852" s="4">
        <v>4317.33</v>
      </c>
      <c r="Q852" t="s">
        <v>4035</v>
      </c>
      <c r="R852">
        <v>5</v>
      </c>
      <c r="S852">
        <v>227.23</v>
      </c>
    </row>
    <row r="853" spans="1:19" x14ac:dyDescent="0.25">
      <c r="A853">
        <v>858</v>
      </c>
      <c r="B853" t="s">
        <v>348</v>
      </c>
      <c r="C853" t="s">
        <v>802</v>
      </c>
      <c r="D853" t="s">
        <v>851</v>
      </c>
      <c r="E853">
        <v>71</v>
      </c>
      <c r="F853" t="str" cm="1">
        <f t="array" ref="F853">INDEX(Country!$B$3:$B$250, MATCH(TRUE, ISNUMBER(SEARCH(Country!$A$2:$A$509, Customer_Data[[#This Row],[Country]])),0 ))</f>
        <v>Africa</v>
      </c>
      <c r="G853" t="s">
        <v>1069</v>
      </c>
      <c r="H853" t="s">
        <v>1912</v>
      </c>
      <c r="I853" t="s">
        <v>2899</v>
      </c>
      <c r="J853" t="s">
        <v>3892</v>
      </c>
      <c r="K853" s="1">
        <v>45892</v>
      </c>
      <c r="L853">
        <f>YEAR(Customer_Data[[#This Row],[LastPurchaseDate]])</f>
        <v>2023</v>
      </c>
      <c r="M853">
        <f>MONTH(Customer_Data[[#This Row],[LastPurchaseDate]])</f>
        <v>12</v>
      </c>
      <c r="N853" s="7">
        <v>45285</v>
      </c>
      <c r="O853">
        <v>6</v>
      </c>
      <c r="P853" s="4">
        <v>4894.74</v>
      </c>
      <c r="Q853" t="s">
        <v>4035</v>
      </c>
      <c r="R853">
        <v>4</v>
      </c>
      <c r="S853">
        <v>815.79</v>
      </c>
    </row>
    <row r="854" spans="1:19" x14ac:dyDescent="0.25">
      <c r="A854">
        <v>859</v>
      </c>
      <c r="B854" t="s">
        <v>166</v>
      </c>
      <c r="C854" t="s">
        <v>770</v>
      </c>
      <c r="D854" t="s">
        <v>851</v>
      </c>
      <c r="E854">
        <v>66</v>
      </c>
      <c r="F854" t="str" cm="1">
        <f t="array" ref="F854">INDEX(Country!$B$3:$B$250, MATCH(TRUE, ISNUMBER(SEARCH(Country!$A$2:$A$509, Customer_Data[[#This Row],[Country]])),0 ))</f>
        <v>Europe</v>
      </c>
      <c r="G854" t="s">
        <v>981</v>
      </c>
      <c r="H854" t="s">
        <v>1913</v>
      </c>
      <c r="I854" t="s">
        <v>2900</v>
      </c>
      <c r="J854" t="s">
        <v>3893</v>
      </c>
      <c r="K854" s="1">
        <v>45479</v>
      </c>
      <c r="L854">
        <f>YEAR(Customer_Data[[#This Row],[LastPurchaseDate]])</f>
        <v>2024</v>
      </c>
      <c r="M854">
        <f>MONTH(Customer_Data[[#This Row],[LastPurchaseDate]])</f>
        <v>8</v>
      </c>
      <c r="N854" s="7">
        <v>45517</v>
      </c>
      <c r="O854">
        <v>34</v>
      </c>
      <c r="P854" s="4">
        <v>6233.4</v>
      </c>
      <c r="Q854" t="s">
        <v>4034</v>
      </c>
      <c r="R854">
        <v>4</v>
      </c>
      <c r="S854">
        <v>183.34</v>
      </c>
    </row>
    <row r="855" spans="1:19" x14ac:dyDescent="0.25">
      <c r="A855">
        <v>860</v>
      </c>
      <c r="B855" t="s">
        <v>83</v>
      </c>
      <c r="C855" t="s">
        <v>501</v>
      </c>
      <c r="D855" t="s">
        <v>852</v>
      </c>
      <c r="E855">
        <v>39</v>
      </c>
      <c r="F855" t="str" cm="1">
        <f t="array" ref="F855">INDEX(Country!$B$3:$B$250, MATCH(TRUE, ISNUMBER(SEARCH(Country!$A$2:$A$509, Customer_Data[[#This Row],[Country]])),0 ))</f>
        <v>Asia</v>
      </c>
      <c r="G855" t="s">
        <v>1080</v>
      </c>
      <c r="H855" t="s">
        <v>1914</v>
      </c>
      <c r="I855" t="s">
        <v>2901</v>
      </c>
      <c r="J855" t="s">
        <v>3894</v>
      </c>
      <c r="K855" s="1">
        <v>45585</v>
      </c>
      <c r="L855">
        <f>YEAR(Customer_Data[[#This Row],[LastPurchaseDate]])</f>
        <v>2024</v>
      </c>
      <c r="M855">
        <f>MONTH(Customer_Data[[#This Row],[LastPurchaseDate]])</f>
        <v>3</v>
      </c>
      <c r="N855" s="7">
        <v>45378</v>
      </c>
      <c r="O855">
        <v>43</v>
      </c>
      <c r="P855" s="4">
        <v>1849.82</v>
      </c>
      <c r="Q855" t="s">
        <v>4035</v>
      </c>
      <c r="R855">
        <v>4</v>
      </c>
      <c r="S855">
        <v>43.02</v>
      </c>
    </row>
    <row r="856" spans="1:19" x14ac:dyDescent="0.25">
      <c r="A856">
        <v>861</v>
      </c>
      <c r="B856" t="s">
        <v>63</v>
      </c>
      <c r="C856" t="s">
        <v>803</v>
      </c>
      <c r="D856" t="s">
        <v>851</v>
      </c>
      <c r="E856">
        <v>18</v>
      </c>
      <c r="F856" t="str" cm="1">
        <f t="array" ref="F856">INDEX(Country!$B$3:$B$250, MATCH(TRUE, ISNUMBER(SEARCH(Country!$A$2:$A$509, Customer_Data[[#This Row],[Country]])),0 ))</f>
        <v>Africa</v>
      </c>
      <c r="G856" t="s">
        <v>890</v>
      </c>
      <c r="H856" t="s">
        <v>1915</v>
      </c>
      <c r="I856" t="s">
        <v>2902</v>
      </c>
      <c r="J856" t="s">
        <v>3895</v>
      </c>
      <c r="K856" s="1">
        <v>45227</v>
      </c>
      <c r="L856">
        <f>YEAR(Customer_Data[[#This Row],[LastPurchaseDate]])</f>
        <v>2025</v>
      </c>
      <c r="M856">
        <f>MONTH(Customer_Data[[#This Row],[LastPurchaseDate]])</f>
        <v>10</v>
      </c>
      <c r="N856" s="7">
        <v>45953</v>
      </c>
      <c r="O856">
        <v>15</v>
      </c>
      <c r="P856" s="4">
        <v>7987.85</v>
      </c>
      <c r="Q856" t="s">
        <v>4034</v>
      </c>
      <c r="R856">
        <v>3</v>
      </c>
      <c r="S856">
        <v>532.52</v>
      </c>
    </row>
    <row r="857" spans="1:19" x14ac:dyDescent="0.25">
      <c r="A857">
        <v>862</v>
      </c>
      <c r="B857" t="s">
        <v>153</v>
      </c>
      <c r="C857" t="s">
        <v>429</v>
      </c>
      <c r="D857" t="s">
        <v>850</v>
      </c>
      <c r="E857">
        <v>70</v>
      </c>
      <c r="F857" t="str" cm="1">
        <f t="array" ref="F857">INDEX(Country!$B$3:$B$250, MATCH(TRUE, ISNUMBER(SEARCH(Country!$A$2:$A$509, Customer_Data[[#This Row],[Country]])),0 ))</f>
        <v>South America</v>
      </c>
      <c r="G857" t="s">
        <v>1047</v>
      </c>
      <c r="H857" t="s">
        <v>1916</v>
      </c>
      <c r="I857" t="s">
        <v>2903</v>
      </c>
      <c r="J857" t="s">
        <v>3896</v>
      </c>
      <c r="K857" s="1">
        <v>45459</v>
      </c>
      <c r="L857">
        <f>YEAR(Customer_Data[[#This Row],[LastPurchaseDate]])</f>
        <v>2024</v>
      </c>
      <c r="M857">
        <f>MONTH(Customer_Data[[#This Row],[LastPurchaseDate]])</f>
        <v>6</v>
      </c>
      <c r="N857" s="7">
        <v>45466</v>
      </c>
      <c r="O857">
        <v>46</v>
      </c>
      <c r="P857" s="4">
        <v>85.13</v>
      </c>
      <c r="Q857" t="s">
        <v>4034</v>
      </c>
      <c r="R857">
        <v>2</v>
      </c>
      <c r="S857">
        <v>1.85</v>
      </c>
    </row>
    <row r="858" spans="1:19" x14ac:dyDescent="0.25">
      <c r="A858">
        <v>863</v>
      </c>
      <c r="B858" t="s">
        <v>261</v>
      </c>
      <c r="C858" t="s">
        <v>804</v>
      </c>
      <c r="D858" t="s">
        <v>851</v>
      </c>
      <c r="E858">
        <v>27</v>
      </c>
      <c r="F858" t="str" cm="1">
        <f t="array" ref="F858">INDEX(Country!$B$3:$B$250, MATCH(TRUE, ISNUMBER(SEARCH(Country!$A$2:$A$509, Customer_Data[[#This Row],[Country]])),0 ))</f>
        <v>Oceania</v>
      </c>
      <c r="G858" t="s">
        <v>869</v>
      </c>
      <c r="H858" t="s">
        <v>1917</v>
      </c>
      <c r="I858" t="s">
        <v>2904</v>
      </c>
      <c r="J858" t="s">
        <v>3897</v>
      </c>
      <c r="K858" s="1">
        <v>45278</v>
      </c>
      <c r="L858">
        <f>YEAR(Customer_Data[[#This Row],[LastPurchaseDate]])</f>
        <v>2025</v>
      </c>
      <c r="M858">
        <f>MONTH(Customer_Data[[#This Row],[LastPurchaseDate]])</f>
        <v>3</v>
      </c>
      <c r="N858" s="7">
        <v>45737</v>
      </c>
      <c r="O858">
        <v>35</v>
      </c>
      <c r="P858" s="4">
        <v>1418.16</v>
      </c>
      <c r="Q858" t="s">
        <v>4034</v>
      </c>
      <c r="R858">
        <v>3</v>
      </c>
      <c r="S858">
        <v>40.520000000000003</v>
      </c>
    </row>
    <row r="859" spans="1:19" x14ac:dyDescent="0.25">
      <c r="A859">
        <v>864</v>
      </c>
      <c r="B859" t="s">
        <v>78</v>
      </c>
      <c r="C859" t="s">
        <v>694</v>
      </c>
      <c r="D859" t="s">
        <v>851</v>
      </c>
      <c r="E859">
        <v>57</v>
      </c>
      <c r="F859" t="str" cm="1">
        <f t="array" ref="F859">INDEX(Country!$B$3:$B$250, MATCH(TRUE, ISNUMBER(SEARCH(Country!$A$2:$A$509, Customer_Data[[#This Row],[Country]])),0 ))</f>
        <v>Asia</v>
      </c>
      <c r="G859" t="s">
        <v>893</v>
      </c>
      <c r="H859" t="s">
        <v>1918</v>
      </c>
      <c r="I859" t="s">
        <v>2905</v>
      </c>
      <c r="J859" t="s">
        <v>3898</v>
      </c>
      <c r="K859" s="1">
        <v>45079</v>
      </c>
      <c r="L859">
        <f>YEAR(Customer_Data[[#This Row],[LastPurchaseDate]])</f>
        <v>2024</v>
      </c>
      <c r="M859">
        <f>MONTH(Customer_Data[[#This Row],[LastPurchaseDate]])</f>
        <v>6</v>
      </c>
      <c r="N859" s="7">
        <v>45444</v>
      </c>
      <c r="O859">
        <v>16</v>
      </c>
      <c r="P859" s="4">
        <v>2779.63</v>
      </c>
      <c r="Q859" t="s">
        <v>4035</v>
      </c>
      <c r="R859">
        <v>5</v>
      </c>
      <c r="S859">
        <v>173.73</v>
      </c>
    </row>
    <row r="860" spans="1:19" x14ac:dyDescent="0.25">
      <c r="A860">
        <v>865</v>
      </c>
      <c r="B860" t="s">
        <v>292</v>
      </c>
      <c r="C860" t="s">
        <v>485</v>
      </c>
      <c r="D860" t="s">
        <v>850</v>
      </c>
      <c r="E860">
        <v>73</v>
      </c>
      <c r="F860" t="str" cm="1">
        <f t="array" ref="F860">INDEX(Country!$B$3:$B$250, MATCH(TRUE, ISNUMBER(SEARCH(Country!$A$2:$A$509, Customer_Data[[#This Row],[Country]])),0 ))</f>
        <v>Africa</v>
      </c>
      <c r="G860" t="s">
        <v>1020</v>
      </c>
      <c r="H860" t="s">
        <v>1919</v>
      </c>
      <c r="I860" t="s">
        <v>2906</v>
      </c>
      <c r="J860" t="s">
        <v>3899</v>
      </c>
      <c r="K860" s="1">
        <v>44980</v>
      </c>
      <c r="L860">
        <f>YEAR(Customer_Data[[#This Row],[LastPurchaseDate]])</f>
        <v>2024</v>
      </c>
      <c r="M860">
        <f>MONTH(Customer_Data[[#This Row],[LastPurchaseDate]])</f>
        <v>11</v>
      </c>
      <c r="N860" s="7">
        <v>45615</v>
      </c>
      <c r="O860">
        <v>28</v>
      </c>
      <c r="P860" s="4">
        <v>8743.82</v>
      </c>
      <c r="Q860" t="s">
        <v>4034</v>
      </c>
      <c r="R860">
        <v>3</v>
      </c>
      <c r="S860">
        <v>312.27999999999997</v>
      </c>
    </row>
    <row r="861" spans="1:19" x14ac:dyDescent="0.25">
      <c r="A861">
        <v>866</v>
      </c>
      <c r="B861" t="s">
        <v>265</v>
      </c>
      <c r="C861" t="s">
        <v>621</v>
      </c>
      <c r="D861" t="s">
        <v>850</v>
      </c>
      <c r="E861">
        <v>23</v>
      </c>
      <c r="F861" t="str" cm="1">
        <f t="array" ref="F861">INDEX(Country!$B$3:$B$250, MATCH(TRUE, ISNUMBER(SEARCH(Country!$A$2:$A$509, Customer_Data[[#This Row],[Country]])),0 ))</f>
        <v>Africa</v>
      </c>
      <c r="G861" t="s">
        <v>857</v>
      </c>
      <c r="H861" t="s">
        <v>1920</v>
      </c>
      <c r="I861" t="s">
        <v>2907</v>
      </c>
      <c r="J861" t="s">
        <v>3900</v>
      </c>
      <c r="K861" s="1">
        <v>44963</v>
      </c>
      <c r="L861">
        <f>YEAR(Customer_Data[[#This Row],[LastPurchaseDate]])</f>
        <v>2024</v>
      </c>
      <c r="M861">
        <f>MONTH(Customer_Data[[#This Row],[LastPurchaseDate]])</f>
        <v>3</v>
      </c>
      <c r="N861" s="7">
        <v>45368</v>
      </c>
      <c r="O861">
        <v>16</v>
      </c>
      <c r="P861" s="4">
        <v>9816.2199999999993</v>
      </c>
      <c r="Q861" t="s">
        <v>4035</v>
      </c>
      <c r="R861">
        <v>4</v>
      </c>
      <c r="S861">
        <v>613.51</v>
      </c>
    </row>
    <row r="862" spans="1:19" x14ac:dyDescent="0.25">
      <c r="A862">
        <v>867</v>
      </c>
      <c r="B862" t="s">
        <v>302</v>
      </c>
      <c r="C862" t="s">
        <v>520</v>
      </c>
      <c r="D862" t="s">
        <v>851</v>
      </c>
      <c r="E862">
        <v>35</v>
      </c>
      <c r="F862" t="str" cm="1">
        <f t="array" ref="F862">INDEX(Country!$B$3:$B$250, MATCH(TRUE, ISNUMBER(SEARCH(Country!$A$2:$A$509, Customer_Data[[#This Row],[Country]])),0 ))</f>
        <v>Europe</v>
      </c>
      <c r="G862" t="s">
        <v>960</v>
      </c>
      <c r="H862" t="s">
        <v>1679</v>
      </c>
      <c r="I862" t="s">
        <v>2908</v>
      </c>
      <c r="J862" t="s">
        <v>3901</v>
      </c>
      <c r="K862" s="1">
        <v>45883</v>
      </c>
      <c r="L862">
        <f>YEAR(Customer_Data[[#This Row],[LastPurchaseDate]])</f>
        <v>2024</v>
      </c>
      <c r="M862">
        <f>MONTH(Customer_Data[[#This Row],[LastPurchaseDate]])</f>
        <v>7</v>
      </c>
      <c r="N862" s="7">
        <v>45492</v>
      </c>
      <c r="O862">
        <v>42</v>
      </c>
      <c r="P862" s="4">
        <v>9213.59</v>
      </c>
      <c r="Q862" t="s">
        <v>4035</v>
      </c>
      <c r="R862">
        <v>4</v>
      </c>
      <c r="S862">
        <v>219.37</v>
      </c>
    </row>
    <row r="863" spans="1:19" x14ac:dyDescent="0.25">
      <c r="A863">
        <v>868</v>
      </c>
      <c r="B863" t="s">
        <v>191</v>
      </c>
      <c r="C863" t="s">
        <v>379</v>
      </c>
      <c r="D863" t="s">
        <v>851</v>
      </c>
      <c r="E863">
        <v>21</v>
      </c>
      <c r="F863" t="str" cm="1">
        <f t="array" ref="F863">INDEX(Country!$B$3:$B$250, MATCH(TRUE, ISNUMBER(SEARCH(Country!$A$2:$A$509, Customer_Data[[#This Row],[Country]])),0 ))</f>
        <v>Antarctica</v>
      </c>
      <c r="G863" t="s">
        <v>986</v>
      </c>
      <c r="H863" t="s">
        <v>1921</v>
      </c>
      <c r="I863" t="s">
        <v>2909</v>
      </c>
      <c r="J863" t="s">
        <v>3902</v>
      </c>
      <c r="K863" s="1">
        <v>44877</v>
      </c>
      <c r="L863">
        <f>YEAR(Customer_Data[[#This Row],[LastPurchaseDate]])</f>
        <v>2025</v>
      </c>
      <c r="M863">
        <f>MONTH(Customer_Data[[#This Row],[LastPurchaseDate]])</f>
        <v>7</v>
      </c>
      <c r="N863" s="7">
        <v>45854</v>
      </c>
      <c r="O863">
        <v>43</v>
      </c>
      <c r="P863" s="4">
        <v>8210.73</v>
      </c>
      <c r="Q863" t="s">
        <v>4035</v>
      </c>
      <c r="R863">
        <v>1</v>
      </c>
      <c r="S863">
        <v>190.95</v>
      </c>
    </row>
    <row r="864" spans="1:19" x14ac:dyDescent="0.25">
      <c r="A864">
        <v>869</v>
      </c>
      <c r="B864" t="s">
        <v>41</v>
      </c>
      <c r="C864" t="s">
        <v>656</v>
      </c>
      <c r="D864" t="s">
        <v>851</v>
      </c>
      <c r="E864">
        <v>60</v>
      </c>
      <c r="F864" t="str" cm="1">
        <f t="array" ref="F864">INDEX(Country!$B$3:$B$250, MATCH(TRUE, ISNUMBER(SEARCH(Country!$A$2:$A$509, Customer_Data[[#This Row],[Country]])),0 ))</f>
        <v>Oceania</v>
      </c>
      <c r="G864" t="s">
        <v>883</v>
      </c>
      <c r="H864" t="s">
        <v>1922</v>
      </c>
      <c r="I864" t="s">
        <v>2910</v>
      </c>
      <c r="J864" t="s">
        <v>3903</v>
      </c>
      <c r="K864" s="1">
        <v>45945</v>
      </c>
      <c r="L864">
        <f>YEAR(Customer_Data[[#This Row],[LastPurchaseDate]])</f>
        <v>2024</v>
      </c>
      <c r="M864">
        <f>MONTH(Customer_Data[[#This Row],[LastPurchaseDate]])</f>
        <v>2</v>
      </c>
      <c r="N864" s="7">
        <v>45344</v>
      </c>
      <c r="O864">
        <v>25</v>
      </c>
      <c r="P864" s="4">
        <v>4594.37</v>
      </c>
      <c r="Q864" t="s">
        <v>4035</v>
      </c>
      <c r="R864">
        <v>3</v>
      </c>
      <c r="S864">
        <v>183.77</v>
      </c>
    </row>
    <row r="865" spans="1:19" x14ac:dyDescent="0.25">
      <c r="A865">
        <v>870</v>
      </c>
      <c r="B865" t="s">
        <v>177</v>
      </c>
      <c r="C865" t="s">
        <v>805</v>
      </c>
      <c r="D865" t="s">
        <v>850</v>
      </c>
      <c r="E865">
        <v>19</v>
      </c>
      <c r="F865" t="str" cm="1">
        <f t="array" ref="F865">INDEX(Country!$B$3:$B$250, MATCH(TRUE, ISNUMBER(SEARCH(Country!$A$2:$A$509, Customer_Data[[#This Row],[Country]])),0 ))</f>
        <v>Europe</v>
      </c>
      <c r="G865" t="s">
        <v>1038</v>
      </c>
      <c r="H865" t="s">
        <v>1923</v>
      </c>
      <c r="I865" t="s">
        <v>2911</v>
      </c>
      <c r="J865" t="s">
        <v>3904</v>
      </c>
      <c r="K865" s="1">
        <v>45806</v>
      </c>
      <c r="L865">
        <f>YEAR(Customer_Data[[#This Row],[LastPurchaseDate]])</f>
        <v>2024</v>
      </c>
      <c r="M865">
        <f>MONTH(Customer_Data[[#This Row],[LastPurchaseDate]])</f>
        <v>12</v>
      </c>
      <c r="N865" s="7">
        <v>45635</v>
      </c>
      <c r="O865">
        <v>39</v>
      </c>
      <c r="P865" s="4">
        <v>785.52</v>
      </c>
      <c r="Q865" t="s">
        <v>4035</v>
      </c>
      <c r="R865">
        <v>5</v>
      </c>
      <c r="S865">
        <v>20.14</v>
      </c>
    </row>
    <row r="866" spans="1:19" x14ac:dyDescent="0.25">
      <c r="A866">
        <v>871</v>
      </c>
      <c r="B866" t="s">
        <v>37</v>
      </c>
      <c r="C866" t="s">
        <v>714</v>
      </c>
      <c r="D866" t="s">
        <v>851</v>
      </c>
      <c r="E866">
        <v>28</v>
      </c>
      <c r="F866" t="str" cm="1">
        <f t="array" ref="F866">INDEX(Country!$B$3:$B$250, MATCH(TRUE, ISNUMBER(SEARCH(Country!$A$2:$A$509, Customer_Data[[#This Row],[Country]])),0 ))</f>
        <v>North America</v>
      </c>
      <c r="G866" t="s">
        <v>1026</v>
      </c>
      <c r="H866" t="s">
        <v>1924</v>
      </c>
      <c r="I866" t="s">
        <v>2912</v>
      </c>
      <c r="J866" t="s">
        <v>3905</v>
      </c>
      <c r="K866" s="1">
        <v>45179</v>
      </c>
      <c r="L866">
        <f>YEAR(Customer_Data[[#This Row],[LastPurchaseDate]])</f>
        <v>2024</v>
      </c>
      <c r="M866">
        <f>MONTH(Customer_Data[[#This Row],[LastPurchaseDate]])</f>
        <v>1</v>
      </c>
      <c r="N866" s="7">
        <v>45318</v>
      </c>
      <c r="O866">
        <v>7</v>
      </c>
      <c r="P866" s="4">
        <v>1175.44</v>
      </c>
      <c r="Q866" t="s">
        <v>4035</v>
      </c>
      <c r="R866">
        <v>3</v>
      </c>
      <c r="S866">
        <v>167.92</v>
      </c>
    </row>
    <row r="867" spans="1:19" x14ac:dyDescent="0.25">
      <c r="A867">
        <v>872</v>
      </c>
      <c r="B867" t="s">
        <v>349</v>
      </c>
      <c r="C867" t="s">
        <v>608</v>
      </c>
      <c r="D867" t="s">
        <v>851</v>
      </c>
      <c r="E867">
        <v>53</v>
      </c>
      <c r="F867" t="str" cm="1">
        <f t="array" ref="F867">INDEX(Country!$B$3:$B$250, MATCH(TRUE, ISNUMBER(SEARCH(Country!$A$2:$A$509, Customer_Data[[#This Row],[Country]])),0 ))</f>
        <v>Africa</v>
      </c>
      <c r="G867" t="s">
        <v>957</v>
      </c>
      <c r="H867" t="s">
        <v>1925</v>
      </c>
      <c r="I867" t="s">
        <v>2913</v>
      </c>
      <c r="J867" t="s">
        <v>3906</v>
      </c>
      <c r="K867" s="1">
        <v>45547</v>
      </c>
      <c r="L867">
        <f>YEAR(Customer_Data[[#This Row],[LastPurchaseDate]])</f>
        <v>2023</v>
      </c>
      <c r="M867">
        <f>MONTH(Customer_Data[[#This Row],[LastPurchaseDate]])</f>
        <v>11</v>
      </c>
      <c r="N867" s="7">
        <v>45247</v>
      </c>
      <c r="O867">
        <v>49</v>
      </c>
      <c r="P867" s="4">
        <v>4238.96</v>
      </c>
      <c r="Q867" t="s">
        <v>4034</v>
      </c>
      <c r="R867">
        <v>3</v>
      </c>
      <c r="S867">
        <v>86.51</v>
      </c>
    </row>
    <row r="868" spans="1:19" x14ac:dyDescent="0.25">
      <c r="A868">
        <v>873</v>
      </c>
      <c r="B868" t="s">
        <v>91</v>
      </c>
      <c r="C868" t="s">
        <v>806</v>
      </c>
      <c r="D868" t="s">
        <v>851</v>
      </c>
      <c r="E868">
        <v>40</v>
      </c>
      <c r="F868" t="str" cm="1">
        <f t="array" ref="F868">INDEX(Country!$B$3:$B$250, MATCH(TRUE, ISNUMBER(SEARCH(Country!$A$2:$A$509, Customer_Data[[#This Row],[Country]])),0 ))</f>
        <v>Asia</v>
      </c>
      <c r="G868" t="s">
        <v>915</v>
      </c>
      <c r="H868" t="s">
        <v>1926</v>
      </c>
      <c r="I868" t="s">
        <v>2914</v>
      </c>
      <c r="J868" t="s">
        <v>3907</v>
      </c>
      <c r="K868" s="1">
        <v>45841</v>
      </c>
      <c r="L868">
        <f>YEAR(Customer_Data[[#This Row],[LastPurchaseDate]])</f>
        <v>2025</v>
      </c>
      <c r="M868">
        <f>MONTH(Customer_Data[[#This Row],[LastPurchaseDate]])</f>
        <v>4</v>
      </c>
      <c r="N868" s="7">
        <v>45750</v>
      </c>
      <c r="O868">
        <v>21</v>
      </c>
      <c r="P868" s="4">
        <v>9317.1</v>
      </c>
      <c r="Q868" t="s">
        <v>4035</v>
      </c>
      <c r="R868">
        <v>4</v>
      </c>
      <c r="S868">
        <v>443.67</v>
      </c>
    </row>
    <row r="869" spans="1:19" x14ac:dyDescent="0.25">
      <c r="A869">
        <v>874</v>
      </c>
      <c r="B869" t="s">
        <v>24</v>
      </c>
      <c r="C869" t="s">
        <v>807</v>
      </c>
      <c r="D869" t="s">
        <v>850</v>
      </c>
      <c r="E869">
        <v>58</v>
      </c>
      <c r="F869" t="str" cm="1">
        <f t="array" ref="F869">INDEX(Country!$B$3:$B$250, MATCH(TRUE, ISNUMBER(SEARCH(Country!$A$2:$A$509, Customer_Data[[#This Row],[Country]])),0 ))</f>
        <v>Asia</v>
      </c>
      <c r="G869" t="s">
        <v>1080</v>
      </c>
      <c r="H869" t="s">
        <v>1927</v>
      </c>
      <c r="I869" t="s">
        <v>2915</v>
      </c>
      <c r="J869" t="s">
        <v>3908</v>
      </c>
      <c r="K869" s="1">
        <v>45462</v>
      </c>
      <c r="L869">
        <f>YEAR(Customer_Data[[#This Row],[LastPurchaseDate]])</f>
        <v>2024</v>
      </c>
      <c r="M869">
        <f>MONTH(Customer_Data[[#This Row],[LastPurchaseDate]])</f>
        <v>5</v>
      </c>
      <c r="N869" s="7">
        <v>45434</v>
      </c>
      <c r="O869">
        <v>1</v>
      </c>
      <c r="P869" s="4">
        <v>3432.09</v>
      </c>
      <c r="Q869" t="s">
        <v>4035</v>
      </c>
      <c r="R869">
        <v>2</v>
      </c>
      <c r="S869">
        <v>3432.09</v>
      </c>
    </row>
    <row r="870" spans="1:19" x14ac:dyDescent="0.25">
      <c r="A870">
        <v>875</v>
      </c>
      <c r="B870" t="s">
        <v>18</v>
      </c>
      <c r="C870" t="s">
        <v>471</v>
      </c>
      <c r="D870" t="s">
        <v>851</v>
      </c>
      <c r="E870">
        <v>72</v>
      </c>
      <c r="F870" t="str" cm="1">
        <f t="array" ref="F870">INDEX(Country!$B$3:$B$250, MATCH(TRUE, ISNUMBER(SEARCH(Country!$A$2:$A$509, Customer_Data[[#This Row],[Country]])),0 ))</f>
        <v>Europe</v>
      </c>
      <c r="G870" t="s">
        <v>912</v>
      </c>
      <c r="H870" t="s">
        <v>1357</v>
      </c>
      <c r="I870" t="s">
        <v>2916</v>
      </c>
      <c r="J870" t="s">
        <v>3909</v>
      </c>
      <c r="K870" s="1">
        <v>45027</v>
      </c>
      <c r="L870">
        <f>YEAR(Customer_Data[[#This Row],[LastPurchaseDate]])</f>
        <v>2024</v>
      </c>
      <c r="M870">
        <f>MONTH(Customer_Data[[#This Row],[LastPurchaseDate]])</f>
        <v>7</v>
      </c>
      <c r="N870" s="7">
        <v>45504</v>
      </c>
      <c r="O870">
        <v>37</v>
      </c>
      <c r="P870" s="4">
        <v>5360.08</v>
      </c>
      <c r="Q870" t="s">
        <v>4035</v>
      </c>
      <c r="R870">
        <v>1</v>
      </c>
      <c r="S870">
        <v>144.87</v>
      </c>
    </row>
    <row r="871" spans="1:19" x14ac:dyDescent="0.25">
      <c r="A871">
        <v>876</v>
      </c>
      <c r="B871" t="s">
        <v>257</v>
      </c>
      <c r="C871" t="s">
        <v>808</v>
      </c>
      <c r="D871" t="s">
        <v>850</v>
      </c>
      <c r="E871">
        <v>55</v>
      </c>
      <c r="F871" t="str" cm="1">
        <f t="array" ref="F871">INDEX(Country!$B$3:$B$250, MATCH(TRUE, ISNUMBER(SEARCH(Country!$A$2:$A$509, Customer_Data[[#This Row],[Country]])),0 ))</f>
        <v>Africa</v>
      </c>
      <c r="G871" t="s">
        <v>967</v>
      </c>
      <c r="H871" t="s">
        <v>1928</v>
      </c>
      <c r="I871" t="s">
        <v>2917</v>
      </c>
      <c r="J871" t="s">
        <v>3910</v>
      </c>
      <c r="K871" s="1">
        <v>45677</v>
      </c>
      <c r="L871">
        <f>YEAR(Customer_Data[[#This Row],[LastPurchaseDate]])</f>
        <v>2025</v>
      </c>
      <c r="M871">
        <f>MONTH(Customer_Data[[#This Row],[LastPurchaseDate]])</f>
        <v>5</v>
      </c>
      <c r="N871" s="7">
        <v>45805</v>
      </c>
      <c r="O871">
        <v>38</v>
      </c>
      <c r="P871" s="4">
        <v>2351</v>
      </c>
      <c r="Q871" t="s">
        <v>4035</v>
      </c>
      <c r="R871">
        <v>5</v>
      </c>
      <c r="S871">
        <v>61.87</v>
      </c>
    </row>
    <row r="872" spans="1:19" x14ac:dyDescent="0.25">
      <c r="A872">
        <v>877</v>
      </c>
      <c r="B872" t="s">
        <v>107</v>
      </c>
      <c r="C872" t="s">
        <v>518</v>
      </c>
      <c r="D872" t="s">
        <v>851</v>
      </c>
      <c r="E872">
        <v>52</v>
      </c>
      <c r="F872" t="str" cm="1">
        <f t="array" ref="F872">INDEX(Country!$B$3:$B$250, MATCH(TRUE, ISNUMBER(SEARCH(Country!$A$2:$A$509, Customer_Data[[#This Row],[Country]])),0 ))</f>
        <v>Asia</v>
      </c>
      <c r="G872" t="s">
        <v>913</v>
      </c>
      <c r="H872" t="s">
        <v>1929</v>
      </c>
      <c r="I872" t="s">
        <v>2918</v>
      </c>
      <c r="J872" t="s">
        <v>3911</v>
      </c>
      <c r="K872" s="1">
        <v>45499</v>
      </c>
      <c r="L872">
        <f>YEAR(Customer_Data[[#This Row],[LastPurchaseDate]])</f>
        <v>2024</v>
      </c>
      <c r="M872">
        <f>MONTH(Customer_Data[[#This Row],[LastPurchaseDate]])</f>
        <v>6</v>
      </c>
      <c r="N872" s="7">
        <v>45459</v>
      </c>
      <c r="O872">
        <v>1</v>
      </c>
      <c r="P872" s="4">
        <v>5982.21</v>
      </c>
      <c r="Q872" t="s">
        <v>4035</v>
      </c>
      <c r="R872">
        <v>4</v>
      </c>
      <c r="S872">
        <v>5982.21</v>
      </c>
    </row>
    <row r="873" spans="1:19" x14ac:dyDescent="0.25">
      <c r="A873">
        <v>878</v>
      </c>
      <c r="B873" t="s">
        <v>33</v>
      </c>
      <c r="C873" t="s">
        <v>490</v>
      </c>
      <c r="D873" t="s">
        <v>850</v>
      </c>
      <c r="E873">
        <v>43</v>
      </c>
      <c r="F873" t="str" cm="1">
        <f t="array" ref="F873">INDEX(Country!$B$3:$B$250, MATCH(TRUE, ISNUMBER(SEARCH(Country!$A$2:$A$509, Customer_Data[[#This Row],[Country]])),0 ))</f>
        <v>Asia</v>
      </c>
      <c r="G873" t="s">
        <v>159</v>
      </c>
      <c r="H873" t="s">
        <v>1930</v>
      </c>
      <c r="I873" t="s">
        <v>2919</v>
      </c>
      <c r="J873" t="s">
        <v>3912</v>
      </c>
      <c r="K873" s="1">
        <v>45564</v>
      </c>
      <c r="L873">
        <f>YEAR(Customer_Data[[#This Row],[LastPurchaseDate]])</f>
        <v>2024</v>
      </c>
      <c r="M873">
        <f>MONTH(Customer_Data[[#This Row],[LastPurchaseDate]])</f>
        <v>1</v>
      </c>
      <c r="N873" s="7">
        <v>45314</v>
      </c>
      <c r="O873">
        <v>17</v>
      </c>
      <c r="P873" s="4">
        <v>1547.43</v>
      </c>
      <c r="Q873" t="s">
        <v>4035</v>
      </c>
      <c r="R873">
        <v>1</v>
      </c>
      <c r="S873">
        <v>91.03</v>
      </c>
    </row>
    <row r="874" spans="1:19" x14ac:dyDescent="0.25">
      <c r="A874">
        <v>879</v>
      </c>
      <c r="B874" t="s">
        <v>350</v>
      </c>
      <c r="C874" t="s">
        <v>517</v>
      </c>
      <c r="D874" t="s">
        <v>851</v>
      </c>
      <c r="E874">
        <v>36</v>
      </c>
      <c r="F874" t="str" cm="1">
        <f t="array" ref="F874">INDEX(Country!$B$3:$B$250, MATCH(TRUE, ISNUMBER(SEARCH(Country!$A$2:$A$509, Customer_Data[[#This Row],[Country]])),0 ))</f>
        <v>South America</v>
      </c>
      <c r="G874" t="s">
        <v>988</v>
      </c>
      <c r="H874" t="s">
        <v>1931</v>
      </c>
      <c r="I874" t="s">
        <v>2920</v>
      </c>
      <c r="J874" t="s">
        <v>3913</v>
      </c>
      <c r="K874" s="1">
        <v>45590</v>
      </c>
      <c r="L874">
        <f>YEAR(Customer_Data[[#This Row],[LastPurchaseDate]])</f>
        <v>2024</v>
      </c>
      <c r="M874">
        <f>MONTH(Customer_Data[[#This Row],[LastPurchaseDate]])</f>
        <v>11</v>
      </c>
      <c r="N874" s="7">
        <v>45624</v>
      </c>
      <c r="O874">
        <v>17</v>
      </c>
      <c r="P874" s="4">
        <v>8694.44</v>
      </c>
      <c r="Q874" t="s">
        <v>4035</v>
      </c>
      <c r="R874">
        <v>3</v>
      </c>
      <c r="S874">
        <v>511.44</v>
      </c>
    </row>
    <row r="875" spans="1:19" x14ac:dyDescent="0.25">
      <c r="A875">
        <v>880</v>
      </c>
      <c r="B875" t="s">
        <v>36</v>
      </c>
      <c r="C875" t="s">
        <v>307</v>
      </c>
      <c r="D875" t="s">
        <v>850</v>
      </c>
      <c r="E875">
        <v>42</v>
      </c>
      <c r="F875" t="str" cm="1">
        <f t="array" ref="F875">INDEX(Country!$B$3:$B$250, MATCH(TRUE, ISNUMBER(SEARCH(Country!$A$2:$A$509, Customer_Data[[#This Row],[Country]])),0 ))</f>
        <v>Oceania</v>
      </c>
      <c r="G875" t="s">
        <v>930</v>
      </c>
      <c r="H875" t="s">
        <v>1932</v>
      </c>
      <c r="I875" t="s">
        <v>2921</v>
      </c>
      <c r="J875" t="s">
        <v>3914</v>
      </c>
      <c r="K875" s="1">
        <v>45144</v>
      </c>
      <c r="L875">
        <f>YEAR(Customer_Data[[#This Row],[LastPurchaseDate]])</f>
        <v>2025</v>
      </c>
      <c r="M875">
        <f>MONTH(Customer_Data[[#This Row],[LastPurchaseDate]])</f>
        <v>8</v>
      </c>
      <c r="N875" s="7">
        <v>45883</v>
      </c>
      <c r="O875">
        <v>33</v>
      </c>
      <c r="P875" s="4">
        <v>5502.43</v>
      </c>
      <c r="Q875" t="s">
        <v>4034</v>
      </c>
      <c r="R875">
        <v>5</v>
      </c>
      <c r="S875">
        <v>166.74</v>
      </c>
    </row>
    <row r="876" spans="1:19" x14ac:dyDescent="0.25">
      <c r="A876">
        <v>881</v>
      </c>
      <c r="B876" t="s">
        <v>179</v>
      </c>
      <c r="C876" t="s">
        <v>809</v>
      </c>
      <c r="D876" t="s">
        <v>850</v>
      </c>
      <c r="E876">
        <v>70</v>
      </c>
      <c r="F876" t="str" cm="1">
        <f t="array" ref="F876">INDEX(Country!$B$3:$B$250, MATCH(TRUE, ISNUMBER(SEARCH(Country!$A$2:$A$509, Customer_Data[[#This Row],[Country]])),0 ))</f>
        <v>Africa</v>
      </c>
      <c r="G876" t="s">
        <v>978</v>
      </c>
      <c r="H876" t="s">
        <v>1933</v>
      </c>
      <c r="I876" t="s">
        <v>2922</v>
      </c>
      <c r="J876" t="s">
        <v>3915</v>
      </c>
      <c r="K876" s="1">
        <v>45833</v>
      </c>
      <c r="L876">
        <f>YEAR(Customer_Data[[#This Row],[LastPurchaseDate]])</f>
        <v>2025</v>
      </c>
      <c r="M876">
        <f>MONTH(Customer_Data[[#This Row],[LastPurchaseDate]])</f>
        <v>10</v>
      </c>
      <c r="N876" s="7">
        <v>45938</v>
      </c>
      <c r="O876">
        <v>43</v>
      </c>
      <c r="P876" s="4">
        <v>2635.13</v>
      </c>
      <c r="Q876" t="s">
        <v>4035</v>
      </c>
      <c r="R876">
        <v>2</v>
      </c>
      <c r="S876">
        <v>61.28</v>
      </c>
    </row>
    <row r="877" spans="1:19" x14ac:dyDescent="0.25">
      <c r="A877">
        <v>882</v>
      </c>
      <c r="B877" t="s">
        <v>201</v>
      </c>
      <c r="C877" t="s">
        <v>482</v>
      </c>
      <c r="D877" t="s">
        <v>850</v>
      </c>
      <c r="E877">
        <v>71</v>
      </c>
      <c r="F877" t="str" cm="1">
        <f t="array" ref="F877">INDEX(Country!$B$3:$B$250, MATCH(TRUE, ISNUMBER(SEARCH(Country!$A$2:$A$509, Customer_Data[[#This Row],[Country]])),0 ))</f>
        <v>Europe</v>
      </c>
      <c r="G877" t="s">
        <v>981</v>
      </c>
      <c r="H877" t="s">
        <v>1934</v>
      </c>
      <c r="I877" t="s">
        <v>2923</v>
      </c>
      <c r="J877" t="s">
        <v>3916</v>
      </c>
      <c r="K877" s="1">
        <v>45697</v>
      </c>
      <c r="L877">
        <f>YEAR(Customer_Data[[#This Row],[LastPurchaseDate]])</f>
        <v>2025</v>
      </c>
      <c r="M877">
        <f>MONTH(Customer_Data[[#This Row],[LastPurchaseDate]])</f>
        <v>3</v>
      </c>
      <c r="N877" s="7">
        <v>45720</v>
      </c>
      <c r="O877">
        <v>16</v>
      </c>
      <c r="P877" s="4">
        <v>7482.23</v>
      </c>
      <c r="Q877" t="s">
        <v>4035</v>
      </c>
      <c r="R877">
        <v>2</v>
      </c>
      <c r="S877">
        <v>467.64</v>
      </c>
    </row>
    <row r="878" spans="1:19" x14ac:dyDescent="0.25">
      <c r="A878">
        <v>883</v>
      </c>
      <c r="B878" t="s">
        <v>38</v>
      </c>
      <c r="C878" t="s">
        <v>649</v>
      </c>
      <c r="D878" t="s">
        <v>850</v>
      </c>
      <c r="E878">
        <v>31</v>
      </c>
      <c r="F878" t="str" cm="1">
        <f t="array" ref="F878">INDEX(Country!$B$3:$B$250, MATCH(TRUE, ISNUMBER(SEARCH(Country!$A$2:$A$509, Customer_Data[[#This Row],[Country]])),0 ))</f>
        <v>Oceania</v>
      </c>
      <c r="G878" t="s">
        <v>1048</v>
      </c>
      <c r="H878" t="s">
        <v>1935</v>
      </c>
      <c r="I878" t="s">
        <v>2924</v>
      </c>
      <c r="J878" t="s">
        <v>3917</v>
      </c>
      <c r="K878" s="1">
        <v>44979</v>
      </c>
      <c r="L878">
        <f>YEAR(Customer_Data[[#This Row],[LastPurchaseDate]])</f>
        <v>2025</v>
      </c>
      <c r="M878">
        <f>MONTH(Customer_Data[[#This Row],[LastPurchaseDate]])</f>
        <v>7</v>
      </c>
      <c r="N878" s="7">
        <v>45861</v>
      </c>
      <c r="O878">
        <v>3</v>
      </c>
      <c r="P878" s="4">
        <v>9170.34</v>
      </c>
      <c r="Q878" t="s">
        <v>4035</v>
      </c>
      <c r="R878">
        <v>1</v>
      </c>
      <c r="S878">
        <v>3056.78</v>
      </c>
    </row>
    <row r="879" spans="1:19" x14ac:dyDescent="0.25">
      <c r="A879">
        <v>884</v>
      </c>
      <c r="B879" t="s">
        <v>351</v>
      </c>
      <c r="C879" t="s">
        <v>528</v>
      </c>
      <c r="D879" t="s">
        <v>850</v>
      </c>
      <c r="E879">
        <v>72</v>
      </c>
      <c r="F879" t="str" cm="1">
        <f t="array" ref="F879">INDEX(Country!$B$3:$B$250, MATCH(TRUE, ISNUMBER(SEARCH(Country!$A$2:$A$509, Customer_Data[[#This Row],[Country]])),0 ))</f>
        <v>Asia</v>
      </c>
      <c r="G879" t="s">
        <v>925</v>
      </c>
      <c r="H879" t="s">
        <v>1936</v>
      </c>
      <c r="I879" t="s">
        <v>2925</v>
      </c>
      <c r="J879" t="s">
        <v>3918</v>
      </c>
      <c r="K879" s="1">
        <v>45709</v>
      </c>
      <c r="L879">
        <f>YEAR(Customer_Data[[#This Row],[LastPurchaseDate]])</f>
        <v>2025</v>
      </c>
      <c r="M879">
        <f>MONTH(Customer_Data[[#This Row],[LastPurchaseDate]])</f>
        <v>7</v>
      </c>
      <c r="N879" s="7">
        <v>45854</v>
      </c>
      <c r="O879">
        <v>34</v>
      </c>
      <c r="P879" s="4">
        <v>6522.46</v>
      </c>
      <c r="Q879" t="s">
        <v>4034</v>
      </c>
      <c r="R879">
        <v>2</v>
      </c>
      <c r="S879">
        <v>191.84</v>
      </c>
    </row>
    <row r="880" spans="1:19" x14ac:dyDescent="0.25">
      <c r="A880">
        <v>885</v>
      </c>
      <c r="B880" t="s">
        <v>159</v>
      </c>
      <c r="C880" t="s">
        <v>810</v>
      </c>
      <c r="D880" t="s">
        <v>850</v>
      </c>
      <c r="E880">
        <v>20</v>
      </c>
      <c r="F880" t="str" cm="1">
        <f t="array" ref="F880">INDEX(Country!$B$3:$B$250, MATCH(TRUE, ISNUMBER(SEARCH(Country!$A$2:$A$509, Customer_Data[[#This Row],[Country]])),0 ))</f>
        <v>North America</v>
      </c>
      <c r="G880" t="s">
        <v>964</v>
      </c>
      <c r="H880" t="s">
        <v>1937</v>
      </c>
      <c r="I880" t="s">
        <v>2926</v>
      </c>
      <c r="J880" t="s">
        <v>3919</v>
      </c>
      <c r="K880" s="1">
        <v>45064</v>
      </c>
      <c r="L880">
        <f>YEAR(Customer_Data[[#This Row],[LastPurchaseDate]])</f>
        <v>2025</v>
      </c>
      <c r="M880">
        <f>MONTH(Customer_Data[[#This Row],[LastPurchaseDate]])</f>
        <v>10</v>
      </c>
      <c r="N880" s="7">
        <v>45934</v>
      </c>
      <c r="O880">
        <v>4</v>
      </c>
      <c r="P880" s="4">
        <v>5956.67</v>
      </c>
      <c r="Q880" t="s">
        <v>4035</v>
      </c>
      <c r="R880">
        <v>3</v>
      </c>
      <c r="S880">
        <v>1489.17</v>
      </c>
    </row>
    <row r="881" spans="1:19" x14ac:dyDescent="0.25">
      <c r="A881">
        <v>886</v>
      </c>
      <c r="B881" t="s">
        <v>352</v>
      </c>
      <c r="C881" t="s">
        <v>594</v>
      </c>
      <c r="D881" t="s">
        <v>850</v>
      </c>
      <c r="E881">
        <v>21</v>
      </c>
      <c r="F881" t="str" cm="1">
        <f t="array" ref="F881">INDEX(Country!$B$3:$B$250, MATCH(TRUE, ISNUMBER(SEARCH(Country!$A$2:$A$509, Customer_Data[[#This Row],[Country]])),0 ))</f>
        <v>Europe</v>
      </c>
      <c r="G881" t="s">
        <v>1032</v>
      </c>
      <c r="H881" t="s">
        <v>1938</v>
      </c>
      <c r="I881" t="s">
        <v>2927</v>
      </c>
      <c r="J881" t="s">
        <v>3920</v>
      </c>
      <c r="K881" s="1">
        <v>45794</v>
      </c>
      <c r="L881">
        <f>YEAR(Customer_Data[[#This Row],[LastPurchaseDate]])</f>
        <v>2024</v>
      </c>
      <c r="M881">
        <f>MONTH(Customer_Data[[#This Row],[LastPurchaseDate]])</f>
        <v>3</v>
      </c>
      <c r="N881" s="7">
        <v>45362</v>
      </c>
      <c r="O881">
        <v>36</v>
      </c>
      <c r="P881" s="4">
        <v>3181.76</v>
      </c>
      <c r="Q881" t="s">
        <v>4035</v>
      </c>
      <c r="R881">
        <v>2</v>
      </c>
      <c r="S881">
        <v>88.38</v>
      </c>
    </row>
    <row r="882" spans="1:19" x14ac:dyDescent="0.25">
      <c r="A882">
        <v>887</v>
      </c>
      <c r="B882" t="s">
        <v>292</v>
      </c>
      <c r="C882" t="s">
        <v>570</v>
      </c>
      <c r="D882" t="s">
        <v>850</v>
      </c>
      <c r="E882">
        <v>73</v>
      </c>
      <c r="F882" t="str" cm="1">
        <f t="array" ref="F882">INDEX(Country!$B$3:$B$250, MATCH(TRUE, ISNUMBER(SEARCH(Country!$A$2:$A$509, Customer_Data[[#This Row],[Country]])),0 ))</f>
        <v>Europe</v>
      </c>
      <c r="G882" t="s">
        <v>871</v>
      </c>
      <c r="H882" t="s">
        <v>1939</v>
      </c>
      <c r="I882" t="s">
        <v>2928</v>
      </c>
      <c r="J882" t="s">
        <v>3921</v>
      </c>
      <c r="K882" s="1">
        <v>44905</v>
      </c>
      <c r="L882">
        <f>YEAR(Customer_Data[[#This Row],[LastPurchaseDate]])</f>
        <v>2024</v>
      </c>
      <c r="M882">
        <f>MONTH(Customer_Data[[#This Row],[LastPurchaseDate]])</f>
        <v>6</v>
      </c>
      <c r="N882" s="7">
        <v>45472</v>
      </c>
      <c r="O882">
        <v>40</v>
      </c>
      <c r="P882" s="4">
        <v>5782.99</v>
      </c>
      <c r="Q882" t="s">
        <v>4035</v>
      </c>
      <c r="R882">
        <v>1</v>
      </c>
      <c r="S882">
        <v>144.57</v>
      </c>
    </row>
    <row r="883" spans="1:19" x14ac:dyDescent="0.25">
      <c r="A883">
        <v>888</v>
      </c>
      <c r="B883" t="s">
        <v>93</v>
      </c>
      <c r="C883" t="s">
        <v>597</v>
      </c>
      <c r="D883" t="s">
        <v>852</v>
      </c>
      <c r="E883">
        <v>59</v>
      </c>
      <c r="F883" t="str" cm="1">
        <f t="array" ref="F883">INDEX(Country!$B$3:$B$250, MATCH(TRUE, ISNUMBER(SEARCH(Country!$A$2:$A$509, Customer_Data[[#This Row],[Country]])),0 ))</f>
        <v>North America</v>
      </c>
      <c r="G883" t="s">
        <v>1001</v>
      </c>
      <c r="H883" t="s">
        <v>1344</v>
      </c>
      <c r="I883" t="s">
        <v>2929</v>
      </c>
      <c r="J883" t="s">
        <v>3922</v>
      </c>
      <c r="K883" s="1">
        <v>45891</v>
      </c>
      <c r="L883">
        <f>YEAR(Customer_Data[[#This Row],[LastPurchaseDate]])</f>
        <v>2025</v>
      </c>
      <c r="M883">
        <f>MONTH(Customer_Data[[#This Row],[LastPurchaseDate]])</f>
        <v>5</v>
      </c>
      <c r="N883" s="7">
        <v>45779</v>
      </c>
      <c r="O883">
        <v>39</v>
      </c>
      <c r="P883" s="4">
        <v>8380.7999999999993</v>
      </c>
      <c r="Q883" t="s">
        <v>4034</v>
      </c>
      <c r="R883">
        <v>3</v>
      </c>
      <c r="S883">
        <v>214.89</v>
      </c>
    </row>
    <row r="884" spans="1:19" x14ac:dyDescent="0.25">
      <c r="A884">
        <v>889</v>
      </c>
      <c r="B884" t="s">
        <v>353</v>
      </c>
      <c r="C884" t="s">
        <v>85</v>
      </c>
      <c r="D884" t="s">
        <v>850</v>
      </c>
      <c r="E884">
        <v>70</v>
      </c>
      <c r="F884" t="str" cm="1">
        <f t="array" ref="F884">INDEX(Country!$B$3:$B$250, MATCH(TRUE, ISNUMBER(SEARCH(Country!$A$2:$A$509, Customer_Data[[#This Row],[Country]])),0 ))</f>
        <v>Europe</v>
      </c>
      <c r="G884" t="s">
        <v>1055</v>
      </c>
      <c r="H884" t="s">
        <v>1590</v>
      </c>
      <c r="I884" t="s">
        <v>2930</v>
      </c>
      <c r="J884" t="s">
        <v>3923</v>
      </c>
      <c r="K884" s="1">
        <v>44992</v>
      </c>
      <c r="L884">
        <f>YEAR(Customer_Data[[#This Row],[LastPurchaseDate]])</f>
        <v>2025</v>
      </c>
      <c r="M884">
        <f>MONTH(Customer_Data[[#This Row],[LastPurchaseDate]])</f>
        <v>5</v>
      </c>
      <c r="N884" s="7">
        <v>45807</v>
      </c>
      <c r="O884">
        <v>17</v>
      </c>
      <c r="P884" s="4">
        <v>222.24</v>
      </c>
      <c r="Q884" t="s">
        <v>4034</v>
      </c>
      <c r="R884">
        <v>3</v>
      </c>
      <c r="S884">
        <v>13.07</v>
      </c>
    </row>
    <row r="885" spans="1:19" x14ac:dyDescent="0.25">
      <c r="A885">
        <v>890</v>
      </c>
      <c r="B885" t="s">
        <v>247</v>
      </c>
      <c r="C885" t="s">
        <v>811</v>
      </c>
      <c r="D885" t="s">
        <v>851</v>
      </c>
      <c r="E885">
        <v>62</v>
      </c>
      <c r="F885" t="str" cm="1">
        <f t="array" ref="F885">INDEX(Country!$B$3:$B$250, MATCH(TRUE, ISNUMBER(SEARCH(Country!$A$2:$A$509, Customer_Data[[#This Row],[Country]])),0 ))</f>
        <v>Asia</v>
      </c>
      <c r="G885" t="s">
        <v>1075</v>
      </c>
      <c r="H885" t="s">
        <v>1940</v>
      </c>
      <c r="I885" t="s">
        <v>2931</v>
      </c>
      <c r="J885" t="s">
        <v>3924</v>
      </c>
      <c r="K885" s="1">
        <v>45629</v>
      </c>
      <c r="L885">
        <f>YEAR(Customer_Data[[#This Row],[LastPurchaseDate]])</f>
        <v>2025</v>
      </c>
      <c r="M885">
        <f>MONTH(Customer_Data[[#This Row],[LastPurchaseDate]])</f>
        <v>2</v>
      </c>
      <c r="N885" s="7">
        <v>45712</v>
      </c>
      <c r="O885">
        <v>16</v>
      </c>
      <c r="P885" s="4">
        <v>8161.08</v>
      </c>
      <c r="Q885" t="s">
        <v>4035</v>
      </c>
      <c r="R885">
        <v>1</v>
      </c>
      <c r="S885">
        <v>510.07</v>
      </c>
    </row>
    <row r="886" spans="1:19" x14ac:dyDescent="0.25">
      <c r="A886">
        <v>891</v>
      </c>
      <c r="B886" t="s">
        <v>166</v>
      </c>
      <c r="C886" t="s">
        <v>379</v>
      </c>
      <c r="D886" t="s">
        <v>851</v>
      </c>
      <c r="E886">
        <v>22</v>
      </c>
      <c r="F886" t="str" cm="1">
        <f t="array" ref="F886">INDEX(Country!$B$3:$B$250, MATCH(TRUE, ISNUMBER(SEARCH(Country!$A$2:$A$509, Customer_Data[[#This Row],[Country]])),0 ))</f>
        <v>Europe</v>
      </c>
      <c r="G886" t="s">
        <v>896</v>
      </c>
      <c r="H886" t="s">
        <v>1941</v>
      </c>
      <c r="I886" t="s">
        <v>2932</v>
      </c>
      <c r="J886" t="s">
        <v>3925</v>
      </c>
      <c r="K886" s="1">
        <v>45696</v>
      </c>
      <c r="L886">
        <f>YEAR(Customer_Data[[#This Row],[LastPurchaseDate]])</f>
        <v>2025</v>
      </c>
      <c r="M886">
        <f>MONTH(Customer_Data[[#This Row],[LastPurchaseDate]])</f>
        <v>5</v>
      </c>
      <c r="N886" s="7">
        <v>45794</v>
      </c>
      <c r="O886">
        <v>35</v>
      </c>
      <c r="P886" s="4">
        <v>8132.67</v>
      </c>
      <c r="Q886" t="s">
        <v>4035</v>
      </c>
      <c r="R886">
        <v>1</v>
      </c>
      <c r="S886">
        <v>232.36</v>
      </c>
    </row>
    <row r="887" spans="1:19" x14ac:dyDescent="0.25">
      <c r="A887">
        <v>892</v>
      </c>
      <c r="B887" t="s">
        <v>306</v>
      </c>
      <c r="C887" t="s">
        <v>390</v>
      </c>
      <c r="D887" t="s">
        <v>851</v>
      </c>
      <c r="E887">
        <v>35</v>
      </c>
      <c r="F887" t="str" cm="1">
        <f t="array" ref="F887">INDEX(Country!$B$3:$B$250, MATCH(TRUE, ISNUMBER(SEARCH(Country!$A$2:$A$509, Customer_Data[[#This Row],[Country]])),0 ))</f>
        <v>Europe</v>
      </c>
      <c r="G887" t="s">
        <v>951</v>
      </c>
      <c r="H887" t="s">
        <v>1942</v>
      </c>
      <c r="I887" t="s">
        <v>2933</v>
      </c>
      <c r="J887" t="s">
        <v>3926</v>
      </c>
      <c r="K887" s="1">
        <v>45369</v>
      </c>
      <c r="L887">
        <f>YEAR(Customer_Data[[#This Row],[LastPurchaseDate]])</f>
        <v>2024</v>
      </c>
      <c r="M887">
        <f>MONTH(Customer_Data[[#This Row],[LastPurchaseDate]])</f>
        <v>7</v>
      </c>
      <c r="N887" s="7">
        <v>45499</v>
      </c>
      <c r="O887">
        <v>3</v>
      </c>
      <c r="P887" s="4">
        <v>1013.96</v>
      </c>
      <c r="Q887" t="s">
        <v>4035</v>
      </c>
      <c r="R887">
        <v>1</v>
      </c>
      <c r="S887">
        <v>337.99</v>
      </c>
    </row>
    <row r="888" spans="1:19" x14ac:dyDescent="0.25">
      <c r="A888">
        <v>893</v>
      </c>
      <c r="B888" t="s">
        <v>354</v>
      </c>
      <c r="C888" t="s">
        <v>812</v>
      </c>
      <c r="D888" t="s">
        <v>850</v>
      </c>
      <c r="E888">
        <v>43</v>
      </c>
      <c r="F888" t="str" cm="1">
        <f t="array" ref="F888">INDEX(Country!$B$3:$B$250, MATCH(TRUE, ISNUMBER(SEARCH(Country!$A$2:$A$509, Customer_Data[[#This Row],[Country]])),0 ))</f>
        <v>Europe</v>
      </c>
      <c r="G888" t="s">
        <v>871</v>
      </c>
      <c r="H888" t="s">
        <v>1943</v>
      </c>
      <c r="I888" t="s">
        <v>2934</v>
      </c>
      <c r="J888" t="s">
        <v>3927</v>
      </c>
      <c r="K888" s="1">
        <v>45489</v>
      </c>
      <c r="L888">
        <f>YEAR(Customer_Data[[#This Row],[LastPurchaseDate]])</f>
        <v>2024</v>
      </c>
      <c r="M888">
        <f>MONTH(Customer_Data[[#This Row],[LastPurchaseDate]])</f>
        <v>10</v>
      </c>
      <c r="N888" s="7">
        <v>45568</v>
      </c>
      <c r="O888">
        <v>37</v>
      </c>
      <c r="P888" s="4">
        <v>9349.9699999999993</v>
      </c>
      <c r="Q888" t="s">
        <v>4035</v>
      </c>
      <c r="R888">
        <v>4</v>
      </c>
      <c r="S888">
        <v>252.7</v>
      </c>
    </row>
    <row r="889" spans="1:19" x14ac:dyDescent="0.25">
      <c r="A889">
        <v>894</v>
      </c>
      <c r="B889" t="s">
        <v>355</v>
      </c>
      <c r="C889" t="s">
        <v>614</v>
      </c>
      <c r="D889" t="s">
        <v>850</v>
      </c>
      <c r="E889">
        <v>38</v>
      </c>
      <c r="F889" t="str" cm="1">
        <f t="array" ref="F889">INDEX(Country!$B$3:$B$250, MATCH(TRUE, ISNUMBER(SEARCH(Country!$A$2:$A$509, Customer_Data[[#This Row],[Country]])),0 ))</f>
        <v>Oceania</v>
      </c>
      <c r="G889" t="s">
        <v>932</v>
      </c>
      <c r="H889" t="s">
        <v>1944</v>
      </c>
      <c r="I889" t="s">
        <v>2935</v>
      </c>
      <c r="J889" t="s">
        <v>3928</v>
      </c>
      <c r="K889" s="1">
        <v>45585</v>
      </c>
      <c r="L889">
        <f>YEAR(Customer_Data[[#This Row],[LastPurchaseDate]])</f>
        <v>2024</v>
      </c>
      <c r="M889">
        <f>MONTH(Customer_Data[[#This Row],[LastPurchaseDate]])</f>
        <v>4</v>
      </c>
      <c r="N889" s="7">
        <v>45388</v>
      </c>
      <c r="O889">
        <v>5</v>
      </c>
      <c r="P889" s="4">
        <v>6971.59</v>
      </c>
      <c r="Q889" t="s">
        <v>4034</v>
      </c>
      <c r="R889">
        <v>4</v>
      </c>
      <c r="S889">
        <v>1394.32</v>
      </c>
    </row>
    <row r="890" spans="1:19" x14ac:dyDescent="0.25">
      <c r="A890">
        <v>895</v>
      </c>
      <c r="B890" t="s">
        <v>137</v>
      </c>
      <c r="C890" t="s">
        <v>607</v>
      </c>
      <c r="D890" t="s">
        <v>850</v>
      </c>
      <c r="E890">
        <v>48</v>
      </c>
      <c r="F890" t="str" cm="1">
        <f t="array" ref="F890">INDEX(Country!$B$3:$B$250, MATCH(TRUE, ISNUMBER(SEARCH(Country!$A$2:$A$509, Customer_Data[[#This Row],[Country]])),0 ))</f>
        <v>Africa</v>
      </c>
      <c r="G890" t="s">
        <v>967</v>
      </c>
      <c r="H890" t="s">
        <v>1945</v>
      </c>
      <c r="I890" t="s">
        <v>2936</v>
      </c>
      <c r="J890" t="s">
        <v>3929</v>
      </c>
      <c r="K890" s="1">
        <v>45502</v>
      </c>
      <c r="L890">
        <f>YEAR(Customer_Data[[#This Row],[LastPurchaseDate]])</f>
        <v>2024</v>
      </c>
      <c r="M890">
        <f>MONTH(Customer_Data[[#This Row],[LastPurchaseDate]])</f>
        <v>10</v>
      </c>
      <c r="N890" s="7">
        <v>45575</v>
      </c>
      <c r="O890">
        <v>31</v>
      </c>
      <c r="P890" s="4">
        <v>1702.89</v>
      </c>
      <c r="Q890" t="s">
        <v>4035</v>
      </c>
      <c r="R890">
        <v>3</v>
      </c>
      <c r="S890">
        <v>54.93</v>
      </c>
    </row>
    <row r="891" spans="1:19" x14ac:dyDescent="0.25">
      <c r="A891">
        <v>896</v>
      </c>
      <c r="B891" t="s">
        <v>140</v>
      </c>
      <c r="C891" t="s">
        <v>559</v>
      </c>
      <c r="D891" t="s">
        <v>850</v>
      </c>
      <c r="E891">
        <v>29</v>
      </c>
      <c r="F891" t="str" cm="1">
        <f t="array" ref="F891">INDEX(Country!$B$3:$B$250, MATCH(TRUE, ISNUMBER(SEARCH(Country!$A$2:$A$509, Customer_Data[[#This Row],[Country]])),0 ))</f>
        <v>North America</v>
      </c>
      <c r="G891" t="s">
        <v>878</v>
      </c>
      <c r="H891" t="s">
        <v>1946</v>
      </c>
      <c r="I891" t="s">
        <v>2937</v>
      </c>
      <c r="J891" t="s">
        <v>3930</v>
      </c>
      <c r="K891" s="1">
        <v>45463</v>
      </c>
      <c r="L891">
        <f>YEAR(Customer_Data[[#This Row],[LastPurchaseDate]])</f>
        <v>2024</v>
      </c>
      <c r="M891">
        <f>MONTH(Customer_Data[[#This Row],[LastPurchaseDate]])</f>
        <v>8</v>
      </c>
      <c r="N891" s="7">
        <v>45517</v>
      </c>
      <c r="O891">
        <v>25</v>
      </c>
      <c r="P891" s="4">
        <v>1834.37</v>
      </c>
      <c r="Q891" t="s">
        <v>4035</v>
      </c>
      <c r="R891">
        <v>4</v>
      </c>
      <c r="S891">
        <v>73.37</v>
      </c>
    </row>
    <row r="892" spans="1:19" x14ac:dyDescent="0.25">
      <c r="A892">
        <v>897</v>
      </c>
      <c r="B892" t="s">
        <v>69</v>
      </c>
      <c r="C892" t="s">
        <v>813</v>
      </c>
      <c r="D892" t="s">
        <v>850</v>
      </c>
      <c r="E892">
        <v>38</v>
      </c>
      <c r="F892" t="str" cm="1">
        <f t="array" ref="F892">INDEX(Country!$B$3:$B$250, MATCH(TRUE, ISNUMBER(SEARCH(Country!$A$2:$A$509, Customer_Data[[#This Row],[Country]])),0 ))</f>
        <v>North America</v>
      </c>
      <c r="G892" t="s">
        <v>969</v>
      </c>
      <c r="H892" t="s">
        <v>1947</v>
      </c>
      <c r="I892" t="s">
        <v>2938</v>
      </c>
      <c r="J892" t="s">
        <v>3931</v>
      </c>
      <c r="K892" s="1">
        <v>45617</v>
      </c>
      <c r="L892">
        <f>YEAR(Customer_Data[[#This Row],[LastPurchaseDate]])</f>
        <v>2024</v>
      </c>
      <c r="M892">
        <f>MONTH(Customer_Data[[#This Row],[LastPurchaseDate]])</f>
        <v>6</v>
      </c>
      <c r="N892" s="7">
        <v>45463</v>
      </c>
      <c r="O892">
        <v>8</v>
      </c>
      <c r="P892" s="4">
        <v>2021.08</v>
      </c>
      <c r="Q892" t="s">
        <v>4035</v>
      </c>
      <c r="R892">
        <v>5</v>
      </c>
      <c r="S892">
        <v>252.64</v>
      </c>
    </row>
    <row r="893" spans="1:19" x14ac:dyDescent="0.25">
      <c r="A893">
        <v>898</v>
      </c>
      <c r="B893" t="s">
        <v>188</v>
      </c>
      <c r="C893" t="s">
        <v>814</v>
      </c>
      <c r="D893" t="s">
        <v>851</v>
      </c>
      <c r="E893">
        <v>58</v>
      </c>
      <c r="F893" t="str" cm="1">
        <f t="array" ref="F893">INDEX(Country!$B$3:$B$250, MATCH(TRUE, ISNUMBER(SEARCH(Country!$A$2:$A$509, Customer_Data[[#This Row],[Country]])),0 ))</f>
        <v>North America</v>
      </c>
      <c r="G893" t="s">
        <v>964</v>
      </c>
      <c r="H893" t="s">
        <v>1948</v>
      </c>
      <c r="I893" t="s">
        <v>2939</v>
      </c>
      <c r="J893" t="s">
        <v>3932</v>
      </c>
      <c r="K893" s="1">
        <v>45491</v>
      </c>
      <c r="L893">
        <f>YEAR(Customer_Data[[#This Row],[LastPurchaseDate]])</f>
        <v>2024</v>
      </c>
      <c r="M893">
        <f>MONTH(Customer_Data[[#This Row],[LastPurchaseDate]])</f>
        <v>2</v>
      </c>
      <c r="N893" s="7">
        <v>45327</v>
      </c>
      <c r="O893">
        <v>39</v>
      </c>
      <c r="P893" s="4">
        <v>7969.78</v>
      </c>
      <c r="Q893" t="s">
        <v>4035</v>
      </c>
      <c r="R893">
        <v>4</v>
      </c>
      <c r="S893">
        <v>204.35</v>
      </c>
    </row>
    <row r="894" spans="1:19" x14ac:dyDescent="0.25">
      <c r="A894">
        <v>899</v>
      </c>
      <c r="B894" t="s">
        <v>181</v>
      </c>
      <c r="C894" t="s">
        <v>487</v>
      </c>
      <c r="D894" t="s">
        <v>851</v>
      </c>
      <c r="E894">
        <v>44</v>
      </c>
      <c r="F894" t="str" cm="1">
        <f t="array" ref="F894">INDEX(Country!$B$3:$B$250, MATCH(TRUE, ISNUMBER(SEARCH(Country!$A$2:$A$509, Customer_Data[[#This Row],[Country]])),0 ))</f>
        <v>Europe</v>
      </c>
      <c r="G894" t="s">
        <v>935</v>
      </c>
      <c r="H894" t="s">
        <v>1949</v>
      </c>
      <c r="I894" t="s">
        <v>2940</v>
      </c>
      <c r="J894" t="s">
        <v>3933</v>
      </c>
      <c r="K894" s="1">
        <v>45773</v>
      </c>
      <c r="L894">
        <f>YEAR(Customer_Data[[#This Row],[LastPurchaseDate]])</f>
        <v>2025</v>
      </c>
      <c r="M894">
        <f>MONTH(Customer_Data[[#This Row],[LastPurchaseDate]])</f>
        <v>3</v>
      </c>
      <c r="N894" s="7">
        <v>45726</v>
      </c>
      <c r="O894">
        <v>28</v>
      </c>
      <c r="P894" s="4">
        <v>2306.6799999999998</v>
      </c>
      <c r="Q894" t="s">
        <v>4034</v>
      </c>
      <c r="R894">
        <v>1</v>
      </c>
      <c r="S894">
        <v>82.38</v>
      </c>
    </row>
    <row r="895" spans="1:19" x14ac:dyDescent="0.25">
      <c r="A895">
        <v>900</v>
      </c>
      <c r="B895" t="s">
        <v>103</v>
      </c>
      <c r="C895" t="s">
        <v>441</v>
      </c>
      <c r="D895" t="s">
        <v>850</v>
      </c>
      <c r="E895">
        <v>41</v>
      </c>
      <c r="F895" t="str" cm="1">
        <f t="array" ref="F895">INDEX(Country!$B$3:$B$250, MATCH(TRUE, ISNUMBER(SEARCH(Country!$A$2:$A$509, Customer_Data[[#This Row],[Country]])),0 ))</f>
        <v>Africa</v>
      </c>
      <c r="G895" t="s">
        <v>877</v>
      </c>
      <c r="H895" t="s">
        <v>1950</v>
      </c>
      <c r="I895" t="s">
        <v>2941</v>
      </c>
      <c r="J895" t="s">
        <v>3934</v>
      </c>
      <c r="K895" s="1">
        <v>45583</v>
      </c>
      <c r="L895">
        <f>YEAR(Customer_Data[[#This Row],[LastPurchaseDate]])</f>
        <v>2025</v>
      </c>
      <c r="M895">
        <f>MONTH(Customer_Data[[#This Row],[LastPurchaseDate]])</f>
        <v>1</v>
      </c>
      <c r="N895" s="7">
        <v>45663</v>
      </c>
      <c r="O895">
        <v>15</v>
      </c>
      <c r="P895" s="4">
        <v>3433.59</v>
      </c>
      <c r="Q895" t="s">
        <v>4035</v>
      </c>
      <c r="R895">
        <v>5</v>
      </c>
      <c r="S895">
        <v>228.91</v>
      </c>
    </row>
    <row r="896" spans="1:19" x14ac:dyDescent="0.25">
      <c r="A896">
        <v>901</v>
      </c>
      <c r="B896" t="s">
        <v>34</v>
      </c>
      <c r="C896" t="s">
        <v>815</v>
      </c>
      <c r="D896" t="s">
        <v>851</v>
      </c>
      <c r="E896">
        <v>43</v>
      </c>
      <c r="F896" t="str" cm="1">
        <f t="array" ref="F896">INDEX(Country!$B$3:$B$250, MATCH(TRUE, ISNUMBER(SEARCH(Country!$A$2:$A$509, Customer_Data[[#This Row],[Country]])),0 ))</f>
        <v>North America</v>
      </c>
      <c r="G896" t="s">
        <v>976</v>
      </c>
      <c r="H896" t="s">
        <v>1951</v>
      </c>
      <c r="I896" t="s">
        <v>2942</v>
      </c>
      <c r="J896" t="s">
        <v>3935</v>
      </c>
      <c r="K896" s="1">
        <v>45370</v>
      </c>
      <c r="L896">
        <f>YEAR(Customer_Data[[#This Row],[LastPurchaseDate]])</f>
        <v>2025</v>
      </c>
      <c r="M896">
        <f>MONTH(Customer_Data[[#This Row],[LastPurchaseDate]])</f>
        <v>5</v>
      </c>
      <c r="N896" s="7">
        <v>45787</v>
      </c>
      <c r="O896">
        <v>48</v>
      </c>
      <c r="P896" s="4">
        <v>8911.08</v>
      </c>
      <c r="Q896" t="s">
        <v>4034</v>
      </c>
      <c r="R896">
        <v>4</v>
      </c>
      <c r="S896">
        <v>185.65</v>
      </c>
    </row>
    <row r="897" spans="1:19" x14ac:dyDescent="0.25">
      <c r="A897">
        <v>902</v>
      </c>
      <c r="B897" t="s">
        <v>96</v>
      </c>
      <c r="C897" t="s">
        <v>416</v>
      </c>
      <c r="D897" t="s">
        <v>850</v>
      </c>
      <c r="E897">
        <v>57</v>
      </c>
      <c r="F897" t="str" cm="1">
        <f t="array" ref="F897">INDEX(Country!$B$3:$B$250, MATCH(TRUE, ISNUMBER(SEARCH(Country!$A$2:$A$509, Customer_Data[[#This Row],[Country]])),0 ))</f>
        <v>Asia</v>
      </c>
      <c r="G897" t="s">
        <v>1066</v>
      </c>
      <c r="H897" t="s">
        <v>1952</v>
      </c>
      <c r="I897" t="s">
        <v>2943</v>
      </c>
      <c r="J897" t="s">
        <v>3936</v>
      </c>
      <c r="K897" s="1">
        <v>45657</v>
      </c>
      <c r="L897">
        <f>YEAR(Customer_Data[[#This Row],[LastPurchaseDate]])</f>
        <v>2024</v>
      </c>
      <c r="M897">
        <f>MONTH(Customer_Data[[#This Row],[LastPurchaseDate]])</f>
        <v>7</v>
      </c>
      <c r="N897" s="7">
        <v>45483</v>
      </c>
      <c r="O897">
        <v>11</v>
      </c>
      <c r="P897" s="4">
        <v>4953.34</v>
      </c>
      <c r="Q897" t="s">
        <v>4035</v>
      </c>
      <c r="R897">
        <v>2</v>
      </c>
      <c r="S897">
        <v>450.3</v>
      </c>
    </row>
    <row r="898" spans="1:19" x14ac:dyDescent="0.25">
      <c r="A898">
        <v>903</v>
      </c>
      <c r="B898" t="s">
        <v>85</v>
      </c>
      <c r="C898" t="s">
        <v>441</v>
      </c>
      <c r="D898" t="s">
        <v>850</v>
      </c>
      <c r="E898">
        <v>32</v>
      </c>
      <c r="F898" t="str" cm="1">
        <f t="array" ref="F898">INDEX(Country!$B$3:$B$250, MATCH(TRUE, ISNUMBER(SEARCH(Country!$A$2:$A$509, Customer_Data[[#This Row],[Country]])),0 ))</f>
        <v>Europe</v>
      </c>
      <c r="G898" t="s">
        <v>946</v>
      </c>
      <c r="H898" t="s">
        <v>1953</v>
      </c>
      <c r="I898" t="s">
        <v>2944</v>
      </c>
      <c r="J898" t="s">
        <v>3937</v>
      </c>
      <c r="K898" s="1">
        <v>45590</v>
      </c>
      <c r="L898">
        <f>YEAR(Customer_Data[[#This Row],[LastPurchaseDate]])</f>
        <v>2025</v>
      </c>
      <c r="M898">
        <f>MONTH(Customer_Data[[#This Row],[LastPurchaseDate]])</f>
        <v>9</v>
      </c>
      <c r="N898" s="7">
        <v>45919</v>
      </c>
      <c r="O898">
        <v>39</v>
      </c>
      <c r="P898" s="4">
        <v>7971.02</v>
      </c>
      <c r="Q898" t="s">
        <v>4035</v>
      </c>
      <c r="R898">
        <v>4</v>
      </c>
      <c r="S898">
        <v>204.39</v>
      </c>
    </row>
    <row r="899" spans="1:19" x14ac:dyDescent="0.25">
      <c r="A899">
        <v>904</v>
      </c>
      <c r="B899" t="s">
        <v>356</v>
      </c>
      <c r="C899" t="s">
        <v>740</v>
      </c>
      <c r="D899" t="s">
        <v>850</v>
      </c>
      <c r="E899">
        <v>39</v>
      </c>
      <c r="F899" t="str" cm="1">
        <f t="array" ref="F899">INDEX(Country!$B$3:$B$250, MATCH(TRUE, ISNUMBER(SEARCH(Country!$A$2:$A$509, Customer_Data[[#This Row],[Country]])),0 ))</f>
        <v>South America</v>
      </c>
      <c r="G899" t="s">
        <v>858</v>
      </c>
      <c r="H899" t="s">
        <v>1954</v>
      </c>
      <c r="I899" t="s">
        <v>2945</v>
      </c>
      <c r="J899" t="s">
        <v>3938</v>
      </c>
      <c r="K899" s="1">
        <v>44961</v>
      </c>
      <c r="L899">
        <f>YEAR(Customer_Data[[#This Row],[LastPurchaseDate]])</f>
        <v>2024</v>
      </c>
      <c r="M899">
        <f>MONTH(Customer_Data[[#This Row],[LastPurchaseDate]])</f>
        <v>7</v>
      </c>
      <c r="N899" s="7">
        <v>45488</v>
      </c>
      <c r="O899">
        <v>44</v>
      </c>
      <c r="P899" s="4">
        <v>990.92</v>
      </c>
      <c r="Q899" t="s">
        <v>4035</v>
      </c>
      <c r="R899">
        <v>4</v>
      </c>
      <c r="S899">
        <v>22.52</v>
      </c>
    </row>
    <row r="900" spans="1:19" x14ac:dyDescent="0.25">
      <c r="A900">
        <v>905</v>
      </c>
      <c r="B900" t="s">
        <v>259</v>
      </c>
      <c r="C900" t="s">
        <v>396</v>
      </c>
      <c r="D900" t="s">
        <v>850</v>
      </c>
      <c r="E900">
        <v>58</v>
      </c>
      <c r="F900" t="str" cm="1">
        <f t="array" ref="F900">INDEX(Country!$B$3:$B$250, MATCH(TRUE, ISNUMBER(SEARCH(Country!$A$2:$A$509, Customer_Data[[#This Row],[Country]])),0 ))</f>
        <v>North America</v>
      </c>
      <c r="G900" t="s">
        <v>1001</v>
      </c>
      <c r="H900" t="s">
        <v>1955</v>
      </c>
      <c r="I900" t="s">
        <v>2946</v>
      </c>
      <c r="J900" t="s">
        <v>3939</v>
      </c>
      <c r="K900" s="1">
        <v>45176</v>
      </c>
      <c r="L900">
        <f>YEAR(Customer_Data[[#This Row],[LastPurchaseDate]])</f>
        <v>2024</v>
      </c>
      <c r="M900">
        <f>MONTH(Customer_Data[[#This Row],[LastPurchaseDate]])</f>
        <v>7</v>
      </c>
      <c r="N900" s="7">
        <v>45474</v>
      </c>
      <c r="O900">
        <v>21</v>
      </c>
      <c r="P900" s="4">
        <v>7954.23</v>
      </c>
      <c r="Q900" t="s">
        <v>4034</v>
      </c>
      <c r="R900">
        <v>4</v>
      </c>
      <c r="S900">
        <v>378.77</v>
      </c>
    </row>
    <row r="901" spans="1:19" x14ac:dyDescent="0.25">
      <c r="A901">
        <v>906</v>
      </c>
      <c r="B901" t="s">
        <v>357</v>
      </c>
      <c r="C901" t="s">
        <v>667</v>
      </c>
      <c r="D901" t="s">
        <v>851</v>
      </c>
      <c r="E901">
        <v>24</v>
      </c>
      <c r="F901" t="str" cm="1">
        <f t="array" ref="F901">INDEX(Country!$B$3:$B$250, MATCH(TRUE, ISNUMBER(SEARCH(Country!$A$2:$A$509, Customer_Data[[#This Row],[Country]])),0 ))</f>
        <v>Asia</v>
      </c>
      <c r="G901" t="s">
        <v>975</v>
      </c>
      <c r="H901" t="s">
        <v>1956</v>
      </c>
      <c r="I901" t="s">
        <v>2947</v>
      </c>
      <c r="J901" t="s">
        <v>3940</v>
      </c>
      <c r="K901" s="1">
        <v>45439</v>
      </c>
      <c r="L901">
        <f>YEAR(Customer_Data[[#This Row],[LastPurchaseDate]])</f>
        <v>2024</v>
      </c>
      <c r="M901">
        <f>MONTH(Customer_Data[[#This Row],[LastPurchaseDate]])</f>
        <v>9</v>
      </c>
      <c r="N901" s="7">
        <v>45564</v>
      </c>
      <c r="O901">
        <v>34</v>
      </c>
      <c r="P901" s="4">
        <v>5961.47</v>
      </c>
      <c r="Q901" t="s">
        <v>4034</v>
      </c>
      <c r="R901">
        <v>1</v>
      </c>
      <c r="S901">
        <v>175.34</v>
      </c>
    </row>
    <row r="902" spans="1:19" x14ac:dyDescent="0.25">
      <c r="A902">
        <v>907</v>
      </c>
      <c r="B902" t="s">
        <v>92</v>
      </c>
      <c r="C902" t="s">
        <v>313</v>
      </c>
      <c r="D902" t="s">
        <v>851</v>
      </c>
      <c r="E902">
        <v>28</v>
      </c>
      <c r="F902" t="str" cm="1">
        <f t="array" ref="F902">INDEX(Country!$B$3:$B$250, MATCH(TRUE, ISNUMBER(SEARCH(Country!$A$2:$A$509, Customer_Data[[#This Row],[Country]])),0 ))</f>
        <v>Antarctica</v>
      </c>
      <c r="G902" t="s">
        <v>1077</v>
      </c>
      <c r="H902" t="s">
        <v>1957</v>
      </c>
      <c r="I902" t="s">
        <v>2948</v>
      </c>
      <c r="J902" t="s">
        <v>3941</v>
      </c>
      <c r="K902" s="1">
        <v>45510</v>
      </c>
      <c r="L902">
        <f>YEAR(Customer_Data[[#This Row],[LastPurchaseDate]])</f>
        <v>2024</v>
      </c>
      <c r="M902">
        <f>MONTH(Customer_Data[[#This Row],[LastPurchaseDate]])</f>
        <v>8</v>
      </c>
      <c r="N902" s="7">
        <v>45530</v>
      </c>
      <c r="O902">
        <v>29</v>
      </c>
      <c r="P902" s="4">
        <v>2684.9</v>
      </c>
      <c r="Q902" t="s">
        <v>4035</v>
      </c>
      <c r="R902">
        <v>4</v>
      </c>
      <c r="S902">
        <v>92.58</v>
      </c>
    </row>
    <row r="903" spans="1:19" x14ac:dyDescent="0.25">
      <c r="A903">
        <v>908</v>
      </c>
      <c r="B903" t="s">
        <v>104</v>
      </c>
      <c r="C903" t="s">
        <v>621</v>
      </c>
      <c r="D903" t="s">
        <v>851</v>
      </c>
      <c r="E903">
        <v>54</v>
      </c>
      <c r="F903" t="str" cm="1">
        <f t="array" ref="F903">INDEX(Country!$B$3:$B$250, MATCH(TRUE, ISNUMBER(SEARCH(Country!$A$2:$A$509, Customer_Data[[#This Row],[Country]])),0 ))</f>
        <v>Africa</v>
      </c>
      <c r="G903" t="s">
        <v>950</v>
      </c>
      <c r="H903" t="s">
        <v>1958</v>
      </c>
      <c r="I903" t="s">
        <v>2949</v>
      </c>
      <c r="J903" t="s">
        <v>3942</v>
      </c>
      <c r="K903" s="1">
        <v>44870</v>
      </c>
      <c r="L903">
        <f>YEAR(Customer_Data[[#This Row],[LastPurchaseDate]])</f>
        <v>2025</v>
      </c>
      <c r="M903">
        <f>MONTH(Customer_Data[[#This Row],[LastPurchaseDate]])</f>
        <v>1</v>
      </c>
      <c r="N903" s="7">
        <v>45664</v>
      </c>
      <c r="O903">
        <v>43</v>
      </c>
      <c r="P903" s="4">
        <v>8903.8799999999992</v>
      </c>
      <c r="Q903" t="s">
        <v>4035</v>
      </c>
      <c r="R903">
        <v>4</v>
      </c>
      <c r="S903">
        <v>207.07</v>
      </c>
    </row>
    <row r="904" spans="1:19" x14ac:dyDescent="0.25">
      <c r="A904">
        <v>909</v>
      </c>
      <c r="B904" t="s">
        <v>287</v>
      </c>
      <c r="C904" t="s">
        <v>255</v>
      </c>
      <c r="D904" t="s">
        <v>850</v>
      </c>
      <c r="E904">
        <v>65</v>
      </c>
      <c r="F904" t="str" cm="1">
        <f t="array" ref="F904">INDEX(Country!$B$3:$B$250, MATCH(TRUE, ISNUMBER(SEARCH(Country!$A$2:$A$509, Customer_Data[[#This Row],[Country]])),0 ))</f>
        <v>South America</v>
      </c>
      <c r="G904" t="s">
        <v>1047</v>
      </c>
      <c r="H904" t="s">
        <v>1959</v>
      </c>
      <c r="I904" t="s">
        <v>2950</v>
      </c>
      <c r="J904" t="s">
        <v>3943</v>
      </c>
      <c r="K904" s="1">
        <v>45383</v>
      </c>
      <c r="L904">
        <f>YEAR(Customer_Data[[#This Row],[LastPurchaseDate]])</f>
        <v>2025</v>
      </c>
      <c r="M904">
        <f>MONTH(Customer_Data[[#This Row],[LastPurchaseDate]])</f>
        <v>10</v>
      </c>
      <c r="N904" s="7">
        <v>45953</v>
      </c>
      <c r="O904">
        <v>28</v>
      </c>
      <c r="P904" s="4">
        <v>3091.97</v>
      </c>
      <c r="Q904" t="s">
        <v>4035</v>
      </c>
      <c r="R904">
        <v>2</v>
      </c>
      <c r="S904">
        <v>110.43</v>
      </c>
    </row>
    <row r="905" spans="1:19" x14ac:dyDescent="0.25">
      <c r="A905">
        <v>910</v>
      </c>
      <c r="B905" t="s">
        <v>358</v>
      </c>
      <c r="C905" t="s">
        <v>801</v>
      </c>
      <c r="D905" t="s">
        <v>851</v>
      </c>
      <c r="E905">
        <v>29</v>
      </c>
      <c r="F905" t="str" cm="1">
        <f t="array" ref="F905">INDEX(Country!$B$3:$B$250, MATCH(TRUE, ISNUMBER(SEARCH(Country!$A$2:$A$509, Customer_Data[[#This Row],[Country]])),0 ))</f>
        <v>Africa</v>
      </c>
      <c r="G905" t="s">
        <v>868</v>
      </c>
      <c r="H905" t="s">
        <v>1960</v>
      </c>
      <c r="I905" t="s">
        <v>2951</v>
      </c>
      <c r="J905" t="s">
        <v>3944</v>
      </c>
      <c r="K905" s="1">
        <v>45346</v>
      </c>
      <c r="L905">
        <f>YEAR(Customer_Data[[#This Row],[LastPurchaseDate]])</f>
        <v>2025</v>
      </c>
      <c r="M905">
        <f>MONTH(Customer_Data[[#This Row],[LastPurchaseDate]])</f>
        <v>4</v>
      </c>
      <c r="N905" s="7">
        <v>45771</v>
      </c>
      <c r="O905">
        <v>47</v>
      </c>
      <c r="P905" s="4">
        <v>2708.44</v>
      </c>
      <c r="Q905" t="s">
        <v>4035</v>
      </c>
      <c r="R905">
        <v>4</v>
      </c>
      <c r="S905">
        <v>57.63</v>
      </c>
    </row>
    <row r="906" spans="1:19" x14ac:dyDescent="0.25">
      <c r="A906">
        <v>911</v>
      </c>
      <c r="B906" t="s">
        <v>115</v>
      </c>
      <c r="C906" t="s">
        <v>816</v>
      </c>
      <c r="D906" t="s">
        <v>851</v>
      </c>
      <c r="E906">
        <v>39</v>
      </c>
      <c r="F906" t="str" cm="1">
        <f t="array" ref="F906">INDEX(Country!$B$3:$B$250, MATCH(TRUE, ISNUMBER(SEARCH(Country!$A$2:$A$509, Customer_Data[[#This Row],[Country]])),0 ))</f>
        <v>South America</v>
      </c>
      <c r="G906" t="s">
        <v>1078</v>
      </c>
      <c r="H906" t="s">
        <v>1961</v>
      </c>
      <c r="I906" t="s">
        <v>2952</v>
      </c>
      <c r="J906" t="s">
        <v>3945</v>
      </c>
      <c r="K906" s="1">
        <v>45647</v>
      </c>
      <c r="L906">
        <f>YEAR(Customer_Data[[#This Row],[LastPurchaseDate]])</f>
        <v>2024</v>
      </c>
      <c r="M906">
        <f>MONTH(Customer_Data[[#This Row],[LastPurchaseDate]])</f>
        <v>1</v>
      </c>
      <c r="N906" s="7">
        <v>45299</v>
      </c>
      <c r="O906">
        <v>24</v>
      </c>
      <c r="P906" s="4">
        <v>6000.47</v>
      </c>
      <c r="Q906" t="s">
        <v>4034</v>
      </c>
      <c r="R906">
        <v>5</v>
      </c>
      <c r="S906">
        <v>250.02</v>
      </c>
    </row>
    <row r="907" spans="1:19" x14ac:dyDescent="0.25">
      <c r="A907">
        <v>912</v>
      </c>
      <c r="B907" t="s">
        <v>180</v>
      </c>
      <c r="C907" t="s">
        <v>379</v>
      </c>
      <c r="D907" t="s">
        <v>852</v>
      </c>
      <c r="E907">
        <v>37</v>
      </c>
      <c r="F907" t="str" cm="1">
        <f t="array" ref="F907">INDEX(Country!$B$3:$B$250, MATCH(TRUE, ISNUMBER(SEARCH(Country!$A$2:$A$509, Customer_Data[[#This Row],[Country]])),0 ))</f>
        <v>Oceania</v>
      </c>
      <c r="G907" t="s">
        <v>897</v>
      </c>
      <c r="H907" t="s">
        <v>1962</v>
      </c>
      <c r="I907" t="s">
        <v>2953</v>
      </c>
      <c r="J907" t="s">
        <v>3946</v>
      </c>
      <c r="K907" s="1">
        <v>44870</v>
      </c>
      <c r="L907">
        <f>YEAR(Customer_Data[[#This Row],[LastPurchaseDate]])</f>
        <v>2024</v>
      </c>
      <c r="M907">
        <f>MONTH(Customer_Data[[#This Row],[LastPurchaseDate]])</f>
        <v>8</v>
      </c>
      <c r="N907" s="7">
        <v>45512</v>
      </c>
      <c r="O907">
        <v>44</v>
      </c>
      <c r="P907" s="4">
        <v>3164.93</v>
      </c>
      <c r="Q907" t="s">
        <v>4035</v>
      </c>
      <c r="R907">
        <v>2</v>
      </c>
      <c r="S907">
        <v>71.930000000000007</v>
      </c>
    </row>
    <row r="908" spans="1:19" x14ac:dyDescent="0.25">
      <c r="A908">
        <v>913</v>
      </c>
      <c r="B908" t="s">
        <v>119</v>
      </c>
      <c r="C908" t="s">
        <v>581</v>
      </c>
      <c r="D908" t="s">
        <v>851</v>
      </c>
      <c r="E908">
        <v>53</v>
      </c>
      <c r="F908" t="str" cm="1">
        <f t="array" ref="F908">INDEX(Country!$B$3:$B$250, MATCH(TRUE, ISNUMBER(SEARCH(Country!$A$2:$A$509, Customer_Data[[#This Row],[Country]])),0 ))</f>
        <v>Africa</v>
      </c>
      <c r="G908" t="s">
        <v>1009</v>
      </c>
      <c r="H908" t="s">
        <v>1963</v>
      </c>
      <c r="I908" t="s">
        <v>2954</v>
      </c>
      <c r="J908" t="s">
        <v>3947</v>
      </c>
      <c r="K908" s="1">
        <v>45850</v>
      </c>
      <c r="L908">
        <f>YEAR(Customer_Data[[#This Row],[LastPurchaseDate]])</f>
        <v>2024</v>
      </c>
      <c r="M908">
        <f>MONTH(Customer_Data[[#This Row],[LastPurchaseDate]])</f>
        <v>1</v>
      </c>
      <c r="N908" s="7">
        <v>45307</v>
      </c>
      <c r="O908">
        <v>17</v>
      </c>
      <c r="P908" s="4">
        <v>3314.78</v>
      </c>
      <c r="Q908" t="s">
        <v>4035</v>
      </c>
      <c r="R908">
        <v>1</v>
      </c>
      <c r="S908">
        <v>194.99</v>
      </c>
    </row>
    <row r="909" spans="1:19" x14ac:dyDescent="0.25">
      <c r="A909">
        <v>914</v>
      </c>
      <c r="B909" t="s">
        <v>195</v>
      </c>
      <c r="C909" t="s">
        <v>817</v>
      </c>
      <c r="D909" t="s">
        <v>850</v>
      </c>
      <c r="E909">
        <v>67</v>
      </c>
      <c r="F909" t="str" cm="1">
        <f t="array" ref="F909">INDEX(Country!$B$3:$B$250, MATCH(TRUE, ISNUMBER(SEARCH(Country!$A$2:$A$509, Customer_Data[[#This Row],[Country]])),0 ))</f>
        <v>Europe</v>
      </c>
      <c r="G909" t="s">
        <v>1025</v>
      </c>
      <c r="H909" t="s">
        <v>1964</v>
      </c>
      <c r="I909" t="s">
        <v>2955</v>
      </c>
      <c r="J909" t="s">
        <v>3948</v>
      </c>
      <c r="K909" s="1">
        <v>44971</v>
      </c>
      <c r="L909">
        <f>YEAR(Customer_Data[[#This Row],[LastPurchaseDate]])</f>
        <v>2024</v>
      </c>
      <c r="M909">
        <f>MONTH(Customer_Data[[#This Row],[LastPurchaseDate]])</f>
        <v>5</v>
      </c>
      <c r="N909" s="7">
        <v>45415</v>
      </c>
      <c r="O909">
        <v>3</v>
      </c>
      <c r="P909" s="4">
        <v>962.26</v>
      </c>
      <c r="Q909" t="s">
        <v>4035</v>
      </c>
      <c r="R909">
        <v>2</v>
      </c>
      <c r="S909">
        <v>320.75</v>
      </c>
    </row>
    <row r="910" spans="1:19" x14ac:dyDescent="0.25">
      <c r="A910">
        <v>915</v>
      </c>
      <c r="B910" t="s">
        <v>359</v>
      </c>
      <c r="C910" t="s">
        <v>786</v>
      </c>
      <c r="D910" t="s">
        <v>850</v>
      </c>
      <c r="E910">
        <v>27</v>
      </c>
      <c r="F910" t="str" cm="1">
        <f t="array" ref="F910">INDEX(Country!$B$3:$B$250, MATCH(TRUE, ISNUMBER(SEARCH(Country!$A$2:$A$509, Customer_Data[[#This Row],[Country]])),0 ))</f>
        <v>Africa</v>
      </c>
      <c r="G910" t="s">
        <v>867</v>
      </c>
      <c r="H910" t="s">
        <v>1965</v>
      </c>
      <c r="I910" t="s">
        <v>2956</v>
      </c>
      <c r="J910" t="s">
        <v>3949</v>
      </c>
      <c r="K910" s="1">
        <v>45686</v>
      </c>
      <c r="L910">
        <f>YEAR(Customer_Data[[#This Row],[LastPurchaseDate]])</f>
        <v>2025</v>
      </c>
      <c r="M910">
        <f>MONTH(Customer_Data[[#This Row],[LastPurchaseDate]])</f>
        <v>5</v>
      </c>
      <c r="N910" s="7">
        <v>45804</v>
      </c>
      <c r="O910">
        <v>15</v>
      </c>
      <c r="P910" s="4">
        <v>1693.1</v>
      </c>
      <c r="Q910" t="s">
        <v>4035</v>
      </c>
      <c r="R910">
        <v>4</v>
      </c>
      <c r="S910">
        <v>112.87</v>
      </c>
    </row>
    <row r="911" spans="1:19" x14ac:dyDescent="0.25">
      <c r="A911">
        <v>917</v>
      </c>
      <c r="B911" t="s">
        <v>268</v>
      </c>
      <c r="C911" t="s">
        <v>377</v>
      </c>
      <c r="D911" t="s">
        <v>851</v>
      </c>
      <c r="E911">
        <v>62</v>
      </c>
      <c r="F911" t="str" cm="1">
        <f t="array" ref="F911">INDEX(Country!$B$3:$B$250, MATCH(TRUE, ISNUMBER(SEARCH(Country!$A$2:$A$509, Customer_Data[[#This Row],[Country]])),0 ))</f>
        <v>Africa</v>
      </c>
      <c r="G911" t="s">
        <v>1009</v>
      </c>
      <c r="H911" t="s">
        <v>1966</v>
      </c>
      <c r="I911" t="s">
        <v>2957</v>
      </c>
      <c r="J911" t="s">
        <v>3950</v>
      </c>
      <c r="K911" s="1">
        <v>45107</v>
      </c>
      <c r="L911">
        <f>YEAR(Customer_Data[[#This Row],[LastPurchaseDate]])</f>
        <v>2024</v>
      </c>
      <c r="M911">
        <f>MONTH(Customer_Data[[#This Row],[LastPurchaseDate]])</f>
        <v>2</v>
      </c>
      <c r="N911" s="7">
        <v>45323</v>
      </c>
      <c r="O911">
        <v>42</v>
      </c>
      <c r="P911" s="4">
        <v>716.43</v>
      </c>
      <c r="Q911" t="s">
        <v>4035</v>
      </c>
      <c r="R911">
        <v>2</v>
      </c>
      <c r="S911">
        <v>17.059999999999999</v>
      </c>
    </row>
    <row r="912" spans="1:19" x14ac:dyDescent="0.25">
      <c r="A912">
        <v>918</v>
      </c>
      <c r="B912" t="s">
        <v>119</v>
      </c>
      <c r="C912" t="s">
        <v>818</v>
      </c>
      <c r="D912" t="s">
        <v>850</v>
      </c>
      <c r="E912">
        <v>18</v>
      </c>
      <c r="F912" t="str" cm="1">
        <f t="array" ref="F912">INDEX(Country!$B$3:$B$250, MATCH(TRUE, ISNUMBER(SEARCH(Country!$A$2:$A$509, Customer_Data[[#This Row],[Country]])),0 ))</f>
        <v>Oceania</v>
      </c>
      <c r="G912" t="s">
        <v>903</v>
      </c>
      <c r="H912" t="s">
        <v>1967</v>
      </c>
      <c r="I912" t="s">
        <v>2958</v>
      </c>
      <c r="J912" t="s">
        <v>3951</v>
      </c>
      <c r="K912" s="1">
        <v>44902</v>
      </c>
      <c r="L912">
        <f>YEAR(Customer_Data[[#This Row],[LastPurchaseDate]])</f>
        <v>2025</v>
      </c>
      <c r="M912">
        <f>MONTH(Customer_Data[[#This Row],[LastPurchaseDate]])</f>
        <v>1</v>
      </c>
      <c r="N912" s="7">
        <v>45663</v>
      </c>
      <c r="O912">
        <v>1</v>
      </c>
      <c r="P912" s="4">
        <v>3022.41</v>
      </c>
      <c r="Q912" t="s">
        <v>4034</v>
      </c>
      <c r="R912">
        <v>5</v>
      </c>
      <c r="S912">
        <v>3022.41</v>
      </c>
    </row>
    <row r="913" spans="1:19" x14ac:dyDescent="0.25">
      <c r="A913">
        <v>919</v>
      </c>
      <c r="B913" t="s">
        <v>177</v>
      </c>
      <c r="C913" t="s">
        <v>819</v>
      </c>
      <c r="D913" t="s">
        <v>850</v>
      </c>
      <c r="E913">
        <v>60</v>
      </c>
      <c r="F913" t="str" cm="1">
        <f t="array" ref="F913">INDEX(Country!$B$3:$B$250, MATCH(TRUE, ISNUMBER(SEARCH(Country!$A$2:$A$509, Customer_Data[[#This Row],[Country]])),0 ))</f>
        <v>Africa</v>
      </c>
      <c r="G913" t="s">
        <v>948</v>
      </c>
      <c r="H913" t="s">
        <v>1968</v>
      </c>
      <c r="I913" t="s">
        <v>2959</v>
      </c>
      <c r="J913" t="s">
        <v>3952</v>
      </c>
      <c r="K913" s="1">
        <v>45555</v>
      </c>
      <c r="L913">
        <f>YEAR(Customer_Data[[#This Row],[LastPurchaseDate]])</f>
        <v>2024</v>
      </c>
      <c r="M913">
        <f>MONTH(Customer_Data[[#This Row],[LastPurchaseDate]])</f>
        <v>12</v>
      </c>
      <c r="N913" s="7">
        <v>45649</v>
      </c>
      <c r="O913">
        <v>36</v>
      </c>
      <c r="P913" s="4">
        <v>8407.68</v>
      </c>
      <c r="Q913" t="s">
        <v>4034</v>
      </c>
      <c r="R913">
        <v>5</v>
      </c>
      <c r="S913">
        <v>233.55</v>
      </c>
    </row>
    <row r="914" spans="1:19" x14ac:dyDescent="0.25">
      <c r="A914">
        <v>920</v>
      </c>
      <c r="B914" t="s">
        <v>48</v>
      </c>
      <c r="C914" t="s">
        <v>453</v>
      </c>
      <c r="D914" t="s">
        <v>850</v>
      </c>
      <c r="E914">
        <v>65</v>
      </c>
      <c r="F914" t="str" cm="1">
        <f t="array" ref="F914">INDEX(Country!$B$3:$B$250, MATCH(TRUE, ISNUMBER(SEARCH(Country!$A$2:$A$509, Customer_Data[[#This Row],[Country]])),0 ))</f>
        <v>Asia</v>
      </c>
      <c r="G914" t="s">
        <v>963</v>
      </c>
      <c r="H914" t="s">
        <v>1969</v>
      </c>
      <c r="I914" t="s">
        <v>2960</v>
      </c>
      <c r="J914" t="s">
        <v>3953</v>
      </c>
      <c r="K914" s="1">
        <v>45711</v>
      </c>
      <c r="L914">
        <f>YEAR(Customer_Data[[#This Row],[LastPurchaseDate]])</f>
        <v>2025</v>
      </c>
      <c r="M914">
        <f>MONTH(Customer_Data[[#This Row],[LastPurchaseDate]])</f>
        <v>8</v>
      </c>
      <c r="N914" s="7">
        <v>45893</v>
      </c>
      <c r="O914">
        <v>14</v>
      </c>
      <c r="P914" s="4">
        <v>3383.58</v>
      </c>
      <c r="Q914" t="s">
        <v>4035</v>
      </c>
      <c r="R914">
        <v>1</v>
      </c>
      <c r="S914">
        <v>241.68</v>
      </c>
    </row>
    <row r="915" spans="1:19" x14ac:dyDescent="0.25">
      <c r="A915">
        <v>921</v>
      </c>
      <c r="B915" t="s">
        <v>28</v>
      </c>
      <c r="C915" t="s">
        <v>474</v>
      </c>
      <c r="D915" t="s">
        <v>851</v>
      </c>
      <c r="E915">
        <v>57</v>
      </c>
      <c r="F915" t="str" cm="1">
        <f t="array" ref="F915">INDEX(Country!$B$3:$B$250, MATCH(TRUE, ISNUMBER(SEARCH(Country!$A$2:$A$509, Customer_Data[[#This Row],[Country]])),0 ))</f>
        <v>Oceania</v>
      </c>
      <c r="G915" t="s">
        <v>869</v>
      </c>
      <c r="H915" t="s">
        <v>1970</v>
      </c>
      <c r="I915" t="s">
        <v>2961</v>
      </c>
      <c r="J915" t="s">
        <v>3954</v>
      </c>
      <c r="K915" s="1">
        <v>45659</v>
      </c>
      <c r="L915">
        <f>YEAR(Customer_Data[[#This Row],[LastPurchaseDate]])</f>
        <v>2025</v>
      </c>
      <c r="M915">
        <f>MONTH(Customer_Data[[#This Row],[LastPurchaseDate]])</f>
        <v>10</v>
      </c>
      <c r="N915" s="7">
        <v>45955</v>
      </c>
      <c r="O915">
        <v>15</v>
      </c>
      <c r="P915" s="4">
        <v>5211.8500000000004</v>
      </c>
      <c r="Q915" t="s">
        <v>4035</v>
      </c>
      <c r="R915">
        <v>3</v>
      </c>
      <c r="S915">
        <v>347.46</v>
      </c>
    </row>
    <row r="916" spans="1:19" x14ac:dyDescent="0.25">
      <c r="A916">
        <v>922</v>
      </c>
      <c r="B916" t="s">
        <v>309</v>
      </c>
      <c r="C916" t="s">
        <v>820</v>
      </c>
      <c r="D916" t="s">
        <v>851</v>
      </c>
      <c r="E916">
        <v>54</v>
      </c>
      <c r="F916" t="str" cm="1">
        <f t="array" ref="F916">INDEX(Country!$B$3:$B$250, MATCH(TRUE, ISNUMBER(SEARCH(Country!$A$2:$A$509, Customer_Data[[#This Row],[Country]])),0 ))</f>
        <v>Europe</v>
      </c>
      <c r="G916" t="s">
        <v>1055</v>
      </c>
      <c r="H916" t="s">
        <v>1971</v>
      </c>
      <c r="I916" t="s">
        <v>2962</v>
      </c>
      <c r="J916" t="s">
        <v>3955</v>
      </c>
      <c r="K916" s="1">
        <v>44920</v>
      </c>
      <c r="L916">
        <f>YEAR(Customer_Data[[#This Row],[LastPurchaseDate]])</f>
        <v>2025</v>
      </c>
      <c r="M916">
        <f>MONTH(Customer_Data[[#This Row],[LastPurchaseDate]])</f>
        <v>8</v>
      </c>
      <c r="N916" s="7">
        <v>45900</v>
      </c>
      <c r="O916">
        <v>29</v>
      </c>
      <c r="P916" s="4">
        <v>3151.46</v>
      </c>
      <c r="Q916" t="s">
        <v>4034</v>
      </c>
      <c r="R916">
        <v>3</v>
      </c>
      <c r="S916">
        <v>108.67</v>
      </c>
    </row>
    <row r="917" spans="1:19" x14ac:dyDescent="0.25">
      <c r="A917">
        <v>923</v>
      </c>
      <c r="B917" t="s">
        <v>260</v>
      </c>
      <c r="C917" t="s">
        <v>718</v>
      </c>
      <c r="D917" t="s">
        <v>850</v>
      </c>
      <c r="E917">
        <v>40</v>
      </c>
      <c r="F917" t="str" cm="1">
        <f t="array" ref="F917">INDEX(Country!$B$3:$B$250, MATCH(TRUE, ISNUMBER(SEARCH(Country!$A$2:$A$509, Customer_Data[[#This Row],[Country]])),0 ))</f>
        <v>Africa</v>
      </c>
      <c r="G917" t="s">
        <v>1009</v>
      </c>
      <c r="H917" t="s">
        <v>1972</v>
      </c>
      <c r="I917" t="s">
        <v>2963</v>
      </c>
      <c r="J917" t="s">
        <v>3956</v>
      </c>
      <c r="K917" s="1">
        <v>45861</v>
      </c>
      <c r="L917">
        <f>YEAR(Customer_Data[[#This Row],[LastPurchaseDate]])</f>
        <v>2024</v>
      </c>
      <c r="M917">
        <f>MONTH(Customer_Data[[#This Row],[LastPurchaseDate]])</f>
        <v>4</v>
      </c>
      <c r="N917" s="7">
        <v>45385</v>
      </c>
      <c r="O917">
        <v>26</v>
      </c>
      <c r="P917" s="4">
        <v>7015.23</v>
      </c>
      <c r="Q917" t="s">
        <v>4034</v>
      </c>
      <c r="R917">
        <v>3</v>
      </c>
      <c r="S917">
        <v>269.82</v>
      </c>
    </row>
    <row r="918" spans="1:19" x14ac:dyDescent="0.25">
      <c r="A918">
        <v>924</v>
      </c>
      <c r="B918" t="s">
        <v>334</v>
      </c>
      <c r="C918" t="s">
        <v>424</v>
      </c>
      <c r="D918" t="s">
        <v>851</v>
      </c>
      <c r="E918">
        <v>28</v>
      </c>
      <c r="F918" t="str" cm="1">
        <f t="array" ref="F918">INDEX(Country!$B$3:$B$250, MATCH(TRUE, ISNUMBER(SEARCH(Country!$A$2:$A$509, Customer_Data[[#This Row],[Country]])),0 ))</f>
        <v>South America</v>
      </c>
      <c r="G918" t="s">
        <v>1047</v>
      </c>
      <c r="H918" t="s">
        <v>1973</v>
      </c>
      <c r="I918" t="s">
        <v>2964</v>
      </c>
      <c r="J918" t="s">
        <v>3957</v>
      </c>
      <c r="K918" s="1">
        <v>45081</v>
      </c>
      <c r="L918">
        <f>YEAR(Customer_Data[[#This Row],[LastPurchaseDate]])</f>
        <v>2025</v>
      </c>
      <c r="M918">
        <f>MONTH(Customer_Data[[#This Row],[LastPurchaseDate]])</f>
        <v>7</v>
      </c>
      <c r="N918" s="7">
        <v>45856</v>
      </c>
      <c r="O918">
        <v>33</v>
      </c>
      <c r="P918" s="4">
        <v>1667.84</v>
      </c>
      <c r="Q918" t="s">
        <v>4035</v>
      </c>
      <c r="R918">
        <v>2</v>
      </c>
      <c r="S918">
        <v>50.54</v>
      </c>
    </row>
    <row r="919" spans="1:19" x14ac:dyDescent="0.25">
      <c r="A919">
        <v>925</v>
      </c>
      <c r="B919" t="s">
        <v>128</v>
      </c>
      <c r="C919" t="s">
        <v>687</v>
      </c>
      <c r="D919" t="s">
        <v>851</v>
      </c>
      <c r="E919">
        <v>36</v>
      </c>
      <c r="F919" t="str" cm="1">
        <f t="array" ref="F919">INDEX(Country!$B$3:$B$250, MATCH(TRUE, ISNUMBER(SEARCH(Country!$A$2:$A$509, Customer_Data[[#This Row],[Country]])),0 ))</f>
        <v>Africa</v>
      </c>
      <c r="G919" t="s">
        <v>907</v>
      </c>
      <c r="H919" t="s">
        <v>1974</v>
      </c>
      <c r="I919" t="s">
        <v>2965</v>
      </c>
      <c r="J919" t="s">
        <v>3958</v>
      </c>
      <c r="K919" s="1">
        <v>45926</v>
      </c>
      <c r="L919">
        <f>YEAR(Customer_Data[[#This Row],[LastPurchaseDate]])</f>
        <v>2024</v>
      </c>
      <c r="M919">
        <f>MONTH(Customer_Data[[#This Row],[LastPurchaseDate]])</f>
        <v>1</v>
      </c>
      <c r="N919" s="7">
        <v>45299</v>
      </c>
      <c r="O919">
        <v>18</v>
      </c>
      <c r="P919" s="4">
        <v>8037.69</v>
      </c>
      <c r="Q919" t="s">
        <v>4035</v>
      </c>
      <c r="R919">
        <v>4</v>
      </c>
      <c r="S919">
        <v>446.54</v>
      </c>
    </row>
    <row r="920" spans="1:19" x14ac:dyDescent="0.25">
      <c r="A920">
        <v>926</v>
      </c>
      <c r="B920" t="s">
        <v>114</v>
      </c>
      <c r="C920" t="s">
        <v>584</v>
      </c>
      <c r="D920" t="s">
        <v>850</v>
      </c>
      <c r="E920">
        <v>25</v>
      </c>
      <c r="F920" t="str" cm="1">
        <f t="array" ref="F920">INDEX(Country!$B$3:$B$250, MATCH(TRUE, ISNUMBER(SEARCH(Country!$A$2:$A$509, Customer_Data[[#This Row],[Country]])),0 ))</f>
        <v>Europe</v>
      </c>
      <c r="G920" t="s">
        <v>1030</v>
      </c>
      <c r="H920" t="s">
        <v>1975</v>
      </c>
      <c r="I920" t="s">
        <v>2966</v>
      </c>
      <c r="J920" t="s">
        <v>3959</v>
      </c>
      <c r="K920" s="1">
        <v>45469</v>
      </c>
      <c r="L920">
        <f>YEAR(Customer_Data[[#This Row],[LastPurchaseDate]])</f>
        <v>2023</v>
      </c>
      <c r="M920">
        <f>MONTH(Customer_Data[[#This Row],[LastPurchaseDate]])</f>
        <v>11</v>
      </c>
      <c r="N920" s="7">
        <v>45232</v>
      </c>
      <c r="O920">
        <v>2</v>
      </c>
      <c r="P920" s="4">
        <v>5533.33</v>
      </c>
      <c r="Q920" t="s">
        <v>4035</v>
      </c>
      <c r="R920">
        <v>4</v>
      </c>
      <c r="S920">
        <v>2766.66</v>
      </c>
    </row>
    <row r="921" spans="1:19" x14ac:dyDescent="0.25">
      <c r="A921">
        <v>927</v>
      </c>
      <c r="B921" t="s">
        <v>247</v>
      </c>
      <c r="C921" t="s">
        <v>376</v>
      </c>
      <c r="D921" t="s">
        <v>851</v>
      </c>
      <c r="E921">
        <v>38</v>
      </c>
      <c r="F921" t="str" cm="1">
        <f t="array" ref="F921">INDEX(Country!$B$3:$B$250, MATCH(TRUE, ISNUMBER(SEARCH(Country!$A$2:$A$509, Customer_Data[[#This Row],[Country]])),0 ))</f>
        <v>Africa</v>
      </c>
      <c r="G921" t="s">
        <v>886</v>
      </c>
      <c r="H921" t="s">
        <v>1976</v>
      </c>
      <c r="I921" t="s">
        <v>2967</v>
      </c>
      <c r="J921" t="s">
        <v>3960</v>
      </c>
      <c r="K921" s="1">
        <v>45662</v>
      </c>
      <c r="L921">
        <f>YEAR(Customer_Data[[#This Row],[LastPurchaseDate]])</f>
        <v>2024</v>
      </c>
      <c r="M921">
        <f>MONTH(Customer_Data[[#This Row],[LastPurchaseDate]])</f>
        <v>6</v>
      </c>
      <c r="N921" s="7">
        <v>45450</v>
      </c>
      <c r="O921">
        <v>21</v>
      </c>
      <c r="P921" s="4">
        <v>9333.67</v>
      </c>
      <c r="Q921" t="s">
        <v>4035</v>
      </c>
      <c r="R921">
        <v>2</v>
      </c>
      <c r="S921">
        <v>444.46</v>
      </c>
    </row>
    <row r="922" spans="1:19" x14ac:dyDescent="0.25">
      <c r="A922">
        <v>928</v>
      </c>
      <c r="B922" t="s">
        <v>52</v>
      </c>
      <c r="C922" t="s">
        <v>821</v>
      </c>
      <c r="D922" t="s">
        <v>850</v>
      </c>
      <c r="E922">
        <v>66</v>
      </c>
      <c r="F922" t="str" cm="1">
        <f t="array" ref="F922">INDEX(Country!$B$3:$B$250, MATCH(TRUE, ISNUMBER(SEARCH(Country!$A$2:$A$509, Customer_Data[[#This Row],[Country]])),0 ))</f>
        <v>Africa</v>
      </c>
      <c r="G922" t="s">
        <v>856</v>
      </c>
      <c r="H922" t="s">
        <v>1977</v>
      </c>
      <c r="I922" t="s">
        <v>2968</v>
      </c>
      <c r="J922" t="s">
        <v>3961</v>
      </c>
      <c r="K922" s="1">
        <v>44990</v>
      </c>
      <c r="L922">
        <f>YEAR(Customer_Data[[#This Row],[LastPurchaseDate]])</f>
        <v>2025</v>
      </c>
      <c r="M922">
        <f>MONTH(Customer_Data[[#This Row],[LastPurchaseDate]])</f>
        <v>5</v>
      </c>
      <c r="N922" s="7">
        <v>45806</v>
      </c>
      <c r="O922">
        <v>5</v>
      </c>
      <c r="P922" s="4">
        <v>7491.41</v>
      </c>
      <c r="Q922" t="s">
        <v>4035</v>
      </c>
      <c r="R922">
        <v>3</v>
      </c>
      <c r="S922">
        <v>1498.28</v>
      </c>
    </row>
    <row r="923" spans="1:19" x14ac:dyDescent="0.25">
      <c r="A923">
        <v>929</v>
      </c>
      <c r="B923" t="s">
        <v>242</v>
      </c>
      <c r="C923" t="s">
        <v>414</v>
      </c>
      <c r="D923" t="s">
        <v>851</v>
      </c>
      <c r="E923">
        <v>22</v>
      </c>
      <c r="F923" t="str" cm="1">
        <f t="array" ref="F923">INDEX(Country!$B$3:$B$250, MATCH(TRUE, ISNUMBER(SEARCH(Country!$A$2:$A$509, Customer_Data[[#This Row],[Country]])),0 ))</f>
        <v>Europe</v>
      </c>
      <c r="G923" t="s">
        <v>1087</v>
      </c>
      <c r="H923" t="s">
        <v>1978</v>
      </c>
      <c r="I923" t="s">
        <v>2969</v>
      </c>
      <c r="J923" t="s">
        <v>3962</v>
      </c>
      <c r="K923" s="1">
        <v>45224</v>
      </c>
      <c r="L923">
        <f>YEAR(Customer_Data[[#This Row],[LastPurchaseDate]])</f>
        <v>2025</v>
      </c>
      <c r="M923">
        <f>MONTH(Customer_Data[[#This Row],[LastPurchaseDate]])</f>
        <v>6</v>
      </c>
      <c r="N923" s="7">
        <v>45831</v>
      </c>
      <c r="O923">
        <v>9</v>
      </c>
      <c r="P923" s="4">
        <v>5481.17</v>
      </c>
      <c r="Q923" t="s">
        <v>4035</v>
      </c>
      <c r="R923">
        <v>3</v>
      </c>
      <c r="S923">
        <v>609.02</v>
      </c>
    </row>
    <row r="924" spans="1:19" x14ac:dyDescent="0.25">
      <c r="A924">
        <v>930</v>
      </c>
      <c r="B924" t="s">
        <v>360</v>
      </c>
      <c r="C924" t="s">
        <v>822</v>
      </c>
      <c r="D924" t="s">
        <v>850</v>
      </c>
      <c r="E924">
        <v>70</v>
      </c>
      <c r="F924" t="str" cm="1">
        <f t="array" ref="F924">INDEX(Country!$B$3:$B$250, MATCH(TRUE, ISNUMBER(SEARCH(Country!$A$2:$A$509, Customer_Data[[#This Row],[Country]])),0 ))</f>
        <v>Europe</v>
      </c>
      <c r="G924" t="s">
        <v>982</v>
      </c>
      <c r="H924" t="s">
        <v>1979</v>
      </c>
      <c r="I924" t="s">
        <v>2970</v>
      </c>
      <c r="J924" t="s">
        <v>3963</v>
      </c>
      <c r="K924" s="1">
        <v>45614</v>
      </c>
      <c r="L924">
        <f>YEAR(Customer_Data[[#This Row],[LastPurchaseDate]])</f>
        <v>2025</v>
      </c>
      <c r="M924">
        <f>MONTH(Customer_Data[[#This Row],[LastPurchaseDate]])</f>
        <v>6</v>
      </c>
      <c r="N924" s="7">
        <v>45820</v>
      </c>
      <c r="O924">
        <v>21</v>
      </c>
      <c r="P924" s="4">
        <v>8177.85</v>
      </c>
      <c r="Q924" t="s">
        <v>4034</v>
      </c>
      <c r="R924">
        <v>3</v>
      </c>
      <c r="S924">
        <v>389.42</v>
      </c>
    </row>
    <row r="925" spans="1:19" x14ac:dyDescent="0.25">
      <c r="A925">
        <v>931</v>
      </c>
      <c r="B925" t="s">
        <v>352</v>
      </c>
      <c r="C925" t="s">
        <v>297</v>
      </c>
      <c r="D925" t="s">
        <v>851</v>
      </c>
      <c r="E925">
        <v>50</v>
      </c>
      <c r="F925" t="str" cm="1">
        <f t="array" ref="F925">INDEX(Country!$B$3:$B$250, MATCH(TRUE, ISNUMBER(SEARCH(Country!$A$2:$A$509, Customer_Data[[#This Row],[Country]])),0 ))</f>
        <v>Asia</v>
      </c>
      <c r="G925" t="s">
        <v>888</v>
      </c>
      <c r="H925" t="s">
        <v>1980</v>
      </c>
      <c r="I925" t="s">
        <v>2971</v>
      </c>
      <c r="J925" t="s">
        <v>3964</v>
      </c>
      <c r="K925" s="1">
        <v>45767</v>
      </c>
      <c r="L925">
        <f>YEAR(Customer_Data[[#This Row],[LastPurchaseDate]])</f>
        <v>2024</v>
      </c>
      <c r="M925">
        <f>MONTH(Customer_Data[[#This Row],[LastPurchaseDate]])</f>
        <v>3</v>
      </c>
      <c r="N925" s="7">
        <v>45379</v>
      </c>
      <c r="O925">
        <v>48</v>
      </c>
      <c r="P925" s="4">
        <v>1840.88</v>
      </c>
      <c r="Q925" t="s">
        <v>4034</v>
      </c>
      <c r="R925">
        <v>4</v>
      </c>
      <c r="S925">
        <v>38.35</v>
      </c>
    </row>
    <row r="926" spans="1:19" x14ac:dyDescent="0.25">
      <c r="A926">
        <v>932</v>
      </c>
      <c r="B926" t="s">
        <v>220</v>
      </c>
      <c r="C926" t="s">
        <v>453</v>
      </c>
      <c r="D926" t="s">
        <v>850</v>
      </c>
      <c r="E926">
        <v>65</v>
      </c>
      <c r="F926" t="str" cm="1">
        <f t="array" ref="F926">INDEX(Country!$B$3:$B$250, MATCH(TRUE, ISNUMBER(SEARCH(Country!$A$2:$A$509, Customer_Data[[#This Row],[Country]])),0 ))</f>
        <v>North America</v>
      </c>
      <c r="G926" t="s">
        <v>992</v>
      </c>
      <c r="H926" t="s">
        <v>1981</v>
      </c>
      <c r="I926" t="s">
        <v>2972</v>
      </c>
      <c r="J926" t="s">
        <v>3965</v>
      </c>
      <c r="K926" s="1">
        <v>45447</v>
      </c>
      <c r="L926">
        <f>YEAR(Customer_Data[[#This Row],[LastPurchaseDate]])</f>
        <v>2024</v>
      </c>
      <c r="M926">
        <f>MONTH(Customer_Data[[#This Row],[LastPurchaseDate]])</f>
        <v>6</v>
      </c>
      <c r="N926" s="7">
        <v>45446</v>
      </c>
      <c r="O926">
        <v>15</v>
      </c>
      <c r="P926" s="4">
        <v>8601.59</v>
      </c>
      <c r="Q926" t="s">
        <v>4035</v>
      </c>
      <c r="R926">
        <v>4</v>
      </c>
      <c r="S926">
        <v>573.44000000000005</v>
      </c>
    </row>
    <row r="927" spans="1:19" x14ac:dyDescent="0.25">
      <c r="A927">
        <v>933</v>
      </c>
      <c r="B927" t="s">
        <v>227</v>
      </c>
      <c r="C927" t="s">
        <v>823</v>
      </c>
      <c r="D927" t="s">
        <v>851</v>
      </c>
      <c r="E927">
        <v>41</v>
      </c>
      <c r="F927" t="str" cm="1">
        <f t="array" ref="F927">INDEX(Country!$B$3:$B$250, MATCH(TRUE, ISNUMBER(SEARCH(Country!$A$2:$A$509, Customer_Data[[#This Row],[Country]])),0 ))</f>
        <v>South America</v>
      </c>
      <c r="G927" t="s">
        <v>866</v>
      </c>
      <c r="H927" t="s">
        <v>1982</v>
      </c>
      <c r="I927" t="s">
        <v>2973</v>
      </c>
      <c r="J927" t="s">
        <v>3966</v>
      </c>
      <c r="K927" s="1">
        <v>45479</v>
      </c>
      <c r="L927">
        <f>YEAR(Customer_Data[[#This Row],[LastPurchaseDate]])</f>
        <v>2025</v>
      </c>
      <c r="M927">
        <f>MONTH(Customer_Data[[#This Row],[LastPurchaseDate]])</f>
        <v>1</v>
      </c>
      <c r="N927" s="7">
        <v>45671</v>
      </c>
      <c r="O927">
        <v>32</v>
      </c>
      <c r="P927" s="4">
        <v>9069.5</v>
      </c>
      <c r="Q927" t="s">
        <v>4034</v>
      </c>
      <c r="R927">
        <v>1</v>
      </c>
      <c r="S927">
        <v>283.42</v>
      </c>
    </row>
    <row r="928" spans="1:19" x14ac:dyDescent="0.25">
      <c r="A928">
        <v>934</v>
      </c>
      <c r="B928" t="s">
        <v>361</v>
      </c>
      <c r="C928" t="s">
        <v>251</v>
      </c>
      <c r="D928" t="s">
        <v>850</v>
      </c>
      <c r="E928">
        <v>46</v>
      </c>
      <c r="F928" t="str" cm="1">
        <f t="array" ref="F928">INDEX(Country!$B$3:$B$250, MATCH(TRUE, ISNUMBER(SEARCH(Country!$A$2:$A$509, Customer_Data[[#This Row],[Country]])),0 ))</f>
        <v>Europe</v>
      </c>
      <c r="G928" t="s">
        <v>965</v>
      </c>
      <c r="H928" t="s">
        <v>1983</v>
      </c>
      <c r="I928" t="s">
        <v>2974</v>
      </c>
      <c r="J928" t="s">
        <v>3967</v>
      </c>
      <c r="K928" s="1">
        <v>45233</v>
      </c>
      <c r="L928">
        <f>YEAR(Customer_Data[[#This Row],[LastPurchaseDate]])</f>
        <v>2025</v>
      </c>
      <c r="M928">
        <f>MONTH(Customer_Data[[#This Row],[LastPurchaseDate]])</f>
        <v>8</v>
      </c>
      <c r="N928" s="7">
        <v>45894</v>
      </c>
      <c r="O928">
        <v>17</v>
      </c>
      <c r="P928" s="4">
        <v>482.76</v>
      </c>
      <c r="Q928" t="s">
        <v>4035</v>
      </c>
      <c r="R928">
        <v>3</v>
      </c>
      <c r="S928">
        <v>28.4</v>
      </c>
    </row>
    <row r="929" spans="1:19" x14ac:dyDescent="0.25">
      <c r="A929">
        <v>935</v>
      </c>
      <c r="B929" t="s">
        <v>36</v>
      </c>
      <c r="C929" t="s">
        <v>517</v>
      </c>
      <c r="D929" t="s">
        <v>850</v>
      </c>
      <c r="E929">
        <v>73</v>
      </c>
      <c r="F929" t="str" cm="1">
        <f t="array" ref="F929">INDEX(Country!$B$3:$B$250, MATCH(TRUE, ISNUMBER(SEARCH(Country!$A$2:$A$509, Customer_Data[[#This Row],[Country]])),0 ))</f>
        <v>Asia</v>
      </c>
      <c r="G929" t="s">
        <v>854</v>
      </c>
      <c r="H929" t="s">
        <v>1984</v>
      </c>
      <c r="I929" t="s">
        <v>2975</v>
      </c>
      <c r="J929" t="s">
        <v>3968</v>
      </c>
      <c r="K929" s="1">
        <v>45750</v>
      </c>
      <c r="L929">
        <f>YEAR(Customer_Data[[#This Row],[LastPurchaseDate]])</f>
        <v>2025</v>
      </c>
      <c r="M929">
        <f>MONTH(Customer_Data[[#This Row],[LastPurchaseDate]])</f>
        <v>10</v>
      </c>
      <c r="N929" s="7">
        <v>45938</v>
      </c>
      <c r="O929">
        <v>2</v>
      </c>
      <c r="P929" s="4">
        <v>2697.15</v>
      </c>
      <c r="Q929" t="s">
        <v>4034</v>
      </c>
      <c r="R929">
        <v>5</v>
      </c>
      <c r="S929">
        <v>1348.58</v>
      </c>
    </row>
    <row r="930" spans="1:19" x14ac:dyDescent="0.25">
      <c r="A930">
        <v>936</v>
      </c>
      <c r="B930" t="s">
        <v>221</v>
      </c>
      <c r="C930" t="s">
        <v>379</v>
      </c>
      <c r="D930" t="s">
        <v>851</v>
      </c>
      <c r="E930">
        <v>49</v>
      </c>
      <c r="F930" t="str" cm="1">
        <f t="array" ref="F930">INDEX(Country!$B$3:$B$250, MATCH(TRUE, ISNUMBER(SEARCH(Country!$A$2:$A$509, Customer_Data[[#This Row],[Country]])),0 ))</f>
        <v>Asia</v>
      </c>
      <c r="G930" t="s">
        <v>895</v>
      </c>
      <c r="H930" t="s">
        <v>1985</v>
      </c>
      <c r="I930" t="s">
        <v>2976</v>
      </c>
      <c r="J930" t="s">
        <v>3969</v>
      </c>
      <c r="K930" s="1">
        <v>45355</v>
      </c>
      <c r="L930">
        <f>YEAR(Customer_Data[[#This Row],[LastPurchaseDate]])</f>
        <v>2025</v>
      </c>
      <c r="M930">
        <f>MONTH(Customer_Data[[#This Row],[LastPurchaseDate]])</f>
        <v>3</v>
      </c>
      <c r="N930" s="7">
        <v>45743</v>
      </c>
      <c r="O930">
        <v>32</v>
      </c>
      <c r="P930" s="4">
        <v>3685.05</v>
      </c>
      <c r="Q930" t="s">
        <v>4035</v>
      </c>
      <c r="R930">
        <v>4</v>
      </c>
      <c r="S930">
        <v>115.16</v>
      </c>
    </row>
    <row r="931" spans="1:19" x14ac:dyDescent="0.25">
      <c r="A931">
        <v>937</v>
      </c>
      <c r="B931" t="s">
        <v>362</v>
      </c>
      <c r="C931" t="s">
        <v>824</v>
      </c>
      <c r="D931" t="s">
        <v>851</v>
      </c>
      <c r="E931">
        <v>41</v>
      </c>
      <c r="F931" t="str" cm="1">
        <f t="array" ref="F931">INDEX(Country!$B$3:$B$250, MATCH(TRUE, ISNUMBER(SEARCH(Country!$A$2:$A$509, Customer_Data[[#This Row],[Country]])),0 ))</f>
        <v>Oceania</v>
      </c>
      <c r="G931" t="s">
        <v>926</v>
      </c>
      <c r="H931" t="s">
        <v>1986</v>
      </c>
      <c r="I931" t="s">
        <v>2977</v>
      </c>
      <c r="J931" t="s">
        <v>3970</v>
      </c>
      <c r="K931" s="1">
        <v>45509</v>
      </c>
      <c r="L931">
        <f>YEAR(Customer_Data[[#This Row],[LastPurchaseDate]])</f>
        <v>2025</v>
      </c>
      <c r="M931">
        <f>MONTH(Customer_Data[[#This Row],[LastPurchaseDate]])</f>
        <v>5</v>
      </c>
      <c r="N931" s="7">
        <v>45798</v>
      </c>
      <c r="O931">
        <v>45</v>
      </c>
      <c r="P931" s="4">
        <v>7262.43</v>
      </c>
      <c r="Q931" t="s">
        <v>4035</v>
      </c>
      <c r="R931">
        <v>1</v>
      </c>
      <c r="S931">
        <v>161.38999999999999</v>
      </c>
    </row>
    <row r="932" spans="1:19" x14ac:dyDescent="0.25">
      <c r="A932">
        <v>938</v>
      </c>
      <c r="B932" t="s">
        <v>145</v>
      </c>
      <c r="C932" t="s">
        <v>522</v>
      </c>
      <c r="D932" t="s">
        <v>851</v>
      </c>
      <c r="E932">
        <v>56</v>
      </c>
      <c r="F932" t="str" cm="1">
        <f t="array" ref="F932">INDEX(Country!$B$3:$B$250, MATCH(TRUE, ISNUMBER(SEARCH(Country!$A$2:$A$509, Customer_Data[[#This Row],[Country]])),0 ))</f>
        <v>North America</v>
      </c>
      <c r="G932" t="s">
        <v>1021</v>
      </c>
      <c r="H932" t="s">
        <v>1987</v>
      </c>
      <c r="I932" t="s">
        <v>2978</v>
      </c>
      <c r="J932" t="s">
        <v>3971</v>
      </c>
      <c r="K932" s="1">
        <v>45688</v>
      </c>
      <c r="L932">
        <f>YEAR(Customer_Data[[#This Row],[LastPurchaseDate]])</f>
        <v>2024</v>
      </c>
      <c r="M932">
        <f>MONTH(Customer_Data[[#This Row],[LastPurchaseDate]])</f>
        <v>4</v>
      </c>
      <c r="N932" s="7">
        <v>45393</v>
      </c>
      <c r="O932">
        <v>13</v>
      </c>
      <c r="P932" s="4">
        <v>4887.2299999999996</v>
      </c>
      <c r="Q932" t="s">
        <v>4034</v>
      </c>
      <c r="R932">
        <v>5</v>
      </c>
      <c r="S932">
        <v>375.94</v>
      </c>
    </row>
    <row r="933" spans="1:19" x14ac:dyDescent="0.25">
      <c r="A933">
        <v>939</v>
      </c>
      <c r="B933" t="s">
        <v>100</v>
      </c>
      <c r="C933" t="s">
        <v>825</v>
      </c>
      <c r="D933" t="s">
        <v>850</v>
      </c>
      <c r="E933">
        <v>52</v>
      </c>
      <c r="F933" t="str" cm="1">
        <f t="array" ref="F933">INDEX(Country!$B$3:$B$250, MATCH(TRUE, ISNUMBER(SEARCH(Country!$A$2:$A$509, Customer_Data[[#This Row],[Country]])),0 ))</f>
        <v>Africa</v>
      </c>
      <c r="G933" t="s">
        <v>1083</v>
      </c>
      <c r="H933" t="s">
        <v>1988</v>
      </c>
      <c r="I933" t="s">
        <v>2979</v>
      </c>
      <c r="J933" t="s">
        <v>3972</v>
      </c>
      <c r="K933" s="1">
        <v>45830</v>
      </c>
      <c r="L933">
        <f>YEAR(Customer_Data[[#This Row],[LastPurchaseDate]])</f>
        <v>2024</v>
      </c>
      <c r="M933">
        <f>MONTH(Customer_Data[[#This Row],[LastPurchaseDate]])</f>
        <v>11</v>
      </c>
      <c r="N933" s="7">
        <v>45626</v>
      </c>
      <c r="O933">
        <v>14</v>
      </c>
      <c r="P933" s="4">
        <v>6402.43</v>
      </c>
      <c r="Q933" t="s">
        <v>4034</v>
      </c>
      <c r="R933">
        <v>2</v>
      </c>
      <c r="S933">
        <v>457.32</v>
      </c>
    </row>
    <row r="934" spans="1:19" x14ac:dyDescent="0.25">
      <c r="A934">
        <v>940</v>
      </c>
      <c r="B934" t="s">
        <v>363</v>
      </c>
      <c r="C934" t="s">
        <v>826</v>
      </c>
      <c r="D934" t="s">
        <v>851</v>
      </c>
      <c r="E934">
        <v>34</v>
      </c>
      <c r="F934" t="str" cm="1">
        <f t="array" ref="F934">INDEX(Country!$B$3:$B$250, MATCH(TRUE, ISNUMBER(SEARCH(Country!$A$2:$A$509, Customer_Data[[#This Row],[Country]])),0 ))</f>
        <v>Asia</v>
      </c>
      <c r="G934" t="s">
        <v>1040</v>
      </c>
      <c r="H934" t="s">
        <v>1989</v>
      </c>
      <c r="I934" t="s">
        <v>2980</v>
      </c>
      <c r="J934" t="s">
        <v>3973</v>
      </c>
      <c r="K934" s="1">
        <v>44989</v>
      </c>
      <c r="L934">
        <f>YEAR(Customer_Data[[#This Row],[LastPurchaseDate]])</f>
        <v>2024</v>
      </c>
      <c r="M934">
        <f>MONTH(Customer_Data[[#This Row],[LastPurchaseDate]])</f>
        <v>7</v>
      </c>
      <c r="N934" s="7">
        <v>45484</v>
      </c>
      <c r="O934">
        <v>49</v>
      </c>
      <c r="P934" s="4">
        <v>4391.3500000000004</v>
      </c>
      <c r="Q934" t="s">
        <v>4035</v>
      </c>
      <c r="R934">
        <v>4</v>
      </c>
      <c r="S934">
        <v>89.62</v>
      </c>
    </row>
    <row r="935" spans="1:19" x14ac:dyDescent="0.25">
      <c r="A935">
        <v>941</v>
      </c>
      <c r="B935" t="s">
        <v>103</v>
      </c>
      <c r="C935" t="s">
        <v>827</v>
      </c>
      <c r="D935" t="s">
        <v>851</v>
      </c>
      <c r="E935">
        <v>32</v>
      </c>
      <c r="F935" t="str" cm="1">
        <f t="array" ref="F935">INDEX(Country!$B$3:$B$250, MATCH(TRUE, ISNUMBER(SEARCH(Country!$A$2:$A$509, Customer_Data[[#This Row],[Country]])),0 ))</f>
        <v>North America</v>
      </c>
      <c r="G935" t="s">
        <v>1005</v>
      </c>
      <c r="H935" t="s">
        <v>1990</v>
      </c>
      <c r="I935" t="s">
        <v>2981</v>
      </c>
      <c r="J935" t="s">
        <v>3974</v>
      </c>
      <c r="K935" s="1">
        <v>45912</v>
      </c>
      <c r="L935">
        <f>YEAR(Customer_Data[[#This Row],[LastPurchaseDate]])</f>
        <v>2025</v>
      </c>
      <c r="M935">
        <f>MONTH(Customer_Data[[#This Row],[LastPurchaseDate]])</f>
        <v>4</v>
      </c>
      <c r="N935" s="7">
        <v>45768</v>
      </c>
      <c r="O935">
        <v>16</v>
      </c>
      <c r="P935" s="4">
        <v>7238.01</v>
      </c>
      <c r="Q935" t="s">
        <v>4034</v>
      </c>
      <c r="R935">
        <v>5</v>
      </c>
      <c r="S935">
        <v>452.38</v>
      </c>
    </row>
    <row r="936" spans="1:19" x14ac:dyDescent="0.25">
      <c r="A936">
        <v>942</v>
      </c>
      <c r="B936" t="s">
        <v>364</v>
      </c>
      <c r="C936" t="s">
        <v>459</v>
      </c>
      <c r="D936" t="s">
        <v>850</v>
      </c>
      <c r="E936">
        <v>43</v>
      </c>
      <c r="F936" t="str" cm="1">
        <f t="array" ref="F936">INDEX(Country!$B$3:$B$250, MATCH(TRUE, ISNUMBER(SEARCH(Country!$A$2:$A$509, Customer_Data[[#This Row],[Country]])),0 ))</f>
        <v>Oceania</v>
      </c>
      <c r="G936" t="s">
        <v>917</v>
      </c>
      <c r="H936" t="s">
        <v>1991</v>
      </c>
      <c r="I936" t="s">
        <v>2982</v>
      </c>
      <c r="J936" t="s">
        <v>3975</v>
      </c>
      <c r="K936" s="1">
        <v>45802</v>
      </c>
      <c r="L936">
        <f>YEAR(Customer_Data[[#This Row],[LastPurchaseDate]])</f>
        <v>2025</v>
      </c>
      <c r="M936">
        <f>MONTH(Customer_Data[[#This Row],[LastPurchaseDate]])</f>
        <v>7</v>
      </c>
      <c r="N936" s="7">
        <v>45856</v>
      </c>
      <c r="O936">
        <v>2</v>
      </c>
      <c r="P936" s="4">
        <v>5717.75</v>
      </c>
      <c r="Q936" t="s">
        <v>4035</v>
      </c>
      <c r="R936">
        <v>3</v>
      </c>
      <c r="S936">
        <v>2858.88</v>
      </c>
    </row>
    <row r="937" spans="1:19" x14ac:dyDescent="0.25">
      <c r="A937">
        <v>943</v>
      </c>
      <c r="B937" t="s">
        <v>365</v>
      </c>
      <c r="C937" t="s">
        <v>380</v>
      </c>
      <c r="D937" t="s">
        <v>850</v>
      </c>
      <c r="E937">
        <v>22</v>
      </c>
      <c r="F937" t="str" cm="1">
        <f t="array" ref="F937">INDEX(Country!$B$3:$B$250, MATCH(TRUE, ISNUMBER(SEARCH(Country!$A$2:$A$509, Customer_Data[[#This Row],[Country]])),0 ))</f>
        <v>Africa</v>
      </c>
      <c r="G937" t="s">
        <v>886</v>
      </c>
      <c r="H937" t="s">
        <v>1992</v>
      </c>
      <c r="I937" t="s">
        <v>2983</v>
      </c>
      <c r="J937" t="s">
        <v>3976</v>
      </c>
      <c r="K937" s="1">
        <v>45801</v>
      </c>
      <c r="L937">
        <f>YEAR(Customer_Data[[#This Row],[LastPurchaseDate]])</f>
        <v>2025</v>
      </c>
      <c r="M937">
        <f>MONTH(Customer_Data[[#This Row],[LastPurchaseDate]])</f>
        <v>3</v>
      </c>
      <c r="N937" s="7">
        <v>45725</v>
      </c>
      <c r="O937">
        <v>48</v>
      </c>
      <c r="P937" s="4">
        <v>1851.29</v>
      </c>
      <c r="Q937" t="s">
        <v>4035</v>
      </c>
      <c r="R937">
        <v>2</v>
      </c>
      <c r="S937">
        <v>38.57</v>
      </c>
    </row>
    <row r="938" spans="1:19" x14ac:dyDescent="0.25">
      <c r="A938">
        <v>944</v>
      </c>
      <c r="B938" t="s">
        <v>103</v>
      </c>
      <c r="C938" t="s">
        <v>828</v>
      </c>
      <c r="D938" t="s">
        <v>850</v>
      </c>
      <c r="E938">
        <v>67</v>
      </c>
      <c r="F938" t="str" cm="1">
        <f t="array" ref="F938">INDEX(Country!$B$3:$B$250, MATCH(TRUE, ISNUMBER(SEARCH(Country!$A$2:$A$509, Customer_Data[[#This Row],[Country]])),0 ))</f>
        <v>Europe</v>
      </c>
      <c r="G938" t="s">
        <v>892</v>
      </c>
      <c r="H938" t="s">
        <v>1993</v>
      </c>
      <c r="I938" t="s">
        <v>2984</v>
      </c>
      <c r="J938" t="s">
        <v>3977</v>
      </c>
      <c r="K938" s="1">
        <v>45154</v>
      </c>
      <c r="L938">
        <f>YEAR(Customer_Data[[#This Row],[LastPurchaseDate]])</f>
        <v>2023</v>
      </c>
      <c r="M938">
        <f>MONTH(Customer_Data[[#This Row],[LastPurchaseDate]])</f>
        <v>11</v>
      </c>
      <c r="N938" s="7">
        <v>45257</v>
      </c>
      <c r="O938">
        <v>37</v>
      </c>
      <c r="P938" s="4">
        <v>7260.26</v>
      </c>
      <c r="Q938" t="s">
        <v>4034</v>
      </c>
      <c r="R938">
        <v>1</v>
      </c>
      <c r="S938">
        <v>196.22</v>
      </c>
    </row>
    <row r="939" spans="1:19" x14ac:dyDescent="0.25">
      <c r="A939">
        <v>945</v>
      </c>
      <c r="B939" t="s">
        <v>247</v>
      </c>
      <c r="C939" t="s">
        <v>829</v>
      </c>
      <c r="D939" t="s">
        <v>850</v>
      </c>
      <c r="E939">
        <v>36</v>
      </c>
      <c r="F939" t="str" cm="1">
        <f t="array" ref="F939">INDEX(Country!$B$3:$B$250, MATCH(TRUE, ISNUMBER(SEARCH(Country!$A$2:$A$509, Customer_Data[[#This Row],[Country]])),0 ))</f>
        <v>Africa</v>
      </c>
      <c r="G939" t="s">
        <v>1036</v>
      </c>
      <c r="H939" t="s">
        <v>1994</v>
      </c>
      <c r="I939" t="s">
        <v>2985</v>
      </c>
      <c r="J939" t="s">
        <v>3978</v>
      </c>
      <c r="K939" s="1">
        <v>45833</v>
      </c>
      <c r="L939">
        <f>YEAR(Customer_Data[[#This Row],[LastPurchaseDate]])</f>
        <v>2024</v>
      </c>
      <c r="M939">
        <f>MONTH(Customer_Data[[#This Row],[LastPurchaseDate]])</f>
        <v>8</v>
      </c>
      <c r="N939" s="7">
        <v>45518</v>
      </c>
      <c r="O939">
        <v>6</v>
      </c>
      <c r="P939" s="4">
        <v>2402.4299999999998</v>
      </c>
      <c r="Q939" t="s">
        <v>4034</v>
      </c>
      <c r="R939">
        <v>5</v>
      </c>
      <c r="S939">
        <v>400.4</v>
      </c>
    </row>
    <row r="940" spans="1:19" x14ac:dyDescent="0.25">
      <c r="A940">
        <v>946</v>
      </c>
      <c r="B940" t="s">
        <v>366</v>
      </c>
      <c r="C940" t="s">
        <v>408</v>
      </c>
      <c r="D940" t="s">
        <v>850</v>
      </c>
      <c r="E940">
        <v>32</v>
      </c>
      <c r="F940" t="str" cm="1">
        <f t="array" ref="F940">INDEX(Country!$B$3:$B$250, MATCH(TRUE, ISNUMBER(SEARCH(Country!$A$2:$A$509, Customer_Data[[#This Row],[Country]])),0 ))</f>
        <v>Oceania</v>
      </c>
      <c r="G940" t="s">
        <v>983</v>
      </c>
      <c r="H940" t="s">
        <v>1995</v>
      </c>
      <c r="I940" t="s">
        <v>2986</v>
      </c>
      <c r="J940" t="s">
        <v>3979</v>
      </c>
      <c r="K940" s="1">
        <v>45191</v>
      </c>
      <c r="L940">
        <f>YEAR(Customer_Data[[#This Row],[LastPurchaseDate]])</f>
        <v>2025</v>
      </c>
      <c r="M940">
        <f>MONTH(Customer_Data[[#This Row],[LastPurchaseDate]])</f>
        <v>7</v>
      </c>
      <c r="N940" s="7">
        <v>45866</v>
      </c>
      <c r="O940">
        <v>16</v>
      </c>
      <c r="P940" s="4">
        <v>1644.24</v>
      </c>
      <c r="Q940" t="s">
        <v>4034</v>
      </c>
      <c r="R940">
        <v>4</v>
      </c>
      <c r="S940">
        <v>102.76</v>
      </c>
    </row>
    <row r="941" spans="1:19" x14ac:dyDescent="0.25">
      <c r="A941">
        <v>947</v>
      </c>
      <c r="B941" t="s">
        <v>70</v>
      </c>
      <c r="C941" t="s">
        <v>735</v>
      </c>
      <c r="D941" t="s">
        <v>851</v>
      </c>
      <c r="E941">
        <v>20</v>
      </c>
      <c r="F941" t="str" cm="1">
        <f t="array" ref="F941">INDEX(Country!$B$3:$B$250, MATCH(TRUE, ISNUMBER(SEARCH(Country!$A$2:$A$509, Customer_Data[[#This Row],[Country]])),0 ))</f>
        <v>Asia</v>
      </c>
      <c r="G941" t="s">
        <v>1053</v>
      </c>
      <c r="H941" t="s">
        <v>1996</v>
      </c>
      <c r="I941" t="s">
        <v>2987</v>
      </c>
      <c r="J941" t="s">
        <v>3980</v>
      </c>
      <c r="K941" s="1">
        <v>45616</v>
      </c>
      <c r="L941">
        <f>YEAR(Customer_Data[[#This Row],[LastPurchaseDate]])</f>
        <v>2025</v>
      </c>
      <c r="M941">
        <f>MONTH(Customer_Data[[#This Row],[LastPurchaseDate]])</f>
        <v>9</v>
      </c>
      <c r="N941" s="7">
        <v>45903</v>
      </c>
      <c r="O941">
        <v>4</v>
      </c>
      <c r="P941" s="4">
        <v>6689.27</v>
      </c>
      <c r="Q941" t="s">
        <v>4034</v>
      </c>
      <c r="R941">
        <v>3</v>
      </c>
      <c r="S941">
        <v>1672.32</v>
      </c>
    </row>
    <row r="942" spans="1:19" x14ac:dyDescent="0.25">
      <c r="A942">
        <v>948</v>
      </c>
      <c r="B942" t="s">
        <v>310</v>
      </c>
      <c r="C942" t="s">
        <v>627</v>
      </c>
      <c r="D942" t="s">
        <v>850</v>
      </c>
      <c r="E942">
        <v>61</v>
      </c>
      <c r="F942" t="str" cm="1">
        <f t="array" ref="F942">INDEX(Country!$B$3:$B$250, MATCH(TRUE, ISNUMBER(SEARCH(Country!$A$2:$A$509, Customer_Data[[#This Row],[Country]])),0 ))</f>
        <v>Asia</v>
      </c>
      <c r="G942" t="s">
        <v>861</v>
      </c>
      <c r="H942" t="s">
        <v>1997</v>
      </c>
      <c r="I942" t="s">
        <v>2988</v>
      </c>
      <c r="J942" t="s">
        <v>3981</v>
      </c>
      <c r="K942" s="1">
        <v>45270</v>
      </c>
      <c r="L942">
        <f>YEAR(Customer_Data[[#This Row],[LastPurchaseDate]])</f>
        <v>2025</v>
      </c>
      <c r="M942">
        <f>MONTH(Customer_Data[[#This Row],[LastPurchaseDate]])</f>
        <v>4</v>
      </c>
      <c r="N942" s="7">
        <v>45756</v>
      </c>
      <c r="O942">
        <v>35</v>
      </c>
      <c r="P942" s="4">
        <v>843.4</v>
      </c>
      <c r="Q942" t="s">
        <v>4034</v>
      </c>
      <c r="R942">
        <v>3</v>
      </c>
      <c r="S942">
        <v>24.1</v>
      </c>
    </row>
    <row r="943" spans="1:19" x14ac:dyDescent="0.25">
      <c r="A943">
        <v>949</v>
      </c>
      <c r="B943" t="s">
        <v>283</v>
      </c>
      <c r="C943" t="s">
        <v>625</v>
      </c>
      <c r="D943" t="s">
        <v>850</v>
      </c>
      <c r="E943">
        <v>57</v>
      </c>
      <c r="F943" t="str" cm="1">
        <f t="array" ref="F943">INDEX(Country!$B$3:$B$250, MATCH(TRUE, ISNUMBER(SEARCH(Country!$A$2:$A$509, Customer_Data[[#This Row],[Country]])),0 ))</f>
        <v>Africa</v>
      </c>
      <c r="G943" t="s">
        <v>1074</v>
      </c>
      <c r="H943" t="s">
        <v>1998</v>
      </c>
      <c r="I943" t="s">
        <v>2989</v>
      </c>
      <c r="J943" t="s">
        <v>3982</v>
      </c>
      <c r="K943" s="1">
        <v>45556</v>
      </c>
      <c r="L943">
        <f>YEAR(Customer_Data[[#This Row],[LastPurchaseDate]])</f>
        <v>2024</v>
      </c>
      <c r="M943">
        <f>MONTH(Customer_Data[[#This Row],[LastPurchaseDate]])</f>
        <v>5</v>
      </c>
      <c r="N943" s="7">
        <v>45422</v>
      </c>
      <c r="O943">
        <v>34</v>
      </c>
      <c r="P943" s="4">
        <v>6597</v>
      </c>
      <c r="Q943" t="s">
        <v>4035</v>
      </c>
      <c r="R943">
        <v>5</v>
      </c>
      <c r="S943">
        <v>194.03</v>
      </c>
    </row>
    <row r="944" spans="1:19" x14ac:dyDescent="0.25">
      <c r="A944">
        <v>950</v>
      </c>
      <c r="B944" t="s">
        <v>60</v>
      </c>
      <c r="C944" t="s">
        <v>573</v>
      </c>
      <c r="D944" t="s">
        <v>850</v>
      </c>
      <c r="E944">
        <v>43</v>
      </c>
      <c r="F944" t="str" cm="1">
        <f t="array" ref="F944">INDEX(Country!$B$3:$B$250, MATCH(TRUE, ISNUMBER(SEARCH(Country!$A$2:$A$509, Customer_Data[[#This Row],[Country]])),0 ))</f>
        <v>North America</v>
      </c>
      <c r="G944" t="s">
        <v>992</v>
      </c>
      <c r="H944" t="s">
        <v>1999</v>
      </c>
      <c r="I944" t="s">
        <v>2990</v>
      </c>
      <c r="J944" t="s">
        <v>3983</v>
      </c>
      <c r="K944" s="1">
        <v>45702</v>
      </c>
      <c r="L944">
        <f>YEAR(Customer_Data[[#This Row],[LastPurchaseDate]])</f>
        <v>2024</v>
      </c>
      <c r="M944">
        <f>MONTH(Customer_Data[[#This Row],[LastPurchaseDate]])</f>
        <v>9</v>
      </c>
      <c r="N944" s="7">
        <v>45549</v>
      </c>
      <c r="O944">
        <v>34</v>
      </c>
      <c r="P944" s="4">
        <v>1269.92</v>
      </c>
      <c r="Q944" t="s">
        <v>4034</v>
      </c>
      <c r="R944">
        <v>1</v>
      </c>
      <c r="S944">
        <v>37.35</v>
      </c>
    </row>
    <row r="945" spans="1:19" x14ac:dyDescent="0.25">
      <c r="A945">
        <v>951</v>
      </c>
      <c r="B945" t="s">
        <v>68</v>
      </c>
      <c r="C945" t="s">
        <v>424</v>
      </c>
      <c r="D945" t="s">
        <v>851</v>
      </c>
      <c r="E945">
        <v>22</v>
      </c>
      <c r="F945" t="str" cm="1">
        <f t="array" ref="F945">INDEX(Country!$B$3:$B$250, MATCH(TRUE, ISNUMBER(SEARCH(Country!$A$2:$A$509, Customer_Data[[#This Row],[Country]])),0 ))</f>
        <v>Asia</v>
      </c>
      <c r="G945" t="s">
        <v>876</v>
      </c>
      <c r="H945" t="s">
        <v>2000</v>
      </c>
      <c r="I945" t="s">
        <v>2991</v>
      </c>
      <c r="J945" t="s">
        <v>3984</v>
      </c>
      <c r="K945" s="1">
        <v>45084</v>
      </c>
      <c r="L945">
        <f>YEAR(Customer_Data[[#This Row],[LastPurchaseDate]])</f>
        <v>2025</v>
      </c>
      <c r="M945">
        <f>MONTH(Customer_Data[[#This Row],[LastPurchaseDate]])</f>
        <v>8</v>
      </c>
      <c r="N945" s="7">
        <v>45882</v>
      </c>
      <c r="O945">
        <v>27</v>
      </c>
      <c r="P945" s="4">
        <v>1514.41</v>
      </c>
      <c r="Q945" t="s">
        <v>4034</v>
      </c>
      <c r="R945">
        <v>3</v>
      </c>
      <c r="S945">
        <v>56.09</v>
      </c>
    </row>
    <row r="946" spans="1:19" x14ac:dyDescent="0.25">
      <c r="A946">
        <v>952</v>
      </c>
      <c r="B946" t="s">
        <v>182</v>
      </c>
      <c r="C946" t="s">
        <v>830</v>
      </c>
      <c r="D946" t="s">
        <v>851</v>
      </c>
      <c r="E946">
        <v>35</v>
      </c>
      <c r="F946" t="str" cm="1">
        <f t="array" ref="F946">INDEX(Country!$B$3:$B$250, MATCH(TRUE, ISNUMBER(SEARCH(Country!$A$2:$A$509, Customer_Data[[#This Row],[Country]])),0 ))</f>
        <v>Europe</v>
      </c>
      <c r="G946" t="s">
        <v>1055</v>
      </c>
      <c r="H946" t="s">
        <v>2001</v>
      </c>
      <c r="I946" t="s">
        <v>2992</v>
      </c>
      <c r="J946" t="s">
        <v>3985</v>
      </c>
      <c r="K946" s="1">
        <v>45816</v>
      </c>
      <c r="L946">
        <f>YEAR(Customer_Data[[#This Row],[LastPurchaseDate]])</f>
        <v>2025</v>
      </c>
      <c r="M946">
        <f>MONTH(Customer_Data[[#This Row],[LastPurchaseDate]])</f>
        <v>10</v>
      </c>
      <c r="N946" s="7">
        <v>45952</v>
      </c>
      <c r="O946">
        <v>38</v>
      </c>
      <c r="P946" s="4">
        <v>1447.35</v>
      </c>
      <c r="Q946" t="s">
        <v>4035</v>
      </c>
      <c r="R946">
        <v>3</v>
      </c>
      <c r="S946">
        <v>38.090000000000003</v>
      </c>
    </row>
    <row r="947" spans="1:19" x14ac:dyDescent="0.25">
      <c r="A947">
        <v>953</v>
      </c>
      <c r="B947" t="s">
        <v>121</v>
      </c>
      <c r="C947" t="s">
        <v>530</v>
      </c>
      <c r="D947" t="s">
        <v>851</v>
      </c>
      <c r="E947">
        <v>72</v>
      </c>
      <c r="F947" t="str" cm="1">
        <f t="array" ref="F947">INDEX(Country!$B$3:$B$250, MATCH(TRUE, ISNUMBER(SEARCH(Country!$A$2:$A$509, Customer_Data[[#This Row],[Country]])),0 ))</f>
        <v>North America</v>
      </c>
      <c r="G947" t="s">
        <v>1027</v>
      </c>
      <c r="H947" t="s">
        <v>2002</v>
      </c>
      <c r="I947" t="s">
        <v>2993</v>
      </c>
      <c r="J947" t="s">
        <v>3986</v>
      </c>
      <c r="K947" s="1">
        <v>45684</v>
      </c>
      <c r="L947">
        <f>YEAR(Customer_Data[[#This Row],[LastPurchaseDate]])</f>
        <v>2025</v>
      </c>
      <c r="M947">
        <f>MONTH(Customer_Data[[#This Row],[LastPurchaseDate]])</f>
        <v>8</v>
      </c>
      <c r="N947" s="7">
        <v>45900</v>
      </c>
      <c r="O947">
        <v>28</v>
      </c>
      <c r="P947" s="4">
        <v>5174.04</v>
      </c>
      <c r="Q947" t="s">
        <v>4035</v>
      </c>
      <c r="R947">
        <v>3</v>
      </c>
      <c r="S947">
        <v>184.79</v>
      </c>
    </row>
    <row r="948" spans="1:19" x14ac:dyDescent="0.25">
      <c r="A948">
        <v>954</v>
      </c>
      <c r="B948" t="s">
        <v>64</v>
      </c>
      <c r="C948" t="s">
        <v>506</v>
      </c>
      <c r="D948" t="s">
        <v>850</v>
      </c>
      <c r="E948">
        <v>27</v>
      </c>
      <c r="F948" t="str" cm="1">
        <f t="array" ref="F948">INDEX(Country!$B$3:$B$250, MATCH(TRUE, ISNUMBER(SEARCH(Country!$A$2:$A$509, Customer_Data[[#This Row],[Country]])),0 ))</f>
        <v>Asia</v>
      </c>
      <c r="G948" t="s">
        <v>975</v>
      </c>
      <c r="H948" t="s">
        <v>2003</v>
      </c>
      <c r="I948" t="s">
        <v>2994</v>
      </c>
      <c r="J948" t="s">
        <v>3987</v>
      </c>
      <c r="K948" s="1">
        <v>45082</v>
      </c>
      <c r="L948">
        <f>YEAR(Customer_Data[[#This Row],[LastPurchaseDate]])</f>
        <v>2025</v>
      </c>
      <c r="M948">
        <f>MONTH(Customer_Data[[#This Row],[LastPurchaseDate]])</f>
        <v>2</v>
      </c>
      <c r="N948" s="7">
        <v>45704</v>
      </c>
      <c r="O948">
        <v>20</v>
      </c>
      <c r="P948" s="4">
        <v>7565.34</v>
      </c>
      <c r="Q948" t="s">
        <v>4035</v>
      </c>
      <c r="R948">
        <v>5</v>
      </c>
      <c r="S948">
        <v>378.27</v>
      </c>
    </row>
    <row r="949" spans="1:19" x14ac:dyDescent="0.25">
      <c r="A949">
        <v>955</v>
      </c>
      <c r="B949" t="s">
        <v>304</v>
      </c>
      <c r="C949" t="s">
        <v>831</v>
      </c>
      <c r="D949" t="s">
        <v>851</v>
      </c>
      <c r="E949">
        <v>43</v>
      </c>
      <c r="F949" t="str" cm="1">
        <f t="array" ref="F949">INDEX(Country!$B$3:$B$250, MATCH(TRUE, ISNUMBER(SEARCH(Country!$A$2:$A$509, Customer_Data[[#This Row],[Country]])),0 ))</f>
        <v>Europe</v>
      </c>
      <c r="G949" t="s">
        <v>1023</v>
      </c>
      <c r="H949" t="s">
        <v>2004</v>
      </c>
      <c r="I949" t="s">
        <v>2995</v>
      </c>
      <c r="J949" t="s">
        <v>3988</v>
      </c>
      <c r="K949" s="1">
        <v>45709</v>
      </c>
      <c r="L949">
        <f>YEAR(Customer_Data[[#This Row],[LastPurchaseDate]])</f>
        <v>2025</v>
      </c>
      <c r="M949">
        <f>MONTH(Customer_Data[[#This Row],[LastPurchaseDate]])</f>
        <v>2</v>
      </c>
      <c r="N949" s="7">
        <v>45698</v>
      </c>
      <c r="O949">
        <v>32</v>
      </c>
      <c r="P949" s="4">
        <v>9931.59</v>
      </c>
      <c r="Q949" t="s">
        <v>4035</v>
      </c>
      <c r="R949">
        <v>2</v>
      </c>
      <c r="S949">
        <v>310.36</v>
      </c>
    </row>
    <row r="950" spans="1:19" x14ac:dyDescent="0.25">
      <c r="A950">
        <v>956</v>
      </c>
      <c r="B950" t="s">
        <v>215</v>
      </c>
      <c r="C950" t="s">
        <v>386</v>
      </c>
      <c r="D950" t="s">
        <v>851</v>
      </c>
      <c r="E950">
        <v>57</v>
      </c>
      <c r="F950" t="str" cm="1">
        <f t="array" ref="F950">INDEX(Country!$B$3:$B$250, MATCH(TRUE, ISNUMBER(SEARCH(Country!$A$2:$A$509, Customer_Data[[#This Row],[Country]])),0 ))</f>
        <v>Antarctica</v>
      </c>
      <c r="G950" t="s">
        <v>1077</v>
      </c>
      <c r="H950" t="s">
        <v>2005</v>
      </c>
      <c r="I950" t="s">
        <v>2996</v>
      </c>
      <c r="J950" t="s">
        <v>3989</v>
      </c>
      <c r="K950" s="1">
        <v>45690</v>
      </c>
      <c r="L950">
        <f>YEAR(Customer_Data[[#This Row],[LastPurchaseDate]])</f>
        <v>2025</v>
      </c>
      <c r="M950">
        <f>MONTH(Customer_Data[[#This Row],[LastPurchaseDate]])</f>
        <v>2</v>
      </c>
      <c r="N950" s="7">
        <v>45707</v>
      </c>
      <c r="O950">
        <v>37</v>
      </c>
      <c r="P950" s="4">
        <v>5033.99</v>
      </c>
      <c r="Q950" t="s">
        <v>4035</v>
      </c>
      <c r="R950">
        <v>2</v>
      </c>
      <c r="S950">
        <v>136.05000000000001</v>
      </c>
    </row>
    <row r="951" spans="1:19" x14ac:dyDescent="0.25">
      <c r="A951">
        <v>957</v>
      </c>
      <c r="B951" t="s">
        <v>340</v>
      </c>
      <c r="C951" t="s">
        <v>544</v>
      </c>
      <c r="D951" t="s">
        <v>851</v>
      </c>
      <c r="E951">
        <v>19</v>
      </c>
      <c r="F951" t="str" cm="1">
        <f t="array" ref="F951">INDEX(Country!$B$3:$B$250, MATCH(TRUE, ISNUMBER(SEARCH(Country!$A$2:$A$509, Customer_Data[[#This Row],[Country]])),0 ))</f>
        <v>Asia</v>
      </c>
      <c r="G951" t="s">
        <v>937</v>
      </c>
      <c r="H951" t="s">
        <v>2006</v>
      </c>
      <c r="I951" t="s">
        <v>2997</v>
      </c>
      <c r="J951" t="s">
        <v>3990</v>
      </c>
      <c r="K951" s="1">
        <v>44980</v>
      </c>
      <c r="L951">
        <f>YEAR(Customer_Data[[#This Row],[LastPurchaseDate]])</f>
        <v>2024</v>
      </c>
      <c r="M951">
        <f>MONTH(Customer_Data[[#This Row],[LastPurchaseDate]])</f>
        <v>4</v>
      </c>
      <c r="N951" s="7">
        <v>45388</v>
      </c>
      <c r="O951">
        <v>37</v>
      </c>
      <c r="P951" s="4">
        <v>9400.09</v>
      </c>
      <c r="Q951" t="s">
        <v>4035</v>
      </c>
      <c r="R951">
        <v>1</v>
      </c>
      <c r="S951">
        <v>254.06</v>
      </c>
    </row>
    <row r="952" spans="1:19" x14ac:dyDescent="0.25">
      <c r="A952">
        <v>958</v>
      </c>
      <c r="B952" t="s">
        <v>91</v>
      </c>
      <c r="C952" t="s">
        <v>19</v>
      </c>
      <c r="D952" t="s">
        <v>850</v>
      </c>
      <c r="E952">
        <v>35</v>
      </c>
      <c r="F952" t="str" cm="1">
        <f t="array" ref="F952">INDEX(Country!$B$3:$B$250, MATCH(TRUE, ISNUMBER(SEARCH(Country!$A$2:$A$509, Customer_Data[[#This Row],[Country]])),0 ))</f>
        <v>North America</v>
      </c>
      <c r="G952" t="s">
        <v>938</v>
      </c>
      <c r="H952" t="s">
        <v>2007</v>
      </c>
      <c r="I952" t="s">
        <v>2998</v>
      </c>
      <c r="J952" t="s">
        <v>3991</v>
      </c>
      <c r="K952" s="1">
        <v>45130</v>
      </c>
      <c r="L952">
        <f>YEAR(Customer_Data[[#This Row],[LastPurchaseDate]])</f>
        <v>2024</v>
      </c>
      <c r="M952">
        <f>MONTH(Customer_Data[[#This Row],[LastPurchaseDate]])</f>
        <v>4</v>
      </c>
      <c r="N952" s="7">
        <v>45393</v>
      </c>
      <c r="O952">
        <v>23</v>
      </c>
      <c r="P952" s="4">
        <v>4737.76</v>
      </c>
      <c r="Q952" t="s">
        <v>4034</v>
      </c>
      <c r="R952">
        <v>1</v>
      </c>
      <c r="S952">
        <v>205.99</v>
      </c>
    </row>
    <row r="953" spans="1:19" x14ac:dyDescent="0.25">
      <c r="A953">
        <v>959</v>
      </c>
      <c r="B953" t="s">
        <v>92</v>
      </c>
      <c r="C953" t="s">
        <v>832</v>
      </c>
      <c r="D953" t="s">
        <v>850</v>
      </c>
      <c r="E953">
        <v>18</v>
      </c>
      <c r="F953" t="str" cm="1">
        <f t="array" ref="F953">INDEX(Country!$B$3:$B$250, MATCH(TRUE, ISNUMBER(SEARCH(Country!$A$2:$A$509, Customer_Data[[#This Row],[Country]])),0 ))</f>
        <v>North America</v>
      </c>
      <c r="G953" t="s">
        <v>872</v>
      </c>
      <c r="H953" t="s">
        <v>2008</v>
      </c>
      <c r="I953" t="s">
        <v>2999</v>
      </c>
      <c r="J953" t="s">
        <v>3992</v>
      </c>
      <c r="K953" s="1">
        <v>45256</v>
      </c>
      <c r="L953">
        <f>YEAR(Customer_Data[[#This Row],[LastPurchaseDate]])</f>
        <v>2024</v>
      </c>
      <c r="M953">
        <f>MONTH(Customer_Data[[#This Row],[LastPurchaseDate]])</f>
        <v>10</v>
      </c>
      <c r="N953" s="7">
        <v>45570</v>
      </c>
      <c r="O953">
        <v>23</v>
      </c>
      <c r="P953" s="4">
        <v>8547.7800000000007</v>
      </c>
      <c r="Q953" t="s">
        <v>4035</v>
      </c>
      <c r="R953">
        <v>2</v>
      </c>
      <c r="S953">
        <v>371.64</v>
      </c>
    </row>
    <row r="954" spans="1:19" x14ac:dyDescent="0.25">
      <c r="A954">
        <v>960</v>
      </c>
      <c r="B954" t="s">
        <v>121</v>
      </c>
      <c r="C954" t="s">
        <v>833</v>
      </c>
      <c r="D954" t="s">
        <v>851</v>
      </c>
      <c r="E954">
        <v>33</v>
      </c>
      <c r="F954" t="str" cm="1">
        <f t="array" ref="F954">INDEX(Country!$B$3:$B$250, MATCH(TRUE, ISNUMBER(SEARCH(Country!$A$2:$A$509, Customer_Data[[#This Row],[Country]])),0 ))</f>
        <v>Africa</v>
      </c>
      <c r="G954" t="s">
        <v>1085</v>
      </c>
      <c r="H954" t="s">
        <v>2009</v>
      </c>
      <c r="I954" t="s">
        <v>3000</v>
      </c>
      <c r="J954" t="s">
        <v>3993</v>
      </c>
      <c r="K954" s="1">
        <v>44957</v>
      </c>
      <c r="L954">
        <f>YEAR(Customer_Data[[#This Row],[LastPurchaseDate]])</f>
        <v>2025</v>
      </c>
      <c r="M954">
        <f>MONTH(Customer_Data[[#This Row],[LastPurchaseDate]])</f>
        <v>2</v>
      </c>
      <c r="N954" s="7">
        <v>45708</v>
      </c>
      <c r="O954">
        <v>10</v>
      </c>
      <c r="P954" s="4">
        <v>3782.06</v>
      </c>
      <c r="Q954" t="s">
        <v>4035</v>
      </c>
      <c r="R954">
        <v>1</v>
      </c>
      <c r="S954">
        <v>378.21</v>
      </c>
    </row>
    <row r="955" spans="1:19" x14ac:dyDescent="0.25">
      <c r="A955">
        <v>961</v>
      </c>
      <c r="B955" t="s">
        <v>167</v>
      </c>
      <c r="C955" t="s">
        <v>834</v>
      </c>
      <c r="D955" t="s">
        <v>850</v>
      </c>
      <c r="E955">
        <v>47</v>
      </c>
      <c r="F955" t="str" cm="1">
        <f t="array" ref="F955">INDEX(Country!$B$3:$B$250, MATCH(TRUE, ISNUMBER(SEARCH(Country!$A$2:$A$509, Customer_Data[[#This Row],[Country]])),0 ))</f>
        <v>Asia</v>
      </c>
      <c r="G955" t="s">
        <v>924</v>
      </c>
      <c r="H955" t="s">
        <v>2010</v>
      </c>
      <c r="I955" t="s">
        <v>3001</v>
      </c>
      <c r="J955" t="s">
        <v>3994</v>
      </c>
      <c r="K955" s="1">
        <v>44919</v>
      </c>
      <c r="L955">
        <f>YEAR(Customer_Data[[#This Row],[LastPurchaseDate]])</f>
        <v>2025</v>
      </c>
      <c r="M955">
        <f>MONTH(Customer_Data[[#This Row],[LastPurchaseDate]])</f>
        <v>6</v>
      </c>
      <c r="N955" s="7">
        <v>45811</v>
      </c>
      <c r="O955">
        <v>9</v>
      </c>
      <c r="P955" s="4">
        <v>4126.42</v>
      </c>
      <c r="Q955" t="s">
        <v>4035</v>
      </c>
      <c r="R955">
        <v>1</v>
      </c>
      <c r="S955">
        <v>458.49</v>
      </c>
    </row>
    <row r="956" spans="1:19" x14ac:dyDescent="0.25">
      <c r="A956">
        <v>962</v>
      </c>
      <c r="B956" t="s">
        <v>34</v>
      </c>
      <c r="C956" t="s">
        <v>378</v>
      </c>
      <c r="D956" t="s">
        <v>850</v>
      </c>
      <c r="E956">
        <v>71</v>
      </c>
      <c r="F956" t="str" cm="1">
        <f t="array" ref="F956">INDEX(Country!$B$3:$B$250, MATCH(TRUE, ISNUMBER(SEARCH(Country!$A$2:$A$509, Customer_Data[[#This Row],[Country]])),0 ))</f>
        <v>Africa</v>
      </c>
      <c r="G956" t="s">
        <v>881</v>
      </c>
      <c r="H956" t="s">
        <v>2011</v>
      </c>
      <c r="I956" t="s">
        <v>3002</v>
      </c>
      <c r="J956" t="s">
        <v>3995</v>
      </c>
      <c r="K956" s="1">
        <v>45468</v>
      </c>
      <c r="L956">
        <f>YEAR(Customer_Data[[#This Row],[LastPurchaseDate]])</f>
        <v>2025</v>
      </c>
      <c r="M956">
        <f>MONTH(Customer_Data[[#This Row],[LastPurchaseDate]])</f>
        <v>2</v>
      </c>
      <c r="N956" s="7">
        <v>45710</v>
      </c>
      <c r="O956">
        <v>38</v>
      </c>
      <c r="P956" s="4">
        <v>8846.83</v>
      </c>
      <c r="Q956" t="s">
        <v>4035</v>
      </c>
      <c r="R956">
        <v>1</v>
      </c>
      <c r="S956">
        <v>232.81</v>
      </c>
    </row>
    <row r="957" spans="1:19" x14ac:dyDescent="0.25">
      <c r="A957">
        <v>963</v>
      </c>
      <c r="B957" t="s">
        <v>146</v>
      </c>
      <c r="C957" t="s">
        <v>374</v>
      </c>
      <c r="D957" t="s">
        <v>851</v>
      </c>
      <c r="E957">
        <v>24</v>
      </c>
      <c r="F957" t="str" cm="1">
        <f t="array" ref="F957">INDEX(Country!$B$3:$B$250, MATCH(TRUE, ISNUMBER(SEARCH(Country!$A$2:$A$509, Customer_Data[[#This Row],[Country]])),0 ))</f>
        <v>South America</v>
      </c>
      <c r="G957" t="s">
        <v>866</v>
      </c>
      <c r="H957" t="s">
        <v>2012</v>
      </c>
      <c r="I957" t="s">
        <v>3003</v>
      </c>
      <c r="J957" t="s">
        <v>3996</v>
      </c>
      <c r="K957" s="1">
        <v>45470</v>
      </c>
      <c r="L957">
        <f>YEAR(Customer_Data[[#This Row],[LastPurchaseDate]])</f>
        <v>2025</v>
      </c>
      <c r="M957">
        <f>MONTH(Customer_Data[[#This Row],[LastPurchaseDate]])</f>
        <v>6</v>
      </c>
      <c r="N957" s="7">
        <v>45819</v>
      </c>
      <c r="O957">
        <v>31</v>
      </c>
      <c r="P957" s="4">
        <v>6607.81</v>
      </c>
      <c r="Q957" t="s">
        <v>4035</v>
      </c>
      <c r="R957">
        <v>1</v>
      </c>
      <c r="S957">
        <v>213.16</v>
      </c>
    </row>
    <row r="958" spans="1:19" x14ac:dyDescent="0.25">
      <c r="A958">
        <v>964</v>
      </c>
      <c r="B958" t="s">
        <v>78</v>
      </c>
      <c r="C958" t="s">
        <v>788</v>
      </c>
      <c r="D958" t="s">
        <v>851</v>
      </c>
      <c r="E958">
        <v>52</v>
      </c>
      <c r="F958" t="str" cm="1">
        <f t="array" ref="F958">INDEX(Country!$B$3:$B$250, MATCH(TRUE, ISNUMBER(SEARCH(Country!$A$2:$A$509, Customer_Data[[#This Row],[Country]])),0 ))</f>
        <v>Africa</v>
      </c>
      <c r="G958" t="s">
        <v>1008</v>
      </c>
      <c r="H958" t="s">
        <v>2013</v>
      </c>
      <c r="I958" t="s">
        <v>3004</v>
      </c>
      <c r="J958" t="s">
        <v>3997</v>
      </c>
      <c r="K958" s="1">
        <v>45130</v>
      </c>
      <c r="L958">
        <f>YEAR(Customer_Data[[#This Row],[LastPurchaseDate]])</f>
        <v>2024</v>
      </c>
      <c r="M958">
        <f>MONTH(Customer_Data[[#This Row],[LastPurchaseDate]])</f>
        <v>10</v>
      </c>
      <c r="N958" s="7">
        <v>45582</v>
      </c>
      <c r="O958">
        <v>7</v>
      </c>
      <c r="P958" s="4">
        <v>8759.43</v>
      </c>
      <c r="Q958" t="s">
        <v>4034</v>
      </c>
      <c r="R958">
        <v>4</v>
      </c>
      <c r="S958">
        <v>1251.3499999999999</v>
      </c>
    </row>
    <row r="959" spans="1:19" x14ac:dyDescent="0.25">
      <c r="A959">
        <v>965</v>
      </c>
      <c r="B959" t="s">
        <v>37</v>
      </c>
      <c r="C959" t="s">
        <v>835</v>
      </c>
      <c r="D959" t="s">
        <v>850</v>
      </c>
      <c r="E959">
        <v>36</v>
      </c>
      <c r="F959" t="str" cm="1">
        <f t="array" ref="F959">INDEX(Country!$B$3:$B$250, MATCH(TRUE, ISNUMBER(SEARCH(Country!$A$2:$A$509, Customer_Data[[#This Row],[Country]])),0 ))</f>
        <v>Europe</v>
      </c>
      <c r="G959" t="s">
        <v>965</v>
      </c>
      <c r="H959" t="s">
        <v>2014</v>
      </c>
      <c r="I959" t="s">
        <v>3005</v>
      </c>
      <c r="J959" t="s">
        <v>3998</v>
      </c>
      <c r="K959" s="1">
        <v>45481</v>
      </c>
      <c r="L959">
        <f>YEAR(Customer_Data[[#This Row],[LastPurchaseDate]])</f>
        <v>2025</v>
      </c>
      <c r="M959">
        <f>MONTH(Customer_Data[[#This Row],[LastPurchaseDate]])</f>
        <v>10</v>
      </c>
      <c r="N959" s="7">
        <v>45953</v>
      </c>
      <c r="O959">
        <v>12</v>
      </c>
      <c r="P959" s="4">
        <v>4179.4399999999996</v>
      </c>
      <c r="Q959" t="s">
        <v>4034</v>
      </c>
      <c r="R959">
        <v>5</v>
      </c>
      <c r="S959">
        <v>348.29</v>
      </c>
    </row>
    <row r="960" spans="1:19" x14ac:dyDescent="0.25">
      <c r="A960">
        <v>966</v>
      </c>
      <c r="B960" t="s">
        <v>69</v>
      </c>
      <c r="C960" t="s">
        <v>379</v>
      </c>
      <c r="D960" t="s">
        <v>851</v>
      </c>
      <c r="E960">
        <v>39</v>
      </c>
      <c r="F960" t="str" cm="1">
        <f t="array" ref="F960">INDEX(Country!$B$3:$B$250, MATCH(TRUE, ISNUMBER(SEARCH(Country!$A$2:$A$509, Customer_Data[[#This Row],[Country]])),0 ))</f>
        <v>North America</v>
      </c>
      <c r="G960" t="s">
        <v>993</v>
      </c>
      <c r="H960" t="s">
        <v>2015</v>
      </c>
      <c r="I960" t="s">
        <v>3006</v>
      </c>
      <c r="J960" t="s">
        <v>3999</v>
      </c>
      <c r="K960" s="1">
        <v>45173</v>
      </c>
      <c r="L960">
        <f>YEAR(Customer_Data[[#This Row],[LastPurchaseDate]])</f>
        <v>2024</v>
      </c>
      <c r="M960">
        <f>MONTH(Customer_Data[[#This Row],[LastPurchaseDate]])</f>
        <v>4</v>
      </c>
      <c r="N960" s="7">
        <v>45401</v>
      </c>
      <c r="O960">
        <v>47</v>
      </c>
      <c r="P960" s="4">
        <v>1075.78</v>
      </c>
      <c r="Q960" t="s">
        <v>4035</v>
      </c>
      <c r="R960">
        <v>2</v>
      </c>
      <c r="S960">
        <v>22.89</v>
      </c>
    </row>
    <row r="961" spans="1:19" x14ac:dyDescent="0.25">
      <c r="A961">
        <v>967</v>
      </c>
      <c r="B961" t="s">
        <v>193</v>
      </c>
      <c r="C961" t="s">
        <v>376</v>
      </c>
      <c r="D961" t="s">
        <v>850</v>
      </c>
      <c r="E961">
        <v>45</v>
      </c>
      <c r="F961" t="str" cm="1">
        <f t="array" ref="F961">INDEX(Country!$B$3:$B$250, MATCH(TRUE, ISNUMBER(SEARCH(Country!$A$2:$A$509, Customer_Data[[#This Row],[Country]])),0 ))</f>
        <v>Europe</v>
      </c>
      <c r="G961" t="s">
        <v>855</v>
      </c>
      <c r="H961" t="s">
        <v>2016</v>
      </c>
      <c r="I961" t="s">
        <v>3007</v>
      </c>
      <c r="J961" t="s">
        <v>4000</v>
      </c>
      <c r="K961" s="1">
        <v>45149</v>
      </c>
      <c r="L961">
        <f>YEAR(Customer_Data[[#This Row],[LastPurchaseDate]])</f>
        <v>2025</v>
      </c>
      <c r="M961">
        <f>MONTH(Customer_Data[[#This Row],[LastPurchaseDate]])</f>
        <v>3</v>
      </c>
      <c r="N961" s="7">
        <v>45728</v>
      </c>
      <c r="O961">
        <v>48</v>
      </c>
      <c r="P961" s="4">
        <v>6742.69</v>
      </c>
      <c r="Q961" t="s">
        <v>4035</v>
      </c>
      <c r="R961">
        <v>1</v>
      </c>
      <c r="S961">
        <v>140.47</v>
      </c>
    </row>
    <row r="962" spans="1:19" x14ac:dyDescent="0.25">
      <c r="A962">
        <v>968</v>
      </c>
      <c r="B962" t="s">
        <v>38</v>
      </c>
      <c r="C962" t="s">
        <v>836</v>
      </c>
      <c r="D962" t="s">
        <v>851</v>
      </c>
      <c r="E962">
        <v>59</v>
      </c>
      <c r="F962" t="str" cm="1">
        <f t="array" ref="F962">INDEX(Country!$B$3:$B$250, MATCH(TRUE, ISNUMBER(SEARCH(Country!$A$2:$A$509, Customer_Data[[#This Row],[Country]])),0 ))</f>
        <v>North America</v>
      </c>
      <c r="G962" t="s">
        <v>969</v>
      </c>
      <c r="H962" t="s">
        <v>2017</v>
      </c>
      <c r="I962" t="s">
        <v>3008</v>
      </c>
      <c r="J962" t="s">
        <v>4001</v>
      </c>
      <c r="K962" s="1">
        <v>45088</v>
      </c>
      <c r="L962">
        <f>YEAR(Customer_Data[[#This Row],[LastPurchaseDate]])</f>
        <v>2023</v>
      </c>
      <c r="M962">
        <f>MONTH(Customer_Data[[#This Row],[LastPurchaseDate]])</f>
        <v>12</v>
      </c>
      <c r="N962" s="7">
        <v>45283</v>
      </c>
      <c r="O962">
        <v>15</v>
      </c>
      <c r="P962" s="4">
        <v>6920.88</v>
      </c>
      <c r="Q962" t="s">
        <v>4035</v>
      </c>
      <c r="R962">
        <v>1</v>
      </c>
      <c r="S962">
        <v>461.39</v>
      </c>
    </row>
    <row r="963" spans="1:19" x14ac:dyDescent="0.25">
      <c r="A963">
        <v>969</v>
      </c>
      <c r="B963" t="s">
        <v>53</v>
      </c>
      <c r="C963" t="s">
        <v>837</v>
      </c>
      <c r="D963" t="s">
        <v>850</v>
      </c>
      <c r="E963">
        <v>55</v>
      </c>
      <c r="F963" t="str" cm="1">
        <f t="array" ref="F963">INDEX(Country!$B$3:$B$250, MATCH(TRUE, ISNUMBER(SEARCH(Country!$A$2:$A$509, Customer_Data[[#This Row],[Country]])),0 ))</f>
        <v>North America</v>
      </c>
      <c r="G963" t="s">
        <v>1073</v>
      </c>
      <c r="H963" t="s">
        <v>2018</v>
      </c>
      <c r="I963" t="s">
        <v>3009</v>
      </c>
      <c r="J963" t="s">
        <v>4002</v>
      </c>
      <c r="K963" s="1">
        <v>45312</v>
      </c>
      <c r="L963">
        <f>YEAR(Customer_Data[[#This Row],[LastPurchaseDate]])</f>
        <v>2024</v>
      </c>
      <c r="M963">
        <f>MONTH(Customer_Data[[#This Row],[LastPurchaseDate]])</f>
        <v>8</v>
      </c>
      <c r="N963" s="7">
        <v>45525</v>
      </c>
      <c r="O963">
        <v>16</v>
      </c>
      <c r="P963" s="4">
        <v>2781.85</v>
      </c>
      <c r="Q963" t="s">
        <v>4035</v>
      </c>
      <c r="R963">
        <v>4</v>
      </c>
      <c r="S963">
        <v>173.87</v>
      </c>
    </row>
    <row r="964" spans="1:19" x14ac:dyDescent="0.25">
      <c r="A964">
        <v>970</v>
      </c>
      <c r="B964" t="s">
        <v>33</v>
      </c>
      <c r="C964" t="s">
        <v>388</v>
      </c>
      <c r="D964" t="s">
        <v>851</v>
      </c>
      <c r="E964">
        <v>66</v>
      </c>
      <c r="F964" t="str" cm="1">
        <f t="array" ref="F964">INDEX(Country!$B$3:$B$250, MATCH(TRUE, ISNUMBER(SEARCH(Country!$A$2:$A$509, Customer_Data[[#This Row],[Country]])),0 ))</f>
        <v>Africa</v>
      </c>
      <c r="G964" t="s">
        <v>1069</v>
      </c>
      <c r="H964" t="s">
        <v>2019</v>
      </c>
      <c r="I964" t="s">
        <v>3010</v>
      </c>
      <c r="J964" t="s">
        <v>4003</v>
      </c>
      <c r="K964" s="1">
        <v>45200</v>
      </c>
      <c r="L964">
        <f>YEAR(Customer_Data[[#This Row],[LastPurchaseDate]])</f>
        <v>2025</v>
      </c>
      <c r="M964">
        <f>MONTH(Customer_Data[[#This Row],[LastPurchaseDate]])</f>
        <v>2</v>
      </c>
      <c r="N964" s="7">
        <v>45694</v>
      </c>
      <c r="O964">
        <v>39</v>
      </c>
      <c r="P964" s="4">
        <v>491.77</v>
      </c>
      <c r="Q964" t="s">
        <v>4034</v>
      </c>
      <c r="R964">
        <v>1</v>
      </c>
      <c r="S964">
        <v>12.61</v>
      </c>
    </row>
    <row r="965" spans="1:19" x14ac:dyDescent="0.25">
      <c r="A965">
        <v>971</v>
      </c>
      <c r="B965" t="s">
        <v>82</v>
      </c>
      <c r="C965" t="s">
        <v>838</v>
      </c>
      <c r="D965" t="s">
        <v>852</v>
      </c>
      <c r="E965">
        <v>65</v>
      </c>
      <c r="F965" t="str" cm="1">
        <f t="array" ref="F965">INDEX(Country!$B$3:$B$250, MATCH(TRUE, ISNUMBER(SEARCH(Country!$A$2:$A$509, Customer_Data[[#This Row],[Country]])),0 ))</f>
        <v>Africa</v>
      </c>
      <c r="G965" t="s">
        <v>944</v>
      </c>
      <c r="H965" t="s">
        <v>2020</v>
      </c>
      <c r="I965" t="s">
        <v>3011</v>
      </c>
      <c r="J965" t="s">
        <v>4004</v>
      </c>
      <c r="K965" s="1">
        <v>45685</v>
      </c>
      <c r="L965">
        <f>YEAR(Customer_Data[[#This Row],[LastPurchaseDate]])</f>
        <v>2025</v>
      </c>
      <c r="M965">
        <f>MONTH(Customer_Data[[#This Row],[LastPurchaseDate]])</f>
        <v>9</v>
      </c>
      <c r="N965" s="7">
        <v>45910</v>
      </c>
      <c r="O965">
        <v>10</v>
      </c>
      <c r="P965" s="4">
        <v>7183.36</v>
      </c>
      <c r="Q965" t="s">
        <v>4035</v>
      </c>
      <c r="R965">
        <v>3</v>
      </c>
      <c r="S965">
        <v>718.34</v>
      </c>
    </row>
    <row r="966" spans="1:19" x14ac:dyDescent="0.25">
      <c r="A966">
        <v>972</v>
      </c>
      <c r="B966" t="s">
        <v>212</v>
      </c>
      <c r="C966" t="s">
        <v>839</v>
      </c>
      <c r="D966" t="s">
        <v>851</v>
      </c>
      <c r="E966">
        <v>46</v>
      </c>
      <c r="F966" t="str" cm="1">
        <f t="array" ref="F966">INDEX(Country!$B$3:$B$250, MATCH(TRUE, ISNUMBER(SEARCH(Country!$A$2:$A$509, Customer_Data[[#This Row],[Country]])),0 ))</f>
        <v>Asia</v>
      </c>
      <c r="G966" t="s">
        <v>905</v>
      </c>
      <c r="H966" t="s">
        <v>2021</v>
      </c>
      <c r="I966" t="s">
        <v>3012</v>
      </c>
      <c r="J966" t="s">
        <v>4005</v>
      </c>
      <c r="K966" s="1">
        <v>45495</v>
      </c>
      <c r="L966">
        <f>YEAR(Customer_Data[[#This Row],[LastPurchaseDate]])</f>
        <v>2024</v>
      </c>
      <c r="M966">
        <f>MONTH(Customer_Data[[#This Row],[LastPurchaseDate]])</f>
        <v>11</v>
      </c>
      <c r="N966" s="7">
        <v>45612</v>
      </c>
      <c r="O966">
        <v>22</v>
      </c>
      <c r="P966" s="4">
        <v>3833.92</v>
      </c>
      <c r="Q966" t="s">
        <v>4035</v>
      </c>
      <c r="R966">
        <v>5</v>
      </c>
      <c r="S966">
        <v>174.27</v>
      </c>
    </row>
    <row r="967" spans="1:19" x14ac:dyDescent="0.25">
      <c r="A967">
        <v>973</v>
      </c>
      <c r="B967" t="s">
        <v>113</v>
      </c>
      <c r="C967" t="s">
        <v>716</v>
      </c>
      <c r="D967" t="s">
        <v>851</v>
      </c>
      <c r="E967">
        <v>46</v>
      </c>
      <c r="F967" t="str" cm="1">
        <f t="array" ref="F967">INDEX(Country!$B$3:$B$250, MATCH(TRUE, ISNUMBER(SEARCH(Country!$A$2:$A$509, Customer_Data[[#This Row],[Country]])),0 ))</f>
        <v>Oceania</v>
      </c>
      <c r="G967" t="s">
        <v>1035</v>
      </c>
      <c r="H967" t="s">
        <v>2022</v>
      </c>
      <c r="I967" t="s">
        <v>3013</v>
      </c>
      <c r="J967" t="s">
        <v>4006</v>
      </c>
      <c r="K967" s="1">
        <v>45769</v>
      </c>
      <c r="L967">
        <f>YEAR(Customer_Data[[#This Row],[LastPurchaseDate]])</f>
        <v>2024</v>
      </c>
      <c r="M967">
        <f>MONTH(Customer_Data[[#This Row],[LastPurchaseDate]])</f>
        <v>5</v>
      </c>
      <c r="N967" s="7">
        <v>45422</v>
      </c>
      <c r="O967">
        <v>28</v>
      </c>
      <c r="P967" s="4">
        <v>3595.81</v>
      </c>
      <c r="Q967" t="s">
        <v>4035</v>
      </c>
      <c r="R967">
        <v>1</v>
      </c>
      <c r="S967">
        <v>128.41999999999999</v>
      </c>
    </row>
    <row r="968" spans="1:19" x14ac:dyDescent="0.25">
      <c r="A968">
        <v>974</v>
      </c>
      <c r="B968" t="s">
        <v>250</v>
      </c>
      <c r="C968" t="s">
        <v>376</v>
      </c>
      <c r="D968" t="s">
        <v>851</v>
      </c>
      <c r="E968">
        <v>45</v>
      </c>
      <c r="F968" t="str" cm="1">
        <f t="array" ref="F968">INDEX(Country!$B$3:$B$250, MATCH(TRUE, ISNUMBER(SEARCH(Country!$A$2:$A$509, Customer_Data[[#This Row],[Country]])),0 ))</f>
        <v>North America</v>
      </c>
      <c r="G968" t="s">
        <v>1088</v>
      </c>
      <c r="H968" t="s">
        <v>2023</v>
      </c>
      <c r="I968" t="s">
        <v>3014</v>
      </c>
      <c r="J968" t="s">
        <v>4007</v>
      </c>
      <c r="K968" s="1">
        <v>45612</v>
      </c>
      <c r="L968">
        <f>YEAR(Customer_Data[[#This Row],[LastPurchaseDate]])</f>
        <v>2023</v>
      </c>
      <c r="M968">
        <f>MONTH(Customer_Data[[#This Row],[LastPurchaseDate]])</f>
        <v>11</v>
      </c>
      <c r="N968" s="7">
        <v>45241</v>
      </c>
      <c r="O968">
        <v>34</v>
      </c>
      <c r="P968" s="4">
        <v>4284.62</v>
      </c>
      <c r="Q968" t="s">
        <v>4034</v>
      </c>
      <c r="R968">
        <v>5</v>
      </c>
      <c r="S968">
        <v>126.02</v>
      </c>
    </row>
    <row r="969" spans="1:19" x14ac:dyDescent="0.25">
      <c r="A969">
        <v>975</v>
      </c>
      <c r="B969" t="s">
        <v>367</v>
      </c>
      <c r="C969" t="s">
        <v>840</v>
      </c>
      <c r="D969" t="s">
        <v>850</v>
      </c>
      <c r="E969">
        <v>20</v>
      </c>
      <c r="F969" t="str" cm="1">
        <f t="array" ref="F969">INDEX(Country!$B$3:$B$250, MATCH(TRUE, ISNUMBER(SEARCH(Country!$A$2:$A$509, Customer_Data[[#This Row],[Country]])),0 ))</f>
        <v>Africa</v>
      </c>
      <c r="G969" t="s">
        <v>867</v>
      </c>
      <c r="H969" t="s">
        <v>2024</v>
      </c>
      <c r="I969" t="s">
        <v>3015</v>
      </c>
      <c r="J969" t="s">
        <v>4008</v>
      </c>
      <c r="K969" s="1">
        <v>44998</v>
      </c>
      <c r="L969">
        <f>YEAR(Customer_Data[[#This Row],[LastPurchaseDate]])</f>
        <v>2024</v>
      </c>
      <c r="M969">
        <f>MONTH(Customer_Data[[#This Row],[LastPurchaseDate]])</f>
        <v>4</v>
      </c>
      <c r="N969" s="7">
        <v>45392</v>
      </c>
      <c r="O969">
        <v>10</v>
      </c>
      <c r="P969" s="4">
        <v>2182.84</v>
      </c>
      <c r="Q969" t="s">
        <v>4034</v>
      </c>
      <c r="R969">
        <v>2</v>
      </c>
      <c r="S969">
        <v>218.28</v>
      </c>
    </row>
    <row r="970" spans="1:19" x14ac:dyDescent="0.25">
      <c r="A970">
        <v>976</v>
      </c>
      <c r="B970" t="s">
        <v>68</v>
      </c>
      <c r="C970" t="s">
        <v>841</v>
      </c>
      <c r="D970" t="s">
        <v>851</v>
      </c>
      <c r="E970">
        <v>27</v>
      </c>
      <c r="F970" t="str" cm="1">
        <f t="array" ref="F970">INDEX(Country!$B$3:$B$250, MATCH(TRUE, ISNUMBER(SEARCH(Country!$A$2:$A$509, Customer_Data[[#This Row],[Country]])),0 ))</f>
        <v>North America</v>
      </c>
      <c r="G970" t="s">
        <v>1088</v>
      </c>
      <c r="H970" t="s">
        <v>2025</v>
      </c>
      <c r="I970" t="s">
        <v>3016</v>
      </c>
      <c r="J970" t="s">
        <v>4009</v>
      </c>
      <c r="K970" s="1">
        <v>45856</v>
      </c>
      <c r="L970">
        <f>YEAR(Customer_Data[[#This Row],[LastPurchaseDate]])</f>
        <v>2024</v>
      </c>
      <c r="M970">
        <f>MONTH(Customer_Data[[#This Row],[LastPurchaseDate]])</f>
        <v>1</v>
      </c>
      <c r="N970" s="7">
        <v>45302</v>
      </c>
      <c r="O970">
        <v>16</v>
      </c>
      <c r="P970" s="4">
        <v>2560.02</v>
      </c>
      <c r="Q970" t="s">
        <v>4035</v>
      </c>
      <c r="R970">
        <v>3</v>
      </c>
      <c r="S970">
        <v>160</v>
      </c>
    </row>
    <row r="971" spans="1:19" x14ac:dyDescent="0.25">
      <c r="A971">
        <v>977</v>
      </c>
      <c r="B971" t="s">
        <v>53</v>
      </c>
      <c r="C971" t="s">
        <v>429</v>
      </c>
      <c r="D971" t="s">
        <v>851</v>
      </c>
      <c r="E971">
        <v>74</v>
      </c>
      <c r="F971" t="str" cm="1">
        <f t="array" ref="F971">INDEX(Country!$B$3:$B$250, MATCH(TRUE, ISNUMBER(SEARCH(Country!$A$2:$A$509, Customer_Data[[#This Row],[Country]])),0 ))</f>
        <v>Asia</v>
      </c>
      <c r="G971" t="s">
        <v>905</v>
      </c>
      <c r="H971" t="s">
        <v>2026</v>
      </c>
      <c r="I971" t="s">
        <v>3017</v>
      </c>
      <c r="J971" t="s">
        <v>4010</v>
      </c>
      <c r="K971" s="1">
        <v>45367</v>
      </c>
      <c r="L971">
        <f>YEAR(Customer_Data[[#This Row],[LastPurchaseDate]])</f>
        <v>2025</v>
      </c>
      <c r="M971">
        <f>MONTH(Customer_Data[[#This Row],[LastPurchaseDate]])</f>
        <v>10</v>
      </c>
      <c r="N971" s="7">
        <v>45939</v>
      </c>
      <c r="O971">
        <v>7</v>
      </c>
      <c r="P971" s="4">
        <v>9016.0499999999993</v>
      </c>
      <c r="Q971" t="s">
        <v>4035</v>
      </c>
      <c r="R971">
        <v>2</v>
      </c>
      <c r="S971">
        <v>1288.01</v>
      </c>
    </row>
    <row r="972" spans="1:19" x14ac:dyDescent="0.25">
      <c r="A972">
        <v>978</v>
      </c>
      <c r="B972" t="s">
        <v>53</v>
      </c>
      <c r="C972" t="s">
        <v>842</v>
      </c>
      <c r="D972" t="s">
        <v>850</v>
      </c>
      <c r="E972">
        <v>53</v>
      </c>
      <c r="F972" t="str" cm="1">
        <f t="array" ref="F972">INDEX(Country!$B$3:$B$250, MATCH(TRUE, ISNUMBER(SEARCH(Country!$A$2:$A$509, Customer_Data[[#This Row],[Country]])),0 ))</f>
        <v>Asia</v>
      </c>
      <c r="G972" t="s">
        <v>915</v>
      </c>
      <c r="H972" t="s">
        <v>2027</v>
      </c>
      <c r="I972" t="s">
        <v>3018</v>
      </c>
      <c r="J972" t="s">
        <v>4011</v>
      </c>
      <c r="K972" s="1">
        <v>45044</v>
      </c>
      <c r="L972">
        <f>YEAR(Customer_Data[[#This Row],[LastPurchaseDate]])</f>
        <v>2024</v>
      </c>
      <c r="M972">
        <f>MONTH(Customer_Data[[#This Row],[LastPurchaseDate]])</f>
        <v>5</v>
      </c>
      <c r="N972" s="7">
        <v>45425</v>
      </c>
      <c r="O972">
        <v>15</v>
      </c>
      <c r="P972" s="4">
        <v>8996.43</v>
      </c>
      <c r="Q972" t="s">
        <v>4034</v>
      </c>
      <c r="R972">
        <v>4</v>
      </c>
      <c r="S972">
        <v>599.76</v>
      </c>
    </row>
    <row r="973" spans="1:19" x14ac:dyDescent="0.25">
      <c r="A973">
        <v>979</v>
      </c>
      <c r="B973" t="s">
        <v>368</v>
      </c>
      <c r="C973" t="s">
        <v>843</v>
      </c>
      <c r="D973" t="s">
        <v>851</v>
      </c>
      <c r="E973">
        <v>36</v>
      </c>
      <c r="F973" t="str" cm="1">
        <f t="array" ref="F973">INDEX(Country!$B$3:$B$250, MATCH(TRUE, ISNUMBER(SEARCH(Country!$A$2:$A$509, Customer_Data[[#This Row],[Country]])),0 ))</f>
        <v>Oceania</v>
      </c>
      <c r="G973" t="s">
        <v>882</v>
      </c>
      <c r="H973" t="s">
        <v>2028</v>
      </c>
      <c r="I973" t="s">
        <v>3019</v>
      </c>
      <c r="J973" t="s">
        <v>4012</v>
      </c>
      <c r="K973" s="1">
        <v>45345</v>
      </c>
      <c r="L973">
        <f>YEAR(Customer_Data[[#This Row],[LastPurchaseDate]])</f>
        <v>2025</v>
      </c>
      <c r="M973">
        <f>MONTH(Customer_Data[[#This Row],[LastPurchaseDate]])</f>
        <v>9</v>
      </c>
      <c r="N973" s="7">
        <v>45906</v>
      </c>
      <c r="O973">
        <v>35</v>
      </c>
      <c r="P973" s="4">
        <v>8578.8799999999992</v>
      </c>
      <c r="Q973" t="s">
        <v>4034</v>
      </c>
      <c r="R973">
        <v>3</v>
      </c>
      <c r="S973">
        <v>245.11</v>
      </c>
    </row>
    <row r="974" spans="1:19" x14ac:dyDescent="0.25">
      <c r="A974">
        <v>980</v>
      </c>
      <c r="B974" t="s">
        <v>37</v>
      </c>
      <c r="C974" t="s">
        <v>441</v>
      </c>
      <c r="D974" t="s">
        <v>852</v>
      </c>
      <c r="E974">
        <v>59</v>
      </c>
      <c r="F974" t="str" cm="1">
        <f t="array" ref="F974">INDEX(Country!$B$3:$B$250, MATCH(TRUE, ISNUMBER(SEARCH(Country!$A$2:$A$509, Customer_Data[[#This Row],[Country]])),0 ))</f>
        <v>South America</v>
      </c>
      <c r="G974" t="s">
        <v>958</v>
      </c>
      <c r="H974" t="s">
        <v>2029</v>
      </c>
      <c r="I974" t="s">
        <v>3020</v>
      </c>
      <c r="J974" t="s">
        <v>4013</v>
      </c>
      <c r="K974" s="1">
        <v>45753</v>
      </c>
      <c r="L974">
        <f>YEAR(Customer_Data[[#This Row],[LastPurchaseDate]])</f>
        <v>2025</v>
      </c>
      <c r="M974">
        <f>MONTH(Customer_Data[[#This Row],[LastPurchaseDate]])</f>
        <v>7</v>
      </c>
      <c r="N974" s="7">
        <v>45862</v>
      </c>
      <c r="O974">
        <v>43</v>
      </c>
      <c r="P974" s="4">
        <v>1039.3699999999999</v>
      </c>
      <c r="Q974" t="s">
        <v>4035</v>
      </c>
      <c r="R974">
        <v>2</v>
      </c>
      <c r="S974">
        <v>24.17</v>
      </c>
    </row>
    <row r="975" spans="1:19" x14ac:dyDescent="0.25">
      <c r="A975">
        <v>981</v>
      </c>
      <c r="B975" t="s">
        <v>154</v>
      </c>
      <c r="C975" t="s">
        <v>844</v>
      </c>
      <c r="D975" t="s">
        <v>850</v>
      </c>
      <c r="E975">
        <v>27</v>
      </c>
      <c r="F975" t="str" cm="1">
        <f t="array" ref="F975">INDEX(Country!$B$3:$B$250, MATCH(TRUE, ISNUMBER(SEARCH(Country!$A$2:$A$509, Customer_Data[[#This Row],[Country]])),0 ))</f>
        <v>South America</v>
      </c>
      <c r="G975" t="s">
        <v>1078</v>
      </c>
      <c r="H975" t="s">
        <v>2030</v>
      </c>
      <c r="I975" t="s">
        <v>3021</v>
      </c>
      <c r="J975" t="s">
        <v>4014</v>
      </c>
      <c r="K975" s="1">
        <v>45103</v>
      </c>
      <c r="L975">
        <f>YEAR(Customer_Data[[#This Row],[LastPurchaseDate]])</f>
        <v>2024</v>
      </c>
      <c r="M975">
        <f>MONTH(Customer_Data[[#This Row],[LastPurchaseDate]])</f>
        <v>5</v>
      </c>
      <c r="N975" s="7">
        <v>45433</v>
      </c>
      <c r="O975">
        <v>45</v>
      </c>
      <c r="P975" s="4">
        <v>3203.25</v>
      </c>
      <c r="Q975" t="s">
        <v>4035</v>
      </c>
      <c r="R975">
        <v>1</v>
      </c>
      <c r="S975">
        <v>71.180000000000007</v>
      </c>
    </row>
    <row r="976" spans="1:19" x14ac:dyDescent="0.25">
      <c r="A976">
        <v>982</v>
      </c>
      <c r="B976" t="s">
        <v>52</v>
      </c>
      <c r="C976" t="s">
        <v>845</v>
      </c>
      <c r="D976" t="s">
        <v>851</v>
      </c>
      <c r="E976">
        <v>33</v>
      </c>
      <c r="F976" t="str" cm="1">
        <f t="array" ref="F976">INDEX(Country!$B$3:$B$250, MATCH(TRUE, ISNUMBER(SEARCH(Country!$A$2:$A$509, Customer_Data[[#This Row],[Country]])),0 ))</f>
        <v>Africa</v>
      </c>
      <c r="G976" t="s">
        <v>1059</v>
      </c>
      <c r="H976" t="s">
        <v>2031</v>
      </c>
      <c r="I976" t="s">
        <v>3022</v>
      </c>
      <c r="J976" t="s">
        <v>4015</v>
      </c>
      <c r="K976" s="1">
        <v>45545</v>
      </c>
      <c r="L976">
        <f>YEAR(Customer_Data[[#This Row],[LastPurchaseDate]])</f>
        <v>2025</v>
      </c>
      <c r="M976">
        <f>MONTH(Customer_Data[[#This Row],[LastPurchaseDate]])</f>
        <v>10</v>
      </c>
      <c r="N976" s="7">
        <v>45954</v>
      </c>
      <c r="O976">
        <v>13</v>
      </c>
      <c r="P976" s="4">
        <v>6477.42</v>
      </c>
      <c r="Q976" t="s">
        <v>4034</v>
      </c>
      <c r="R976">
        <v>1</v>
      </c>
      <c r="S976">
        <v>498.26</v>
      </c>
    </row>
    <row r="977" spans="1:19" x14ac:dyDescent="0.25">
      <c r="A977">
        <v>983</v>
      </c>
      <c r="B977" t="s">
        <v>53</v>
      </c>
      <c r="C977" t="s">
        <v>790</v>
      </c>
      <c r="D977" t="s">
        <v>850</v>
      </c>
      <c r="E977">
        <v>52</v>
      </c>
      <c r="F977" t="str" cm="1">
        <f t="array" ref="F977">INDEX(Country!$B$3:$B$250, MATCH(TRUE, ISNUMBER(SEARCH(Country!$A$2:$A$509, Customer_Data[[#This Row],[Country]])),0 ))</f>
        <v>Europe</v>
      </c>
      <c r="G977" t="s">
        <v>951</v>
      </c>
      <c r="H977" t="s">
        <v>2032</v>
      </c>
      <c r="I977" t="s">
        <v>3023</v>
      </c>
      <c r="J977" t="s">
        <v>4016</v>
      </c>
      <c r="K977" s="1">
        <v>45669</v>
      </c>
      <c r="L977">
        <f>YEAR(Customer_Data[[#This Row],[LastPurchaseDate]])</f>
        <v>2024</v>
      </c>
      <c r="M977">
        <f>MONTH(Customer_Data[[#This Row],[LastPurchaseDate]])</f>
        <v>1</v>
      </c>
      <c r="N977" s="7">
        <v>45318</v>
      </c>
      <c r="O977">
        <v>29</v>
      </c>
      <c r="P977" s="4">
        <v>1570.42</v>
      </c>
      <c r="Q977" t="s">
        <v>4035</v>
      </c>
      <c r="R977">
        <v>4</v>
      </c>
      <c r="S977">
        <v>54.15</v>
      </c>
    </row>
    <row r="978" spans="1:19" x14ac:dyDescent="0.25">
      <c r="A978">
        <v>984</v>
      </c>
      <c r="B978" t="s">
        <v>213</v>
      </c>
      <c r="C978" t="s">
        <v>68</v>
      </c>
      <c r="D978" t="s">
        <v>851</v>
      </c>
      <c r="E978">
        <v>74</v>
      </c>
      <c r="F978" t="str" cm="1">
        <f t="array" ref="F978">INDEX(Country!$B$3:$B$250, MATCH(TRUE, ISNUMBER(SEARCH(Country!$A$2:$A$509, Customer_Data[[#This Row],[Country]])),0 ))</f>
        <v>Europe</v>
      </c>
      <c r="G978" t="s">
        <v>855</v>
      </c>
      <c r="H978" t="s">
        <v>2033</v>
      </c>
      <c r="I978" t="s">
        <v>3024</v>
      </c>
      <c r="J978" t="s">
        <v>4017</v>
      </c>
      <c r="K978" s="1">
        <v>45385</v>
      </c>
      <c r="L978">
        <f>YEAR(Customer_Data[[#This Row],[LastPurchaseDate]])</f>
        <v>2024</v>
      </c>
      <c r="M978">
        <f>MONTH(Customer_Data[[#This Row],[LastPurchaseDate]])</f>
        <v>5</v>
      </c>
      <c r="N978" s="7">
        <v>45429</v>
      </c>
      <c r="O978">
        <v>17</v>
      </c>
      <c r="P978" s="4">
        <v>5847.73</v>
      </c>
      <c r="Q978" t="s">
        <v>4034</v>
      </c>
      <c r="R978">
        <v>2</v>
      </c>
      <c r="S978">
        <v>343.98</v>
      </c>
    </row>
    <row r="979" spans="1:19" x14ac:dyDescent="0.25">
      <c r="A979">
        <v>985</v>
      </c>
      <c r="B979" t="s">
        <v>28</v>
      </c>
      <c r="C979" t="s">
        <v>846</v>
      </c>
      <c r="D979" t="s">
        <v>850</v>
      </c>
      <c r="E979">
        <v>58</v>
      </c>
      <c r="F979" t="str" cm="1">
        <f t="array" ref="F979">INDEX(Country!$B$3:$B$250, MATCH(TRUE, ISNUMBER(SEARCH(Country!$A$2:$A$509, Customer_Data[[#This Row],[Country]])),0 ))</f>
        <v>Europe</v>
      </c>
      <c r="G979" t="s">
        <v>1072</v>
      </c>
      <c r="H979" t="s">
        <v>2034</v>
      </c>
      <c r="I979" t="s">
        <v>3025</v>
      </c>
      <c r="J979" t="s">
        <v>4018</v>
      </c>
      <c r="K979" s="1">
        <v>45764</v>
      </c>
      <c r="L979">
        <f>YEAR(Customer_Data[[#This Row],[LastPurchaseDate]])</f>
        <v>2025</v>
      </c>
      <c r="M979">
        <f>MONTH(Customer_Data[[#This Row],[LastPurchaseDate]])</f>
        <v>9</v>
      </c>
      <c r="N979" s="7">
        <v>45917</v>
      </c>
      <c r="O979">
        <v>46</v>
      </c>
      <c r="P979" s="4">
        <v>1844.67</v>
      </c>
      <c r="Q979" t="s">
        <v>4034</v>
      </c>
      <c r="R979">
        <v>5</v>
      </c>
      <c r="S979">
        <v>40.1</v>
      </c>
    </row>
    <row r="980" spans="1:19" x14ac:dyDescent="0.25">
      <c r="A980">
        <v>986</v>
      </c>
      <c r="B980" t="s">
        <v>32</v>
      </c>
      <c r="C980" t="s">
        <v>847</v>
      </c>
      <c r="D980" t="s">
        <v>850</v>
      </c>
      <c r="E980">
        <v>36</v>
      </c>
      <c r="F980" t="str" cm="1">
        <f t="array" ref="F980">INDEX(Country!$B$3:$B$250, MATCH(TRUE, ISNUMBER(SEARCH(Country!$A$2:$A$509, Customer_Data[[#This Row],[Country]])),0 ))</f>
        <v>Africa</v>
      </c>
      <c r="G980" t="s">
        <v>1059</v>
      </c>
      <c r="H980" t="s">
        <v>2035</v>
      </c>
      <c r="I980" t="s">
        <v>3026</v>
      </c>
      <c r="J980" t="s">
        <v>4019</v>
      </c>
      <c r="K980" s="1">
        <v>44905</v>
      </c>
      <c r="L980">
        <f>YEAR(Customer_Data[[#This Row],[LastPurchaseDate]])</f>
        <v>2025</v>
      </c>
      <c r="M980">
        <f>MONTH(Customer_Data[[#This Row],[LastPurchaseDate]])</f>
        <v>9</v>
      </c>
      <c r="N980" s="7">
        <v>45915</v>
      </c>
      <c r="O980">
        <v>45</v>
      </c>
      <c r="P980" s="4">
        <v>6160.45</v>
      </c>
      <c r="Q980" t="s">
        <v>4034</v>
      </c>
      <c r="R980">
        <v>2</v>
      </c>
      <c r="S980">
        <v>136.9</v>
      </c>
    </row>
    <row r="981" spans="1:19" x14ac:dyDescent="0.25">
      <c r="A981">
        <v>987</v>
      </c>
      <c r="B981" t="s">
        <v>369</v>
      </c>
      <c r="C981" t="s">
        <v>453</v>
      </c>
      <c r="D981" t="s">
        <v>851</v>
      </c>
      <c r="E981">
        <v>31</v>
      </c>
      <c r="F981" t="str" cm="1">
        <f t="array" ref="F981">INDEX(Country!$B$3:$B$250, MATCH(TRUE, ISNUMBER(SEARCH(Country!$A$2:$A$509, Customer_Data[[#This Row],[Country]])),0 ))</f>
        <v>Europe</v>
      </c>
      <c r="G981" t="s">
        <v>1029</v>
      </c>
      <c r="H981" t="s">
        <v>2036</v>
      </c>
      <c r="I981" t="s">
        <v>3027</v>
      </c>
      <c r="J981" t="s">
        <v>4020</v>
      </c>
      <c r="K981" s="1">
        <v>44989</v>
      </c>
      <c r="L981">
        <f>YEAR(Customer_Data[[#This Row],[LastPurchaseDate]])</f>
        <v>2023</v>
      </c>
      <c r="M981">
        <f>MONTH(Customer_Data[[#This Row],[LastPurchaseDate]])</f>
        <v>12</v>
      </c>
      <c r="N981" s="7">
        <v>45287</v>
      </c>
      <c r="O981">
        <v>2</v>
      </c>
      <c r="P981" s="4">
        <v>553.41</v>
      </c>
      <c r="Q981" t="s">
        <v>4035</v>
      </c>
      <c r="R981">
        <v>2</v>
      </c>
      <c r="S981">
        <v>276.7</v>
      </c>
    </row>
    <row r="982" spans="1:19" x14ac:dyDescent="0.25">
      <c r="A982">
        <v>988</v>
      </c>
      <c r="B982" t="s">
        <v>242</v>
      </c>
      <c r="C982" t="s">
        <v>495</v>
      </c>
      <c r="D982" t="s">
        <v>850</v>
      </c>
      <c r="E982">
        <v>36</v>
      </c>
      <c r="F982" t="str" cm="1">
        <f t="array" ref="F982">INDEX(Country!$B$3:$B$250, MATCH(TRUE, ISNUMBER(SEARCH(Country!$A$2:$A$509, Customer_Data[[#This Row],[Country]])),0 ))</f>
        <v>Africa</v>
      </c>
      <c r="G982" t="s">
        <v>857</v>
      </c>
      <c r="H982" t="s">
        <v>2037</v>
      </c>
      <c r="I982" t="s">
        <v>3028</v>
      </c>
      <c r="J982" t="s">
        <v>4021</v>
      </c>
      <c r="K982" s="1">
        <v>45039</v>
      </c>
      <c r="L982">
        <f>YEAR(Customer_Data[[#This Row],[LastPurchaseDate]])</f>
        <v>2024</v>
      </c>
      <c r="M982">
        <f>MONTH(Customer_Data[[#This Row],[LastPurchaseDate]])</f>
        <v>3</v>
      </c>
      <c r="N982" s="7">
        <v>45367</v>
      </c>
      <c r="O982">
        <v>2</v>
      </c>
      <c r="P982" s="4">
        <v>704.59</v>
      </c>
      <c r="Q982" t="s">
        <v>4034</v>
      </c>
      <c r="R982">
        <v>2</v>
      </c>
      <c r="S982">
        <v>352.3</v>
      </c>
    </row>
    <row r="983" spans="1:19" x14ac:dyDescent="0.25">
      <c r="A983">
        <v>989</v>
      </c>
      <c r="B983" t="s">
        <v>128</v>
      </c>
      <c r="C983" t="s">
        <v>558</v>
      </c>
      <c r="D983" t="s">
        <v>851</v>
      </c>
      <c r="E983">
        <v>46</v>
      </c>
      <c r="F983" t="str" cm="1">
        <f t="array" ref="F983">INDEX(Country!$B$3:$B$250, MATCH(TRUE, ISNUMBER(SEARCH(Country!$A$2:$A$509, Customer_Data[[#This Row],[Country]])),0 ))</f>
        <v>Asia</v>
      </c>
      <c r="G983" t="s">
        <v>898</v>
      </c>
      <c r="H983" t="s">
        <v>2038</v>
      </c>
      <c r="I983" t="s">
        <v>3029</v>
      </c>
      <c r="J983" t="s">
        <v>4022</v>
      </c>
      <c r="K983" s="1">
        <v>45520</v>
      </c>
      <c r="L983">
        <f>YEAR(Customer_Data[[#This Row],[LastPurchaseDate]])</f>
        <v>2025</v>
      </c>
      <c r="M983">
        <f>MONTH(Customer_Data[[#This Row],[LastPurchaseDate]])</f>
        <v>9</v>
      </c>
      <c r="N983" s="7">
        <v>45905</v>
      </c>
      <c r="O983">
        <v>35</v>
      </c>
      <c r="P983" s="4">
        <v>67.099999999999994</v>
      </c>
      <c r="Q983" t="s">
        <v>4034</v>
      </c>
      <c r="R983">
        <v>4</v>
      </c>
      <c r="S983">
        <v>1.92</v>
      </c>
    </row>
    <row r="984" spans="1:19" x14ac:dyDescent="0.25">
      <c r="A984">
        <v>990</v>
      </c>
      <c r="B984" t="s">
        <v>370</v>
      </c>
      <c r="C984" t="s">
        <v>571</v>
      </c>
      <c r="D984" t="s">
        <v>850</v>
      </c>
      <c r="E984">
        <v>39</v>
      </c>
      <c r="F984" t="str" cm="1">
        <f t="array" ref="F984">INDEX(Country!$B$3:$B$250, MATCH(TRUE, ISNUMBER(SEARCH(Country!$A$2:$A$509, Customer_Data[[#This Row],[Country]])),0 ))</f>
        <v>Oceania</v>
      </c>
      <c r="G984" t="s">
        <v>990</v>
      </c>
      <c r="H984" t="s">
        <v>2039</v>
      </c>
      <c r="I984" t="s">
        <v>3030</v>
      </c>
      <c r="J984" t="s">
        <v>4023</v>
      </c>
      <c r="K984" s="1">
        <v>45640</v>
      </c>
      <c r="L984">
        <f>YEAR(Customer_Data[[#This Row],[LastPurchaseDate]])</f>
        <v>2023</v>
      </c>
      <c r="M984">
        <f>MONTH(Customer_Data[[#This Row],[LastPurchaseDate]])</f>
        <v>11</v>
      </c>
      <c r="N984" s="7">
        <v>45233</v>
      </c>
      <c r="O984">
        <v>2</v>
      </c>
      <c r="P984" s="4">
        <v>1374.17</v>
      </c>
      <c r="Q984" t="s">
        <v>4034</v>
      </c>
      <c r="R984">
        <v>3</v>
      </c>
      <c r="S984">
        <v>687.08</v>
      </c>
    </row>
    <row r="985" spans="1:19" x14ac:dyDescent="0.25">
      <c r="A985">
        <v>991</v>
      </c>
      <c r="B985" t="s">
        <v>23</v>
      </c>
      <c r="C985" t="s">
        <v>848</v>
      </c>
      <c r="D985" t="s">
        <v>851</v>
      </c>
      <c r="E985">
        <v>41</v>
      </c>
      <c r="F985" t="str" cm="1">
        <f t="array" ref="F985">INDEX(Country!$B$3:$B$250, MATCH(TRUE, ISNUMBER(SEARCH(Country!$A$2:$A$509, Customer_Data[[#This Row],[Country]])),0 ))</f>
        <v>Oceania</v>
      </c>
      <c r="G985" t="s">
        <v>930</v>
      </c>
      <c r="H985" t="s">
        <v>2040</v>
      </c>
      <c r="I985" t="s">
        <v>3031</v>
      </c>
      <c r="J985" t="s">
        <v>4024</v>
      </c>
      <c r="K985" s="1">
        <v>45321</v>
      </c>
      <c r="L985">
        <f>YEAR(Customer_Data[[#This Row],[LastPurchaseDate]])</f>
        <v>2025</v>
      </c>
      <c r="M985">
        <f>MONTH(Customer_Data[[#This Row],[LastPurchaseDate]])</f>
        <v>1</v>
      </c>
      <c r="N985" s="7">
        <v>45659</v>
      </c>
      <c r="O985">
        <v>9</v>
      </c>
      <c r="P985" s="4">
        <v>3043.54</v>
      </c>
      <c r="Q985" t="s">
        <v>4035</v>
      </c>
      <c r="R985">
        <v>5</v>
      </c>
      <c r="S985">
        <v>338.17</v>
      </c>
    </row>
    <row r="986" spans="1:19" x14ac:dyDescent="0.25">
      <c r="A986">
        <v>992</v>
      </c>
      <c r="B986" t="s">
        <v>127</v>
      </c>
      <c r="C986" t="s">
        <v>571</v>
      </c>
      <c r="D986" t="s">
        <v>850</v>
      </c>
      <c r="E986">
        <v>66</v>
      </c>
      <c r="F986" t="str" cm="1">
        <f t="array" ref="F986">INDEX(Country!$B$3:$B$250, MATCH(TRUE, ISNUMBER(SEARCH(Country!$A$2:$A$509, Customer_Data[[#This Row],[Country]])),0 ))</f>
        <v>Oceania</v>
      </c>
      <c r="G986" t="s">
        <v>961</v>
      </c>
      <c r="H986" t="s">
        <v>1562</v>
      </c>
      <c r="I986" t="s">
        <v>3032</v>
      </c>
      <c r="J986" t="s">
        <v>4025</v>
      </c>
      <c r="K986" s="1">
        <v>45922</v>
      </c>
      <c r="L986">
        <f>YEAR(Customer_Data[[#This Row],[LastPurchaseDate]])</f>
        <v>2024</v>
      </c>
      <c r="M986">
        <f>MONTH(Customer_Data[[#This Row],[LastPurchaseDate]])</f>
        <v>8</v>
      </c>
      <c r="N986" s="7">
        <v>45521</v>
      </c>
      <c r="O986">
        <v>40</v>
      </c>
      <c r="P986" s="4">
        <v>3444.39</v>
      </c>
      <c r="Q986" t="s">
        <v>4034</v>
      </c>
      <c r="R986">
        <v>5</v>
      </c>
      <c r="S986">
        <v>86.11</v>
      </c>
    </row>
    <row r="987" spans="1:19" x14ac:dyDescent="0.25">
      <c r="A987">
        <v>993</v>
      </c>
      <c r="B987" t="s">
        <v>288</v>
      </c>
      <c r="C987" t="s">
        <v>41</v>
      </c>
      <c r="D987" t="s">
        <v>851</v>
      </c>
      <c r="E987">
        <v>23</v>
      </c>
      <c r="F987" t="str" cm="1">
        <f t="array" ref="F987">INDEX(Country!$B$3:$B$250, MATCH(TRUE, ISNUMBER(SEARCH(Country!$A$2:$A$509, Customer_Data[[#This Row],[Country]])),0 ))</f>
        <v>Asia</v>
      </c>
      <c r="G987" t="s">
        <v>1003</v>
      </c>
      <c r="H987" t="s">
        <v>2041</v>
      </c>
      <c r="I987" t="s">
        <v>3033</v>
      </c>
      <c r="J987" t="s">
        <v>4026</v>
      </c>
      <c r="K987" s="1">
        <v>44940</v>
      </c>
      <c r="L987">
        <f>YEAR(Customer_Data[[#This Row],[LastPurchaseDate]])</f>
        <v>2024</v>
      </c>
      <c r="M987">
        <f>MONTH(Customer_Data[[#This Row],[LastPurchaseDate]])</f>
        <v>10</v>
      </c>
      <c r="N987" s="7">
        <v>45569</v>
      </c>
      <c r="O987">
        <v>42</v>
      </c>
      <c r="P987" s="4">
        <v>2096.2199999999998</v>
      </c>
      <c r="Q987" t="s">
        <v>4035</v>
      </c>
      <c r="R987">
        <v>1</v>
      </c>
      <c r="S987">
        <v>49.91</v>
      </c>
    </row>
    <row r="988" spans="1:19" x14ac:dyDescent="0.25">
      <c r="A988">
        <v>994</v>
      </c>
      <c r="B988" t="s">
        <v>60</v>
      </c>
      <c r="C988" t="s">
        <v>849</v>
      </c>
      <c r="D988" t="s">
        <v>851</v>
      </c>
      <c r="E988">
        <v>69</v>
      </c>
      <c r="F988" t="str" cm="1">
        <f t="array" ref="F988">INDEX(Country!$B$3:$B$250, MATCH(TRUE, ISNUMBER(SEARCH(Country!$A$2:$A$509, Customer_Data[[#This Row],[Country]])),0 ))</f>
        <v>Europe</v>
      </c>
      <c r="G988" t="s">
        <v>914</v>
      </c>
      <c r="H988" t="s">
        <v>2042</v>
      </c>
      <c r="I988" t="s">
        <v>3034</v>
      </c>
      <c r="J988" t="s">
        <v>4027</v>
      </c>
      <c r="K988" s="1">
        <v>45437</v>
      </c>
      <c r="L988">
        <f>YEAR(Customer_Data[[#This Row],[LastPurchaseDate]])</f>
        <v>2025</v>
      </c>
      <c r="M988">
        <f>MONTH(Customer_Data[[#This Row],[LastPurchaseDate]])</f>
        <v>10</v>
      </c>
      <c r="N988" s="7">
        <v>45950</v>
      </c>
      <c r="O988">
        <v>29</v>
      </c>
      <c r="P988" s="4">
        <v>2396.92</v>
      </c>
      <c r="Q988" t="s">
        <v>4034</v>
      </c>
      <c r="R988">
        <v>4</v>
      </c>
      <c r="S988">
        <v>82.65</v>
      </c>
    </row>
    <row r="989" spans="1:19" x14ac:dyDescent="0.25">
      <c r="A989">
        <v>995</v>
      </c>
      <c r="B989" t="s">
        <v>61</v>
      </c>
      <c r="C989" t="s">
        <v>594</v>
      </c>
      <c r="D989" t="s">
        <v>851</v>
      </c>
      <c r="E989">
        <v>70</v>
      </c>
      <c r="F989" t="str" cm="1">
        <f t="array" ref="F989">INDEX(Country!$B$3:$B$250, MATCH(TRUE, ISNUMBER(SEARCH(Country!$A$2:$A$509, Customer_Data[[#This Row],[Country]])),0 ))</f>
        <v>Asia</v>
      </c>
      <c r="G989" t="s">
        <v>893</v>
      </c>
      <c r="H989" t="s">
        <v>2043</v>
      </c>
      <c r="I989" t="s">
        <v>3035</v>
      </c>
      <c r="J989" t="s">
        <v>4028</v>
      </c>
      <c r="K989" s="1">
        <v>45455</v>
      </c>
      <c r="L989">
        <f>YEAR(Customer_Data[[#This Row],[LastPurchaseDate]])</f>
        <v>2025</v>
      </c>
      <c r="M989">
        <f>MONTH(Customer_Data[[#This Row],[LastPurchaseDate]])</f>
        <v>5</v>
      </c>
      <c r="N989" s="7">
        <v>45781</v>
      </c>
      <c r="O989">
        <v>37</v>
      </c>
      <c r="P989" s="4">
        <v>2101.33</v>
      </c>
      <c r="Q989" t="s">
        <v>4034</v>
      </c>
      <c r="R989">
        <v>5</v>
      </c>
      <c r="S989">
        <v>56.79</v>
      </c>
    </row>
    <row r="990" spans="1:19" x14ac:dyDescent="0.25">
      <c r="A990">
        <v>996</v>
      </c>
      <c r="B990" t="s">
        <v>34</v>
      </c>
      <c r="C990" t="s">
        <v>497</v>
      </c>
      <c r="D990" t="s">
        <v>850</v>
      </c>
      <c r="E990">
        <v>25</v>
      </c>
      <c r="F990" t="str" cm="1">
        <f t="array" ref="F990">INDEX(Country!$B$3:$B$250, MATCH(TRUE, ISNUMBER(SEARCH(Country!$A$2:$A$509, Customer_Data[[#This Row],[Country]])),0 ))</f>
        <v>Africa</v>
      </c>
      <c r="G990" t="s">
        <v>995</v>
      </c>
      <c r="H990" t="s">
        <v>2044</v>
      </c>
      <c r="I990" t="s">
        <v>3036</v>
      </c>
      <c r="J990" t="s">
        <v>4029</v>
      </c>
      <c r="K990" s="1">
        <v>45171</v>
      </c>
      <c r="L990">
        <f>YEAR(Customer_Data[[#This Row],[LastPurchaseDate]])</f>
        <v>2024</v>
      </c>
      <c r="M990">
        <f>MONTH(Customer_Data[[#This Row],[LastPurchaseDate]])</f>
        <v>6</v>
      </c>
      <c r="N990" s="7">
        <v>45468</v>
      </c>
      <c r="O990">
        <v>43</v>
      </c>
      <c r="P990" s="4">
        <v>6725.06</v>
      </c>
      <c r="Q990" t="s">
        <v>4034</v>
      </c>
      <c r="R990">
        <v>3</v>
      </c>
      <c r="S990">
        <v>156.4</v>
      </c>
    </row>
    <row r="991" spans="1:19" x14ac:dyDescent="0.25">
      <c r="A991">
        <v>997</v>
      </c>
      <c r="B991" t="s">
        <v>84</v>
      </c>
      <c r="C991" t="s">
        <v>424</v>
      </c>
      <c r="D991" t="s">
        <v>851</v>
      </c>
      <c r="E991">
        <v>57</v>
      </c>
      <c r="F991" t="str" cm="1">
        <f t="array" ref="F991">INDEX(Country!$B$3:$B$250, MATCH(TRUE, ISNUMBER(SEARCH(Country!$A$2:$A$509, Customer_Data[[#This Row],[Country]])),0 ))</f>
        <v>Asia</v>
      </c>
      <c r="G991" t="s">
        <v>1067</v>
      </c>
      <c r="H991" t="s">
        <v>2045</v>
      </c>
      <c r="I991" t="s">
        <v>3037</v>
      </c>
      <c r="J991" t="s">
        <v>4030</v>
      </c>
      <c r="K991" s="1">
        <v>45486</v>
      </c>
      <c r="L991">
        <f>YEAR(Customer_Data[[#This Row],[LastPurchaseDate]])</f>
        <v>2025</v>
      </c>
      <c r="M991">
        <f>MONTH(Customer_Data[[#This Row],[LastPurchaseDate]])</f>
        <v>1</v>
      </c>
      <c r="N991" s="7">
        <v>45678</v>
      </c>
      <c r="O991">
        <v>46</v>
      </c>
      <c r="P991" s="4">
        <v>1314.89</v>
      </c>
      <c r="Q991" t="s">
        <v>4035</v>
      </c>
      <c r="R991">
        <v>1</v>
      </c>
      <c r="S991">
        <v>28.58</v>
      </c>
    </row>
    <row r="992" spans="1:19" x14ac:dyDescent="0.25">
      <c r="A992">
        <v>998</v>
      </c>
      <c r="B992" t="s">
        <v>255</v>
      </c>
      <c r="C992" t="s">
        <v>777</v>
      </c>
      <c r="D992" t="s">
        <v>850</v>
      </c>
      <c r="E992">
        <v>33</v>
      </c>
      <c r="F992" t="str" cm="1">
        <f t="array" ref="F992">INDEX(Country!$B$3:$B$250, MATCH(TRUE, ISNUMBER(SEARCH(Country!$A$2:$A$509, Customer_Data[[#This Row],[Country]])),0 ))</f>
        <v>North America</v>
      </c>
      <c r="G992" t="s">
        <v>921</v>
      </c>
      <c r="H992" t="s">
        <v>2046</v>
      </c>
      <c r="I992" t="s">
        <v>3038</v>
      </c>
      <c r="J992" t="s">
        <v>4031</v>
      </c>
      <c r="K992" s="1">
        <v>44920</v>
      </c>
      <c r="L992">
        <f>YEAR(Customer_Data[[#This Row],[LastPurchaseDate]])</f>
        <v>2025</v>
      </c>
      <c r="M992">
        <f>MONTH(Customer_Data[[#This Row],[LastPurchaseDate]])</f>
        <v>4</v>
      </c>
      <c r="N992" s="7">
        <v>45767</v>
      </c>
      <c r="O992">
        <v>7</v>
      </c>
      <c r="P992" s="4">
        <v>693.69</v>
      </c>
      <c r="Q992" t="s">
        <v>4035</v>
      </c>
      <c r="R992">
        <v>1</v>
      </c>
      <c r="S992">
        <v>99.1</v>
      </c>
    </row>
    <row r="993" spans="1:19" x14ac:dyDescent="0.25">
      <c r="A993">
        <v>999</v>
      </c>
      <c r="B993" t="s">
        <v>100</v>
      </c>
      <c r="C993" t="s">
        <v>818</v>
      </c>
      <c r="D993" t="s">
        <v>850</v>
      </c>
      <c r="E993">
        <v>35</v>
      </c>
      <c r="F993" t="str" cm="1">
        <f t="array" ref="F993">INDEX(Country!$B$3:$B$250, MATCH(TRUE, ISNUMBER(SEARCH(Country!$A$2:$A$509, Customer_Data[[#This Row],[Country]])),0 ))</f>
        <v>Africa</v>
      </c>
      <c r="G993" t="s">
        <v>980</v>
      </c>
      <c r="H993" t="s">
        <v>2047</v>
      </c>
      <c r="I993" t="s">
        <v>3039</v>
      </c>
      <c r="J993" t="s">
        <v>4032</v>
      </c>
      <c r="K993" s="1">
        <v>45785</v>
      </c>
      <c r="L993">
        <f>YEAR(Customer_Data[[#This Row],[LastPurchaseDate]])</f>
        <v>2024</v>
      </c>
      <c r="M993">
        <f>MONTH(Customer_Data[[#This Row],[LastPurchaseDate]])</f>
        <v>9</v>
      </c>
      <c r="N993" s="7">
        <v>45545</v>
      </c>
      <c r="O993">
        <v>29</v>
      </c>
      <c r="P993" s="4">
        <v>8674.27</v>
      </c>
      <c r="Q993" t="s">
        <v>4035</v>
      </c>
      <c r="R993">
        <v>5</v>
      </c>
      <c r="S993">
        <v>299.11</v>
      </c>
    </row>
    <row r="994" spans="1:19" x14ac:dyDescent="0.25">
      <c r="A994">
        <v>1000</v>
      </c>
      <c r="B994" t="s">
        <v>52</v>
      </c>
      <c r="C994" t="s">
        <v>542</v>
      </c>
      <c r="D994" t="s">
        <v>850</v>
      </c>
      <c r="E994">
        <v>45</v>
      </c>
      <c r="F994" t="str" cm="1">
        <f t="array" ref="F994">INDEX(Country!$B$3:$B$250, MATCH(TRUE, ISNUMBER(SEARCH(Country!$A$2:$A$509, Customer_Data[[#This Row],[Country]])),0 ))</f>
        <v>North America</v>
      </c>
      <c r="G994" t="s">
        <v>906</v>
      </c>
      <c r="H994" t="s">
        <v>2048</v>
      </c>
      <c r="I994" t="s">
        <v>3040</v>
      </c>
      <c r="J994" t="s">
        <v>4033</v>
      </c>
      <c r="K994" s="1">
        <v>45752</v>
      </c>
      <c r="L994">
        <f>YEAR(Customer_Data[[#This Row],[LastPurchaseDate]])</f>
        <v>2023</v>
      </c>
      <c r="M994">
        <f>MONTH(Customer_Data[[#This Row],[LastPurchaseDate]])</f>
        <v>11</v>
      </c>
      <c r="N994" s="7">
        <v>45252</v>
      </c>
      <c r="O994">
        <v>42</v>
      </c>
      <c r="P994" s="4">
        <v>8489.02</v>
      </c>
      <c r="Q994" t="s">
        <v>4034</v>
      </c>
      <c r="R994">
        <v>4</v>
      </c>
      <c r="S994">
        <v>202.12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106E-2586-488E-91AD-CCBEF1F2D3BF}">
  <dimension ref="A1:L244"/>
  <sheetViews>
    <sheetView topLeftCell="A7" zoomScale="85" zoomScaleNormal="85" workbookViewId="0">
      <selection activeCell="T32" sqref="T32"/>
    </sheetView>
    <sheetView tabSelected="1" topLeftCell="A9" workbookViewId="1">
      <selection activeCell="H11" sqref="H11"/>
    </sheetView>
  </sheetViews>
  <sheetFormatPr defaultRowHeight="15" x14ac:dyDescent="0.25"/>
  <cols>
    <col min="1" max="1" width="14.140625" bestFit="1" customWidth="1"/>
    <col min="2" max="2" width="8" bestFit="1" customWidth="1"/>
    <col min="4" max="4" width="14" bestFit="1" customWidth="1"/>
    <col min="5" max="5" width="14.7109375" customWidth="1"/>
    <col min="7" max="7" width="14" bestFit="1" customWidth="1"/>
    <col min="8" max="8" width="22.85546875" bestFit="1" customWidth="1"/>
    <col min="10" max="10" width="17.140625" customWidth="1"/>
    <col min="11" max="11" width="8" bestFit="1" customWidth="1"/>
  </cols>
  <sheetData>
    <row r="1" spans="1:12" x14ac:dyDescent="0.25">
      <c r="A1" s="14" t="s">
        <v>4068</v>
      </c>
      <c r="B1" s="14"/>
      <c r="D1" s="14" t="s">
        <v>4069</v>
      </c>
      <c r="E1" s="14"/>
      <c r="G1" s="14" t="s">
        <v>4070</v>
      </c>
      <c r="H1" s="14"/>
      <c r="L1" s="11"/>
    </row>
    <row r="2" spans="1:12" x14ac:dyDescent="0.25">
      <c r="A2" s="5" t="s">
        <v>4066</v>
      </c>
      <c r="B2" t="s">
        <v>4036</v>
      </c>
      <c r="D2" s="5" t="s">
        <v>4066</v>
      </c>
      <c r="E2" t="s">
        <v>4039</v>
      </c>
      <c r="G2" s="5" t="s">
        <v>4066</v>
      </c>
      <c r="H2" t="s">
        <v>4067</v>
      </c>
    </row>
    <row r="3" spans="1:12" x14ac:dyDescent="0.25">
      <c r="A3" s="6" t="s">
        <v>4042</v>
      </c>
      <c r="B3" s="12">
        <v>5666</v>
      </c>
      <c r="D3" s="6" t="s">
        <v>4042</v>
      </c>
      <c r="E3" s="4">
        <v>1248314.689999999</v>
      </c>
      <c r="G3" s="6" t="s">
        <v>4042</v>
      </c>
      <c r="H3" s="9">
        <v>3.0296610169491527</v>
      </c>
    </row>
    <row r="4" spans="1:12" x14ac:dyDescent="0.25">
      <c r="A4" s="6" t="s">
        <v>4043</v>
      </c>
      <c r="B4" s="12">
        <v>4783</v>
      </c>
      <c r="D4" s="6" t="s">
        <v>4043</v>
      </c>
      <c r="E4" s="4">
        <v>912691.28999999934</v>
      </c>
      <c r="G4" s="6" t="s">
        <v>4043</v>
      </c>
      <c r="H4" s="9">
        <v>3.0757575757575757</v>
      </c>
    </row>
    <row r="5" spans="1:12" x14ac:dyDescent="0.25">
      <c r="A5" s="6" t="s">
        <v>4045</v>
      </c>
      <c r="B5" s="12">
        <v>4685</v>
      </c>
      <c r="D5" s="6" t="s">
        <v>4045</v>
      </c>
      <c r="E5" s="4">
        <v>969977.74999999977</v>
      </c>
      <c r="G5" s="6" t="s">
        <v>4045</v>
      </c>
      <c r="H5" s="9">
        <v>3.1105263157894738</v>
      </c>
    </row>
    <row r="6" spans="1:12" x14ac:dyDescent="0.25">
      <c r="A6" s="6" t="s">
        <v>4047</v>
      </c>
      <c r="B6" s="12">
        <v>4489</v>
      </c>
      <c r="D6" s="6" t="s">
        <v>4047</v>
      </c>
      <c r="E6" s="4">
        <v>824438.45999999985</v>
      </c>
      <c r="G6" s="6" t="s">
        <v>4047</v>
      </c>
      <c r="H6" s="9">
        <v>2.9942196531791909</v>
      </c>
    </row>
    <row r="7" spans="1:12" x14ac:dyDescent="0.25">
      <c r="A7" s="6" t="s">
        <v>4046</v>
      </c>
      <c r="B7" s="12">
        <v>2499</v>
      </c>
      <c r="D7" s="6" t="s">
        <v>4046</v>
      </c>
      <c r="E7" s="4">
        <v>563900.35000000033</v>
      </c>
      <c r="G7" s="6" t="s">
        <v>4046</v>
      </c>
      <c r="H7" s="9">
        <v>3.0092592592592591</v>
      </c>
    </row>
    <row r="8" spans="1:12" x14ac:dyDescent="0.25">
      <c r="A8" s="6" t="s">
        <v>4044</v>
      </c>
      <c r="B8" s="12">
        <v>1882</v>
      </c>
      <c r="D8" s="6" t="s">
        <v>4044</v>
      </c>
      <c r="E8" s="4">
        <v>329889.26</v>
      </c>
      <c r="G8" s="6" t="s">
        <v>4044</v>
      </c>
      <c r="H8" s="9">
        <v>2.9420289855072466</v>
      </c>
    </row>
    <row r="9" spans="1:12" x14ac:dyDescent="0.25">
      <c r="A9" s="6" t="s">
        <v>4056</v>
      </c>
      <c r="B9" s="12">
        <v>478</v>
      </c>
      <c r="D9" s="6" t="s">
        <v>4056</v>
      </c>
      <c r="E9" s="4">
        <v>89753.05</v>
      </c>
      <c r="G9" s="6" t="s">
        <v>4056</v>
      </c>
      <c r="H9" s="9">
        <v>3.1578947368421053</v>
      </c>
    </row>
    <row r="10" spans="1:12" x14ac:dyDescent="0.25">
      <c r="A10" s="6" t="s">
        <v>4037</v>
      </c>
      <c r="B10" s="12">
        <v>24482</v>
      </c>
      <c r="D10" s="6" t="s">
        <v>4037</v>
      </c>
      <c r="E10" s="4">
        <v>4938964.8499999987</v>
      </c>
      <c r="G10" s="15" t="s">
        <v>4073</v>
      </c>
      <c r="H10" s="9">
        <f>AVERAGE(H3:H9)</f>
        <v>3.0456210776120005</v>
      </c>
    </row>
    <row r="12" spans="1:12" x14ac:dyDescent="0.25">
      <c r="A12" s="10" t="s">
        <v>4040</v>
      </c>
      <c r="B12" s="10"/>
    </row>
    <row r="13" spans="1:12" x14ac:dyDescent="0.25">
      <c r="A13" s="5" t="s">
        <v>4065</v>
      </c>
      <c r="B13" t="s">
        <v>4036</v>
      </c>
    </row>
    <row r="14" spans="1:12" x14ac:dyDescent="0.25">
      <c r="A14" s="6">
        <v>2024</v>
      </c>
      <c r="B14" s="12">
        <v>11527</v>
      </c>
    </row>
    <row r="15" spans="1:12" x14ac:dyDescent="0.25">
      <c r="A15" s="13">
        <v>1</v>
      </c>
      <c r="B15" s="12">
        <v>760</v>
      </c>
    </row>
    <row r="16" spans="1:12" x14ac:dyDescent="0.25">
      <c r="A16" s="13">
        <v>2</v>
      </c>
      <c r="B16" s="12">
        <v>998</v>
      </c>
    </row>
    <row r="17" spans="1:2" x14ac:dyDescent="0.25">
      <c r="A17" s="13">
        <v>3</v>
      </c>
      <c r="B17" s="12">
        <v>794</v>
      </c>
    </row>
    <row r="18" spans="1:2" x14ac:dyDescent="0.25">
      <c r="A18" s="13">
        <v>4</v>
      </c>
      <c r="B18" s="12">
        <v>840</v>
      </c>
    </row>
    <row r="19" spans="1:2" x14ac:dyDescent="0.25">
      <c r="A19" s="13">
        <v>5</v>
      </c>
      <c r="B19" s="12">
        <v>797</v>
      </c>
    </row>
    <row r="20" spans="1:2" x14ac:dyDescent="0.25">
      <c r="A20" s="13">
        <v>6</v>
      </c>
      <c r="B20" s="12">
        <v>1158</v>
      </c>
    </row>
    <row r="21" spans="1:2" x14ac:dyDescent="0.25">
      <c r="A21" s="13">
        <v>7</v>
      </c>
      <c r="B21" s="12">
        <v>1038</v>
      </c>
    </row>
    <row r="22" spans="1:2" x14ac:dyDescent="0.25">
      <c r="A22" s="13">
        <v>8</v>
      </c>
      <c r="B22" s="12">
        <v>962</v>
      </c>
    </row>
    <row r="23" spans="1:2" x14ac:dyDescent="0.25">
      <c r="A23" s="13">
        <v>9</v>
      </c>
      <c r="B23" s="12">
        <v>919</v>
      </c>
    </row>
    <row r="24" spans="1:2" x14ac:dyDescent="0.25">
      <c r="A24" s="13">
        <v>10</v>
      </c>
      <c r="B24" s="12">
        <v>1250</v>
      </c>
    </row>
    <row r="25" spans="1:2" x14ac:dyDescent="0.25">
      <c r="A25" s="13">
        <v>11</v>
      </c>
      <c r="B25" s="12">
        <v>1106</v>
      </c>
    </row>
    <row r="26" spans="1:2" x14ac:dyDescent="0.25">
      <c r="A26" s="13">
        <v>12</v>
      </c>
      <c r="B26" s="12">
        <v>905</v>
      </c>
    </row>
    <row r="27" spans="1:2" x14ac:dyDescent="0.25">
      <c r="A27" s="6">
        <v>2025</v>
      </c>
      <c r="B27" s="12">
        <v>10483</v>
      </c>
    </row>
    <row r="28" spans="1:2" x14ac:dyDescent="0.25">
      <c r="A28" s="13">
        <v>1</v>
      </c>
      <c r="B28" s="12">
        <v>1134</v>
      </c>
    </row>
    <row r="29" spans="1:2" x14ac:dyDescent="0.25">
      <c r="A29" s="13">
        <v>2</v>
      </c>
      <c r="B29" s="12">
        <v>853</v>
      </c>
    </row>
    <row r="30" spans="1:2" x14ac:dyDescent="0.25">
      <c r="A30" s="13">
        <v>3</v>
      </c>
      <c r="B30" s="12">
        <v>1116</v>
      </c>
    </row>
    <row r="31" spans="1:2" x14ac:dyDescent="0.25">
      <c r="A31" s="13">
        <v>4</v>
      </c>
      <c r="B31" s="12">
        <v>784</v>
      </c>
    </row>
    <row r="32" spans="1:2" x14ac:dyDescent="0.25">
      <c r="A32" s="13">
        <v>5</v>
      </c>
      <c r="B32" s="12">
        <v>1352</v>
      </c>
    </row>
    <row r="33" spans="1:2" x14ac:dyDescent="0.25">
      <c r="A33" s="13">
        <v>6</v>
      </c>
      <c r="B33" s="12">
        <v>696</v>
      </c>
    </row>
    <row r="34" spans="1:2" x14ac:dyDescent="0.25">
      <c r="A34" s="13">
        <v>7</v>
      </c>
      <c r="B34" s="12">
        <v>1201</v>
      </c>
    </row>
    <row r="35" spans="1:2" x14ac:dyDescent="0.25">
      <c r="A35" s="13">
        <v>8</v>
      </c>
      <c r="B35" s="12">
        <v>1143</v>
      </c>
    </row>
    <row r="36" spans="1:2" x14ac:dyDescent="0.25">
      <c r="A36" s="13">
        <v>9</v>
      </c>
      <c r="B36" s="12">
        <v>1075</v>
      </c>
    </row>
    <row r="37" spans="1:2" x14ac:dyDescent="0.25">
      <c r="A37" s="13">
        <v>10</v>
      </c>
      <c r="B37" s="12">
        <v>1129</v>
      </c>
    </row>
    <row r="38" spans="1:2" x14ac:dyDescent="0.25">
      <c r="A38" s="6" t="s">
        <v>4037</v>
      </c>
      <c r="B38" s="12">
        <v>22010</v>
      </c>
    </row>
    <row r="244" spans="1:1" x14ac:dyDescent="0.25">
      <c r="A244">
        <f>COUNTA(A3:B241)/2</f>
        <v>34.5</v>
      </c>
    </row>
  </sheetData>
  <mergeCells count="3">
    <mergeCell ref="A1:B1"/>
    <mergeCell ref="D1:E1"/>
    <mergeCell ref="G1:H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9CBC-118C-4823-8F37-F02378C3ECE4}">
  <dimension ref="A1:A28"/>
  <sheetViews>
    <sheetView tabSelected="1" workbookViewId="0">
      <selection activeCell="A6" sqref="A6"/>
    </sheetView>
    <sheetView workbookViewId="1"/>
  </sheetViews>
  <sheetFormatPr defaultRowHeight="15" x14ac:dyDescent="0.25"/>
  <cols>
    <col min="1" max="1" width="138.42578125" customWidth="1"/>
  </cols>
  <sheetData>
    <row r="1" spans="1:1" ht="23.25" x14ac:dyDescent="0.25">
      <c r="A1" s="16" t="s">
        <v>4071</v>
      </c>
    </row>
    <row r="2" spans="1:1" x14ac:dyDescent="0.25">
      <c r="A2" t="s">
        <v>4075</v>
      </c>
    </row>
    <row r="3" spans="1:1" x14ac:dyDescent="0.25">
      <c r="A3" t="s">
        <v>4076</v>
      </c>
    </row>
    <row r="4" spans="1:1" x14ac:dyDescent="0.25">
      <c r="A4" t="s">
        <v>4077</v>
      </c>
    </row>
    <row r="5" spans="1:1" x14ac:dyDescent="0.25">
      <c r="A5" t="s">
        <v>4097</v>
      </c>
    </row>
    <row r="6" spans="1:1" x14ac:dyDescent="0.25">
      <c r="A6" t="s">
        <v>4096</v>
      </c>
    </row>
    <row r="7" spans="1:1" ht="23.25" x14ac:dyDescent="0.25">
      <c r="A7" s="16" t="s">
        <v>4072</v>
      </c>
    </row>
    <row r="8" spans="1:1" x14ac:dyDescent="0.25">
      <c r="A8" s="18" t="s">
        <v>4078</v>
      </c>
    </row>
    <row r="9" spans="1:1" x14ac:dyDescent="0.25">
      <c r="A9" s="17" t="s">
        <v>4079</v>
      </c>
    </row>
    <row r="10" spans="1:1" x14ac:dyDescent="0.25">
      <c r="A10" s="18" t="s">
        <v>4080</v>
      </c>
    </row>
    <row r="12" spans="1:1" x14ac:dyDescent="0.25">
      <c r="A12" s="18" t="s">
        <v>4081</v>
      </c>
    </row>
    <row r="13" spans="1:1" x14ac:dyDescent="0.25">
      <c r="A13" s="19" t="s">
        <v>4082</v>
      </c>
    </row>
    <row r="14" spans="1:1" x14ac:dyDescent="0.25">
      <c r="A14" s="19" t="s">
        <v>4083</v>
      </c>
    </row>
    <row r="15" spans="1:1" x14ac:dyDescent="0.25">
      <c r="A15" s="19" t="s">
        <v>4095</v>
      </c>
    </row>
    <row r="17" spans="1:1" x14ac:dyDescent="0.25">
      <c r="A17" s="18" t="s">
        <v>4084</v>
      </c>
    </row>
    <row r="18" spans="1:1" x14ac:dyDescent="0.25">
      <c r="A18" s="17" t="s">
        <v>4085</v>
      </c>
    </row>
    <row r="19" spans="1:1" x14ac:dyDescent="0.25">
      <c r="A19" s="17" t="s">
        <v>4086</v>
      </c>
    </row>
    <row r="20" spans="1:1" ht="23.25" x14ac:dyDescent="0.25">
      <c r="A20" s="16" t="s">
        <v>4074</v>
      </c>
    </row>
    <row r="21" spans="1:1" x14ac:dyDescent="0.25">
      <c r="A21" s="18" t="s">
        <v>4087</v>
      </c>
    </row>
    <row r="22" spans="1:1" x14ac:dyDescent="0.25">
      <c r="A22" s="17" t="s">
        <v>4088</v>
      </c>
    </row>
    <row r="23" spans="1:1" x14ac:dyDescent="0.25">
      <c r="A23" s="18" t="s">
        <v>4089</v>
      </c>
    </row>
    <row r="24" spans="1:1" x14ac:dyDescent="0.25">
      <c r="A24" s="17" t="s">
        <v>4090</v>
      </c>
    </row>
    <row r="25" spans="1:1" x14ac:dyDescent="0.25">
      <c r="A25" s="18" t="s">
        <v>4091</v>
      </c>
    </row>
    <row r="26" spans="1:1" x14ac:dyDescent="0.25">
      <c r="A26" s="17" t="s">
        <v>4092</v>
      </c>
    </row>
    <row r="27" spans="1:1" x14ac:dyDescent="0.25">
      <c r="A27" s="18" t="s">
        <v>4093</v>
      </c>
    </row>
    <row r="28" spans="1:1" x14ac:dyDescent="0.25">
      <c r="A28" s="17" t="s">
        <v>4094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Country</vt:lpstr>
      <vt:lpstr>Customer_Data</vt:lpstr>
      <vt:lpstr>Tables and Charts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Ian C</cp:lastModifiedBy>
  <dcterms:created xsi:type="dcterms:W3CDTF">2025-10-31T04:54:32Z</dcterms:created>
  <dcterms:modified xsi:type="dcterms:W3CDTF">2025-11-01T06:34:14Z</dcterms:modified>
</cp:coreProperties>
</file>