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activeX/activeX1.xml" ContentType="application/vnd.ms-office.activeX+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Desktop Files\Data Analytics\Excel Projects\"/>
    </mc:Choice>
  </mc:AlternateContent>
  <xr:revisionPtr revIDLastSave="0" documentId="13_ncr:1_{392FEE02-9E3B-4F82-A32C-E174A314F419}" xr6:coauthVersionLast="47" xr6:coauthVersionMax="47" xr10:uidLastSave="{00000000-0000-0000-0000-000000000000}"/>
  <bookViews>
    <workbookView xWindow="-120" yWindow="-120" windowWidth="29040" windowHeight="15720" xr2:uid="{00000000-000D-0000-FFFF-FFFF00000000}"/>
  </bookViews>
  <sheets>
    <sheet name="Employee Data" sheetId="1" r:id="rId1"/>
    <sheet name="Pivot Tables" sheetId="2" r:id="rId2"/>
  </sheets>
  <definedNames>
    <definedName name="Slicer_Department">#N/A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4" i="2" l="1" a="1"/>
  <c r="P4" i="2" s="1"/>
  <c r="A14" i="2"/>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<sst xmlns="http://schemas.openxmlformats.org/spreadsheetml/2006/main" count="8086" uniqueCount="2078">
  <si>
    <t>Employee ID</t>
  </si>
  <si>
    <t>Full Name</t>
  </si>
  <si>
    <t>Department</t>
  </si>
  <si>
    <t>Position</t>
  </si>
  <si>
    <t>Gender</t>
  </si>
  <si>
    <t>Age</t>
  </si>
  <si>
    <t>Hire Date</t>
  </si>
  <si>
    <t>Employment Type</t>
  </si>
  <si>
    <t>Monthly Salary</t>
  </si>
  <si>
    <t>Performance Rating</t>
  </si>
  <si>
    <t>Attendance Rate (%)</t>
  </si>
  <si>
    <t>Years in Company</t>
  </si>
  <si>
    <t>Training Hours</t>
  </si>
  <si>
    <t>Overtime Hours</t>
  </si>
  <si>
    <t>Manager</t>
  </si>
  <si>
    <t>Status</t>
  </si>
  <si>
    <t>EMP0001</t>
  </si>
  <si>
    <t>EMP0002</t>
  </si>
  <si>
    <t>EMP0003</t>
  </si>
  <si>
    <t>EMP0004</t>
  </si>
  <si>
    <t>EMP0005</t>
  </si>
  <si>
    <t>EMP0006</t>
  </si>
  <si>
    <t>EMP0007</t>
  </si>
  <si>
    <t>EMP0008</t>
  </si>
  <si>
    <t>EMP0009</t>
  </si>
  <si>
    <t>EMP0010</t>
  </si>
  <si>
    <t>EMP0011</t>
  </si>
  <si>
    <t>EMP0012</t>
  </si>
  <si>
    <t>EMP0013</t>
  </si>
  <si>
    <t>EMP0014</t>
  </si>
  <si>
    <t>EMP0015</t>
  </si>
  <si>
    <t>EMP0016</t>
  </si>
  <si>
    <t>EMP0017</t>
  </si>
  <si>
    <t>EMP0018</t>
  </si>
  <si>
    <t>EMP0019</t>
  </si>
  <si>
    <t>EMP0020</t>
  </si>
  <si>
    <t>EMP0021</t>
  </si>
  <si>
    <t>EMP0022</t>
  </si>
  <si>
    <t>EMP0023</t>
  </si>
  <si>
    <t>EMP0024</t>
  </si>
  <si>
    <t>EMP0025</t>
  </si>
  <si>
    <t>EMP0026</t>
  </si>
  <si>
    <t>EMP0027</t>
  </si>
  <si>
    <t>EMP0028</t>
  </si>
  <si>
    <t>EMP0029</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</si>
  <si>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</si>
  <si>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</si>
  <si>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</si>
  <si>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</si>
  <si>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</si>
  <si>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</si>
  <si>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</si>
  <si>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</si>
  <si>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</si>
  <si>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</si>
  <si>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</si>
  <si>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</si>
  <si>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</si>
  <si>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</si>
  <si>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</si>
  <si>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</si>
  <si>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</si>
  <si>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</si>
  <si>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</si>
  <si>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</si>
  <si>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</si>
  <si>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</si>
  <si>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</si>
  <si>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</si>
  <si>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</si>
  <si>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</si>
  <si>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</si>
  <si>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</si>
  <si>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</si>
  <si>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</si>
  <si>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</si>
  <si>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</si>
  <si>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</si>
  <si>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</si>
  <si>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</si>
  <si>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</si>
  <si>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</si>
  <si>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</si>
  <si>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</si>
  <si>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</si>
  <si>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</si>
  <si>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</si>
  <si>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</si>
  <si>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</si>
  <si>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</si>
  <si>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</si>
  <si>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</si>
  <si>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</si>
  <si>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</si>
  <si>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</si>
  <si>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</si>
  <si>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</si>
  <si>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</si>
  <si>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</si>
  <si>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</si>
  <si>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</si>
  <si>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</si>
  <si>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</si>
  <si>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</si>
  <si>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</si>
  <si>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</si>
  <si>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</si>
  <si>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</si>
  <si>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</si>
  <si>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</si>
  <si>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</si>
  <si>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</si>
  <si>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</si>
  <si>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</si>
  <si>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</si>
  <si>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</si>
  <si>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</si>
  <si>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</si>
  <si>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</si>
  <si>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</si>
  <si>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</si>
  <si>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</si>
  <si>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</si>
  <si>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</si>
  <si>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</si>
  <si>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</si>
  <si>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</si>
  <si>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</si>
  <si>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</si>
  <si>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</si>
  <si>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</si>
  <si>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</si>
  <si>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</si>
  <si>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</si>
  <si>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</si>
  <si>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</si>
  <si>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</si>
  <si>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</si>
  <si>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</si>
  <si>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</si>
  <si>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</si>
  <si>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</si>
  <si>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</si>
  <si>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</si>
  <si>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</si>
  <si>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</si>
  <si>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</si>
  <si>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</si>
  <si>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</si>
  <si>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</si>
  <si>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</si>
  <si>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</si>
  <si>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</si>
  <si>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</si>
  <si>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</si>
  <si>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</si>
  <si>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</si>
  <si>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</si>
  <si>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</si>
  <si>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</si>
  <si>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</si>
  <si>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</si>
  <si>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</si>
  <si>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</si>
  <si>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</si>
  <si>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</si>
  <si>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</si>
  <si>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</si>
  <si>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</si>
  <si>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</si>
  <si>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</si>
  <si>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</si>
  <si>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</si>
  <si>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</si>
  <si>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</si>
  <si>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</si>
  <si>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</si>
  <si>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</si>
  <si>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</si>
  <si>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</si>
  <si>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</si>
  <si>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</si>
  <si>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</si>
  <si>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</si>
  <si>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</si>
  <si>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</si>
  <si>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</si>
  <si>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</si>
  <si>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</si>
  <si>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</si>
  <si>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</si>
  <si>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</si>
  <si>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</si>
  <si>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</si>
  <si>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</si>
  <si>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</si>
  <si>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</si>
  <si>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</si>
  <si>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</si>
  <si>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</si>
  <si>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</si>
  <si>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</si>
  <si>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</si>
  <si>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</si>
  <si>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</si>
  <si>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</si>
  <si>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</si>
  <si>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</si>
  <si>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</si>
  <si>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</si>
  <si>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</si>
  <si>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</si>
  <si>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</si>
  <si>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</si>
  <si>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</si>
  <si>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</si>
  <si>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</si>
  <si>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</si>
  <si>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</si>
  <si>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</si>
  <si>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</si>
  <si>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</si>
  <si>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</si>
  <si>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</si>
  <si>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</si>
  <si>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</si>
  <si>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</si>
  <si>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</si>
  <si>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</si>
  <si>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</si>
  <si>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</si>
  <si>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</si>
  <si>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</si>
  <si>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</si>
  <si>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</si>
  <si>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</si>
  <si>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</si>
  <si>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</si>
  <si>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</si>
  <si>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</si>
  <si>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</si>
  <si>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</si>
  <si>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</si>
  <si>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</si>
  <si>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</si>
  <si>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</si>
  <si>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</si>
  <si>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</si>
  <si>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</si>
  <si>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</si>
  <si>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</si>
  <si>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</si>
  <si>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</si>
  <si>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</si>
  <si>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</si>
  <si>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</si>
  <si>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</si>
  <si>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</si>
  <si>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</si>
  <si>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</si>
  <si>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</si>
  <si>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</si>
  <si>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</si>
  <si>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</si>
  <si>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</si>
  <si>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</si>
  <si>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</si>
  <si>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</si>
  <si>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</si>
  <si>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</si>
  <si>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</si>
  <si>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</si>
  <si>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</si>
  <si>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</si>
  <si>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</si>
  <si>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</si>
  <si>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</si>
  <si>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</si>
  <si>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</si>
  <si>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</si>
  <si>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</si>
  <si>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</si>
  <si>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</si>
  <si>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</si>
  <si>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</si>
  <si>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</si>
  <si>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</si>
  <si>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</si>
  <si>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</si>
  <si>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</si>
  <si>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</si>
  <si>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</si>
  <si>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</si>
  <si>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</si>
  <si>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</si>
  <si>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</si>
  <si>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</si>
  <si>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</si>
  <si>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</si>
  <si>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</si>
  <si>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</si>
  <si>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</si>
  <si>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</si>
  <si>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</si>
  <si>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</si>
  <si>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</si>
  <si>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</si>
  <si>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</si>
  <si>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</si>
  <si>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</si>
  <si>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</si>
  <si>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</si>
  <si>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</si>
  <si>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</si>
  <si>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</si>
  <si>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</si>
  <si>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</si>
  <si>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</si>
  <si>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</si>
  <si>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</si>
  <si>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</si>
  <si>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</si>
  <si>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</si>
  <si>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</si>
  <si>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</si>
  <si>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</si>
  <si>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</si>
  <si>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</si>
  <si>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</si>
  <si>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</si>
  <si>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</si>
  <si>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</si>
  <si>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</si>
  <si>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</si>
  <si>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</si>
  <si>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</si>
  <si>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</si>
  <si>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</si>
  <si>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</si>
  <si>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</si>
  <si>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</si>
  <si>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</si>
  <si>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</si>
  <si>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</si>
  <si>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</si>
  <si>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</si>
  <si>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</si>
  <si>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</si>
  <si>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</si>
  <si>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</si>
  <si>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</si>
  <si>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</si>
  <si>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</si>
  <si>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</si>
  <si>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</si>
  <si>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</si>
  <si>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</si>
  <si>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</si>
  <si>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</si>
  <si>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</si>
  <si>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</si>
  <si>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</si>
  <si>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</si>
  <si>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</si>
  <si>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</si>
  <si>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</si>
  <si>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</si>
  <si>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</si>
  <si>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</si>
  <si>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</si>
  <si>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</si>
  <si>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</si>
  <si>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</si>
  <si>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</si>
  <si>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</si>
  <si>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</si>
  <si>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</si>
  <si>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</si>
  <si>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</si>
  <si>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</si>
  <si>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</si>
  <si>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</si>
  <si>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</si>
  <si>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</si>
  <si>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</si>
  <si>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</si>
  <si>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</si>
  <si>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</si>
  <si>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</si>
  <si>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</si>
  <si>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</si>
  <si>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</si>
  <si>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</si>
  <si>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</si>
  <si>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</si>
  <si>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</si>
  <si>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</si>
  <si>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</si>
  <si>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</si>
  <si>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</si>
  <si>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</si>
  <si>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</si>
  <si>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</si>
  <si>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</si>
  <si>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</si>
  <si>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</si>
  <si>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</si>
  <si>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</si>
  <si>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</si>
  <si>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</si>
  <si>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</si>
  <si>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</si>
  <si>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</si>
  <si>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</si>
  <si>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</si>
  <si>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</si>
  <si>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</si>
  <si>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</si>
  <si>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</si>
  <si>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</si>
  <si>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</si>
  <si>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</si>
  <si>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</si>
  <si>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</si>
  <si>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</si>
  <si>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</si>
  <si>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</si>
  <si>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</si>
  <si>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</si>
  <si>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</si>
  <si>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</si>
  <si>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</si>
  <si>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</si>
  <si>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</si>
  <si>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</si>
  <si>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</si>
  <si>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</si>
  <si>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</si>
  <si>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</si>
  <si>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</si>
  <si>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</si>
  <si>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</si>
  <si>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</si>
  <si>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</si>
  <si>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</si>
  <si>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</si>
  <si>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</si>
  <si>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</si>
  <si>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</si>
  <si>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</si>
  <si>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</si>
  <si>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</si>
  <si>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</si>
  <si>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</si>
  <si>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</si>
  <si>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</si>
  <si>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</si>
  <si>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</si>
  <si>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</si>
  <si>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</si>
  <si>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</si>
  <si>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</si>
  <si>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</si>
  <si>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</si>
  <si>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</si>
  <si>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</si>
  <si>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</si>
  <si>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</si>
  <si>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</si>
  <si>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</si>
  <si>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</si>
  <si>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</si>
  <si>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</si>
  <si>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</si>
  <si>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</si>
  <si>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</si>
  <si>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</si>
  <si>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</si>
  <si>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</si>
  <si>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</si>
  <si>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</si>
  <si>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</si>
  <si>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</si>
  <si>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</si>
  <si>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</si>
  <si>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</si>
  <si>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</si>
  <si>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</si>
  <si>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</si>
  <si>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</si>
  <si>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</si>
  <si>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</si>
  <si>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</si>
  <si>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</si>
  <si>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</si>
  <si>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</si>
  <si>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</si>
  <si>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</si>
  <si>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</si>
  <si>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</si>
  <si>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</si>
  <si>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</si>
  <si>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</si>
  <si>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</si>
  <si>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</si>
  <si>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</si>
  <si>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</si>
  <si>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</si>
  <si>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</si>
  <si>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</si>
  <si>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</si>
  <si>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</si>
  <si>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</si>
  <si>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</si>
  <si>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</si>
  <si>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</si>
  <si>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EMP0501</t>
  </si>
  <si>
    <t>EMP0502</t>
  </si>
  <si>
    <t>EMP0503</t>
  </si>
  <si>
    <t>EMP0504</t>
  </si>
  <si>
    <t>EMP0505</t>
  </si>
  <si>
    <t>EMP0506</t>
  </si>
  <si>
    <t>EMP0507</t>
  </si>
  <si>
    <t>EMP0508</t>
  </si>
  <si>
    <t>EMP0509</t>
  </si>
  <si>
    <t>EMP0510</t>
  </si>
  <si>
    <t>EMP0511</t>
  </si>
  <si>
    <t>EMP0512</t>
  </si>
  <si>
    <t>EMP0513</t>
  </si>
  <si>
    <t>EMP0514</t>
  </si>
  <si>
    <t>EMP0515</t>
  </si>
  <si>
    <t>EMP0516</t>
  </si>
  <si>
    <t>EMP0517</t>
  </si>
  <si>
    <t>EMP0518</t>
  </si>
  <si>
    <t>EMP0519</t>
  </si>
  <si>
    <t>EMP0520</t>
  </si>
  <si>
    <t>EMP0521</t>
  </si>
  <si>
    <t>EMP0522</t>
  </si>
  <si>
    <t>EMP0523</t>
  </si>
  <si>
    <t>EMP0524</t>
  </si>
  <si>
    <t>EMP0525</t>
  </si>
  <si>
    <t>EMP0526</t>
  </si>
  <si>
    <t>EMP0527</t>
  </si>
  <si>
    <t>EMP0528</t>
  </si>
  <si>
    <t>EMP0529</t>
  </si>
  <si>
    <t>EMP0530</t>
  </si>
  <si>
    <t>EMP0531</t>
  </si>
  <si>
    <t>EMP0532</t>
  </si>
  <si>
    <t>EMP0533</t>
  </si>
  <si>
    <t>EMP0534</t>
  </si>
  <si>
    <t>EMP0535</t>
  </si>
  <si>
    <t>EMP0536</t>
  </si>
  <si>
    <t>EMP0537</t>
  </si>
  <si>
    <t>EMP0538</t>
  </si>
  <si>
    <t>EMP0539</t>
  </si>
  <si>
    <t>EMP0540</t>
  </si>
  <si>
    <t>EMP0541</t>
  </si>
  <si>
    <t>EMP0542</t>
  </si>
  <si>
    <t>EMP0543</t>
  </si>
  <si>
    <t>EMP0544</t>
  </si>
  <si>
    <t>EMP0545</t>
  </si>
  <si>
    <t>EMP0546</t>
  </si>
  <si>
    <t>EMP0547</t>
  </si>
  <si>
    <t>EMP0548</t>
  </si>
  <si>
    <t>EMP0549</t>
  </si>
  <si>
    <t>EMP0550</t>
  </si>
  <si>
    <t>EMP0551</t>
  </si>
  <si>
    <t>EMP0552</t>
  </si>
  <si>
    <t>EMP0553</t>
  </si>
  <si>
    <t>EMP0554</t>
  </si>
  <si>
    <t>EMP0555</t>
  </si>
  <si>
    <t>EMP0556</t>
  </si>
  <si>
    <t>EMP0557</t>
  </si>
  <si>
    <t>EMP0558</t>
  </si>
  <si>
    <t>EMP0559</t>
  </si>
  <si>
    <t>EMP0560</t>
  </si>
  <si>
    <t>EMP0561</t>
  </si>
  <si>
    <t>EMP0562</t>
  </si>
  <si>
    <t>EMP0563</t>
  </si>
  <si>
    <t>EMP0564</t>
  </si>
  <si>
    <t>EMP0565</t>
  </si>
  <si>
    <t>EMP0566</t>
  </si>
  <si>
    <t>EMP0567</t>
  </si>
  <si>
    <t>EMP0568</t>
  </si>
  <si>
    <t>EMP0569</t>
  </si>
  <si>
    <t>EMP0570</t>
  </si>
  <si>
    <t>EMP0571</t>
  </si>
  <si>
    <t>EMP0572</t>
  </si>
  <si>
    <t>EMP0573</t>
  </si>
  <si>
    <t>EMP0574</t>
  </si>
  <si>
    <t>EMP0575</t>
  </si>
  <si>
    <t>EMP0576</t>
  </si>
  <si>
    <t>EMP0577</t>
  </si>
  <si>
    <t>EMP0578</t>
  </si>
  <si>
    <t>EMP0579</t>
  </si>
  <si>
    <t>EMP0580</t>
  </si>
  <si>
    <t>EMP0581</t>
  </si>
  <si>
    <t>EMP0582</t>
  </si>
  <si>
    <t>EMP0583</t>
  </si>
  <si>
    <t>EMP0584</t>
  </si>
  <si>
    <t>EMP0585</t>
  </si>
  <si>
    <t>EMP0586</t>
  </si>
  <si>
    <t>EMP0587</t>
  </si>
  <si>
    <t>EMP0588</t>
  </si>
  <si>
    <t>EMP0589</t>
  </si>
  <si>
    <t>EMP0590</t>
  </si>
  <si>
    <t>EMP0591</t>
  </si>
  <si>
    <t>EMP0592</t>
  </si>
  <si>
    <t>EMP0593</t>
  </si>
  <si>
    <t>EMP0594</t>
  </si>
  <si>
    <t>EMP0595</t>
  </si>
  <si>
    <t>EMP0596</t>
  </si>
  <si>
    <t>EMP0597</t>
  </si>
  <si>
    <t>EMP0598</t>
  </si>
  <si>
    <t>EMP0599</t>
  </si>
  <si>
    <t>EMP0600</t>
  </si>
  <si>
    <t>EMP0601</t>
  </si>
  <si>
    <t>EMP0602</t>
  </si>
  <si>
    <t>EMP0603</t>
  </si>
  <si>
    <t>EMP0604</t>
  </si>
  <si>
    <t>EMP0605</t>
  </si>
  <si>
    <t>EMP0606</t>
  </si>
  <si>
    <t>EMP0607</t>
  </si>
  <si>
    <t>EMP0608</t>
  </si>
  <si>
    <t>EMP0609</t>
  </si>
  <si>
    <t>EMP0610</t>
  </si>
  <si>
    <t>EMP0611</t>
  </si>
  <si>
    <t>EMP0612</t>
  </si>
  <si>
    <t>EMP0613</t>
  </si>
  <si>
    <t>EMP0614</t>
  </si>
  <si>
    <t>EMP0615</t>
  </si>
  <si>
    <t>EMP0616</t>
  </si>
  <si>
    <t>EMP0617</t>
  </si>
  <si>
    <t>EMP0618</t>
  </si>
  <si>
    <t>EMP0619</t>
  </si>
  <si>
    <t>EMP0620</t>
  </si>
  <si>
    <t>EMP0621</t>
  </si>
  <si>
    <t>EMP0622</t>
  </si>
  <si>
    <t>EMP0623</t>
  </si>
  <si>
    <t>EMP0624</t>
  </si>
  <si>
    <t>EMP0625</t>
  </si>
  <si>
    <t>EMP0626</t>
  </si>
  <si>
    <t>EMP0627</t>
  </si>
  <si>
    <t>EMP0628</t>
  </si>
  <si>
    <t>EMP0629</t>
  </si>
  <si>
    <t>EMP0630</t>
  </si>
  <si>
    <t>EMP0631</t>
  </si>
  <si>
    <t>EMP0632</t>
  </si>
  <si>
    <t>EMP0633</t>
  </si>
  <si>
    <t>EMP0634</t>
  </si>
  <si>
    <t>EMP0635</t>
  </si>
  <si>
    <t>EMP0636</t>
  </si>
  <si>
    <t>EMP0637</t>
  </si>
  <si>
    <t>EMP0638</t>
  </si>
  <si>
    <t>EMP0639</t>
  </si>
  <si>
    <t>EMP0640</t>
  </si>
  <si>
    <t>EMP0641</t>
  </si>
  <si>
    <t>EMP0642</t>
  </si>
  <si>
    <t>EMP0643</t>
  </si>
  <si>
    <t>EMP0644</t>
  </si>
  <si>
    <t>EMP0645</t>
  </si>
  <si>
    <t>EMP0646</t>
  </si>
  <si>
    <t>EMP0647</t>
  </si>
  <si>
    <t>EMP0648</t>
  </si>
  <si>
    <t>EMP0649</t>
  </si>
  <si>
    <t>EMP0650</t>
  </si>
  <si>
    <t>EMP0651</t>
  </si>
  <si>
    <t>EMP0652</t>
  </si>
  <si>
    <t>EMP0653</t>
  </si>
  <si>
    <t>EMP0654</t>
  </si>
  <si>
    <t>EMP0655</t>
  </si>
  <si>
    <t>EMP0656</t>
  </si>
  <si>
    <t>EMP0657</t>
  </si>
  <si>
    <t>EMP0658</t>
  </si>
  <si>
    <t>EMP0659</t>
  </si>
  <si>
    <t>EMP0660</t>
  </si>
  <si>
    <t>EMP0661</t>
  </si>
  <si>
    <t>EMP0662</t>
  </si>
  <si>
    <t>EMP0663</t>
  </si>
  <si>
    <t>EMP0664</t>
  </si>
  <si>
    <t>EMP0665</t>
  </si>
  <si>
    <t>EMP0666</t>
  </si>
  <si>
    <t>EMP0667</t>
  </si>
  <si>
    <t>EMP0668</t>
  </si>
  <si>
    <t>EMP0669</t>
  </si>
  <si>
    <t>EMP0670</t>
  </si>
  <si>
    <t>EMP0671</t>
  </si>
  <si>
    <t>EMP0672</t>
  </si>
  <si>
    <t>EMP0673</t>
  </si>
  <si>
    <t>EMP0674</t>
  </si>
  <si>
    <t>EMP0675</t>
  </si>
  <si>
    <t>EMP0676</t>
  </si>
  <si>
    <t>EMP0677</t>
  </si>
  <si>
    <t>EMP0678</t>
  </si>
  <si>
    <t>EMP0679</t>
  </si>
  <si>
    <t>EMP0680</t>
  </si>
  <si>
    <t>EMP0681</t>
  </si>
  <si>
    <t>EMP0682</t>
  </si>
  <si>
    <t>EMP0683</t>
  </si>
  <si>
    <t>EMP0684</t>
  </si>
  <si>
    <t>EMP0685</t>
  </si>
  <si>
    <t>EMP0686</t>
  </si>
  <si>
    <t>EMP0687</t>
  </si>
  <si>
    <t>EMP0688</t>
  </si>
  <si>
    <t>EMP0689</t>
  </si>
  <si>
    <t>EMP0690</t>
  </si>
  <si>
    <t>EMP0691</t>
  </si>
  <si>
    <t>EMP0692</t>
  </si>
  <si>
    <t>EMP0693</t>
  </si>
  <si>
    <t>EMP0694</t>
  </si>
  <si>
    <t>EMP0695</t>
  </si>
  <si>
    <t>EMP0696</t>
  </si>
  <si>
    <t>EMP0697</t>
  </si>
  <si>
    <t>EMP0698</t>
  </si>
  <si>
    <t>EMP0699</t>
  </si>
  <si>
    <t>EMP0700</t>
  </si>
  <si>
    <t>EMP0701</t>
  </si>
  <si>
    <t>EMP0702</t>
  </si>
  <si>
    <t>EMP0703</t>
  </si>
  <si>
    <t>EMP0704</t>
  </si>
  <si>
    <t>EMP0705</t>
  </si>
  <si>
    <t>EMP0706</t>
  </si>
  <si>
    <t>EMP0707</t>
  </si>
  <si>
    <t>EMP0708</t>
  </si>
  <si>
    <t>EMP0709</t>
  </si>
  <si>
    <t>EMP0710</t>
  </si>
  <si>
    <t>EMP0711</t>
  </si>
  <si>
    <t>EMP0712</t>
  </si>
  <si>
    <t>EMP0713</t>
  </si>
  <si>
    <t>EMP0714</t>
  </si>
  <si>
    <t>EMP0715</t>
  </si>
  <si>
    <t>EMP0716</t>
  </si>
  <si>
    <t>EMP0717</t>
  </si>
  <si>
    <t>EMP0718</t>
  </si>
  <si>
    <t>EMP0719</t>
  </si>
  <si>
    <t>EMP0720</t>
  </si>
  <si>
    <t>EMP0721</t>
  </si>
  <si>
    <t>EMP0722</t>
  </si>
  <si>
    <t>EMP0723</t>
  </si>
  <si>
    <t>EMP0724</t>
  </si>
  <si>
    <t>EMP0725</t>
  </si>
  <si>
    <t>EMP0726</t>
  </si>
  <si>
    <t>EMP0727</t>
  </si>
  <si>
    <t>EMP0728</t>
  </si>
  <si>
    <t>EMP0729</t>
  </si>
  <si>
    <t>EMP0730</t>
  </si>
  <si>
    <t>EMP0731</t>
  </si>
  <si>
    <t>EMP0732</t>
  </si>
  <si>
    <t>EMP0733</t>
  </si>
  <si>
    <t>EMP0734</t>
  </si>
  <si>
    <t>EMP0735</t>
  </si>
  <si>
    <t>EMP0736</t>
  </si>
  <si>
    <t>EMP0737</t>
  </si>
  <si>
    <t>EMP0738</t>
  </si>
  <si>
    <t>EMP0739</t>
  </si>
  <si>
    <t>EMP0740</t>
  </si>
  <si>
    <t>EMP0741</t>
  </si>
  <si>
    <t>EMP0742</t>
  </si>
  <si>
    <t>EMP0743</t>
  </si>
  <si>
    <t>EMP0744</t>
  </si>
  <si>
    <t>EMP0745</t>
  </si>
  <si>
    <t>EMP0746</t>
  </si>
  <si>
    <t>EMP0747</t>
  </si>
  <si>
    <t>EMP0748</t>
  </si>
  <si>
    <t>EMP0749</t>
  </si>
  <si>
    <t>EMP0750</t>
  </si>
  <si>
    <t>EMP0751</t>
  </si>
  <si>
    <t>EMP0752</t>
  </si>
  <si>
    <t>EMP0753</t>
  </si>
  <si>
    <t>EMP0754</t>
  </si>
  <si>
    <t>EMP0755</t>
  </si>
  <si>
    <t>EMP0756</t>
  </si>
  <si>
    <t>EMP0757</t>
  </si>
  <si>
    <t>EMP0758</t>
  </si>
  <si>
    <t>EMP0759</t>
  </si>
  <si>
    <t>EMP0760</t>
  </si>
  <si>
    <t>EMP0761</t>
  </si>
  <si>
    <t>EMP0762</t>
  </si>
  <si>
    <t>EMP0763</t>
  </si>
  <si>
    <t>EMP0764</t>
  </si>
  <si>
    <t>EMP0765</t>
  </si>
  <si>
    <t>EMP0766</t>
  </si>
  <si>
    <t>EMP0767</t>
  </si>
  <si>
    <t>EMP0768</t>
  </si>
  <si>
    <t>EMP0769</t>
  </si>
  <si>
    <t>EMP0770</t>
  </si>
  <si>
    <t>EMP0771</t>
  </si>
  <si>
    <t>EMP0772</t>
  </si>
  <si>
    <t>EMP0773</t>
  </si>
  <si>
    <t>EMP0774</t>
  </si>
  <si>
    <t>EMP0775</t>
  </si>
  <si>
    <t>EMP0776</t>
  </si>
  <si>
    <t>EMP0777</t>
  </si>
  <si>
    <t>EMP0778</t>
  </si>
  <si>
    <t>EMP0779</t>
  </si>
  <si>
    <t>EMP0780</t>
  </si>
  <si>
    <t>EMP0781</t>
  </si>
  <si>
    <t>EMP0782</t>
  </si>
  <si>
    <t>EMP0783</t>
  </si>
  <si>
    <t>EMP0784</t>
  </si>
  <si>
    <t>EMP0785</t>
  </si>
  <si>
    <t>EMP0786</t>
  </si>
  <si>
    <t>EMP0787</t>
  </si>
  <si>
    <t>EMP0788</t>
  </si>
  <si>
    <t>EMP0789</t>
  </si>
  <si>
    <t>EMP0790</t>
  </si>
  <si>
    <t>EMP0791</t>
  </si>
  <si>
    <t>EMP0792</t>
  </si>
  <si>
    <t>EMP0793</t>
  </si>
  <si>
    <t>EMP0794</t>
  </si>
  <si>
    <t>EMP0795</t>
  </si>
  <si>
    <t>EMP0796</t>
  </si>
  <si>
    <t>EMP0797</t>
  </si>
  <si>
    <t>EMP0798</t>
  </si>
  <si>
    <t>EMP0799</t>
  </si>
  <si>
    <t>EMP0800</t>
  </si>
  <si>
    <t>EMP0801</t>
  </si>
  <si>
    <t>EMP0802</t>
  </si>
  <si>
    <t>EMP0803</t>
  </si>
  <si>
    <t>EMP0804</t>
  </si>
  <si>
    <t>EMP0805</t>
  </si>
  <si>
    <t>EMP0806</t>
  </si>
  <si>
    <t>EMP0807</t>
  </si>
  <si>
    <t>EMP0808</t>
  </si>
  <si>
    <t>EMP0809</t>
  </si>
  <si>
    <t>EMP0810</t>
  </si>
  <si>
    <t>EMP0811</t>
  </si>
  <si>
    <t>EMP0812</t>
  </si>
  <si>
    <t>EMP0813</t>
  </si>
  <si>
    <t>EMP0814</t>
  </si>
  <si>
    <t>EMP0815</t>
  </si>
  <si>
    <t>EMP0816</t>
  </si>
  <si>
    <t>EMP0817</t>
  </si>
  <si>
    <t>EMP0818</t>
  </si>
  <si>
    <t>EMP0819</t>
  </si>
  <si>
    <t>EMP0820</t>
  </si>
  <si>
    <t>EMP0821</t>
  </si>
  <si>
    <t>EMP0822</t>
  </si>
  <si>
    <t>EMP0823</t>
  </si>
  <si>
    <t>EMP0824</t>
  </si>
  <si>
    <t>EMP0825</t>
  </si>
  <si>
    <t>EMP0826</t>
  </si>
  <si>
    <t>EMP0827</t>
  </si>
  <si>
    <t>EMP0828</t>
  </si>
  <si>
    <t>EMP0829</t>
  </si>
  <si>
    <t>EMP0830</t>
  </si>
  <si>
    <t>EMP0831</t>
  </si>
  <si>
    <t>EMP0832</t>
  </si>
  <si>
    <t>EMP0833</t>
  </si>
  <si>
    <t>EMP0834</t>
  </si>
  <si>
    <t>EMP0835</t>
  </si>
  <si>
    <t>EMP0836</t>
  </si>
  <si>
    <t>EMP0837</t>
  </si>
  <si>
    <t>EMP0838</t>
  </si>
  <si>
    <t>EMP0839</t>
  </si>
  <si>
    <t>EMP0840</t>
  </si>
  <si>
    <t>EMP0841</t>
  </si>
  <si>
    <t>EMP0842</t>
  </si>
  <si>
    <t>EMP0843</t>
  </si>
  <si>
    <t>EMP0844</t>
  </si>
  <si>
    <t>EMP0845</t>
  </si>
  <si>
    <t>EMP0846</t>
  </si>
  <si>
    <t>EMP0847</t>
  </si>
  <si>
    <t>EMP0848</t>
  </si>
  <si>
    <t>EMP0849</t>
  </si>
  <si>
    <t>EMP0850</t>
  </si>
  <si>
    <t>EMP0851</t>
  </si>
  <si>
    <t>EMP0852</t>
  </si>
  <si>
    <t>EMP0853</t>
  </si>
  <si>
    <t>EMP0854</t>
  </si>
  <si>
    <t>EMP0855</t>
  </si>
  <si>
    <t>EMP0856</t>
  </si>
  <si>
    <t>EMP0857</t>
  </si>
  <si>
    <t>EMP0858</t>
  </si>
  <si>
    <t>EMP0859</t>
  </si>
  <si>
    <t>EMP0860</t>
  </si>
  <si>
    <t>EMP0861</t>
  </si>
  <si>
    <t>EMP0862</t>
  </si>
  <si>
    <t>EMP0863</t>
  </si>
  <si>
    <t>EMP0864</t>
  </si>
  <si>
    <t>EMP0865</t>
  </si>
  <si>
    <t>EMP0866</t>
  </si>
  <si>
    <t>EMP0867</t>
  </si>
  <si>
    <t>EMP0868</t>
  </si>
  <si>
    <t>EMP0869</t>
  </si>
  <si>
    <t>EMP0870</t>
  </si>
  <si>
    <t>EMP0871</t>
  </si>
  <si>
    <t>EMP0872</t>
  </si>
  <si>
    <t>EMP0873</t>
  </si>
  <si>
    <t>EMP0874</t>
  </si>
  <si>
    <t>EMP0875</t>
  </si>
  <si>
    <t>EMP0876</t>
  </si>
  <si>
    <t>EMP0877</t>
  </si>
  <si>
    <t>EMP0878</t>
  </si>
  <si>
    <t>EMP0879</t>
  </si>
  <si>
    <t>EMP0880</t>
  </si>
  <si>
    <t>EMP0881</t>
  </si>
  <si>
    <t>EMP0882</t>
  </si>
  <si>
    <t>EMP0883</t>
  </si>
  <si>
    <t>EMP0884</t>
  </si>
  <si>
    <t>EMP0885</t>
  </si>
  <si>
    <t>EMP0886</t>
  </si>
  <si>
    <t>EMP0887</t>
  </si>
  <si>
    <t>EMP0888</t>
  </si>
  <si>
    <t>EMP0889</t>
  </si>
  <si>
    <t>EMP0890</t>
  </si>
  <si>
    <t>EMP0891</t>
  </si>
  <si>
    <t>EMP0892</t>
  </si>
  <si>
    <t>EMP0893</t>
  </si>
  <si>
    <t>EMP0894</t>
  </si>
  <si>
    <t>EMP0895</t>
  </si>
  <si>
    <t>EMP0896</t>
  </si>
  <si>
    <t>EMP0897</t>
  </si>
  <si>
    <t>EMP0898</t>
  </si>
  <si>
    <t>EMP0899</t>
  </si>
  <si>
    <t>EMP0900</t>
  </si>
  <si>
    <t>EMP0901</t>
  </si>
  <si>
    <t>EMP0902</t>
  </si>
  <si>
    <t>EMP0903</t>
  </si>
  <si>
    <t>EMP0904</t>
  </si>
  <si>
    <t>EMP0905</t>
  </si>
  <si>
    <t>EMP0906</t>
  </si>
  <si>
    <t>EMP0907</t>
  </si>
  <si>
    <t>EMP0908</t>
  </si>
  <si>
    <t>EMP0909</t>
  </si>
  <si>
    <t>EMP0910</t>
  </si>
  <si>
    <t>EMP0911</t>
  </si>
  <si>
    <t>EMP0912</t>
  </si>
  <si>
    <t>EMP0913</t>
  </si>
  <si>
    <t>EMP0914</t>
  </si>
  <si>
    <t>EMP0915</t>
  </si>
  <si>
    <t>EMP0916</t>
  </si>
  <si>
    <t>EMP0917</t>
  </si>
  <si>
    <t>EMP0918</t>
  </si>
  <si>
    <t>EMP0919</t>
  </si>
  <si>
    <t>EMP0920</t>
  </si>
  <si>
    <t>EMP0921</t>
  </si>
  <si>
    <t>EMP0922</t>
  </si>
  <si>
    <t>EMP0923</t>
  </si>
  <si>
    <t>EMP0924</t>
  </si>
  <si>
    <t>EMP0925</t>
  </si>
  <si>
    <t>EMP0926</t>
  </si>
  <si>
    <t>EMP0927</t>
  </si>
  <si>
    <t>EMP0928</t>
  </si>
  <si>
    <t>EMP0929</t>
  </si>
  <si>
    <t>EMP0930</t>
  </si>
  <si>
    <t>EMP0931</t>
  </si>
  <si>
    <t>EMP0932</t>
  </si>
  <si>
    <t>EMP0933</t>
  </si>
  <si>
    <t>EMP0934</t>
  </si>
  <si>
    <t>EMP0935</t>
  </si>
  <si>
    <t>EMP0936</t>
  </si>
  <si>
    <t>EMP0937</t>
  </si>
  <si>
    <t>EMP0938</t>
  </si>
  <si>
    <t>EMP0939</t>
  </si>
  <si>
    <t>EMP0940</t>
  </si>
  <si>
    <t>EMP0941</t>
  </si>
  <si>
    <t>EMP0942</t>
  </si>
  <si>
    <t>EMP0943</t>
  </si>
  <si>
    <t>EMP0944</t>
  </si>
  <si>
    <t>EMP0945</t>
  </si>
  <si>
    <t>EMP0946</t>
  </si>
  <si>
    <t>EMP0947</t>
  </si>
  <si>
    <t>EMP0948</t>
  </si>
  <si>
    <t>EMP0949</t>
  </si>
  <si>
    <t>EMP0950</t>
  </si>
  <si>
    <t>EMP0951</t>
  </si>
  <si>
    <t>EMP0952</t>
  </si>
  <si>
    <t>EMP0953</t>
  </si>
  <si>
    <t>EMP0954</t>
  </si>
  <si>
    <t>EMP0955</t>
  </si>
  <si>
    <t>EMP0956</t>
  </si>
  <si>
    <t>EMP0957</t>
  </si>
  <si>
    <t>EMP0958</t>
  </si>
  <si>
    <t>EMP0959</t>
  </si>
  <si>
    <t>EMP0960</t>
  </si>
  <si>
    <t>EMP0961</t>
  </si>
  <si>
    <t>EMP0962</t>
  </si>
  <si>
    <t>EMP0963</t>
  </si>
  <si>
    <t>EMP0964</t>
  </si>
  <si>
    <t>EMP0965</t>
  </si>
  <si>
    <t>EMP0966</t>
  </si>
  <si>
    <t>EMP0967</t>
  </si>
  <si>
    <t>EMP0968</t>
  </si>
  <si>
    <t>EMP0969</t>
  </si>
  <si>
    <t>EMP0970</t>
  </si>
  <si>
    <t>EMP0971</t>
  </si>
  <si>
    <t>EMP0972</t>
  </si>
  <si>
    <t>EMP0973</t>
  </si>
  <si>
    <t>EMP0974</t>
  </si>
  <si>
    <t>EMP0975</t>
  </si>
  <si>
    <t>EMP0976</t>
  </si>
  <si>
    <t>EMP0977</t>
  </si>
  <si>
    <t>EMP0978</t>
  </si>
  <si>
    <t>EMP0979</t>
  </si>
  <si>
    <t>EMP0980</t>
  </si>
  <si>
    <t>EMP0981</t>
  </si>
  <si>
    <t>EMP0982</t>
  </si>
  <si>
    <t>EMP0983</t>
  </si>
  <si>
    <t>EMP0984</t>
  </si>
  <si>
    <t>EMP0985</t>
  </si>
  <si>
    <t>EMP0986</t>
  </si>
  <si>
    <t>EMP0987</t>
  </si>
  <si>
    <t>EMP0988</t>
  </si>
  <si>
    <t>EMP0989</t>
  </si>
  <si>
    <t>EMP0990</t>
  </si>
  <si>
    <t>EMP0991</t>
  </si>
  <si>
    <t>EMP0992</t>
  </si>
  <si>
    <t>EMP0993</t>
  </si>
  <si>
    <t>EMP0994</t>
  </si>
  <si>
    <t>EMP0995</t>
  </si>
  <si>
    <t>EMP0996</t>
  </si>
  <si>
    <t>EMP0997</t>
  </si>
  <si>
    <t>EMP0998</t>
  </si>
  <si>
    <t>EMP0999</t>
  </si>
  <si>
    <t>EMP1000</t>
  </si>
  <si>
    <t>Frederick Tate</t>
  </si>
  <si>
    <t>Andrew Stewart</t>
  </si>
  <si>
    <t>Thomas Bradley</t>
  </si>
  <si>
    <t>Jonathan Wilkerson</t>
  </si>
  <si>
    <t>Charles Mcgee</t>
  </si>
  <si>
    <t>Kevin Hurst</t>
  </si>
  <si>
    <t>Zachary Taylor</t>
  </si>
  <si>
    <t>Anthony Rodriguez</t>
  </si>
  <si>
    <t>Jennifer Brown</t>
  </si>
  <si>
    <t>Julie King</t>
  </si>
  <si>
    <t>Alexandra Le</t>
  </si>
  <si>
    <t>Patricia Peterson</t>
  </si>
  <si>
    <t>Jesse Mckay</t>
  </si>
  <si>
    <t>Pamela Romero</t>
  </si>
  <si>
    <t>Elizabeth Fowler</t>
  </si>
  <si>
    <t>Phillip Ryan</t>
  </si>
  <si>
    <t>Linda Burns</t>
  </si>
  <si>
    <t>Sherry Decker</t>
  </si>
  <si>
    <t>David Bradley</t>
  </si>
  <si>
    <t>John Jones</t>
  </si>
  <si>
    <t>Betty Alvarez</t>
  </si>
  <si>
    <t>Joseph Obrien</t>
  </si>
  <si>
    <t>Nicole Vaughn</t>
  </si>
  <si>
    <t>Michael Brooks</t>
  </si>
  <si>
    <t>David Brown</t>
  </si>
  <si>
    <t>Crystal Robinson</t>
  </si>
  <si>
    <t>Amy Jones</t>
  </si>
  <si>
    <t>Andrea Young</t>
  </si>
  <si>
    <t>Carlos Walls</t>
  </si>
  <si>
    <t>Dana Kennedy</t>
  </si>
  <si>
    <t>Brent Jordan</t>
  </si>
  <si>
    <t>Scott Brown</t>
  </si>
  <si>
    <t>Nicholas Mcbride</t>
  </si>
  <si>
    <t>Connor West</t>
  </si>
  <si>
    <t>Joel Baxter</t>
  </si>
  <si>
    <t>Scott Pierce</t>
  </si>
  <si>
    <t>Kimberly Smith</t>
  </si>
  <si>
    <t>Sarah Martin</t>
  </si>
  <si>
    <t>Dr. Steven Martin</t>
  </si>
  <si>
    <t>Mrs. Rachel Gibson</t>
  </si>
  <si>
    <t>Monica Logan</t>
  </si>
  <si>
    <t>Edward Novak</t>
  </si>
  <si>
    <t>Amy Edwards</t>
  </si>
  <si>
    <t>Kathryn Farrell</t>
  </si>
  <si>
    <t>Jordan York</t>
  </si>
  <si>
    <t>Megan Young</t>
  </si>
  <si>
    <t>Laura Riley</t>
  </si>
  <si>
    <t>Jennifer Silva</t>
  </si>
  <si>
    <t>Dean Santiago</t>
  </si>
  <si>
    <t>James Powers</t>
  </si>
  <si>
    <t>Timothy Walls</t>
  </si>
  <si>
    <t>Zachary Ferrell</t>
  </si>
  <si>
    <t>Katie Anderson</t>
  </si>
  <si>
    <t>Sherry Wood</t>
  </si>
  <si>
    <t>Joshua Turner</t>
  </si>
  <si>
    <t>Robert Evans</t>
  </si>
  <si>
    <t>Brandy Wilson</t>
  </si>
  <si>
    <t>Brittney Campbell</t>
  </si>
  <si>
    <t>Christina Walters</t>
  </si>
  <si>
    <t>Danielle Odonnell</t>
  </si>
  <si>
    <t>Jeff Hill</t>
  </si>
  <si>
    <t>Carlos Whitney</t>
  </si>
  <si>
    <t>Kristen Patterson</t>
  </si>
  <si>
    <t>Tony Vazquez</t>
  </si>
  <si>
    <t>Sandra Aguilar</t>
  </si>
  <si>
    <t>Andrew Diaz</t>
  </si>
  <si>
    <t>Christine Wright</t>
  </si>
  <si>
    <t>Justin Baxter</t>
  </si>
  <si>
    <t>Cynthia Martin</t>
  </si>
  <si>
    <t>Allison Doyle</t>
  </si>
  <si>
    <t>Jennifer Santiago</t>
  </si>
  <si>
    <t>Richard Rodriguez</t>
  </si>
  <si>
    <t>Courtney Velasquez</t>
  </si>
  <si>
    <t>Robert Savage</t>
  </si>
  <si>
    <t>Corey Murphy</t>
  </si>
  <si>
    <t>Diana May</t>
  </si>
  <si>
    <t>Sarah Rivera</t>
  </si>
  <si>
    <t>Wesley White</t>
  </si>
  <si>
    <t>Kyle Reed</t>
  </si>
  <si>
    <t>William Wilson</t>
  </si>
  <si>
    <t>Andrew Graham</t>
  </si>
  <si>
    <t>Kimberly Ball</t>
  </si>
  <si>
    <t>Benjamin Beck</t>
  </si>
  <si>
    <t>Mary Martinez</t>
  </si>
  <si>
    <t>Mary Nguyen</t>
  </si>
  <si>
    <t>Cheryl Ortega</t>
  </si>
  <si>
    <t>Stephanie Gilbert</t>
  </si>
  <si>
    <t>Roy Torres</t>
  </si>
  <si>
    <t>Kevin Pena</t>
  </si>
  <si>
    <t>Michael Dixon</t>
  </si>
  <si>
    <t>Diane Beck</t>
  </si>
  <si>
    <t>Trevor Young</t>
  </si>
  <si>
    <t>Curtis Johnson</t>
  </si>
  <si>
    <t>Miss Patricia Gibson</t>
  </si>
  <si>
    <t>Michael Snyder</t>
  </si>
  <si>
    <t>Michael Stafford</t>
  </si>
  <si>
    <t>Colleen Brock</t>
  </si>
  <si>
    <t>Justin Lowery</t>
  </si>
  <si>
    <t>Robert Contreras</t>
  </si>
  <si>
    <t>Tiffany Vance</t>
  </si>
  <si>
    <t>Terry Griffin</t>
  </si>
  <si>
    <t>Karen Green</t>
  </si>
  <si>
    <t>Destiny Strickland</t>
  </si>
  <si>
    <t>Denise Jones</t>
  </si>
  <si>
    <t>George Orozco</t>
  </si>
  <si>
    <t>David Benson</t>
  </si>
  <si>
    <t>Jason Daniels</t>
  </si>
  <si>
    <t>Ross Price</t>
  </si>
  <si>
    <t>Alicia Gilmore</t>
  </si>
  <si>
    <t>Aaron Bell</t>
  </si>
  <si>
    <t>Tiffany Barnes</t>
  </si>
  <si>
    <t>Stephanie Freeman</t>
  </si>
  <si>
    <t>Allen Rogers</t>
  </si>
  <si>
    <t>Sara Calhoun</t>
  </si>
  <si>
    <t>James Elliott</t>
  </si>
  <si>
    <t>Jeffrey Camacho</t>
  </si>
  <si>
    <t>James Lewis</t>
  </si>
  <si>
    <t>Shawn Ramirez</t>
  </si>
  <si>
    <t>Bradley Smith</t>
  </si>
  <si>
    <t>Trevor Walker</t>
  </si>
  <si>
    <t>Marissa Webster</t>
  </si>
  <si>
    <t>Alex Hernandez</t>
  </si>
  <si>
    <t>Brian Gould</t>
  </si>
  <si>
    <t>Pamela Jackson</t>
  </si>
  <si>
    <t>Carla Collins</t>
  </si>
  <si>
    <t>Eric Byrd</t>
  </si>
  <si>
    <t>Miguel Jones</t>
  </si>
  <si>
    <t>Raymond Jefferson</t>
  </si>
  <si>
    <t>Kylie Williams</t>
  </si>
  <si>
    <t>Jacob Hunter</t>
  </si>
  <si>
    <t>Jason Henry</t>
  </si>
  <si>
    <t>Madison Poole</t>
  </si>
  <si>
    <t>Nicholas Sheppard</t>
  </si>
  <si>
    <t>Tamara Hampton</t>
  </si>
  <si>
    <t>Nicholas Adams</t>
  </si>
  <si>
    <t>Angelica Keith</t>
  </si>
  <si>
    <t>Laura Barnett</t>
  </si>
  <si>
    <t>Samuel White</t>
  </si>
  <si>
    <t>David Ramirez</t>
  </si>
  <si>
    <t>Kellie Lee</t>
  </si>
  <si>
    <t>Katherine Chang</t>
  </si>
  <si>
    <t>Katherine Mcguire</t>
  </si>
  <si>
    <t>Jared Sanchez</t>
  </si>
  <si>
    <t>Juan Cooper</t>
  </si>
  <si>
    <t>Michael Nelson</t>
  </si>
  <si>
    <t>Nathan Stewart</t>
  </si>
  <si>
    <t>Melissa Lee</t>
  </si>
  <si>
    <t>Kevin Wolf</t>
  </si>
  <si>
    <t>Dr. Elizabeth Ward</t>
  </si>
  <si>
    <t>Joseph Hill</t>
  </si>
  <si>
    <t>Melissa Martinez</t>
  </si>
  <si>
    <t>Adam Mitchell</t>
  </si>
  <si>
    <t>Cody Williams</t>
  </si>
  <si>
    <t>Austin Vasquez</t>
  </si>
  <si>
    <t>Amy Hernandez</t>
  </si>
  <si>
    <t>Angela Wright</t>
  </si>
  <si>
    <t>Lisa Gibbs</t>
  </si>
  <si>
    <t>Jamie Kerr</t>
  </si>
  <si>
    <t>Wanda Torres</t>
  </si>
  <si>
    <t>Natalie Meza</t>
  </si>
  <si>
    <t>Deborah Miller</t>
  </si>
  <si>
    <t>Benjamin Smith</t>
  </si>
  <si>
    <t>Julie Johnson</t>
  </si>
  <si>
    <t>Michele Gibson</t>
  </si>
  <si>
    <t>Rachel Weber</t>
  </si>
  <si>
    <t>Joshua Holland</t>
  </si>
  <si>
    <t>Andrea Martin</t>
  </si>
  <si>
    <t>Samantha Morse</t>
  </si>
  <si>
    <t>Michael Lyons</t>
  </si>
  <si>
    <t>Katherine Miller</t>
  </si>
  <si>
    <t>Morgan Munoz</t>
  </si>
  <si>
    <t>Vernon Huff</t>
  </si>
  <si>
    <t>Alicia Hubbard</t>
  </si>
  <si>
    <t>Pamela Thompson</t>
  </si>
  <si>
    <t>Sydney White</t>
  </si>
  <si>
    <t>Robert Costa</t>
  </si>
  <si>
    <t>Gary Santiago</t>
  </si>
  <si>
    <t>Michael Roberts</t>
  </si>
  <si>
    <t>Krista Gibson</t>
  </si>
  <si>
    <t>Brian Barton</t>
  </si>
  <si>
    <t>April Booth</t>
  </si>
  <si>
    <t>Cody Cox</t>
  </si>
  <si>
    <t>Olivia Harris</t>
  </si>
  <si>
    <t>Dwayne Gilmore</t>
  </si>
  <si>
    <t>William Lynch</t>
  </si>
  <si>
    <t>Emily Smith</t>
  </si>
  <si>
    <t>Willie Durham</t>
  </si>
  <si>
    <t>Maria Moore</t>
  </si>
  <si>
    <t>Denise Davenport</t>
  </si>
  <si>
    <t>Juan Reyes</t>
  </si>
  <si>
    <t>Breanna Jones</t>
  </si>
  <si>
    <t>Richard Adams</t>
  </si>
  <si>
    <t>Edwin Matthews</t>
  </si>
  <si>
    <t>Jill Washington</t>
  </si>
  <si>
    <t>Kimberly Gibson</t>
  </si>
  <si>
    <t>Veronica Allen</t>
  </si>
  <si>
    <t>Reginald Williams</t>
  </si>
  <si>
    <t>Roberta Hughes</t>
  </si>
  <si>
    <t>Andrew Shaw MD</t>
  </si>
  <si>
    <t>Jessica Fox</t>
  </si>
  <si>
    <t>Charles Pitts</t>
  </si>
  <si>
    <t>Richard Baker</t>
  </si>
  <si>
    <t>Sarah Phelps</t>
  </si>
  <si>
    <t>Eugene Higgins</t>
  </si>
  <si>
    <t>Amanda Jones</t>
  </si>
  <si>
    <t>Nicole Hamilton MD</t>
  </si>
  <si>
    <t>Michael Berger</t>
  </si>
  <si>
    <t>Anthony Howard</t>
  </si>
  <si>
    <t>Joseph Knight</t>
  </si>
  <si>
    <t>Bob Pitts</t>
  </si>
  <si>
    <t>Mr. David Little MD</t>
  </si>
  <si>
    <t>Julie Roberts</t>
  </si>
  <si>
    <t>Jeremy Reed</t>
  </si>
  <si>
    <t>Victor Vaughn</t>
  </si>
  <si>
    <t>Christina Cruz</t>
  </si>
  <si>
    <t>James Howard</t>
  </si>
  <si>
    <t>Elizabeth Spence DDS</t>
  </si>
  <si>
    <t>Sean Osborne</t>
  </si>
  <si>
    <t>Natasha Wall</t>
  </si>
  <si>
    <t>Crystal Pham</t>
  </si>
  <si>
    <t>Lisa Byrd</t>
  </si>
  <si>
    <t>Stephanie Lucas</t>
  </si>
  <si>
    <t>Amanda Diaz</t>
  </si>
  <si>
    <t>Edward Burgess</t>
  </si>
  <si>
    <t>Richard Walter</t>
  </si>
  <si>
    <t>Susan Rivas</t>
  </si>
  <si>
    <t>Terry Coffey</t>
  </si>
  <si>
    <t>Gina Wilson</t>
  </si>
  <si>
    <t>Vincent Dalton</t>
  </si>
  <si>
    <t>Regina Diaz</t>
  </si>
  <si>
    <t>Joshua Gibson</t>
  </si>
  <si>
    <t>Samantha Bentley</t>
  </si>
  <si>
    <t>Kaitlyn Harvey</t>
  </si>
  <si>
    <t>Leonard Holland</t>
  </si>
  <si>
    <t>Elizabeth Ortiz</t>
  </si>
  <si>
    <t>Andrew Ferrell</t>
  </si>
  <si>
    <t>Stephen Taylor</t>
  </si>
  <si>
    <t>Travis Horton</t>
  </si>
  <si>
    <t>Patrick Moore</t>
  </si>
  <si>
    <t>Sandra Gilbert</t>
  </si>
  <si>
    <t>Jacob Ramos</t>
  </si>
  <si>
    <t>Ariana Jennings</t>
  </si>
  <si>
    <t>Maria Brown</t>
  </si>
  <si>
    <t>Bryan Charles</t>
  </si>
  <si>
    <t>Daniel Fowler</t>
  </si>
  <si>
    <t>Gavin Zhang</t>
  </si>
  <si>
    <t>Ronald Spencer</t>
  </si>
  <si>
    <t>Sergio Murphy</t>
  </si>
  <si>
    <t>Linda Ramirez</t>
  </si>
  <si>
    <t>Ms. Rebecca Rodriguez</t>
  </si>
  <si>
    <t>Hunter Kramer</t>
  </si>
  <si>
    <t>Derek Martinez</t>
  </si>
  <si>
    <t>Nichole Alvarez</t>
  </si>
  <si>
    <t>Ashley Gordon</t>
  </si>
  <si>
    <t>Susan Hopkins</t>
  </si>
  <si>
    <t>Victor Brown</t>
  </si>
  <si>
    <t>Jessica Rodriguez</t>
  </si>
  <si>
    <t>Bobby Franklin</t>
  </si>
  <si>
    <t>Marcus Richards</t>
  </si>
  <si>
    <t>Kyle Phillips</t>
  </si>
  <si>
    <t>Annette Miles</t>
  </si>
  <si>
    <t>Cindy Hayes</t>
  </si>
  <si>
    <t>Ronald Ross</t>
  </si>
  <si>
    <t>Erik Scott</t>
  </si>
  <si>
    <t>Kara Davis</t>
  </si>
  <si>
    <t>Brent Rodgers</t>
  </si>
  <si>
    <t>Laurie Hoffman</t>
  </si>
  <si>
    <t>Jennifer Russo</t>
  </si>
  <si>
    <t>Michelle Schmitt</t>
  </si>
  <si>
    <t>Kenneth Lewis</t>
  </si>
  <si>
    <t>Brian Bruce</t>
  </si>
  <si>
    <t>Donald Perez</t>
  </si>
  <si>
    <t>Vanessa Cardenas</t>
  </si>
  <si>
    <t>Timothy Gallegos</t>
  </si>
  <si>
    <t>Donald Farmer</t>
  </si>
  <si>
    <t>Christopher Thomas</t>
  </si>
  <si>
    <t>Patrick Bonilla</t>
  </si>
  <si>
    <t>Cindy Barnes</t>
  </si>
  <si>
    <t>Eric Nguyen</t>
  </si>
  <si>
    <t>Sophia Moore</t>
  </si>
  <si>
    <t>Denise Stanley</t>
  </si>
  <si>
    <t>Jennifer Lewis</t>
  </si>
  <si>
    <t>Jeffrey Campbell</t>
  </si>
  <si>
    <t>Elizabeth Walker</t>
  </si>
  <si>
    <t>Eric Clark</t>
  </si>
  <si>
    <t>Donna Wilson</t>
  </si>
  <si>
    <t>Casey James</t>
  </si>
  <si>
    <t>Sandra Drake</t>
  </si>
  <si>
    <t>Patrick Graham</t>
  </si>
  <si>
    <t>Shannon Johnston</t>
  </si>
  <si>
    <t>Mark Roberts</t>
  </si>
  <si>
    <t>Frederick Solis</t>
  </si>
  <si>
    <t>Tamara Davis</t>
  </si>
  <si>
    <t>Kevin Warren</t>
  </si>
  <si>
    <t>Nichole Walker</t>
  </si>
  <si>
    <t>Mark Schmidt</t>
  </si>
  <si>
    <t>Hannah Luna</t>
  </si>
  <si>
    <t>Charles Gonzalez</t>
  </si>
  <si>
    <t>Mary Thompson</t>
  </si>
  <si>
    <t>Justin Riley</t>
  </si>
  <si>
    <t>Victoria Morris</t>
  </si>
  <si>
    <t>Barry Ramos</t>
  </si>
  <si>
    <t>Leslie Bell</t>
  </si>
  <si>
    <t>Jesse Brown</t>
  </si>
  <si>
    <t>Sean Wyatt</t>
  </si>
  <si>
    <t>Kevin Best</t>
  </si>
  <si>
    <t>Robert Pearson</t>
  </si>
  <si>
    <t>Kathryn Rosario</t>
  </si>
  <si>
    <t>Steven Cooper</t>
  </si>
  <si>
    <t>Carrie Wright</t>
  </si>
  <si>
    <t>Kelly Bishop MD</t>
  </si>
  <si>
    <t>Raymond Shelton</t>
  </si>
  <si>
    <t>Maria Jones</t>
  </si>
  <si>
    <t>Jasmine King</t>
  </si>
  <si>
    <t>Kevin Thomas</t>
  </si>
  <si>
    <t>Matthew Bates</t>
  </si>
  <si>
    <t>Teresa Collins</t>
  </si>
  <si>
    <t>Erin Anderson</t>
  </si>
  <si>
    <t>Michael Romero</t>
  </si>
  <si>
    <t>Christopher Lewis</t>
  </si>
  <si>
    <t>Zachary Moore</t>
  </si>
  <si>
    <t>Ashley Wise</t>
  </si>
  <si>
    <t>George Miranda</t>
  </si>
  <si>
    <t>Brittany White</t>
  </si>
  <si>
    <t>Lisa Goodwin</t>
  </si>
  <si>
    <t>David Sheppard</t>
  </si>
  <si>
    <t>Cheyenne Gregory</t>
  </si>
  <si>
    <t>Mrs. Diane Reyes</t>
  </si>
  <si>
    <t>Christopher Gonzalez</t>
  </si>
  <si>
    <t>Amy Castillo</t>
  </si>
  <si>
    <t>Ashley Singleton</t>
  </si>
  <si>
    <t>Phillip Nelson</t>
  </si>
  <si>
    <t>Jeffrey Potts</t>
  </si>
  <si>
    <t>Stacey Arias</t>
  </si>
  <si>
    <t>Jonathan Young</t>
  </si>
  <si>
    <t>Alfred Galvan</t>
  </si>
  <si>
    <t>Brenda Mitchell</t>
  </si>
  <si>
    <t>Brenda Thornton</t>
  </si>
  <si>
    <t>Susan Smith</t>
  </si>
  <si>
    <t>Kimberly Acosta</t>
  </si>
  <si>
    <t>Ricardo Young</t>
  </si>
  <si>
    <t>Jason Bauer</t>
  </si>
  <si>
    <t>Russell Porter</t>
  </si>
  <si>
    <t>Jose Allen</t>
  </si>
  <si>
    <t>Aaron Gomez</t>
  </si>
  <si>
    <t>Matthew Miller</t>
  </si>
  <si>
    <t>Joseph Romero</t>
  </si>
  <si>
    <t>Jeanette Harrison</t>
  </si>
  <si>
    <t>Mrs. Alexis Kramer</t>
  </si>
  <si>
    <t>Matthew Garcia</t>
  </si>
  <si>
    <t>Evelyn Williams</t>
  </si>
  <si>
    <t>Marvin Greer</t>
  </si>
  <si>
    <t>Mrs. Catherine Taylor</t>
  </si>
  <si>
    <t>Dakota Moody</t>
  </si>
  <si>
    <t>Eric Sanders</t>
  </si>
  <si>
    <t>Andrew Lucas</t>
  </si>
  <si>
    <t>Richard Glenn</t>
  </si>
  <si>
    <t>Robert Kim</t>
  </si>
  <si>
    <t>Stephanie Hughes</t>
  </si>
  <si>
    <t>Jonathan Glass MD</t>
  </si>
  <si>
    <t>Angela Morrison</t>
  </si>
  <si>
    <t>Erica Miller</t>
  </si>
  <si>
    <t>Lance Simmons</t>
  </si>
  <si>
    <t>Andrew Berg</t>
  </si>
  <si>
    <t>Jessica Fowler</t>
  </si>
  <si>
    <t>Mark Cox</t>
  </si>
  <si>
    <t>Brenda Lawson</t>
  </si>
  <si>
    <t>Austin Osborne</t>
  </si>
  <si>
    <t>Travis Johnson</t>
  </si>
  <si>
    <t>Tiffany Watson</t>
  </si>
  <si>
    <t>Kendra Sanders</t>
  </si>
  <si>
    <t>Brian Fitzgerald</t>
  </si>
  <si>
    <t>Susan Wilson</t>
  </si>
  <si>
    <t>Cindy Carr</t>
  </si>
  <si>
    <t>Chad Jones</t>
  </si>
  <si>
    <t>Jill Miller</t>
  </si>
  <si>
    <t>Michelle Pierce</t>
  </si>
  <si>
    <t>Sarah Joseph</t>
  </si>
  <si>
    <t>Katie Martinez</t>
  </si>
  <si>
    <t>Cynthia Snyder</t>
  </si>
  <si>
    <t>Jackie Lara</t>
  </si>
  <si>
    <t>Stephen Jones</t>
  </si>
  <si>
    <t>Dr. Kelly Hammond DVM</t>
  </si>
  <si>
    <t>Evan Jones</t>
  </si>
  <si>
    <t>Haley Humphrey</t>
  </si>
  <si>
    <t>Catherine Burch</t>
  </si>
  <si>
    <t>Sheena Guerra</t>
  </si>
  <si>
    <t>Christopher Morris</t>
  </si>
  <si>
    <t>Todd Jacobson</t>
  </si>
  <si>
    <t>Mark Pierce</t>
  </si>
  <si>
    <t>Lisa Davis</t>
  </si>
  <si>
    <t>Lauren Jackson</t>
  </si>
  <si>
    <t>Kristy Bryan</t>
  </si>
  <si>
    <t>Travis Wise</t>
  </si>
  <si>
    <t>Pamela Butler</t>
  </si>
  <si>
    <t>Mr. Dylan Frye MD</t>
  </si>
  <si>
    <t>Benjamin Brown</t>
  </si>
  <si>
    <t>John Peterson</t>
  </si>
  <si>
    <t>Nathan Gross</t>
  </si>
  <si>
    <t>Bianca Wood</t>
  </si>
  <si>
    <t>David Martinez</t>
  </si>
  <si>
    <t>Brent Roberts</t>
  </si>
  <si>
    <t>Jennifer Estes</t>
  </si>
  <si>
    <t>Taylor Griffith</t>
  </si>
  <si>
    <t>Kathleen Robertson</t>
  </si>
  <si>
    <t>Kathleen Davis</t>
  </si>
  <si>
    <t>Tracy Lewis</t>
  </si>
  <si>
    <t>Douglas Harper</t>
  </si>
  <si>
    <t>Adam Rodriguez</t>
  </si>
  <si>
    <t>Monica Gallagher</t>
  </si>
  <si>
    <t>Anthony Hoffman</t>
  </si>
  <si>
    <t>Angel Gordon</t>
  </si>
  <si>
    <t>William Becker</t>
  </si>
  <si>
    <t>Brent Brooks</t>
  </si>
  <si>
    <t>Holly Thomas</t>
  </si>
  <si>
    <t>Andrew Williams</t>
  </si>
  <si>
    <t>Kelly Hernandez</t>
  </si>
  <si>
    <t>Timothy Flores</t>
  </si>
  <si>
    <t>Nancy Evans MD</t>
  </si>
  <si>
    <t>Michelle Evans</t>
  </si>
  <si>
    <t>Michael Whitney</t>
  </si>
  <si>
    <t>Steven Wiggins</t>
  </si>
  <si>
    <t>Deborah Rios</t>
  </si>
  <si>
    <t>Mikayla Silva</t>
  </si>
  <si>
    <t>Michelle Hampton</t>
  </si>
  <si>
    <t>Michael Johnson</t>
  </si>
  <si>
    <t>Jeremy Barnes</t>
  </si>
  <si>
    <t>Jennifer Hampton</t>
  </si>
  <si>
    <t>Nancy Brown</t>
  </si>
  <si>
    <t>Kristina Bolton</t>
  </si>
  <si>
    <t>Emily Thompson</t>
  </si>
  <si>
    <t>Hector Ingram</t>
  </si>
  <si>
    <t>Cheryl Wright</t>
  </si>
  <si>
    <t>Todd Hendrix</t>
  </si>
  <si>
    <t>Melissa Burns</t>
  </si>
  <si>
    <t>Timothy Pope</t>
  </si>
  <si>
    <t>Kenneth Daniels</t>
  </si>
  <si>
    <t>Tina Ballard</t>
  </si>
  <si>
    <t>Tyler Miller</t>
  </si>
  <si>
    <t>Nicole Lewis</t>
  </si>
  <si>
    <t>Justin Nelson</t>
  </si>
  <si>
    <t>Laurie Sanchez</t>
  </si>
  <si>
    <t>David Garcia</t>
  </si>
  <si>
    <t>Ashlee Townsend</t>
  </si>
  <si>
    <t>Vanessa Moore</t>
  </si>
  <si>
    <t>Curtis Maynard</t>
  </si>
  <si>
    <t>Anthony Mack</t>
  </si>
  <si>
    <t>Parker Jefferson</t>
  </si>
  <si>
    <t>Carrie Khan</t>
  </si>
  <si>
    <t>Amanda Huff</t>
  </si>
  <si>
    <t>Paul Brennan</t>
  </si>
  <si>
    <t>Alexandra Bradley</t>
  </si>
  <si>
    <t>Frances Gibson</t>
  </si>
  <si>
    <t>Stacy Anderson</t>
  </si>
  <si>
    <t>Corey Rodriguez</t>
  </si>
  <si>
    <t>Mariah Higgins</t>
  </si>
  <si>
    <t>Rachel Bradley</t>
  </si>
  <si>
    <t>Scott Prince</t>
  </si>
  <si>
    <t>Angie Caldwell</t>
  </si>
  <si>
    <t>Mrs. Taylor Smith</t>
  </si>
  <si>
    <t>Paul Finley</t>
  </si>
  <si>
    <t>Laura Green</t>
  </si>
  <si>
    <t>Amy Wilson</t>
  </si>
  <si>
    <t>Michael Leblanc</t>
  </si>
  <si>
    <t>Margaret Shepard</t>
  </si>
  <si>
    <t>Colleen Anderson</t>
  </si>
  <si>
    <t>William Brooks</t>
  </si>
  <si>
    <t>Nicole Pham</t>
  </si>
  <si>
    <t>Melanie Larson</t>
  </si>
  <si>
    <t>Kelsey Cox</t>
  </si>
  <si>
    <t>Ronald Leach</t>
  </si>
  <si>
    <t>Brittany Murphy</t>
  </si>
  <si>
    <t>Michael Love</t>
  </si>
  <si>
    <t>Jordan Stokes</t>
  </si>
  <si>
    <t>Jason Elliott</t>
  </si>
  <si>
    <t>Robert Cummings</t>
  </si>
  <si>
    <t>Aaron Robinson</t>
  </si>
  <si>
    <t>Gregory Brown</t>
  </si>
  <si>
    <t>Andrea Peck</t>
  </si>
  <si>
    <t>Christopher Taylor</t>
  </si>
  <si>
    <t>Steven West</t>
  </si>
  <si>
    <t>Michael Stanley</t>
  </si>
  <si>
    <t>Scott Wilson</t>
  </si>
  <si>
    <t>Cameron Irwin</t>
  </si>
  <si>
    <t>Veronica Ford</t>
  </si>
  <si>
    <t>James Hall</t>
  </si>
  <si>
    <t>Donald Pineda</t>
  </si>
  <si>
    <t>Matthew Mendez</t>
  </si>
  <si>
    <t>Austin Wheeler</t>
  </si>
  <si>
    <t>Michele Williams</t>
  </si>
  <si>
    <t>David Robinson</t>
  </si>
  <si>
    <t>Wyatt Young</t>
  </si>
  <si>
    <t>Kyle Chambers</t>
  </si>
  <si>
    <t>Shawn Odom</t>
  </si>
  <si>
    <t>Eric Brown</t>
  </si>
  <si>
    <t>Jessica Simpson</t>
  </si>
  <si>
    <t>Megan Floyd</t>
  </si>
  <si>
    <t>Jennifer Evans</t>
  </si>
  <si>
    <t>Kara Atkinson</t>
  </si>
  <si>
    <t>Brianna Ford</t>
  </si>
  <si>
    <t>Tracy Grant</t>
  </si>
  <si>
    <t>David Rivera</t>
  </si>
  <si>
    <t>Sarah Davis</t>
  </si>
  <si>
    <t>James Jacobs</t>
  </si>
  <si>
    <t>Chelsea Gill</t>
  </si>
  <si>
    <t>Daniel Meadows</t>
  </si>
  <si>
    <t>Alexis Giles</t>
  </si>
  <si>
    <t>Nicole Rocha</t>
  </si>
  <si>
    <t>David Morris</t>
  </si>
  <si>
    <t>Joseph Howard</t>
  </si>
  <si>
    <t>Stephen Owens</t>
  </si>
  <si>
    <t>Erica Harris</t>
  </si>
  <si>
    <t>Justin Walker</t>
  </si>
  <si>
    <t>Juan Silva</t>
  </si>
  <si>
    <t>Craig Hall</t>
  </si>
  <si>
    <t>Kathryn Pena</t>
  </si>
  <si>
    <t>Roberto Levy</t>
  </si>
  <si>
    <t>Nicholas Bell</t>
  </si>
  <si>
    <t>Katherine Stark</t>
  </si>
  <si>
    <t>Tina Warren DVM</t>
  </si>
  <si>
    <t>Mary Duran</t>
  </si>
  <si>
    <t>Mark Jones</t>
  </si>
  <si>
    <t>Jonathan Brooks</t>
  </si>
  <si>
    <t>Alexis Patel</t>
  </si>
  <si>
    <t>Robert Craig</t>
  </si>
  <si>
    <t>Brent Hernandez</t>
  </si>
  <si>
    <t>Dawn Gomez</t>
  </si>
  <si>
    <t>Tyler Stevens</t>
  </si>
  <si>
    <t>Courtney Sutton DVM</t>
  </si>
  <si>
    <t>James Tran</t>
  </si>
  <si>
    <t>Michele Miller</t>
  </si>
  <si>
    <t>Erin Madden</t>
  </si>
  <si>
    <t>Tamara Hall</t>
  </si>
  <si>
    <t>Anthony Jones</t>
  </si>
  <si>
    <t>Kristy Johnson</t>
  </si>
  <si>
    <t>Daniel Thomas</t>
  </si>
  <si>
    <t>Elizabeth Elliott</t>
  </si>
  <si>
    <t>Jasmine Mosley</t>
  </si>
  <si>
    <t>Patrick Gibbs</t>
  </si>
  <si>
    <t>Valerie Brown</t>
  </si>
  <si>
    <t>Billy Jacobs</t>
  </si>
  <si>
    <t>Erin Walters</t>
  </si>
  <si>
    <t>Henry Pugh MD</t>
  </si>
  <si>
    <t>Angelica Montgomery</t>
  </si>
  <si>
    <t>Angela Moore</t>
  </si>
  <si>
    <t>Emily Rodriguez</t>
  </si>
  <si>
    <t>Jill Juarez</t>
  </si>
  <si>
    <t>Cody Cole</t>
  </si>
  <si>
    <t>Ashley Davis</t>
  </si>
  <si>
    <t>Kyle Nguyen</t>
  </si>
  <si>
    <t>Jason Maxwell</t>
  </si>
  <si>
    <t>Vanessa Armstrong</t>
  </si>
  <si>
    <t>Caroline Adams</t>
  </si>
  <si>
    <t>Arthur Hamilton MD</t>
  </si>
  <si>
    <t>Heather Raymond</t>
  </si>
  <si>
    <t>Christina Rodriguez</t>
  </si>
  <si>
    <t>James Skinner</t>
  </si>
  <si>
    <t>Erin Cook</t>
  </si>
  <si>
    <t>Larry Dominguez</t>
  </si>
  <si>
    <t>Vincent Novak</t>
  </si>
  <si>
    <t>Mackenzie Faulkner</t>
  </si>
  <si>
    <t>Douglas Hartman</t>
  </si>
  <si>
    <t>Justin Vargas</t>
  </si>
  <si>
    <t>Randall Johnson</t>
  </si>
  <si>
    <t>Christine Salinas</t>
  </si>
  <si>
    <t>Rebecca Ortiz</t>
  </si>
  <si>
    <t>Eric King</t>
  </si>
  <si>
    <t>Rachel Jones</t>
  </si>
  <si>
    <t>Kimberly Mclean</t>
  </si>
  <si>
    <t>Rachel Ward</t>
  </si>
  <si>
    <t>Suzanne Rodriguez</t>
  </si>
  <si>
    <t>Heather Holland</t>
  </si>
  <si>
    <t>Maria Lucas</t>
  </si>
  <si>
    <t>Jessica Smith</t>
  </si>
  <si>
    <t>Paul Grant</t>
  </si>
  <si>
    <t>James Ford</t>
  </si>
  <si>
    <t>Zachary Webb</t>
  </si>
  <si>
    <t>Vernon Wilson</t>
  </si>
  <si>
    <t>Grant Mueller</t>
  </si>
  <si>
    <t>Mr. Jeffrey Horton</t>
  </si>
  <si>
    <t>Andrew Page</t>
  </si>
  <si>
    <t>Maria Byrd</t>
  </si>
  <si>
    <t>Natalie Black</t>
  </si>
  <si>
    <t>Justin Mullen</t>
  </si>
  <si>
    <t>Lori Lopez</t>
  </si>
  <si>
    <t>Omar Ware</t>
  </si>
  <si>
    <t>Jasmine Bush</t>
  </si>
  <si>
    <t>Michael Flynn</t>
  </si>
  <si>
    <t>Shane Lopez</t>
  </si>
  <si>
    <t>Brian Lambert</t>
  </si>
  <si>
    <t>Margaret Harper</t>
  </si>
  <si>
    <t>Hannah Bruce</t>
  </si>
  <si>
    <t>Michele Evans</t>
  </si>
  <si>
    <t>Emily Allen</t>
  </si>
  <si>
    <t>Laura Henderson</t>
  </si>
  <si>
    <t>Melissa Brewer</t>
  </si>
  <si>
    <t>Katherine Taylor</t>
  </si>
  <si>
    <t>Lisa Glenn</t>
  </si>
  <si>
    <t>Mr. James Hoffman</t>
  </si>
  <si>
    <t>John Mckinney</t>
  </si>
  <si>
    <t>Bradley Johnson DDS</t>
  </si>
  <si>
    <t>Danny Roberts</t>
  </si>
  <si>
    <t>Patricia Simpson</t>
  </si>
  <si>
    <t>Brian Hampton</t>
  </si>
  <si>
    <t>Nicole Wolf</t>
  </si>
  <si>
    <t>Wanda Garcia</t>
  </si>
  <si>
    <t>Zachary Cole</t>
  </si>
  <si>
    <t>Angie Grimes</t>
  </si>
  <si>
    <t>Cynthia Cochran</t>
  </si>
  <si>
    <t>Lisa Patterson</t>
  </si>
  <si>
    <t>Robin Trujillo</t>
  </si>
  <si>
    <t>Douglas Ryan</t>
  </si>
  <si>
    <t>Eileen Armstrong</t>
  </si>
  <si>
    <t>Miss Anna Estes</t>
  </si>
  <si>
    <t>Wendy Camacho</t>
  </si>
  <si>
    <t>Brandi Thomas</t>
  </si>
  <si>
    <t>Pam Lowe</t>
  </si>
  <si>
    <t>Mark Burton</t>
  </si>
  <si>
    <t>Mark Beard</t>
  </si>
  <si>
    <t>Paul Neal</t>
  </si>
  <si>
    <t>John Perkins</t>
  </si>
  <si>
    <t>Judy Beck</t>
  </si>
  <si>
    <t>Rebecca Sanders</t>
  </si>
  <si>
    <t>Kathleen Morris</t>
  </si>
  <si>
    <t>Kenneth Knight</t>
  </si>
  <si>
    <t>Stephanie Farmer</t>
  </si>
  <si>
    <t>Richard Stevens</t>
  </si>
  <si>
    <t>Brooke Bryant</t>
  </si>
  <si>
    <t>Michael Anderson</t>
  </si>
  <si>
    <t>Timothy Hill</t>
  </si>
  <si>
    <t>Jacob Mckee</t>
  </si>
  <si>
    <t>Mario Barber</t>
  </si>
  <si>
    <t>Brandon Davis</t>
  </si>
  <si>
    <t>Casey Perez</t>
  </si>
  <si>
    <t>Michael Montoya</t>
  </si>
  <si>
    <t>Karen Perez</t>
  </si>
  <si>
    <t>Ashley Edwards</t>
  </si>
  <si>
    <t>Raymond Mullins</t>
  </si>
  <si>
    <t>Megan Jones</t>
  </si>
  <si>
    <t>Matthew Alexander</t>
  </si>
  <si>
    <t>Brittany Jenkins</t>
  </si>
  <si>
    <t>Angelica Garcia</t>
  </si>
  <si>
    <t>Janet Richmond</t>
  </si>
  <si>
    <t>Danielle Newman</t>
  </si>
  <si>
    <t>Lindsay Lawson</t>
  </si>
  <si>
    <t>Mary Turner</t>
  </si>
  <si>
    <t>Chelsea Myers</t>
  </si>
  <si>
    <t>Rebecca Allen</t>
  </si>
  <si>
    <t>Jonathan Wheeler</t>
  </si>
  <si>
    <t>Alexandria Ward</t>
  </si>
  <si>
    <t>Scott Carroll</t>
  </si>
  <si>
    <t>Carrie Ruiz</t>
  </si>
  <si>
    <t>Austin Baker</t>
  </si>
  <si>
    <t>Tiffany Sanders</t>
  </si>
  <si>
    <t>Kathryn Perry</t>
  </si>
  <si>
    <t>Joshua Jensen</t>
  </si>
  <si>
    <t>Bob Mccall</t>
  </si>
  <si>
    <t>Jeanette Walters</t>
  </si>
  <si>
    <t>Jeffrey Ashley</t>
  </si>
  <si>
    <t>Brandon Hamilton</t>
  </si>
  <si>
    <t>Amy Wade</t>
  </si>
  <si>
    <t>Michael Miles</t>
  </si>
  <si>
    <t>Gregory Holmes PhD</t>
  </si>
  <si>
    <t>Cameron Norman</t>
  </si>
  <si>
    <t>Bailey Yoder</t>
  </si>
  <si>
    <t>Denise Brown</t>
  </si>
  <si>
    <t>Kathleen Dixon</t>
  </si>
  <si>
    <t>Mr. Jacob Scott Jr.</t>
  </si>
  <si>
    <t>Ashley Yang</t>
  </si>
  <si>
    <t>Scott Sanchez</t>
  </si>
  <si>
    <t>Thomas White</t>
  </si>
  <si>
    <t>Suzanne Yang</t>
  </si>
  <si>
    <t>David Moon</t>
  </si>
  <si>
    <t>Blake Watson</t>
  </si>
  <si>
    <t>Amy Walker</t>
  </si>
  <si>
    <t>Dr. Andrea Marshall</t>
  </si>
  <si>
    <t>Emily Miller</t>
  </si>
  <si>
    <t>Curtis Elliott</t>
  </si>
  <si>
    <t>Dana Richardson</t>
  </si>
  <si>
    <t>Dr. Morgan Payne PhD</t>
  </si>
  <si>
    <t>Jason Hall</t>
  </si>
  <si>
    <t>Melissa Smith</t>
  </si>
  <si>
    <t>Matthew Sweeney</t>
  </si>
  <si>
    <t>Joseph Allen</t>
  </si>
  <si>
    <t>Valerie Thomas</t>
  </si>
  <si>
    <t>Thomas Merritt</t>
  </si>
  <si>
    <t>Steven Ellis</t>
  </si>
  <si>
    <t>Kathy Walsh</t>
  </si>
  <si>
    <t>Keith Graham</t>
  </si>
  <si>
    <t>Dean Edwards</t>
  </si>
  <si>
    <t>Nancy Stewart</t>
  </si>
  <si>
    <t>Tony Taylor</t>
  </si>
  <si>
    <t>Brian Cole</t>
  </si>
  <si>
    <t>Joshua Oconnell</t>
  </si>
  <si>
    <t>John Phelps</t>
  </si>
  <si>
    <t>Michael Mckenzie</t>
  </si>
  <si>
    <t>Scott Hernandez</t>
  </si>
  <si>
    <t>Jennifer Williams</t>
  </si>
  <si>
    <t>William Johnson</t>
  </si>
  <si>
    <t>Kristi Pierce</t>
  </si>
  <si>
    <t>Robert Taylor</t>
  </si>
  <si>
    <t>Richard Walker</t>
  </si>
  <si>
    <t>Jacqueline Mccoy</t>
  </si>
  <si>
    <t>Deanna Hess</t>
  </si>
  <si>
    <t>Christina Brewer PhD</t>
  </si>
  <si>
    <t>Sandra Rivera</t>
  </si>
  <si>
    <t>Amber Glass</t>
  </si>
  <si>
    <t>Jennifer Johnson</t>
  </si>
  <si>
    <t>Daniel Lopez</t>
  </si>
  <si>
    <t>Charles Mendez</t>
  </si>
  <si>
    <t>Kathleen Andrade</t>
  </si>
  <si>
    <t>Douglas Taylor</t>
  </si>
  <si>
    <t>Rebecca Wright</t>
  </si>
  <si>
    <t>Virginia Casey</t>
  </si>
  <si>
    <t>Richard Cooper</t>
  </si>
  <si>
    <t>Jasmine White</t>
  </si>
  <si>
    <t>Alyssa Cochran</t>
  </si>
  <si>
    <t>William Moreno</t>
  </si>
  <si>
    <t>Dr. Ariel Sandoval MD</t>
  </si>
  <si>
    <t>Theresa Johnston</t>
  </si>
  <si>
    <t>Ryan Bruce</t>
  </si>
  <si>
    <t>Evan Rojas</t>
  </si>
  <si>
    <t>Alyssa Haynes</t>
  </si>
  <si>
    <t>Kristine Lopez</t>
  </si>
  <si>
    <t>Casey Johnson</t>
  </si>
  <si>
    <t>Daniel Fox</t>
  </si>
  <si>
    <t>Lucas Drake</t>
  </si>
  <si>
    <t>Tamara Richard</t>
  </si>
  <si>
    <t>Charles Bush</t>
  </si>
  <si>
    <t>Sarah Valencia</t>
  </si>
  <si>
    <t>Tom Foster</t>
  </si>
  <si>
    <t>Frank Daugherty</t>
  </si>
  <si>
    <t>Toni Banks</t>
  </si>
  <si>
    <t>Kristina Preston</t>
  </si>
  <si>
    <t>Kevin Thompson</t>
  </si>
  <si>
    <t>Elizabeth Thompson</t>
  </si>
  <si>
    <t>Tiffany Myers</t>
  </si>
  <si>
    <t>Lance Mccall</t>
  </si>
  <si>
    <t>Ashley Crawford</t>
  </si>
  <si>
    <t>Cynthia Haas</t>
  </si>
  <si>
    <t>Tracey Underwood</t>
  </si>
  <si>
    <t>Derek Wright</t>
  </si>
  <si>
    <t>Richard Le</t>
  </si>
  <si>
    <t>Nicholas Costa</t>
  </si>
  <si>
    <t>James Payne Jr.</t>
  </si>
  <si>
    <t>Laura Chang</t>
  </si>
  <si>
    <t>Benjamin Singleton</t>
  </si>
  <si>
    <t>Dean Garcia</t>
  </si>
  <si>
    <t>James Dennis</t>
  </si>
  <si>
    <t>Vanessa Morgan</t>
  </si>
  <si>
    <t>Jessica Valdez</t>
  </si>
  <si>
    <t>Brian Harris</t>
  </si>
  <si>
    <t>Julian Frost</t>
  </si>
  <si>
    <t>Douglas Young</t>
  </si>
  <si>
    <t>Joshua Henry</t>
  </si>
  <si>
    <t>Jeffrey Phillips</t>
  </si>
  <si>
    <t>Alexander Jackson</t>
  </si>
  <si>
    <t>Kara Wilson</t>
  </si>
  <si>
    <t>Steven Baker</t>
  </si>
  <si>
    <t>Jacob James</t>
  </si>
  <si>
    <t>Dennis Marshall</t>
  </si>
  <si>
    <t>Kristy Hernandez</t>
  </si>
  <si>
    <t>Gregg Weaver</t>
  </si>
  <si>
    <t>Sara Cardenas</t>
  </si>
  <si>
    <t>Melissa Mayer</t>
  </si>
  <si>
    <t>Karen Miller</t>
  </si>
  <si>
    <t>Stephanie Mcbride</t>
  </si>
  <si>
    <t>Peter Thompson</t>
  </si>
  <si>
    <t>Rhonda Martinez</t>
  </si>
  <si>
    <t>Michael Harris</t>
  </si>
  <si>
    <t>Deanna Bartlett</t>
  </si>
  <si>
    <t>Justin Arnold</t>
  </si>
  <si>
    <t>Sylvia Smith</t>
  </si>
  <si>
    <t>Jennifer Perry</t>
  </si>
  <si>
    <t>Lauren Hanna</t>
  </si>
  <si>
    <t>Kristine Garcia</t>
  </si>
  <si>
    <t>Sheryl Humphrey</t>
  </si>
  <si>
    <t>John Lynch</t>
  </si>
  <si>
    <t>Jamie Montgomery</t>
  </si>
  <si>
    <t>Steve Rivera</t>
  </si>
  <si>
    <t>John Adams</t>
  </si>
  <si>
    <t>Robert Turner</t>
  </si>
  <si>
    <t>Shannon Cohen</t>
  </si>
  <si>
    <t>William Ramos</t>
  </si>
  <si>
    <t>Jason Brewer</t>
  </si>
  <si>
    <t>Thomas Russell</t>
  </si>
  <si>
    <t>Sharon Nicholson</t>
  </si>
  <si>
    <t>Ana Mckinney</t>
  </si>
  <si>
    <t>Samuel Suarez</t>
  </si>
  <si>
    <t>Shaun Gonzalez</t>
  </si>
  <si>
    <t>Jesus Hull</t>
  </si>
  <si>
    <t>Rodney Wagner</t>
  </si>
  <si>
    <t>Dana Burns</t>
  </si>
  <si>
    <t>Seth Matthews</t>
  </si>
  <si>
    <t>Ryan Green</t>
  </si>
  <si>
    <t>James Martin</t>
  </si>
  <si>
    <t>Cindy Walker</t>
  </si>
  <si>
    <t>Debra Ortiz</t>
  </si>
  <si>
    <t>Tracy Fleming</t>
  </si>
  <si>
    <t>Maria Burke</t>
  </si>
  <si>
    <t>Lee Hahn</t>
  </si>
  <si>
    <t>James Bailey</t>
  </si>
  <si>
    <t>Eric Meyer</t>
  </si>
  <si>
    <t>Adrienne Key</t>
  </si>
  <si>
    <t>Linda Campbell</t>
  </si>
  <si>
    <t>Mr. Donald Nguyen</t>
  </si>
  <si>
    <t>Rebekah Greene</t>
  </si>
  <si>
    <t>Mikayla Rios</t>
  </si>
  <si>
    <t>Jason Price</t>
  </si>
  <si>
    <t>Wendy Cabrera</t>
  </si>
  <si>
    <t>Courtney Nichols</t>
  </si>
  <si>
    <t>Megan Romero</t>
  </si>
  <si>
    <t>Sherri White</t>
  </si>
  <si>
    <t>Patrick Hardy</t>
  </si>
  <si>
    <t>Catherine Frazier</t>
  </si>
  <si>
    <t>Courtney Walker</t>
  </si>
  <si>
    <t>Stephen Watson</t>
  </si>
  <si>
    <t>Samuel Ruiz</t>
  </si>
  <si>
    <t>Lisa Kennedy</t>
  </si>
  <si>
    <t>Sharon James</t>
  </si>
  <si>
    <t>Seth Hernandez</t>
  </si>
  <si>
    <t>William Orozco</t>
  </si>
  <si>
    <t>Scott White</t>
  </si>
  <si>
    <t>Mr. Christopher Walters</t>
  </si>
  <si>
    <t>Daniel Ayala</t>
  </si>
  <si>
    <t>Katherine Gallagher</t>
  </si>
  <si>
    <t>Jeffrey Jordan</t>
  </si>
  <si>
    <t>Janet Johnson</t>
  </si>
  <si>
    <t>Tiffany Mcclain</t>
  </si>
  <si>
    <t>Michael Sims</t>
  </si>
  <si>
    <t>Shawn Collins</t>
  </si>
  <si>
    <t>Kevin Jackson</t>
  </si>
  <si>
    <t>Earl Luna</t>
  </si>
  <si>
    <t>Stephen Cowan</t>
  </si>
  <si>
    <t>Katherine Christensen MD</t>
  </si>
  <si>
    <t>Danny Mercer</t>
  </si>
  <si>
    <t>Leah Jackson</t>
  </si>
  <si>
    <t>Rebecca Brooks</t>
  </si>
  <si>
    <t>Lisa Wheeler</t>
  </si>
  <si>
    <t>Martha Smith</t>
  </si>
  <si>
    <t>James Kelley</t>
  </si>
  <si>
    <t>Christine Jennings</t>
  </si>
  <si>
    <t>Mercedes Barnes</t>
  </si>
  <si>
    <t>Lisa Campbell</t>
  </si>
  <si>
    <t>Mr. Richard Decker DVM</t>
  </si>
  <si>
    <t>Elizabeth Williams</t>
  </si>
  <si>
    <t>Melissa Castillo</t>
  </si>
  <si>
    <t>Michael Meadows</t>
  </si>
  <si>
    <t>Brittany Davis</t>
  </si>
  <si>
    <t>Nathaniel Conway</t>
  </si>
  <si>
    <t>William Baker</t>
  </si>
  <si>
    <t>Christopher Williams</t>
  </si>
  <si>
    <t>Michael Simmons</t>
  </si>
  <si>
    <t>Peter Williams</t>
  </si>
  <si>
    <t>Carolyn Howard</t>
  </si>
  <si>
    <t>Debra Quinn</t>
  </si>
  <si>
    <t>Catherine Morales</t>
  </si>
  <si>
    <t>James Jefferson</t>
  </si>
  <si>
    <t>Rebecca Wilson</t>
  </si>
  <si>
    <t>Dr. Ashley Pruitt</t>
  </si>
  <si>
    <t>Meghan White</t>
  </si>
  <si>
    <t>Lisa Huffman</t>
  </si>
  <si>
    <t>Mr. Stephen Alexander</t>
  </si>
  <si>
    <t>Ernest Bush</t>
  </si>
  <si>
    <t>Laura Cunningham</t>
  </si>
  <si>
    <t>Melissa Montgomery</t>
  </si>
  <si>
    <t>Danielle Reed</t>
  </si>
  <si>
    <t>Ronald Mcclain</t>
  </si>
  <si>
    <t>Timothy Wagner</t>
  </si>
  <si>
    <t>Sheila Jones</t>
  </si>
  <si>
    <t>Gary Ramirez</t>
  </si>
  <si>
    <t>Mason Powell</t>
  </si>
  <si>
    <t>Jeremy Berry</t>
  </si>
  <si>
    <t>Jillian Wilson</t>
  </si>
  <si>
    <t>Alicia Powell</t>
  </si>
  <si>
    <t>April Davis</t>
  </si>
  <si>
    <t>Kristina Pena</t>
  </si>
  <si>
    <t>Heidi Brown</t>
  </si>
  <si>
    <t>Evelyn Saunders</t>
  </si>
  <si>
    <t>Heidi Chavez</t>
  </si>
  <si>
    <t>Courtney Peterson</t>
  </si>
  <si>
    <t>Jacqueline Rodriguez</t>
  </si>
  <si>
    <t>Rodney Newton MD</t>
  </si>
  <si>
    <t>Chelsea Conrad</t>
  </si>
  <si>
    <t>Roger Lee</t>
  </si>
  <si>
    <t>Jason House</t>
  </si>
  <si>
    <t>Joanna Barrett</t>
  </si>
  <si>
    <t>Jonathan Moreno</t>
  </si>
  <si>
    <t>Jessica Richards</t>
  </si>
  <si>
    <t>Susan Holt</t>
  </si>
  <si>
    <t>Betty Hughes</t>
  </si>
  <si>
    <t>Janice Petty</t>
  </si>
  <si>
    <t>Victor Waller</t>
  </si>
  <si>
    <t>Brenda Morrison</t>
  </si>
  <si>
    <t>Michael Valencia</t>
  </si>
  <si>
    <t>Christina Weber</t>
  </si>
  <si>
    <t>Tammy Anderson</t>
  </si>
  <si>
    <t>Melissa Morris</t>
  </si>
  <si>
    <t>Kristina Aguilar</t>
  </si>
  <si>
    <t>Stephanie Ferguson</t>
  </si>
  <si>
    <t>Kelly Johnson</t>
  </si>
  <si>
    <t>Anthony Adams</t>
  </si>
  <si>
    <t>Miss Brianna Brown</t>
  </si>
  <si>
    <t>Joshua Howard</t>
  </si>
  <si>
    <t>Sean Stevenson</t>
  </si>
  <si>
    <t>Kristina Young</t>
  </si>
  <si>
    <t>Amber James</t>
  </si>
  <si>
    <t>Vanessa Edwards</t>
  </si>
  <si>
    <t>Patrick Harris</t>
  </si>
  <si>
    <t>Susan Bush</t>
  </si>
  <si>
    <t>Kimberly Morrison</t>
  </si>
  <si>
    <t>Christopher Fleming</t>
  </si>
  <si>
    <t>Nancy Wilson</t>
  </si>
  <si>
    <t>Justin Anderson</t>
  </si>
  <si>
    <t>Abigail Owens</t>
  </si>
  <si>
    <t>Timothy Carlson</t>
  </si>
  <si>
    <t>Kenneth Howard DDS</t>
  </si>
  <si>
    <t>Tina Meyer</t>
  </si>
  <si>
    <t>Joshua Powell</t>
  </si>
  <si>
    <t>Daniel Rivera</t>
  </si>
  <si>
    <t>Travis Montgomery</t>
  </si>
  <si>
    <t>Samantha Zavala MD</t>
  </si>
  <si>
    <t>Tanner Austin</t>
  </si>
  <si>
    <t>Melanie Flores</t>
  </si>
  <si>
    <t>Joshua Campbell</t>
  </si>
  <si>
    <t>Jaime Lang</t>
  </si>
  <si>
    <t>Mr. Matthew Flores</t>
  </si>
  <si>
    <t>Carol Huber</t>
  </si>
  <si>
    <t>Lori Clark</t>
  </si>
  <si>
    <t>Jessica Garcia</t>
  </si>
  <si>
    <t>Sherry Figueroa</t>
  </si>
  <si>
    <t>Teresa Burgess</t>
  </si>
  <si>
    <t>Mitchell Johnson</t>
  </si>
  <si>
    <t>Robert Grant</t>
  </si>
  <si>
    <t>Susan Russell</t>
  </si>
  <si>
    <t>Margaret Montgomery</t>
  </si>
  <si>
    <t>Ryan Howard</t>
  </si>
  <si>
    <t>Richard Turner</t>
  </si>
  <si>
    <t>Timothy James</t>
  </si>
  <si>
    <t>Joseph Taylor</t>
  </si>
  <si>
    <t>Sarah Phillips</t>
  </si>
  <si>
    <t>Stephen Sanford</t>
  </si>
  <si>
    <t>Alexandra Baxter</t>
  </si>
  <si>
    <t>Aaron Carlson</t>
  </si>
  <si>
    <t>Angela Clark</t>
  </si>
  <si>
    <t>Taylor York</t>
  </si>
  <si>
    <t>Daniel Davenport</t>
  </si>
  <si>
    <t>Michael Bradley</t>
  </si>
  <si>
    <t>Tara Gamble</t>
  </si>
  <si>
    <t>Angel Powers</t>
  </si>
  <si>
    <t>Nicholas Freeman</t>
  </si>
  <si>
    <t>Michael Young</t>
  </si>
  <si>
    <t>Stephanie Stewart</t>
  </si>
  <si>
    <t>Matthew Steele</t>
  </si>
  <si>
    <t>Holly Stewart</t>
  </si>
  <si>
    <t>Erik Floyd</t>
  </si>
  <si>
    <t>Ian Frazier</t>
  </si>
  <si>
    <t>Julie Howard</t>
  </si>
  <si>
    <t>Mr. Matthew Miller</t>
  </si>
  <si>
    <t>Brenda Ryan</t>
  </si>
  <si>
    <t>Lori Luna</t>
  </si>
  <si>
    <t>Lynn Hess</t>
  </si>
  <si>
    <t>Kevin Escobar</t>
  </si>
  <si>
    <t>Steven Fernandez</t>
  </si>
  <si>
    <t>Daniel Barton</t>
  </si>
  <si>
    <t>Jonathan Davis</t>
  </si>
  <si>
    <t>Mary Charles</t>
  </si>
  <si>
    <t>Brenda Moore</t>
  </si>
  <si>
    <t>Mary Faulkner</t>
  </si>
  <si>
    <t>Amanda Juarez</t>
  </si>
  <si>
    <t>Jacob Williams</t>
  </si>
  <si>
    <t>Rebecca Hughes</t>
  </si>
  <si>
    <t>Amanda Wong</t>
  </si>
  <si>
    <t>Kelly Gallegos</t>
  </si>
  <si>
    <t>Laura Bennett</t>
  </si>
  <si>
    <t>Matthew Houston</t>
  </si>
  <si>
    <t>William Walker</t>
  </si>
  <si>
    <t>Sean Tucker</t>
  </si>
  <si>
    <t>Adriana Macias</t>
  </si>
  <si>
    <t>Billy Schneider</t>
  </si>
  <si>
    <t>Christopher Guzman</t>
  </si>
  <si>
    <t>Jennifer Rivera</t>
  </si>
  <si>
    <t>Mr. Daniel Martin</t>
  </si>
  <si>
    <t>Andrew Berry</t>
  </si>
  <si>
    <t>Jose Macdonald</t>
  </si>
  <si>
    <t>David White</t>
  </si>
  <si>
    <t>Kristy Smith</t>
  </si>
  <si>
    <t>Claire Obrien</t>
  </si>
  <si>
    <t>Carolyn Greer</t>
  </si>
  <si>
    <t>Samantha White</t>
  </si>
  <si>
    <t>Nathaniel Cooper</t>
  </si>
  <si>
    <t>Andrea Gray</t>
  </si>
  <si>
    <t>Dale Heath</t>
  </si>
  <si>
    <t>Marketing</t>
  </si>
  <si>
    <t>Sales</t>
  </si>
  <si>
    <t>Finance</t>
  </si>
  <si>
    <t>Operations</t>
  </si>
  <si>
    <t>R&amp;D</t>
  </si>
  <si>
    <t>IT</t>
  </si>
  <si>
    <t>HR</t>
  </si>
  <si>
    <t>Customer Support</t>
  </si>
  <si>
    <t>Marketing Analyst</t>
  </si>
  <si>
    <t>Sales Rep</t>
  </si>
  <si>
    <t>Accountant</t>
  </si>
  <si>
    <t>Operations Manager</t>
  </si>
  <si>
    <t>Operations Associate</t>
  </si>
  <si>
    <t>Product Developer</t>
  </si>
  <si>
    <t>IT Support</t>
  </si>
  <si>
    <t>Sales Manager</t>
  </si>
  <si>
    <t>Researcher</t>
  </si>
  <si>
    <t>Recruiter</t>
  </si>
  <si>
    <t>HR Manager</t>
  </si>
  <si>
    <t>Data Analyst</t>
  </si>
  <si>
    <t>Software Engineer</t>
  </si>
  <si>
    <t>Brand Manager</t>
  </si>
  <si>
    <t>Finance Manager</t>
  </si>
  <si>
    <t>Support Agent</t>
  </si>
  <si>
    <t>HR Officer</t>
  </si>
  <si>
    <t>Team Lead</t>
  </si>
  <si>
    <t>Financial Analyst</t>
  </si>
  <si>
    <t>Content Specialist</t>
  </si>
  <si>
    <t>Account Executive</t>
  </si>
  <si>
    <t>Female</t>
  </si>
  <si>
    <t>Male</t>
  </si>
  <si>
    <t>Full-Time</t>
  </si>
  <si>
    <t>Contract</t>
  </si>
  <si>
    <t>Part-Time</t>
  </si>
  <si>
    <t>Lisa Jackson</t>
  </si>
  <si>
    <t>Gina Moore</t>
  </si>
  <si>
    <t>Angie Henderson</t>
  </si>
  <si>
    <t>Derek Zuniga</t>
  </si>
  <si>
    <t>Daniel Wagner</t>
  </si>
  <si>
    <t>Connie Lawrence</t>
  </si>
  <si>
    <t>Noah Rhodes</t>
  </si>
  <si>
    <t>Brian Ramirez</t>
  </si>
  <si>
    <t>Ryan Munoz</t>
  </si>
  <si>
    <t>Holly Wood</t>
  </si>
  <si>
    <t>Jamie Arnold</t>
  </si>
  <si>
    <t>Monica Herrera</t>
  </si>
  <si>
    <t>Gabrielle Davis</t>
  </si>
  <si>
    <t>Dylan Miller</t>
  </si>
  <si>
    <t>Allison Hill</t>
  </si>
  <si>
    <t>Carla Gray</t>
  </si>
  <si>
    <t>Abigail Shaffer</t>
  </si>
  <si>
    <t>Cristian Santos</t>
  </si>
  <si>
    <t>Lisa Hensley</t>
  </si>
  <si>
    <t>Active</t>
  </si>
  <si>
    <t>Resigned</t>
  </si>
  <si>
    <t>Row Labels</t>
  </si>
  <si>
    <t>Grand Total</t>
  </si>
  <si>
    <t>Average of Monthly Salary</t>
  </si>
  <si>
    <t>Average Salary per Department</t>
  </si>
  <si>
    <t>Annual Salary</t>
  </si>
  <si>
    <t>Employee Count with 5 as Rating</t>
  </si>
  <si>
    <t>SEARCH BAR</t>
  </si>
  <si>
    <t>Count of Employees</t>
  </si>
  <si>
    <t>Number Employees per Department</t>
  </si>
  <si>
    <t>Average of Attendance Rate (%)</t>
  </si>
  <si>
    <t>Salary vs Attendance</t>
  </si>
  <si>
    <t>Training Hours vs Performance Rating</t>
  </si>
  <si>
    <t>Sum of Training Hours</t>
  </si>
  <si>
    <t>Sum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</si>
</sst>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00"/>
  </numFmts>
  <fonts count="4"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s>
  <fills count="5">
    <fill>
      <patternFill patternType="none"/>
    </fill>
    <fill>
      <patternFill patternType="gray125"/>
    </fill>
    <fill>
      <patternFill patternType="solid">
        <fgColor rgb="FFA5A5A5"/>
      </patternFill>
    </fill>
    <fill>
      <patternFill patternType="solid">
        <fgColor theme="8"/>
        <bgColor theme="8"/>
      </patternFill>
    </fill>
    <fill>
      <patternFill patternType="solid">
        <fgColor theme="1"/>
        <bgColor indexed="64"/>
      </patternFill>
    </fill>
  </fills>
  <borders count="4">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style="thin">
        <color auto="1"/>
      </bottom>
      <diagonal/>
    </border>
  </borders>
  <cellStyleXfs count="2">
    <xf numFmtId="0" fontId="0" fillId="0" borderId="0"/>
    <xf numFmtId="0" fontId="2" fillId="2" borderId="2" applyNumberFormat="0" applyAlignment="0" applyProtection="0"/>
  </cellStyleXfs>
  <cellXfs count="13">
    <xf numFmtId="0" fontId="0" fillId="0" borderId="0" xfId="0"/>
    <xf numFmtId="164" fontId="0" fillId="0" borderId="0" xfId="0" applyNumberFormat="1"/>
    <xf numFmtId="165" fontId="0" fillId="0" borderId="0" xfId="0" applyNumberFormat="1"/>
    <xf numFmtId="0" fontId="1" fillId="0" borderId="3" xfId="0" applyFont="1" applyBorder="1" applyAlignment="1">
      <alignment horizontal="center" vertical="top"/>
    </xf>
    <xf numFmtId="0" fontId="0" fillId="0" borderId="0" xfId="0" pivotButton="1"/>
    <xf numFmtId="0" fontId="0" fillId="0" borderId="0" xfId="0" applyAlignment="1">
      <alignment horizontal="left"/>
    </xf>
    <xf numFmtId="0" fontId="2" fillId="3" borderId="1" xfId="0" applyFont="1" applyFill="1" applyBorder="1" applyAlignment="1">
      <alignment horizontal="center" vertical="top"/>
    </xf>
    <xf numFmtId="2" fontId="0" fillId="0" borderId="0" xfId="0" applyNumberFormat="1"/>
    <xf numFmtId="0" fontId="2" fillId="4" borderId="0" xfId="0" applyFont="1" applyFill="1" applyAlignment="1">
      <alignment horizontal="center"/>
    </xf>
    <xf numFmtId="0" fontId="3" fillId="4" borderId="0" xfId="0" applyFont="1" applyFill="1" applyAlignment="1">
      <alignment horizontal="center"/>
    </xf>
    <xf numFmtId="0" fontId="0" fillId="4" borderId="0" xfId="0" applyFill="1" applyAlignment="1">
      <alignment horizontal="center"/>
    </xf>
    <xf numFmtId="0" fontId="1" fillId="2" borderId="2" xfId="1" applyFont="1" applyAlignment="1">
      <alignment horizontal="center"/>
    </xf>
    <xf numFmtId="0" fontId="1" fillId="0" borderId="0" xfId="0" applyFont="1" applyAlignment="1">
      <alignment horizontal="center"/>
    </xf>
  </cellXfs>
  <cellStyles count="2">
    <cellStyle name="Check Cell" xfId="1" builtinId="23"/>
    <cellStyle name="Normal" xfId="0" builtinId="0"/>
  </cellStyles>
  <dxfs count="8">
    <dxf>
      <font>
        <color rgb="FF9C0006"/>
      </font>
      <fill>
        <patternFill>
          <bgColor rgb="FFFFC7CE"/>
        </patternFill>
      </fill>
    </dxf>
    <dxf>
      <numFmt numFmtId="2" formatCode="0.00"/>
    </dxf>
    <dxf>
      <numFmt numFmtId="165" formatCode="&quot;₱&quot;#,##0.00"/>
    </dxf>
    <dxf>
      <numFmt numFmtId="165" formatCode="&quot;₱&quot;#,##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[Employee_Data.xlsx]Pivot Tables!PivotTable2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Number of Employees per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Tables'!$B$17</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Tables'!$A$18:$A$26</c:f>
              <c:strCache>
                <c:ptCount val="8"/>
                <c:pt idx="0">
                  <c:v>HR</c:v>
                </c:pt>
                <c:pt idx="1">
                  <c:v>R&amp;D</c:v>
                </c:pt>
                <c:pt idx="2">
                  <c:v>Customer Support</c:v>
                </c:pt>
                <c:pt idx="3">
                  <c:v>Marketing</c:v>
                </c:pt>
                <c:pt idx="4">
                  <c:v>Operations</c:v>
                </c:pt>
                <c:pt idx="5">
                  <c:v>Sales</c:v>
                </c:pt>
                <c:pt idx="6">
                  <c:v>IT</c:v>
                </c:pt>
                <c:pt idx="7">
                  <c:v>Finance</c:v>
                </c:pt>
              </c:strCache>
            </c:strRef>
          </c:cat>
          <c:val>
            <c:numRef>
              <c:f>'Pivot Tables'!$B$18:$B$26</c:f>
              <c:numCache>
                <c:formatCode>General</c:formatCode>
                <c:ptCount val="8"/>
                <c:pt idx="0">
                  <c:v>136</c:v>
                </c:pt>
                <c:pt idx="1">
                  <c:v>127</c:v>
                </c:pt>
                <c:pt idx="2">
                  <c:v>127</c:v>
                </c:pt>
                <c:pt idx="3">
                  <c:v>125</c:v>
                </c:pt>
                <c:pt idx="4">
                  <c:v>125</c:v>
                </c:pt>
                <c:pt idx="5">
                  <c:v>124</c:v>
                </c:pt>
                <c:pt idx="6">
                  <c:v>122</c:v>
                </c:pt>
                <c:pt idx="7">
                  <c:v>114</c:v>
                </c:pt>
              </c:numCache>
            </c:numRef>
          </c:val>
          <c:extLst>
            <c:ext xmlns:c16="http://schemas.microsoft.com/office/drawing/2014/chart" uri="{C3380CC4-5D6E-409C-BE32-E72D297353CC}">
              <c16:uniqueId val="{00000000-2255-4E7B-83A5-490777AC3252}"/>
            </c:ext>
          </c:extLst>
        </c:ser>
        <c:dLbls>
          <c:showLegendKey val="0"/>
          <c:showVal val="0"/>
          <c:showCatName val="0"/>
          <c:showSerName val="0"/>
          <c:showPercent val="0"/>
          <c:showBubbleSize val="0"/>
        </c:dLbls>
        <c:gapWidth val="100"/>
        <c:overlap val="-24"/>
        <c:axId val="754297935"/>
        <c:axId val="754299375"/>
      </c:barChart>
      <c:catAx>
        <c:axId val="7542979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4299375"/>
        <c:crosses val="autoZero"/>
        <c:auto val="1"/>
        <c:lblAlgn val="ctr"/>
        <c:lblOffset val="100"/>
        <c:noMultiLvlLbl val="0"/>
      </c:catAx>
      <c:valAx>
        <c:axId val="7542993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429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[Employee_Data.xlsx]Pivot Tables!PivotTable1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Salary per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Tables'!$A$3:$A$11</c:f>
              <c:strCache>
                <c:ptCount val="8"/>
                <c:pt idx="0">
                  <c:v>IT</c:v>
                </c:pt>
                <c:pt idx="1">
                  <c:v>Finance</c:v>
                </c:pt>
                <c:pt idx="2">
                  <c:v>Customer Support</c:v>
                </c:pt>
                <c:pt idx="3">
                  <c:v>HR</c:v>
                </c:pt>
                <c:pt idx="4">
                  <c:v>R&amp;D</c:v>
                </c:pt>
                <c:pt idx="5">
                  <c:v>Operations</c:v>
                </c:pt>
                <c:pt idx="6">
                  <c:v>Sales</c:v>
                </c:pt>
                <c:pt idx="7">
                  <c:v>Marketing</c:v>
                </c:pt>
              </c:strCache>
            </c:strRef>
          </c:cat>
          <c:val>
            <c:numRef>
              <c:f>'Pivot Tables'!$B$3:$B$11</c:f>
              <c:numCache>
                <c:formatCode>"₱"#,##0.00</c:formatCode>
                <c:ptCount val="8"/>
                <c:pt idx="0">
                  <c:v>72441.148688524598</c:v>
                </c:pt>
                <c:pt idx="1">
                  <c:v>70923.283596491252</c:v>
                </c:pt>
                <c:pt idx="2">
                  <c:v>69518.401574803167</c:v>
                </c:pt>
                <c:pt idx="3">
                  <c:v>69449.436838235284</c:v>
                </c:pt>
                <c:pt idx="4">
                  <c:v>69067.276456692896</c:v>
                </c:pt>
                <c:pt idx="5">
                  <c:v>68713.236159999971</c:v>
                </c:pt>
                <c:pt idx="6">
                  <c:v>68437.155403225828</c:v>
                </c:pt>
                <c:pt idx="7">
                  <c:v>65619.956879999998</c:v>
                </c:pt>
              </c:numCache>
            </c:numRef>
          </c:val>
          <c:extLst>
            <c:ext xmlns:c16="http://schemas.microsoft.com/office/drawing/2014/chart" uri="{C3380CC4-5D6E-409C-BE32-E72D297353CC}">
              <c16:uniqueId val="{00000000-5FD2-4971-9CC1-CF95EB1F84FB}"/>
            </c:ext>
          </c:extLst>
        </c:ser>
        <c:dLbls>
          <c:showLegendKey val="0"/>
          <c:showVal val="0"/>
          <c:showCatName val="0"/>
          <c:showSerName val="0"/>
          <c:showPercent val="0"/>
          <c:showBubbleSize val="0"/>
        </c:dLbls>
        <c:gapWidth val="100"/>
        <c:overlap val="-24"/>
        <c:axId val="754316655"/>
        <c:axId val="754328655"/>
      </c:barChart>
      <c:catAx>
        <c:axId val="7543166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4328655"/>
        <c:crosses val="autoZero"/>
        <c:auto val="1"/>
        <c:lblAlgn val="ctr"/>
        <c:lblOffset val="100"/>
        <c:noMultiLvlLbl val="0"/>
      </c:catAx>
      <c:valAx>
        <c:axId val="754328655"/>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431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38100</xdr:colOff>
          <xdr:row>0</xdr:row>
          <xdr:rowOff>28575</xdr:rowOff>
        </xdr:from>
        <xdr:to>
          <xdr:col>16</xdr:col>
          <xdr:colOff>1666875</xdr:colOff>
          <xdr:row>1</xdr:row>
          <xdr:rowOff>123825</xdr:rowOff>
        </xdr:to>
        <xdr:sp macro="" textlink="">
          <xdr:nvSpPr>
            <xdr:cNvPr id="1025" name="TextBox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xdr:col>
      <xdr:colOff>235325</xdr:colOff>
      <xdr:row>15</xdr:row>
      <xdr:rowOff>0</xdr:rowOff>
    </xdr:from>
    <xdr:to>
      <xdr:col>6</xdr:col>
      <xdr:colOff>750795</xdr:colOff>
      <xdr:row>26</xdr:row>
      <xdr:rowOff>134470</xdr:rowOff>
    </xdr:to>
    <xdr:graphicFrame macro="">
      <xdr:nvGraphicFramePr>
        <xdr:cNvPr id="3" name="EmployeesPerDept">
          <a:extLst>
            <a:ext uri="{FF2B5EF4-FFF2-40B4-BE49-F238E27FC236}">
              <a16:creationId xmlns:a16="http://schemas.microsoft.com/office/drawing/2014/main" id="{D457D9BC-5230-6795-EEC6-843CC83A6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246530</xdr:colOff>
      <xdr:row>0</xdr:row>
      <xdr:rowOff>179294</xdr:rowOff>
    </xdr:from>
    <xdr:to>
      <xdr:col>6</xdr:col>
      <xdr:colOff>795617</xdr:colOff>
      <xdr:row>13</xdr:row>
      <xdr:rowOff>134469</xdr:rowOff>
    </xdr:to>
    <xdr:graphicFrame macro="">
      <xdr:nvGraphicFramePr>
        <xdr:cNvPr id="4" name="Chart 3">
          <a:extLst>
            <a:ext uri="{FF2B5EF4-FFF2-40B4-BE49-F238E27FC236}">
              <a16:creationId xmlns:a16="http://schemas.microsoft.com/office/drawing/2014/main" id="{35455845-F291-0B09-326D-4EABA837C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1049431</xdr:colOff>
      <xdr:row>1</xdr:row>
      <xdr:rowOff>42582</xdr:rowOff>
    </xdr:from>
    <xdr:to>
      <xdr:col>9</xdr:col>
      <xdr:colOff>345702</xdr:colOff>
      <xdr:row>15</xdr:row>
      <xdr:rowOff>33617</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2F959978-D491-B267-2EAB-5D2391D7C2D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543490" y="233082"/>
              <a:ext cx="1828800" cy="2702859"/>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ph" refreshedDate="45956.714992245368" createdVersion="8" refreshedVersion="8" minRefreshableVersion="3" recordCount="1000" xr:uid="{2AEC5AEE-3E51-441E-A493-45CD2B9092DD}">
  <cacheSource type="worksheet">
    <worksheetSource name="Employee_Data"/>
  </cacheSource>
  <cacheFields count="16">
    <cacheField name="Employee ID" numFmtId="0">
      <sharedItems/>
    </cacheField>
    <cacheField name="Full Name" numFmtId="0">
      <sharedItems/>
    </cacheField>
    <cacheField name="Department" numFmtId="0">
      <sharedItems count="8">
        <s v="Marketing"/>
        <s v="Sales"/>
        <s v="Finance"/>
        <s v="Operations"/>
        <s v="R&amp;D"/>
        <s v="IT"/>
        <s v="HR"/>
        <s v="Customer Support"/>
      </sharedItems>
    </cacheField>
    <cacheField name="Position" numFmtId="0">
      <sharedItems/>
    </cacheField>
    <cacheField name="Gender" numFmtId="0">
      <sharedItems/>
    </cacheField>
    <cacheField name="Age" numFmtId="0">
      <sharedItems containsSemiMixedTypes="0" containsString="0" containsNumber="1" containsInteger="1" minValue="21" maxValue="60"/>
    </cacheField>
    <cacheField name="Hire Date" numFmtId="164">
      <sharedItems containsSemiMixedTypes="0" containsNonDate="0" containsDate="1" containsString="0" minDate="2015-10-30T00:00:00" maxDate="2025-10-25T00:00:00"/>
    </cacheField>
    <cacheField name="Employment Type" numFmtId="0">
      <sharedItems/>
    </cacheField>
    <cacheField name="Monthly Salary" numFmtId="165">
      <sharedItems containsSemiMixedTypes="0" containsString="0" containsNumber="1" minValue="20167.849999999999" maxValue="119982.11"/>
    </cacheField>
    <cacheField name="Performance Rating" numFmtId="0">
      <sharedItems containsSemiMixedTypes="0" containsString="0" containsNumber="1" containsInteger="1" minValue="1" maxValue="5"/>
    </cacheField>
    <cacheField name="Attendance Rate (%)" numFmtId="0">
      <sharedItems containsSemiMixedTypes="0" containsString="0" containsNumber="1" minValue="80.06" maxValue="99.99"/>
    </cacheField>
    <cacheField name="Years in Company" numFmtId="0">
      <sharedItems containsSemiMixedTypes="0" containsString="0" containsNumber="1" containsInteger="1" minValue="0" maxValue="10"/>
    </cacheField>
    <cacheField name="Training Hours" numFmtId="0">
      <sharedItems containsSemiMixedTypes="0" containsString="0" containsNumber="1" containsInteger="1" minValue="0" maxValue="80"/>
    </cacheField>
    <cacheField name="Overtime Hours" numFmtId="0">
      <sharedItems containsSemiMixedTypes="0" containsString="0" containsNumber="1" containsInteger="1" minValue="0" maxValue="60"/>
    </cacheField>
    <cacheField name="Manager" numFmtId="0">
      <sharedItems/>
    </cacheField>
    <cacheField name="Status" numFmtId="0">
      <sharedItems/>
    </cacheField>
  </cacheFields>
  <extLst>
    <ext xmlns:x14="http://schemas.microsoft.com/office/spreadsheetml/2009/9/main" uri="{725AE2AE-9491-48be-B2B4-4EB974FC3084}">
      <x14:pivotCacheDefinition pivotCacheId="12730966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0001"/>
    <s v="Frederick Tate"/>
    <x v="0"/>
    <s v="Marketing Analyst"/>
    <s v="Female"/>
    <n v="36"/>
    <d v="2025-04-16T00:00:00"/>
    <s v="Full-Time"/>
    <n v="33953.79"/>
    <n v="1"/>
    <n v="93.53"/>
    <n v="0"/>
    <n v="69"/>
    <n v="5"/>
    <s v="Lisa Jackson"/>
    <s v="Active"/>
  </r>
  <r>
    <s v="EMP0002"/>
    <s v="Andrew Stewart"/>
    <x v="1"/>
    <s v="Sales Rep"/>
    <s v="Male"/>
    <n v="35"/>
    <d v="2016-10-07T00:00:00"/>
    <s v="Contract"/>
    <n v="80201.87"/>
    <n v="5"/>
    <n v="83.98"/>
    <n v="9"/>
    <n v="69"/>
    <n v="26"/>
    <s v="Gina Moore"/>
    <s v="Active"/>
  </r>
  <r>
    <s v="EMP0003"/>
    <s v="Thomas Bradley"/>
    <x v="2"/>
    <s v="Accountant"/>
    <s v="Male"/>
    <n v="48"/>
    <d v="2020-05-15T00:00:00"/>
    <s v="Part-Time"/>
    <n v="47787.13"/>
    <n v="2"/>
    <n v="99.14"/>
    <n v="5"/>
    <n v="43"/>
    <n v="6"/>
    <s v="Angie Henderson"/>
    <s v="Active"/>
  </r>
  <r>
    <s v="EMP0004"/>
    <s v="Jonathan Wilkerson"/>
    <x v="3"/>
    <s v="Operations Manager"/>
    <s v="Female"/>
    <n v="23"/>
    <d v="2021-03-03T00:00:00"/>
    <s v="Contract"/>
    <n v="65942.490000000005"/>
    <n v="1"/>
    <n v="99.46"/>
    <n v="4"/>
    <n v="48"/>
    <n v="5"/>
    <s v="Derek Zuniga"/>
    <s v="Active"/>
  </r>
  <r>
    <s v="EMP0005"/>
    <s v="Charles Mcgee"/>
    <x v="3"/>
    <s v="Operations Associate"/>
    <s v="Male"/>
    <n v="23"/>
    <d v="2023-08-16T00:00:00"/>
    <s v="Contract"/>
    <n v="42789.83"/>
    <n v="3"/>
    <n v="99.7"/>
    <n v="2"/>
    <n v="29"/>
    <n v="55"/>
    <s v="Daniel Wagner"/>
    <s v="Active"/>
  </r>
  <r>
    <s v="EMP0006"/>
    <s v="Kevin Hurst"/>
    <x v="4"/>
    <s v="Product Developer"/>
    <s v="Male"/>
    <n v="44"/>
    <d v="2024-12-26T00:00:00"/>
    <s v="Part-Time"/>
    <n v="40950.699999999997"/>
    <n v="3"/>
    <n v="94.04"/>
    <n v="1"/>
    <n v="9"/>
    <n v="38"/>
    <s v="Connie Lawrence"/>
    <s v="Active"/>
  </r>
  <r>
    <s v="EMP0007"/>
    <s v="Zachary Taylor"/>
    <x v="5"/>
    <s v="IT Support"/>
    <s v="Female"/>
    <n v="45"/>
    <d v="2022-08-11T00:00:00"/>
    <s v="Part-Time"/>
    <n v="118952.34"/>
    <n v="5"/>
    <n v="84.39"/>
    <n v="3"/>
    <n v="41"/>
    <n v="53"/>
    <s v="Noah Rhodes"/>
    <s v="Active"/>
  </r>
  <r>
    <s v="EMP0008"/>
    <s v="Anthony Rodriguez"/>
    <x v="1"/>
    <s v="Sales Manager"/>
    <s v="Female"/>
    <n v="38"/>
    <d v="2024-03-18T00:00:00"/>
    <s v="Full-Time"/>
    <n v="41098.28"/>
    <n v="5"/>
    <n v="97.53"/>
    <n v="1"/>
    <n v="40"/>
    <n v="13"/>
    <s v="Brian Ramirez"/>
    <s v="Active"/>
  </r>
  <r>
    <s v="EMP0009"/>
    <s v="Jennifer Brown"/>
    <x v="4"/>
    <s v="Researcher"/>
    <s v="Female"/>
    <n v="29"/>
    <d v="2018-07-16T00:00:00"/>
    <s v="Full-Time"/>
    <n v="94498.9"/>
    <n v="5"/>
    <n v="85.25"/>
    <n v="7"/>
    <n v="74"/>
    <n v="27"/>
    <s v="Lisa Jackson"/>
    <s v="Active"/>
  </r>
  <r>
    <s v="EMP0010"/>
    <s v="Julie King"/>
    <x v="5"/>
    <s v="IT Support"/>
    <s v="Female"/>
    <n v="26"/>
    <d v="2022-04-23T00:00:00"/>
    <s v="Full-Time"/>
    <n v="106110.29"/>
    <n v="2"/>
    <n v="92.55"/>
    <n v="3"/>
    <n v="54"/>
    <n v="38"/>
    <s v="Angie Henderson"/>
    <s v="Active"/>
  </r>
  <r>
    <s v="EMP0011"/>
    <s v="Alexandra Le"/>
    <x v="4"/>
    <s v="Product Developer"/>
    <s v="Male"/>
    <n v="28"/>
    <d v="2025-03-24T00:00:00"/>
    <s v="Contract"/>
    <n v="108478.85"/>
    <n v="3"/>
    <n v="95.37"/>
    <n v="0"/>
    <n v="43"/>
    <n v="7"/>
    <s v="Ryan Munoz"/>
    <s v="Active"/>
  </r>
  <r>
    <s v="EMP0012"/>
    <s v="Patricia Peterson"/>
    <x v="4"/>
    <s v="Researcher"/>
    <s v="Female"/>
    <n v="53"/>
    <d v="2024-12-13T00:00:00"/>
    <s v="Full-Time"/>
    <n v="70768.17"/>
    <n v="1"/>
    <n v="97.41"/>
    <n v="1"/>
    <n v="38"/>
    <n v="53"/>
    <s v="Holly Wood"/>
    <s v="Active"/>
  </r>
  <r>
    <s v="EMP0013"/>
    <s v="Jesse Mckay"/>
    <x v="6"/>
    <s v="Recruiter"/>
    <s v="Male"/>
    <n v="55"/>
    <d v="2020-10-22T00:00:00"/>
    <s v="Contract"/>
    <n v="111849.35"/>
    <n v="5"/>
    <n v="86.48"/>
    <n v="5"/>
    <n v="2"/>
    <n v="7"/>
    <s v="Jamie Arnold"/>
    <s v="Resigned"/>
  </r>
  <r>
    <s v="EMP0014"/>
    <s v="Pamela Romero"/>
    <x v="2"/>
    <s v="Accountant"/>
    <s v="Male"/>
    <n v="36"/>
    <d v="2020-04-18T00:00:00"/>
    <s v="Contract"/>
    <n v="114694.94"/>
    <n v="1"/>
    <n v="94.64"/>
    <n v="5"/>
    <n v="8"/>
    <n v="48"/>
    <s v="Derek Zuniga"/>
    <s v="Active"/>
  </r>
  <r>
    <s v="EMP0015"/>
    <s v="Elizabeth Fowler"/>
    <x v="6"/>
    <s v="HR Manager"/>
    <s v="Female"/>
    <n v="56"/>
    <d v="2017-08-17T00:00:00"/>
    <s v="Full-Time"/>
    <n v="46505.66"/>
    <n v="5"/>
    <n v="88.46"/>
    <n v="8"/>
    <n v="27"/>
    <n v="59"/>
    <s v="Derek Zuniga"/>
    <s v="Active"/>
  </r>
  <r>
    <s v="EMP0016"/>
    <s v="Phillip Ryan"/>
    <x v="5"/>
    <s v="Data Analyst"/>
    <s v="Female"/>
    <n v="46"/>
    <d v="2019-03-14T00:00:00"/>
    <s v="Contract"/>
    <n v="84987.81"/>
    <n v="4"/>
    <n v="97.99"/>
    <n v="6"/>
    <n v="57"/>
    <n v="7"/>
    <s v="Gina Moore"/>
    <s v="Active"/>
  </r>
  <r>
    <s v="EMP0017"/>
    <s v="Linda Burns"/>
    <x v="3"/>
    <s v="Operations Associate"/>
    <s v="Male"/>
    <n v="58"/>
    <d v="2024-11-02T00:00:00"/>
    <s v="Full-Time"/>
    <n v="20719.080000000002"/>
    <n v="1"/>
    <n v="84.58"/>
    <n v="1"/>
    <n v="4"/>
    <n v="55"/>
    <s v="Monica Herrera"/>
    <s v="Active"/>
  </r>
  <r>
    <s v="EMP0018"/>
    <s v="Sherry Decker"/>
    <x v="5"/>
    <s v="Software Engineer"/>
    <s v="Female"/>
    <n v="34"/>
    <d v="2017-09-20T00:00:00"/>
    <s v="Contract"/>
    <n v="33231.18"/>
    <n v="5"/>
    <n v="91.52"/>
    <n v="8"/>
    <n v="31"/>
    <n v="50"/>
    <s v="Brian Ramirez"/>
    <s v="Active"/>
  </r>
  <r>
    <s v="EMP0019"/>
    <s v="David Bradley"/>
    <x v="5"/>
    <s v="IT Support"/>
    <s v="Male"/>
    <n v="48"/>
    <d v="2021-01-17T00:00:00"/>
    <s v="Part-Time"/>
    <n v="62357.86"/>
    <n v="4"/>
    <n v="97.28"/>
    <n v="4"/>
    <n v="6"/>
    <n v="43"/>
    <s v="Daniel Wagner"/>
    <s v="Active"/>
  </r>
  <r>
    <s v="EMP0020"/>
    <s v="John Jones"/>
    <x v="3"/>
    <s v="Operations Associate"/>
    <s v="Male"/>
    <n v="33"/>
    <d v="2017-02-26T00:00:00"/>
    <s v="Full-Time"/>
    <n v="73628.58"/>
    <n v="2"/>
    <n v="88.44"/>
    <n v="8"/>
    <n v="35"/>
    <n v="29"/>
    <s v="Gina Moore"/>
    <s v="Resigned"/>
  </r>
  <r>
    <s v="EMP0021"/>
    <s v="Betty Alvarez"/>
    <x v="0"/>
    <s v="Brand Manager"/>
    <s v="Male"/>
    <n v="24"/>
    <d v="2024-11-17T00:00:00"/>
    <s v="Contract"/>
    <n v="119928.25"/>
    <n v="1"/>
    <n v="99.38"/>
    <n v="1"/>
    <n v="30"/>
    <n v="10"/>
    <s v="Michele Williams"/>
    <s v="Active"/>
  </r>
  <r>
    <s v="EMP0022"/>
    <s v="Joseph Obrien"/>
    <x v="5"/>
    <s v="Software Engineer"/>
    <s v="Male"/>
    <n v="31"/>
    <d v="2025-03-03T00:00:00"/>
    <s v="Part-Time"/>
    <n v="20215.54"/>
    <n v="4"/>
    <n v="85.3"/>
    <n v="0"/>
    <n v="58"/>
    <n v="18"/>
    <s v="Michele Williams"/>
    <s v="Active"/>
  </r>
  <r>
    <s v="EMP0023"/>
    <s v="Nicole Vaughn"/>
    <x v="4"/>
    <s v="Researcher"/>
    <s v="Male"/>
    <n v="39"/>
    <d v="2019-06-03T00:00:00"/>
    <s v="Full-Time"/>
    <n v="116870.94"/>
    <n v="5"/>
    <n v="94.71"/>
    <n v="6"/>
    <n v="7"/>
    <n v="47"/>
    <s v="Monica Herrera"/>
    <s v="Active"/>
  </r>
  <r>
    <s v="EMP0024"/>
    <s v="Michael Brooks"/>
    <x v="4"/>
    <s v="Researcher"/>
    <s v="Male"/>
    <n v="53"/>
    <d v="2021-02-12T00:00:00"/>
    <s v="Full-Time"/>
    <n v="105134.25"/>
    <n v="1"/>
    <n v="91.9"/>
    <n v="4"/>
    <n v="30"/>
    <n v="25"/>
    <s v="Daniel Wagner"/>
    <s v="Resigned"/>
  </r>
  <r>
    <s v="EMP0025"/>
    <s v="David Brown"/>
    <x v="5"/>
    <s v="Data Analyst"/>
    <s v="Male"/>
    <n v="60"/>
    <d v="2024-08-15T00:00:00"/>
    <s v="Full-Time"/>
    <n v="61922.49"/>
    <n v="5"/>
    <n v="91.3"/>
    <n v="1"/>
    <n v="40"/>
    <n v="59"/>
    <s v="Gabrielle Davis"/>
    <s v="Active"/>
  </r>
  <r>
    <s v="EMP0026"/>
    <s v="Crystal Robinson"/>
    <x v="3"/>
    <s v="Operations Associate"/>
    <s v="Female"/>
    <n v="46"/>
    <d v="2016-03-04T00:00:00"/>
    <s v="Full-Time"/>
    <n v="87169.02"/>
    <n v="3"/>
    <n v="89.14"/>
    <n v="9"/>
    <n v="9"/>
    <n v="0"/>
    <s v="Dylan Miller"/>
    <s v="Active"/>
  </r>
  <r>
    <s v="EMP0027"/>
    <s v="Amy Jones"/>
    <x v="0"/>
    <s v="Marketing Analyst"/>
    <s v="Male"/>
    <n v="53"/>
    <d v="2017-01-09T00:00:00"/>
    <s v="Part-Time"/>
    <n v="33245.660000000003"/>
    <n v="3"/>
    <n v="97.62"/>
    <n v="8"/>
    <n v="31"/>
    <n v="23"/>
    <s v="Ryan Munoz"/>
    <s v="Active"/>
  </r>
  <r>
    <s v="EMP0028"/>
    <s v="Andrea Young"/>
    <x v="2"/>
    <s v="Finance Manager"/>
    <s v="Male"/>
    <n v="56"/>
    <d v="2016-05-08T00:00:00"/>
    <s v="Part-Time"/>
    <n v="113175.6"/>
    <n v="1"/>
    <n v="98.78"/>
    <n v="9"/>
    <n v="17"/>
    <n v="16"/>
    <s v="Daniel Wagner"/>
    <s v="Resigned"/>
  </r>
  <r>
    <s v="EMP0029"/>
    <s v="Carlos Walls"/>
    <x v="6"/>
    <s v="Recruiter"/>
    <s v="Female"/>
    <n v="59"/>
    <d v="2024-01-28T00:00:00"/>
    <s v="Full-Time"/>
    <n v="91761.22"/>
    <n v="2"/>
    <n v="93.75"/>
    <n v="1"/>
    <n v="33"/>
    <n v="32"/>
    <s v="Brian Ramirez"/>
    <s v="Active"/>
  </r>
  <r>
    <s v="EMP0030"/>
    <s v="Dana Kennedy"/>
    <x v="1"/>
    <s v="Sales Rep"/>
    <s v="Female"/>
    <n v="38"/>
    <d v="2025-07-13T00:00:00"/>
    <s v="Full-Time"/>
    <n v="20354.57"/>
    <n v="2"/>
    <n v="92.74"/>
    <n v="0"/>
    <n v="33"/>
    <n v="10"/>
    <s v="Dylan Miller"/>
    <s v="Active"/>
  </r>
  <r>
    <s v="EMP0031"/>
    <s v="Brent Jordan"/>
    <x v="7"/>
    <s v="Support Agent"/>
    <s v="Male"/>
    <n v="25"/>
    <d v="2022-09-28T00:00:00"/>
    <s v="Contract"/>
    <n v="110392.86"/>
    <n v="5"/>
    <n v="80.72"/>
    <n v="3"/>
    <n v="47"/>
    <n v="37"/>
    <s v="Derek Zuniga"/>
    <s v="Active"/>
  </r>
  <r>
    <s v="EMP0032"/>
    <s v="Scott Brown"/>
    <x v="6"/>
    <s v="HR Officer"/>
    <s v="Female"/>
    <n v="44"/>
    <d v="2023-01-09T00:00:00"/>
    <s v="Full-Time"/>
    <n v="109892.46"/>
    <n v="2"/>
    <n v="93.64"/>
    <n v="2"/>
    <n v="13"/>
    <n v="22"/>
    <s v="Derek Zuniga"/>
    <s v="Resigned"/>
  </r>
  <r>
    <s v="EMP0033"/>
    <s v="Nicholas Mcbride"/>
    <x v="7"/>
    <s v="Support Agent"/>
    <s v="Male"/>
    <n v="31"/>
    <d v="2017-06-28T00:00:00"/>
    <s v="Full-Time"/>
    <n v="108141.62"/>
    <n v="1"/>
    <n v="83.59"/>
    <n v="8"/>
    <n v="42"/>
    <n v="50"/>
    <s v="Michele Williams"/>
    <s v="Active"/>
  </r>
  <r>
    <s v="EMP0034"/>
    <s v="Connor West"/>
    <x v="5"/>
    <s v="Software Engineer"/>
    <s v="Male"/>
    <n v="27"/>
    <d v="2017-09-03T00:00:00"/>
    <s v="Part-Time"/>
    <n v="107216.68"/>
    <n v="4"/>
    <n v="84.45"/>
    <n v="8"/>
    <n v="58"/>
    <n v="22"/>
    <s v="Ryan Munoz"/>
    <s v="Active"/>
  </r>
  <r>
    <s v="EMP0035"/>
    <s v="Joel Baxter"/>
    <x v="5"/>
    <s v="IT Support"/>
    <s v="Male"/>
    <n v="33"/>
    <d v="2022-12-29T00:00:00"/>
    <s v="Part-Time"/>
    <n v="52826.2"/>
    <n v="1"/>
    <n v="99.34"/>
    <n v="3"/>
    <n v="35"/>
    <n v="22"/>
    <s v="Holly Wood"/>
    <s v="Active"/>
  </r>
  <r>
    <s v="EMP0036"/>
    <s v="Scott Pierce"/>
    <x v="3"/>
    <s v="Operations Associate"/>
    <s v="Male"/>
    <n v="37"/>
    <d v="2017-02-05T00:00:00"/>
    <s v="Full-Time"/>
    <n v="78058.97"/>
    <n v="3"/>
    <n v="80.77"/>
    <n v="8"/>
    <n v="76"/>
    <n v="27"/>
    <s v="Jamie Arnold"/>
    <s v="Active"/>
  </r>
  <r>
    <s v="EMP0037"/>
    <s v="Kimberly Smith"/>
    <x v="3"/>
    <s v="Operations Manager"/>
    <s v="Male"/>
    <n v="45"/>
    <d v="2016-09-04T00:00:00"/>
    <s v="Contract"/>
    <n v="39007.879999999997"/>
    <n v="1"/>
    <n v="94.18"/>
    <n v="9"/>
    <n v="0"/>
    <n v="33"/>
    <s v="Derek Zuniga"/>
    <s v="Active"/>
  </r>
  <r>
    <s v="EMP0038"/>
    <s v="Sarah Martin"/>
    <x v="5"/>
    <s v="Software Engineer"/>
    <s v="Female"/>
    <n v="25"/>
    <d v="2017-05-27T00:00:00"/>
    <s v="Contract"/>
    <n v="112077.09"/>
    <n v="5"/>
    <n v="86.28"/>
    <n v="8"/>
    <n v="15"/>
    <n v="46"/>
    <s v="Ryan Munoz"/>
    <s v="Active"/>
  </r>
  <r>
    <s v="EMP0039"/>
    <s v="Dr. Steven Martin"/>
    <x v="7"/>
    <s v="Team Lead"/>
    <s v="Female"/>
    <n v="39"/>
    <d v="2024-01-29T00:00:00"/>
    <s v="Contract"/>
    <n v="32728.78"/>
    <n v="4"/>
    <n v="93.3"/>
    <n v="1"/>
    <n v="48"/>
    <n v="43"/>
    <s v="Connie Lawrence"/>
    <s v="Active"/>
  </r>
  <r>
    <s v="EMP0040"/>
    <s v="Mrs. Rachel Gibson"/>
    <x v="2"/>
    <s v="Financial Analyst"/>
    <s v="Male"/>
    <n v="40"/>
    <d v="2015-11-08T00:00:00"/>
    <s v="Part-Time"/>
    <n v="41018.269999999997"/>
    <n v="5"/>
    <n v="92.13"/>
    <n v="10"/>
    <n v="41"/>
    <n v="29"/>
    <s v="Dylan Miller"/>
    <s v="Active"/>
  </r>
  <r>
    <s v="EMP0041"/>
    <s v="Monica Logan"/>
    <x v="5"/>
    <s v="Data Analyst"/>
    <s v="Female"/>
    <n v="31"/>
    <d v="2023-01-05T00:00:00"/>
    <s v="Contract"/>
    <n v="28479.55"/>
    <n v="5"/>
    <n v="93.28"/>
    <n v="2"/>
    <n v="79"/>
    <n v="21"/>
    <s v="Angie Henderson"/>
    <s v="Active"/>
  </r>
  <r>
    <s v="EMP0042"/>
    <s v="Edward Novak"/>
    <x v="5"/>
    <s v="Data Analyst"/>
    <s v="Female"/>
    <n v="35"/>
    <d v="2024-02-05T00:00:00"/>
    <s v="Full-Time"/>
    <n v="34735.4"/>
    <n v="1"/>
    <n v="84.9"/>
    <n v="1"/>
    <n v="60"/>
    <n v="39"/>
    <s v="Angie Henderson"/>
    <s v="Active"/>
  </r>
  <r>
    <s v="EMP0043"/>
    <s v="Amy Edwards"/>
    <x v="5"/>
    <s v="Data Analyst"/>
    <s v="Female"/>
    <n v="52"/>
    <d v="2025-09-01T00:00:00"/>
    <s v="Part-Time"/>
    <n v="44398.44"/>
    <n v="1"/>
    <n v="97.85"/>
    <n v="0"/>
    <n v="13"/>
    <n v="49"/>
    <s v="Michele Williams"/>
    <s v="Active"/>
  </r>
  <r>
    <s v="EMP0044"/>
    <s v="Kathryn Farrell"/>
    <x v="4"/>
    <s v="Researcher"/>
    <s v="Male"/>
    <n v="28"/>
    <d v="2016-09-01T00:00:00"/>
    <s v="Part-Time"/>
    <n v="33333.910000000003"/>
    <n v="4"/>
    <n v="93.35"/>
    <n v="9"/>
    <n v="71"/>
    <n v="38"/>
    <s v="Monica Herrera"/>
    <s v="Resigned"/>
  </r>
  <r>
    <s v="EMP0045"/>
    <s v="Jordan York"/>
    <x v="4"/>
    <s v="Product Developer"/>
    <s v="Female"/>
    <n v="31"/>
    <d v="2018-06-30T00:00:00"/>
    <s v="Contract"/>
    <n v="106149.49"/>
    <n v="4"/>
    <n v="85.18"/>
    <n v="7"/>
    <n v="31"/>
    <n v="53"/>
    <s v="Gabrielle Davis"/>
    <s v="Active"/>
  </r>
  <r>
    <s v="EMP0046"/>
    <s v="Megan Young"/>
    <x v="4"/>
    <s v="Researcher"/>
    <s v="Female"/>
    <n v="49"/>
    <d v="2016-12-24T00:00:00"/>
    <s v="Full-Time"/>
    <n v="91354.49"/>
    <n v="2"/>
    <n v="85.43"/>
    <n v="9"/>
    <n v="40"/>
    <n v="57"/>
    <s v="Derek Zuniga"/>
    <s v="Active"/>
  </r>
  <r>
    <s v="EMP0047"/>
    <s v="Laura Riley"/>
    <x v="6"/>
    <s v="HR Officer"/>
    <s v="Female"/>
    <n v="30"/>
    <d v="2017-11-08T00:00:00"/>
    <s v="Contract"/>
    <n v="41395.29"/>
    <n v="4"/>
    <n v="88.15"/>
    <n v="8"/>
    <n v="69"/>
    <n v="29"/>
    <s v="Michele Williams"/>
    <s v="Active"/>
  </r>
  <r>
    <s v="EMP0048"/>
    <s v="Jennifer Silva"/>
    <x v="7"/>
    <s v="Team Lead"/>
    <s v="Male"/>
    <n v="57"/>
    <d v="2016-06-28T00:00:00"/>
    <s v="Part-Time"/>
    <n v="67697.97"/>
    <n v="3"/>
    <n v="85.97"/>
    <n v="9"/>
    <n v="49"/>
    <n v="54"/>
    <s v="Michele Williams"/>
    <s v="Active"/>
  </r>
  <r>
    <s v="EMP0049"/>
    <s v="Dean Santiago"/>
    <x v="5"/>
    <s v="Software Engineer"/>
    <s v="Male"/>
    <n v="38"/>
    <d v="2024-09-16T00:00:00"/>
    <s v="Part-Time"/>
    <n v="68564.2"/>
    <n v="4"/>
    <n v="86.72"/>
    <n v="1"/>
    <n v="51"/>
    <n v="46"/>
    <s v="Connie Lawrence"/>
    <s v="Active"/>
  </r>
  <r>
    <s v="EMP0050"/>
    <s v="James Powers"/>
    <x v="6"/>
    <s v="HR Manager"/>
    <s v="Male"/>
    <n v="46"/>
    <d v="2021-02-28T00:00:00"/>
    <s v="Contract"/>
    <n v="76439.199999999997"/>
    <n v="1"/>
    <n v="81.680000000000007"/>
    <n v="4"/>
    <n v="54"/>
    <n v="8"/>
    <s v="Dylan Miller"/>
    <s v="Active"/>
  </r>
  <r>
    <s v="EMP0051"/>
    <s v="Timothy Walls"/>
    <x v="2"/>
    <s v="Financial Analyst"/>
    <s v="Female"/>
    <n v="34"/>
    <d v="2020-12-02T00:00:00"/>
    <s v="Part-Time"/>
    <n v="52684.58"/>
    <n v="4"/>
    <n v="85.57"/>
    <n v="5"/>
    <n v="53"/>
    <n v="16"/>
    <s v="Angie Henderson"/>
    <s v="Active"/>
  </r>
  <r>
    <s v="EMP0052"/>
    <s v="Zachary Ferrell"/>
    <x v="1"/>
    <s v="Sales Manager"/>
    <s v="Male"/>
    <n v="25"/>
    <d v="2015-12-22T00:00:00"/>
    <s v="Contract"/>
    <n v="24025.81"/>
    <n v="1"/>
    <n v="98.99"/>
    <n v="10"/>
    <n v="25"/>
    <n v="53"/>
    <s v="Allison Hill"/>
    <s v="Active"/>
  </r>
  <r>
    <s v="EMP0053"/>
    <s v="Katie Anderson"/>
    <x v="5"/>
    <s v="IT Support"/>
    <s v="Female"/>
    <n v="28"/>
    <d v="2017-01-23T00:00:00"/>
    <s v="Contract"/>
    <n v="114775.7"/>
    <n v="4"/>
    <n v="93.99"/>
    <n v="8"/>
    <n v="47"/>
    <n v="10"/>
    <s v="Carla Gray"/>
    <s v="Active"/>
  </r>
  <r>
    <s v="EMP0054"/>
    <s v="Sherry Wood"/>
    <x v="0"/>
    <s v="Marketing Analyst"/>
    <s v="Female"/>
    <n v="27"/>
    <d v="2021-10-02T00:00:00"/>
    <s v="Contract"/>
    <n v="22567.84"/>
    <n v="3"/>
    <n v="91.52"/>
    <n v="4"/>
    <n v="48"/>
    <n v="25"/>
    <s v="Abigail Shaffer"/>
    <s v="Active"/>
  </r>
  <r>
    <s v="EMP0055"/>
    <s v="Joshua Turner"/>
    <x v="5"/>
    <s v="IT Support"/>
    <s v="Female"/>
    <n v="59"/>
    <d v="2018-07-02T00:00:00"/>
    <s v="Full-Time"/>
    <n v="99622.720000000001"/>
    <n v="5"/>
    <n v="95.65"/>
    <n v="7"/>
    <n v="44"/>
    <n v="34"/>
    <s v="Michele Williams"/>
    <s v="Active"/>
  </r>
  <r>
    <s v="EMP0056"/>
    <s v="Robert Evans"/>
    <x v="0"/>
    <s v="Content Specialist"/>
    <s v="Female"/>
    <n v="21"/>
    <d v="2024-10-24T00:00:00"/>
    <s v="Part-Time"/>
    <n v="102233.09"/>
    <n v="1"/>
    <n v="88.67"/>
    <n v="1"/>
    <n v="46"/>
    <n v="40"/>
    <s v="Dylan Miller"/>
    <s v="Active"/>
  </r>
  <r>
    <s v="EMP0057"/>
    <s v="Brandy Wilson"/>
    <x v="7"/>
    <s v="Support Agent"/>
    <s v="Female"/>
    <n v="60"/>
    <d v="2017-07-30T00:00:00"/>
    <s v="Contract"/>
    <n v="97464.15"/>
    <n v="4"/>
    <n v="88.71"/>
    <n v="8"/>
    <n v="75"/>
    <n v="17"/>
    <s v="Monica Herrera"/>
    <s v="Resigned"/>
  </r>
  <r>
    <s v="EMP0058"/>
    <s v="Brittney Campbell"/>
    <x v="0"/>
    <s v="Brand Manager"/>
    <s v="Female"/>
    <n v="36"/>
    <d v="2017-08-21T00:00:00"/>
    <s v="Part-Time"/>
    <n v="76984.960000000006"/>
    <n v="4"/>
    <n v="86.73"/>
    <n v="8"/>
    <n v="63"/>
    <n v="54"/>
    <s v="Monica Herrera"/>
    <s v="Active"/>
  </r>
  <r>
    <s v="EMP0059"/>
    <s v="Christina Walters"/>
    <x v="5"/>
    <s v="Software Engineer"/>
    <s v="Female"/>
    <n v="42"/>
    <d v="2019-05-26T00:00:00"/>
    <s v="Part-Time"/>
    <n v="108032"/>
    <n v="3"/>
    <n v="91.12"/>
    <n v="6"/>
    <n v="66"/>
    <n v="60"/>
    <s v="Abigail Shaffer"/>
    <s v="Active"/>
  </r>
  <r>
    <s v="EMP0060"/>
    <s v="Danielle Odonnell"/>
    <x v="7"/>
    <s v="Team Lead"/>
    <s v="Male"/>
    <n v="51"/>
    <d v="2020-04-22T00:00:00"/>
    <s v="Contract"/>
    <n v="91184.24"/>
    <n v="4"/>
    <n v="95.86"/>
    <n v="5"/>
    <n v="11"/>
    <n v="18"/>
    <s v="Gina Moore"/>
    <s v="Active"/>
  </r>
  <r>
    <s v="EMP0061"/>
    <s v="Jeff Hill"/>
    <x v="5"/>
    <s v="Software Engineer"/>
    <s v="Female"/>
    <n v="51"/>
    <d v="2016-09-05T00:00:00"/>
    <s v="Contract"/>
    <n v="73092.19"/>
    <n v="4"/>
    <n v="99.93"/>
    <n v="9"/>
    <n v="70"/>
    <n v="21"/>
    <s v="Jamie Arnold"/>
    <s v="Active"/>
  </r>
  <r>
    <s v="EMP0062"/>
    <s v="Carlos Whitney"/>
    <x v="2"/>
    <s v="Financial Analyst"/>
    <s v="Female"/>
    <n v="35"/>
    <d v="2015-11-17T00:00:00"/>
    <s v="Full-Time"/>
    <n v="92128.43"/>
    <n v="3"/>
    <n v="82.39"/>
    <n v="10"/>
    <n v="68"/>
    <n v="60"/>
    <s v="Connie Lawrence"/>
    <s v="Active"/>
  </r>
  <r>
    <s v="EMP0063"/>
    <s v="Kristen Patterson"/>
    <x v="4"/>
    <s v="Product Developer"/>
    <s v="Female"/>
    <n v="27"/>
    <d v="2018-07-26T00:00:00"/>
    <s v="Full-Time"/>
    <n v="49624.65"/>
    <n v="3"/>
    <n v="83.59"/>
    <n v="7"/>
    <n v="1"/>
    <n v="45"/>
    <s v="Derek Zuniga"/>
    <s v="Active"/>
  </r>
  <r>
    <s v="EMP0064"/>
    <s v="Tony Vazquez"/>
    <x v="1"/>
    <s v="Sales Rep"/>
    <s v="Female"/>
    <n v="29"/>
    <d v="2015-12-25T00:00:00"/>
    <s v="Contract"/>
    <n v="106846.12"/>
    <n v="4"/>
    <n v="82.05"/>
    <n v="10"/>
    <n v="1"/>
    <n v="36"/>
    <s v="Ryan Munoz"/>
    <s v="Active"/>
  </r>
  <r>
    <s v="EMP0065"/>
    <s v="Sandra Aguilar"/>
    <x v="4"/>
    <s v="Product Developer"/>
    <s v="Male"/>
    <n v="24"/>
    <d v="2018-05-09T00:00:00"/>
    <s v="Part-Time"/>
    <n v="114106.36"/>
    <n v="4"/>
    <n v="82.28"/>
    <n v="7"/>
    <n v="8"/>
    <n v="25"/>
    <s v="Brian Ramirez"/>
    <s v="Active"/>
  </r>
  <r>
    <s v="EMP0066"/>
    <s v="Andrew Diaz"/>
    <x v="1"/>
    <s v="Sales Rep"/>
    <s v="Male"/>
    <n v="57"/>
    <d v="2018-05-03T00:00:00"/>
    <s v="Part-Time"/>
    <n v="28518.09"/>
    <n v="2"/>
    <n v="82.37"/>
    <n v="7"/>
    <n v="53"/>
    <n v="38"/>
    <s v="Carla Gray"/>
    <s v="Active"/>
  </r>
  <r>
    <s v="EMP0067"/>
    <s v="Christine Wright"/>
    <x v="5"/>
    <s v="Data Analyst"/>
    <s v="Female"/>
    <n v="49"/>
    <d v="2016-06-29T00:00:00"/>
    <s v="Part-Time"/>
    <n v="49735.31"/>
    <n v="5"/>
    <n v="99.8"/>
    <n v="9"/>
    <n v="39"/>
    <n v="36"/>
    <s v="Carla Gray"/>
    <s v="Active"/>
  </r>
  <r>
    <s v="EMP0068"/>
    <s v="Justin Baxter"/>
    <x v="0"/>
    <s v="Marketing Analyst"/>
    <s v="Male"/>
    <n v="37"/>
    <d v="2017-07-25T00:00:00"/>
    <s v="Contract"/>
    <n v="28118.75"/>
    <n v="2"/>
    <n v="83.48"/>
    <n v="8"/>
    <n v="9"/>
    <n v="10"/>
    <s v="Allison Hill"/>
    <s v="Active"/>
  </r>
  <r>
    <s v="EMP0069"/>
    <s v="Cynthia Martin"/>
    <x v="4"/>
    <s v="Product Developer"/>
    <s v="Male"/>
    <n v="35"/>
    <d v="2018-06-12T00:00:00"/>
    <s v="Part-Time"/>
    <n v="90695.58"/>
    <n v="4"/>
    <n v="81.42"/>
    <n v="7"/>
    <n v="29"/>
    <n v="59"/>
    <s v="Gabrielle Davis"/>
    <s v="Active"/>
  </r>
  <r>
    <s v="EMP0070"/>
    <s v="Allison Doyle"/>
    <x v="5"/>
    <s v="Software Engineer"/>
    <s v="Male"/>
    <n v="55"/>
    <d v="2018-10-30T00:00:00"/>
    <s v="Full-Time"/>
    <n v="84763.47"/>
    <n v="3"/>
    <n v="96.53"/>
    <n v="7"/>
    <n v="9"/>
    <n v="3"/>
    <s v="Connie Lawrence"/>
    <s v="Active"/>
  </r>
  <r>
    <s v="EMP0071"/>
    <s v="Jennifer Santiago"/>
    <x v="2"/>
    <s v="Financial Analyst"/>
    <s v="Male"/>
    <n v="50"/>
    <d v="2021-06-20T00:00:00"/>
    <s v="Contract"/>
    <n v="50409.120000000003"/>
    <n v="4"/>
    <n v="98.85"/>
    <n v="4"/>
    <n v="64"/>
    <n v="34"/>
    <s v="Brian Ramirez"/>
    <s v="Active"/>
  </r>
  <r>
    <s v="EMP0072"/>
    <s v="Richard Rodriguez"/>
    <x v="1"/>
    <s v="Sales Manager"/>
    <s v="Female"/>
    <n v="59"/>
    <d v="2020-01-15T00:00:00"/>
    <s v="Part-Time"/>
    <n v="22586.49"/>
    <n v="2"/>
    <n v="99.24"/>
    <n v="5"/>
    <n v="73"/>
    <n v="37"/>
    <s v="Allison Hill"/>
    <s v="Resigned"/>
  </r>
  <r>
    <s v="EMP0073"/>
    <s v="Courtney Velasquez"/>
    <x v="2"/>
    <s v="Finance Manager"/>
    <s v="Male"/>
    <n v="32"/>
    <d v="2016-06-22T00:00:00"/>
    <s v="Part-Time"/>
    <n v="71896.38"/>
    <n v="4"/>
    <n v="98.32"/>
    <n v="9"/>
    <n v="23"/>
    <n v="37"/>
    <s v="Michele Williams"/>
    <s v="Active"/>
  </r>
  <r>
    <s v="EMP0074"/>
    <s v="Robert Savage"/>
    <x v="4"/>
    <s v="Researcher"/>
    <s v="Female"/>
    <n v="43"/>
    <d v="2023-08-25T00:00:00"/>
    <s v="Part-Time"/>
    <n v="53330.84"/>
    <n v="1"/>
    <n v="97.15"/>
    <n v="2"/>
    <n v="42"/>
    <n v="26"/>
    <s v="Brian Ramirez"/>
    <s v="Active"/>
  </r>
  <r>
    <s v="EMP0075"/>
    <s v="Corey Murphy"/>
    <x v="7"/>
    <s v="Support Agent"/>
    <s v="Female"/>
    <n v="26"/>
    <d v="2019-08-11T00:00:00"/>
    <s v="Part-Time"/>
    <n v="45239.89"/>
    <n v="1"/>
    <n v="99.4"/>
    <n v="6"/>
    <n v="51"/>
    <n v="55"/>
    <s v="Holly Wood"/>
    <s v="Active"/>
  </r>
  <r>
    <s v="EMP0076"/>
    <s v="Diana May"/>
    <x v="1"/>
    <s v="Account Executive"/>
    <s v="Female"/>
    <n v="47"/>
    <d v="2016-12-30T00:00:00"/>
    <s v="Full-Time"/>
    <n v="38758.25"/>
    <n v="3"/>
    <n v="92.45"/>
    <n v="9"/>
    <n v="63"/>
    <n v="40"/>
    <s v="Dylan Miller"/>
    <s v="Active"/>
  </r>
  <r>
    <s v="EMP0077"/>
    <s v="Sarah Rivera"/>
    <x v="5"/>
    <s v="Software Engineer"/>
    <s v="Male"/>
    <n v="39"/>
    <d v="2022-08-13T00:00:00"/>
    <s v="Part-Time"/>
    <n v="108084.66"/>
    <n v="4"/>
    <n v="82.43"/>
    <n v="3"/>
    <n v="80"/>
    <n v="38"/>
    <s v="Gina Moore"/>
    <s v="Active"/>
  </r>
  <r>
    <s v="EMP0078"/>
    <s v="Wesley White"/>
    <x v="2"/>
    <s v="Finance Manager"/>
    <s v="Male"/>
    <n v="56"/>
    <d v="2016-04-14T00:00:00"/>
    <s v="Part-Time"/>
    <n v="29320.92"/>
    <n v="1"/>
    <n v="89.23"/>
    <n v="9"/>
    <n v="15"/>
    <n v="41"/>
    <s v="Cristian Santos"/>
    <s v="Active"/>
  </r>
  <r>
    <s v="EMP0079"/>
    <s v="Kyle Reed"/>
    <x v="2"/>
    <s v="Finance Manager"/>
    <s v="Female"/>
    <n v="47"/>
    <d v="2020-05-01T00:00:00"/>
    <s v="Part-Time"/>
    <n v="118024.46"/>
    <n v="2"/>
    <n v="89.14"/>
    <n v="5"/>
    <n v="18"/>
    <n v="24"/>
    <s v="Abigail Shaffer"/>
    <s v="Resigned"/>
  </r>
  <r>
    <s v="EMP0080"/>
    <s v="William Wilson"/>
    <x v="6"/>
    <s v="HR Officer"/>
    <s v="Female"/>
    <n v="47"/>
    <d v="2021-02-25T00:00:00"/>
    <s v="Part-Time"/>
    <n v="113424.84"/>
    <n v="5"/>
    <n v="85.34"/>
    <n v="4"/>
    <n v="0"/>
    <n v="18"/>
    <s v="Ryan Munoz"/>
    <s v="Active"/>
  </r>
  <r>
    <s v="EMP0081"/>
    <s v="Andrew Graham"/>
    <x v="4"/>
    <s v="Researcher"/>
    <s v="Female"/>
    <n v="55"/>
    <d v="2025-08-16T00:00:00"/>
    <s v="Part-Time"/>
    <n v="54512.39"/>
    <n v="5"/>
    <n v="95.26"/>
    <n v="0"/>
    <n v="48"/>
    <n v="29"/>
    <s v="Monica Herrera"/>
    <s v="Resigned"/>
  </r>
  <r>
    <s v="EMP0082"/>
    <s v="Kimberly Ball"/>
    <x v="5"/>
    <s v="Data Analyst"/>
    <s v="Female"/>
    <n v="35"/>
    <d v="2024-08-29T00:00:00"/>
    <s v="Part-Time"/>
    <n v="24364.73"/>
    <n v="4"/>
    <n v="94.1"/>
    <n v="1"/>
    <n v="48"/>
    <n v="24"/>
    <s v="Cristian Santos"/>
    <s v="Active"/>
  </r>
  <r>
    <s v="EMP0083"/>
    <s v="Benjamin Beck"/>
    <x v="1"/>
    <s v="Sales Rep"/>
    <s v="Female"/>
    <n v="27"/>
    <d v="2019-03-03T00:00:00"/>
    <s v="Part-Time"/>
    <n v="29971.17"/>
    <n v="4"/>
    <n v="80.31"/>
    <n v="6"/>
    <n v="18"/>
    <n v="26"/>
    <s v="Cristian Santos"/>
    <s v="Active"/>
  </r>
  <r>
    <s v="EMP0084"/>
    <s v="Mary Martinez"/>
    <x v="2"/>
    <s v="Financial Analyst"/>
    <s v="Female"/>
    <n v="26"/>
    <d v="2021-06-07T00:00:00"/>
    <s v="Part-Time"/>
    <n v="105234.13"/>
    <n v="5"/>
    <n v="87.6"/>
    <n v="4"/>
    <n v="40"/>
    <n v="40"/>
    <s v="Brian Ramirez"/>
    <s v="Resigned"/>
  </r>
  <r>
    <s v="EMP0085"/>
    <s v="Mary Nguyen"/>
    <x v="1"/>
    <s v="Account Executive"/>
    <s v="Male"/>
    <n v="36"/>
    <d v="2020-12-04T00:00:00"/>
    <s v="Contract"/>
    <n v="88439.96"/>
    <n v="3"/>
    <n v="99.95"/>
    <n v="5"/>
    <n v="11"/>
    <n v="27"/>
    <s v="Daniel Wagner"/>
    <s v="Active"/>
  </r>
  <r>
    <s v="EMP0086"/>
    <s v="Cheryl Ortega"/>
    <x v="0"/>
    <s v="Brand Manager"/>
    <s v="Male"/>
    <n v="40"/>
    <d v="2020-11-05T00:00:00"/>
    <s v="Full-Time"/>
    <n v="24599.1"/>
    <n v="1"/>
    <n v="85.87"/>
    <n v="5"/>
    <n v="47"/>
    <n v="27"/>
    <s v="Cristian Santos"/>
    <s v="Active"/>
  </r>
  <r>
    <s v="EMP0087"/>
    <s v="Stephanie Gilbert"/>
    <x v="7"/>
    <s v="Support Agent"/>
    <s v="Male"/>
    <n v="32"/>
    <d v="2022-04-07T00:00:00"/>
    <s v="Full-Time"/>
    <n v="80949.179999999993"/>
    <n v="4"/>
    <n v="92.39"/>
    <n v="3"/>
    <n v="30"/>
    <n v="31"/>
    <s v="Lisa Jackson"/>
    <s v="Active"/>
  </r>
  <r>
    <s v="EMP0088"/>
    <s v="Roy Torres"/>
    <x v="4"/>
    <s v="Product Developer"/>
    <s v="Female"/>
    <n v="37"/>
    <d v="2020-12-08T00:00:00"/>
    <s v="Contract"/>
    <n v="20939.740000000002"/>
    <n v="4"/>
    <n v="98.02"/>
    <n v="5"/>
    <n v="69"/>
    <n v="10"/>
    <s v="Angie Henderson"/>
    <s v="Active"/>
  </r>
  <r>
    <s v="EMP0089"/>
    <s v="Kevin Pena"/>
    <x v="3"/>
    <s v="Operations Manager"/>
    <s v="Female"/>
    <n v="37"/>
    <d v="2019-05-24T00:00:00"/>
    <s v="Part-Time"/>
    <n v="104530.39"/>
    <n v="2"/>
    <n v="99.99"/>
    <n v="6"/>
    <n v="61"/>
    <n v="6"/>
    <s v="Gina Moore"/>
    <s v="Active"/>
  </r>
  <r>
    <s v="EMP0090"/>
    <s v="Michael Dixon"/>
    <x v="3"/>
    <s v="Operations Manager"/>
    <s v="Female"/>
    <n v="22"/>
    <d v="2023-09-23T00:00:00"/>
    <s v="Contract"/>
    <n v="59580.57"/>
    <n v="1"/>
    <n v="91.32"/>
    <n v="2"/>
    <n v="6"/>
    <n v="58"/>
    <s v="Carla Gray"/>
    <s v="Active"/>
  </r>
  <r>
    <s v="EMP0091"/>
    <s v="Diane Beck"/>
    <x v="2"/>
    <s v="Accountant"/>
    <s v="Female"/>
    <n v="35"/>
    <d v="2018-09-14T00:00:00"/>
    <s v="Contract"/>
    <n v="39013.199999999997"/>
    <n v="3"/>
    <n v="93.56"/>
    <n v="7"/>
    <n v="17"/>
    <n v="40"/>
    <s v="Daniel Wagner"/>
    <s v="Resigned"/>
  </r>
  <r>
    <s v="EMP0092"/>
    <s v="Trevor Young"/>
    <x v="1"/>
    <s v="Sales Manager"/>
    <s v="Female"/>
    <n v="23"/>
    <d v="2021-07-08T00:00:00"/>
    <s v="Contract"/>
    <n v="56486.12"/>
    <n v="2"/>
    <n v="81.8"/>
    <n v="4"/>
    <n v="37"/>
    <n v="20"/>
    <s v="Michele Williams"/>
    <s v="Active"/>
  </r>
  <r>
    <s v="EMP0093"/>
    <s v="Curtis Johnson"/>
    <x v="6"/>
    <s v="HR Manager"/>
    <s v="Female"/>
    <n v="54"/>
    <d v="2021-02-04T00:00:00"/>
    <s v="Contract"/>
    <n v="111348.7"/>
    <n v="2"/>
    <n v="85.14"/>
    <n v="4"/>
    <n v="61"/>
    <n v="51"/>
    <s v="Ryan Munoz"/>
    <s v="Active"/>
  </r>
  <r>
    <s v="EMP0094"/>
    <s v="Miss Patricia Gibson"/>
    <x v="3"/>
    <s v="Operations Associate"/>
    <s v="Female"/>
    <n v="25"/>
    <d v="2019-12-25T00:00:00"/>
    <s v="Full-Time"/>
    <n v="95415.15"/>
    <n v="2"/>
    <n v="97.2"/>
    <n v="6"/>
    <n v="50"/>
    <n v="54"/>
    <s v="Derek Zuniga"/>
    <s v="Active"/>
  </r>
  <r>
    <s v="EMP0095"/>
    <s v="Michael Snyder"/>
    <x v="7"/>
    <s v="Support Agent"/>
    <s v="Female"/>
    <n v="55"/>
    <d v="2025-08-11T00:00:00"/>
    <s v="Full-Time"/>
    <n v="65478.6"/>
    <n v="3"/>
    <n v="91.69"/>
    <n v="0"/>
    <n v="47"/>
    <n v="6"/>
    <s v="Gina Moore"/>
    <s v="Active"/>
  </r>
  <r>
    <s v="EMP0096"/>
    <s v="Michael Stafford"/>
    <x v="3"/>
    <s v="Operations Associate"/>
    <s v="Male"/>
    <n v="50"/>
    <d v="2019-12-20T00:00:00"/>
    <s v="Contract"/>
    <n v="50219.02"/>
    <n v="4"/>
    <n v="82.33"/>
    <n v="6"/>
    <n v="5"/>
    <n v="60"/>
    <s v="Noah Rhodes"/>
    <s v="Active"/>
  </r>
  <r>
    <s v="EMP0097"/>
    <s v="Colleen Brock"/>
    <x v="4"/>
    <s v="Researcher"/>
    <s v="Male"/>
    <n v="36"/>
    <d v="2017-08-18T00:00:00"/>
    <s v="Contract"/>
    <n v="33566.400000000001"/>
    <n v="4"/>
    <n v="87.42"/>
    <n v="8"/>
    <n v="69"/>
    <n v="26"/>
    <s v="Lisa Jackson"/>
    <s v="Active"/>
  </r>
  <r>
    <s v="EMP0098"/>
    <s v="Justin Lowery"/>
    <x v="6"/>
    <s v="Recruiter"/>
    <s v="Male"/>
    <n v="52"/>
    <d v="2024-08-17T00:00:00"/>
    <s v="Contract"/>
    <n v="60811.59"/>
    <n v="3"/>
    <n v="80.650000000000006"/>
    <n v="1"/>
    <n v="47"/>
    <n v="13"/>
    <s v="Dylan Miller"/>
    <s v="Active"/>
  </r>
  <r>
    <s v="EMP0099"/>
    <s v="Robert Contreras"/>
    <x v="5"/>
    <s v="Software Engineer"/>
    <s v="Male"/>
    <n v="44"/>
    <d v="2017-11-18T00:00:00"/>
    <s v="Contract"/>
    <n v="110169.62"/>
    <n v="3"/>
    <n v="81.209999999999994"/>
    <n v="8"/>
    <n v="35"/>
    <n v="12"/>
    <s v="Daniel Wagner"/>
    <s v="Resigned"/>
  </r>
  <r>
    <s v="EMP0100"/>
    <s v="Tiffany Vance"/>
    <x v="4"/>
    <s v="Researcher"/>
    <s v="Male"/>
    <n v="59"/>
    <d v="2025-04-29T00:00:00"/>
    <s v="Full-Time"/>
    <n v="25057.85"/>
    <n v="3"/>
    <n v="84.87"/>
    <n v="0"/>
    <n v="16"/>
    <n v="50"/>
    <s v="Lisa Jackson"/>
    <s v="Active"/>
  </r>
  <r>
    <s v="EMP0101"/>
    <s v="Terry Griffin"/>
    <x v="5"/>
    <s v="Data Analyst"/>
    <s v="Male"/>
    <n v="35"/>
    <d v="2024-05-27T00:00:00"/>
    <s v="Part-Time"/>
    <n v="97436.86"/>
    <n v="5"/>
    <n v="80.06"/>
    <n v="1"/>
    <n v="18"/>
    <n v="8"/>
    <s v="Derek Zuniga"/>
    <s v="Active"/>
  </r>
  <r>
    <s v="EMP0102"/>
    <s v="Karen Green"/>
    <x v="6"/>
    <s v="HR Officer"/>
    <s v="Male"/>
    <n v="29"/>
    <d v="2018-07-10T00:00:00"/>
    <s v="Full-Time"/>
    <n v="55824.23"/>
    <n v="2"/>
    <n v="91.78"/>
    <n v="7"/>
    <n v="2"/>
    <n v="11"/>
    <s v="Gabrielle Davis"/>
    <s v="Active"/>
  </r>
  <r>
    <s v="EMP0103"/>
    <s v="Destiny Strickland"/>
    <x v="7"/>
    <s v="Support Agent"/>
    <s v="Male"/>
    <n v="51"/>
    <d v="2020-01-09T00:00:00"/>
    <s v="Part-Time"/>
    <n v="97801.7"/>
    <n v="5"/>
    <n v="91.87"/>
    <n v="5"/>
    <n v="57"/>
    <n v="32"/>
    <s v="Gina Moore"/>
    <s v="Resigned"/>
  </r>
  <r>
    <s v="EMP0104"/>
    <s v="Denise Jones"/>
    <x v="1"/>
    <s v="Account Executive"/>
    <s v="Female"/>
    <n v="50"/>
    <d v="2024-01-23T00:00:00"/>
    <s v="Contract"/>
    <n v="116402.62"/>
    <n v="1"/>
    <n v="99.97"/>
    <n v="1"/>
    <n v="51"/>
    <n v="27"/>
    <s v="Daniel Wagner"/>
    <s v="Active"/>
  </r>
  <r>
    <s v="EMP0105"/>
    <s v="George Orozco"/>
    <x v="4"/>
    <s v="Researcher"/>
    <s v="Male"/>
    <n v="41"/>
    <d v="2020-09-04T00:00:00"/>
    <s v="Contract"/>
    <n v="34833.379999999997"/>
    <n v="2"/>
    <n v="85.5"/>
    <n v="5"/>
    <n v="74"/>
    <n v="35"/>
    <s v="Monica Herrera"/>
    <s v="Active"/>
  </r>
  <r>
    <s v="EMP0106"/>
    <s v="David Benson"/>
    <x v="2"/>
    <s v="Financial Analyst"/>
    <s v="Female"/>
    <n v="27"/>
    <d v="2017-03-09T00:00:00"/>
    <s v="Contract"/>
    <n v="31441.41"/>
    <n v="5"/>
    <n v="94.42"/>
    <n v="8"/>
    <n v="27"/>
    <n v="27"/>
    <s v="Dylan Miller"/>
    <s v="Resigned"/>
  </r>
  <r>
    <s v="EMP0107"/>
    <s v="Jason Daniels"/>
    <x v="7"/>
    <s v="Team Lead"/>
    <s v="Female"/>
    <n v="46"/>
    <d v="2019-06-16T00:00:00"/>
    <s v="Part-Time"/>
    <n v="92961.25"/>
    <n v="3"/>
    <n v="88.54"/>
    <n v="6"/>
    <n v="32"/>
    <n v="23"/>
    <s v="Cristian Santos"/>
    <s v="Active"/>
  </r>
  <r>
    <s v="EMP0108"/>
    <s v="Ross Price"/>
    <x v="4"/>
    <s v="Researcher"/>
    <s v="Male"/>
    <n v="26"/>
    <d v="2022-11-21T00:00:00"/>
    <s v="Full-Time"/>
    <n v="63187.65"/>
    <n v="3"/>
    <n v="96.24"/>
    <n v="3"/>
    <n v="71"/>
    <n v="3"/>
    <s v="Lisa Jackson"/>
    <s v="Resigned"/>
  </r>
  <r>
    <s v="EMP0109"/>
    <s v="Alicia Gilmore"/>
    <x v="3"/>
    <s v="Operations Associate"/>
    <s v="Female"/>
    <n v="43"/>
    <d v="2025-10-02T00:00:00"/>
    <s v="Contract"/>
    <n v="114112.99"/>
    <n v="4"/>
    <n v="97.36"/>
    <n v="0"/>
    <n v="6"/>
    <n v="18"/>
    <s v="Carla Gray"/>
    <s v="Active"/>
  </r>
  <r>
    <s v="EMP0110"/>
    <s v="Aaron Bell"/>
    <x v="0"/>
    <s v="Content Specialist"/>
    <s v="Male"/>
    <n v="30"/>
    <d v="2025-08-11T00:00:00"/>
    <s v="Contract"/>
    <n v="68218.94"/>
    <n v="1"/>
    <n v="87"/>
    <n v="0"/>
    <n v="71"/>
    <n v="23"/>
    <s v="Daniel Wagner"/>
    <s v="Active"/>
  </r>
  <r>
    <s v="EMP0111"/>
    <s v="Tiffany Barnes"/>
    <x v="5"/>
    <s v="Software Engineer"/>
    <s v="Male"/>
    <n v="59"/>
    <d v="2022-06-14T00:00:00"/>
    <s v="Contract"/>
    <n v="102946.08"/>
    <n v="3"/>
    <n v="80.58"/>
    <n v="3"/>
    <n v="34"/>
    <n v="44"/>
    <s v="Ryan Munoz"/>
    <s v="Resigned"/>
  </r>
  <r>
    <s v="EMP0112"/>
    <s v="Stephanie Freeman"/>
    <x v="3"/>
    <s v="Operations Associate"/>
    <s v="Male"/>
    <n v="30"/>
    <d v="2025-02-08T00:00:00"/>
    <s v="Contract"/>
    <n v="85734.46"/>
    <n v="1"/>
    <n v="82.84"/>
    <n v="0"/>
    <n v="3"/>
    <n v="5"/>
    <s v="Holly Wood"/>
    <s v="Active"/>
  </r>
  <r>
    <s v="EMP0113"/>
    <s v="Allen Rogers"/>
    <x v="7"/>
    <s v="Team Lead"/>
    <s v="Female"/>
    <n v="31"/>
    <d v="2020-06-16T00:00:00"/>
    <s v="Part-Time"/>
    <n v="51163.74"/>
    <n v="3"/>
    <n v="95.54"/>
    <n v="5"/>
    <n v="72"/>
    <n v="38"/>
    <s v="Angie Henderson"/>
    <s v="Resigned"/>
  </r>
  <r>
    <s v="EMP0114"/>
    <s v="Sara Calhoun"/>
    <x v="6"/>
    <s v="HR Officer"/>
    <s v="Male"/>
    <n v="26"/>
    <d v="2022-09-11T00:00:00"/>
    <s v="Part-Time"/>
    <n v="64311.3"/>
    <n v="4"/>
    <n v="89.71"/>
    <n v="3"/>
    <n v="56"/>
    <n v="26"/>
    <s v="Gabrielle Davis"/>
    <s v="Active"/>
  </r>
  <r>
    <s v="EMP0115"/>
    <s v="James Elliott"/>
    <x v="0"/>
    <s v="Brand Manager"/>
    <s v="Female"/>
    <n v="28"/>
    <d v="2024-11-25T00:00:00"/>
    <s v="Part-Time"/>
    <n v="87821.79"/>
    <n v="5"/>
    <n v="89.73"/>
    <n v="1"/>
    <n v="39"/>
    <n v="2"/>
    <s v="Gina Moore"/>
    <s v="Active"/>
  </r>
  <r>
    <s v="EMP0116"/>
    <s v="Jeffrey Camacho"/>
    <x v="1"/>
    <s v="Sales Rep"/>
    <s v="Male"/>
    <n v="40"/>
    <d v="2016-04-11T00:00:00"/>
    <s v="Full-Time"/>
    <n v="96734.95"/>
    <n v="3"/>
    <n v="85.79"/>
    <n v="9"/>
    <n v="15"/>
    <n v="0"/>
    <s v="Brian Ramirez"/>
    <s v="Active"/>
  </r>
  <r>
    <s v="EMP0117"/>
    <s v="James Lewis"/>
    <x v="6"/>
    <s v="HR Officer"/>
    <s v="Female"/>
    <n v="55"/>
    <d v="2018-11-28T00:00:00"/>
    <s v="Contract"/>
    <n v="43011.07"/>
    <n v="5"/>
    <n v="96.67"/>
    <n v="7"/>
    <n v="45"/>
    <n v="4"/>
    <s v="Lisa Hensley"/>
    <s v="Resigned"/>
  </r>
  <r>
    <s v="EMP0118"/>
    <s v="Shawn Ramirez"/>
    <x v="1"/>
    <s v="Sales Manager"/>
    <s v="Male"/>
    <n v="50"/>
    <d v="2021-05-17T00:00:00"/>
    <s v="Full-Time"/>
    <n v="106211"/>
    <n v="5"/>
    <n v="88.59"/>
    <n v="4"/>
    <n v="51"/>
    <n v="45"/>
    <s v="Michele Williams"/>
    <s v="Active"/>
  </r>
  <r>
    <s v="EMP0119"/>
    <s v="Bradley Smith"/>
    <x v="7"/>
    <s v="Support Agent"/>
    <s v="Female"/>
    <n v="31"/>
    <d v="2022-12-27T00:00:00"/>
    <s v="Contract"/>
    <n v="66009.69"/>
    <n v="3"/>
    <n v="81.760000000000005"/>
    <n v="3"/>
    <n v="13"/>
    <n v="15"/>
    <s v="Michele Williams"/>
    <s v="Active"/>
  </r>
  <r>
    <s v="EMP0120"/>
    <s v="Trevor Walker"/>
    <x v="0"/>
    <s v="Brand Manager"/>
    <s v="Female"/>
    <n v="42"/>
    <d v="2024-12-28T00:00:00"/>
    <s v="Full-Time"/>
    <n v="53306.86"/>
    <n v="2"/>
    <n v="81.53"/>
    <n v="1"/>
    <n v="14"/>
    <n v="33"/>
    <s v="Holly Wood"/>
    <s v="Active"/>
  </r>
  <r>
    <s v="EMP0121"/>
    <s v="Marissa Webster"/>
    <x v="3"/>
    <s v="Operations Manager"/>
    <s v="Male"/>
    <n v="36"/>
    <d v="2016-12-25T00:00:00"/>
    <s v="Full-Time"/>
    <n v="34644.42"/>
    <n v="2"/>
    <n v="83.47"/>
    <n v="9"/>
    <n v="19"/>
    <n v="48"/>
    <s v="Angie Henderson"/>
    <s v="Active"/>
  </r>
  <r>
    <s v="EMP0122"/>
    <s v="Alex Hernandez"/>
    <x v="4"/>
    <s v="Product Developer"/>
    <s v="Female"/>
    <n v="57"/>
    <d v="2020-01-09T00:00:00"/>
    <s v="Contract"/>
    <n v="83529.83"/>
    <n v="5"/>
    <n v="86.46"/>
    <n v="5"/>
    <n v="80"/>
    <n v="20"/>
    <s v="Cristian Santos"/>
    <s v="Active"/>
  </r>
  <r>
    <s v="EMP0123"/>
    <s v="Brian Gould"/>
    <x v="4"/>
    <s v="Product Developer"/>
    <s v="Female"/>
    <n v="38"/>
    <d v="2017-12-18T00:00:00"/>
    <s v="Contract"/>
    <n v="25617.21"/>
    <n v="5"/>
    <n v="81.48"/>
    <n v="8"/>
    <n v="59"/>
    <n v="28"/>
    <s v="Noah Rhodes"/>
    <s v="Active"/>
  </r>
  <r>
    <s v="EMP0124"/>
    <s v="Pamela Jackson"/>
    <x v="2"/>
    <s v="Accountant"/>
    <s v="Male"/>
    <n v="60"/>
    <d v="2023-09-23T00:00:00"/>
    <s v="Contract"/>
    <n v="70706.78"/>
    <n v="4"/>
    <n v="91.61"/>
    <n v="2"/>
    <n v="5"/>
    <n v="28"/>
    <s v="Lisa Jackson"/>
    <s v="Active"/>
  </r>
  <r>
    <s v="EMP0125"/>
    <s v="Carla Collins"/>
    <x v="3"/>
    <s v="Operations Manager"/>
    <s v="Male"/>
    <n v="24"/>
    <d v="2017-10-06T00:00:00"/>
    <s v="Part-Time"/>
    <n v="30350.19"/>
    <n v="3"/>
    <n v="99.65"/>
    <n v="8"/>
    <n v="10"/>
    <n v="32"/>
    <s v="Connie Lawrence"/>
    <s v="Active"/>
  </r>
  <r>
    <s v="EMP0126"/>
    <s v="Eric Byrd"/>
    <x v="4"/>
    <s v="Product Developer"/>
    <s v="Male"/>
    <n v="44"/>
    <d v="2025-08-29T00:00:00"/>
    <s v="Part-Time"/>
    <n v="111793.68"/>
    <n v="4"/>
    <n v="88.18"/>
    <n v="0"/>
    <n v="43"/>
    <n v="43"/>
    <s v="Carla Gray"/>
    <s v="Active"/>
  </r>
  <r>
    <s v="EMP0127"/>
    <s v="Miguel Jones"/>
    <x v="3"/>
    <s v="Operations Associate"/>
    <s v="Female"/>
    <n v="27"/>
    <d v="2022-03-15T00:00:00"/>
    <s v="Contract"/>
    <n v="87837.93"/>
    <n v="3"/>
    <n v="85.04"/>
    <n v="3"/>
    <n v="77"/>
    <n v="55"/>
    <s v="Cristian Santos"/>
    <s v="Active"/>
  </r>
  <r>
    <s v="EMP0128"/>
    <s v="Raymond Jefferson"/>
    <x v="6"/>
    <s v="Recruiter"/>
    <s v="Female"/>
    <n v="46"/>
    <d v="2019-12-13T00:00:00"/>
    <s v="Full-Time"/>
    <n v="79504.12"/>
    <n v="1"/>
    <n v="86.19"/>
    <n v="6"/>
    <n v="48"/>
    <n v="41"/>
    <s v="Monica Herrera"/>
    <s v="Active"/>
  </r>
  <r>
    <s v="EMP0129"/>
    <s v="Kylie Williams"/>
    <x v="0"/>
    <s v="Content Specialist"/>
    <s v="Female"/>
    <n v="53"/>
    <d v="2017-11-16T00:00:00"/>
    <s v="Part-Time"/>
    <n v="21823.05"/>
    <n v="3"/>
    <n v="83.61"/>
    <n v="8"/>
    <n v="27"/>
    <n v="21"/>
    <s v="Brian Ramirez"/>
    <s v="Active"/>
  </r>
  <r>
    <s v="EMP0130"/>
    <s v="Jacob Hunter"/>
    <x v="6"/>
    <s v="HR Officer"/>
    <s v="Male"/>
    <n v="39"/>
    <d v="2024-11-17T00:00:00"/>
    <s v="Full-Time"/>
    <n v="70768.97"/>
    <n v="5"/>
    <n v="96.7"/>
    <n v="1"/>
    <n v="67"/>
    <n v="2"/>
    <s v="Monica Herrera"/>
    <s v="Resigned"/>
  </r>
  <r>
    <s v="EMP0131"/>
    <s v="Jason Henry"/>
    <x v="6"/>
    <s v="HR Manager"/>
    <s v="Female"/>
    <n v="30"/>
    <d v="2021-08-15T00:00:00"/>
    <s v="Full-Time"/>
    <n v="38084.6"/>
    <n v="5"/>
    <n v="96.18"/>
    <n v="4"/>
    <n v="21"/>
    <n v="46"/>
    <s v="Dylan Miller"/>
    <s v="Active"/>
  </r>
  <r>
    <s v="EMP0132"/>
    <s v="Madison Poole"/>
    <x v="3"/>
    <s v="Operations Associate"/>
    <s v="Female"/>
    <n v="60"/>
    <d v="2023-03-11T00:00:00"/>
    <s v="Part-Time"/>
    <n v="95239.12"/>
    <n v="4"/>
    <n v="84.68"/>
    <n v="2"/>
    <n v="30"/>
    <n v="19"/>
    <s v="Brian Ramirez"/>
    <s v="Resigned"/>
  </r>
  <r>
    <s v="EMP0133"/>
    <s v="Nicholas Sheppard"/>
    <x v="5"/>
    <s v="Software Engineer"/>
    <s v="Female"/>
    <n v="50"/>
    <d v="2018-06-02T00:00:00"/>
    <s v="Part-Time"/>
    <n v="97812.4"/>
    <n v="5"/>
    <n v="90.55"/>
    <n v="7"/>
    <n v="20"/>
    <n v="52"/>
    <s v="Abigail Shaffer"/>
    <s v="Active"/>
  </r>
  <r>
    <s v="EMP0134"/>
    <s v="Tamara Hampton"/>
    <x v="6"/>
    <s v="Recruiter"/>
    <s v="Male"/>
    <n v="51"/>
    <d v="2020-05-30T00:00:00"/>
    <s v="Part-Time"/>
    <n v="75454.070000000007"/>
    <n v="1"/>
    <n v="94.23"/>
    <n v="5"/>
    <n v="66"/>
    <n v="54"/>
    <s v="Daniel Wagner"/>
    <s v="Active"/>
  </r>
  <r>
    <s v="EMP0135"/>
    <s v="Nicholas Adams"/>
    <x v="6"/>
    <s v="Recruiter"/>
    <s v="Female"/>
    <n v="53"/>
    <d v="2023-09-22T00:00:00"/>
    <s v="Full-Time"/>
    <n v="103104.67"/>
    <n v="1"/>
    <n v="98.93"/>
    <n v="2"/>
    <n v="28"/>
    <n v="52"/>
    <s v="Dylan Miller"/>
    <s v="Resigned"/>
  </r>
  <r>
    <s v="EMP0136"/>
    <s v="Angelica Keith"/>
    <x v="1"/>
    <s v="Sales Manager"/>
    <s v="Male"/>
    <n v="46"/>
    <d v="2019-12-29T00:00:00"/>
    <s v="Contract"/>
    <n v="57396.15"/>
    <n v="4"/>
    <n v="99.89"/>
    <n v="6"/>
    <n v="47"/>
    <n v="14"/>
    <s v="Allison Hill"/>
    <s v="Active"/>
  </r>
  <r>
    <s v="EMP0137"/>
    <s v="Laura Barnett"/>
    <x v="0"/>
    <s v="Content Specialist"/>
    <s v="Female"/>
    <n v="30"/>
    <d v="2019-12-19T00:00:00"/>
    <s v="Full-Time"/>
    <n v="23830.32"/>
    <n v="4"/>
    <n v="93.92"/>
    <n v="6"/>
    <n v="17"/>
    <n v="48"/>
    <s v="Brian Ramirez"/>
    <s v="Active"/>
  </r>
  <r>
    <s v="EMP0138"/>
    <s v="Samuel White"/>
    <x v="1"/>
    <s v="Sales Rep"/>
    <s v="Male"/>
    <n v="37"/>
    <d v="2021-07-16T00:00:00"/>
    <s v="Full-Time"/>
    <n v="103496.31"/>
    <n v="5"/>
    <n v="98.8"/>
    <n v="4"/>
    <n v="77"/>
    <n v="33"/>
    <s v="Michele Williams"/>
    <s v="Active"/>
  </r>
  <r>
    <s v="EMP0139"/>
    <s v="David Ramirez"/>
    <x v="2"/>
    <s v="Accountant"/>
    <s v="Female"/>
    <n v="28"/>
    <d v="2019-06-05T00:00:00"/>
    <s v="Full-Time"/>
    <n v="43843.95"/>
    <n v="5"/>
    <n v="89.14"/>
    <n v="6"/>
    <n v="14"/>
    <n v="53"/>
    <s v="Brian Ramirez"/>
    <s v="Active"/>
  </r>
  <r>
    <s v="EMP0140"/>
    <s v="Kellie Lee"/>
    <x v="1"/>
    <s v="Account Executive"/>
    <s v="Male"/>
    <n v="30"/>
    <d v="2020-07-07T00:00:00"/>
    <s v="Part-Time"/>
    <n v="62923.89"/>
    <n v="5"/>
    <n v="87.06"/>
    <n v="5"/>
    <n v="73"/>
    <n v="26"/>
    <s v="Connie Lawrence"/>
    <s v="Active"/>
  </r>
  <r>
    <s v="EMP0141"/>
    <s v="Katherine Chang"/>
    <x v="0"/>
    <s v="Content Specialist"/>
    <s v="Female"/>
    <n v="25"/>
    <d v="2019-12-03T00:00:00"/>
    <s v="Contract"/>
    <n v="74408.2"/>
    <n v="5"/>
    <n v="91.08"/>
    <n v="6"/>
    <n v="49"/>
    <n v="55"/>
    <s v="Brian Ramirez"/>
    <s v="Active"/>
  </r>
  <r>
    <s v="EMP0142"/>
    <s v="Katherine Mcguire"/>
    <x v="7"/>
    <s v="Team Lead"/>
    <s v="Female"/>
    <n v="22"/>
    <d v="2023-12-01T00:00:00"/>
    <s v="Part-Time"/>
    <n v="98852"/>
    <n v="3"/>
    <n v="84.82"/>
    <n v="2"/>
    <n v="80"/>
    <n v="6"/>
    <s v="Lisa Jackson"/>
    <s v="Active"/>
  </r>
  <r>
    <s v="EMP0143"/>
    <s v="Jared Sanchez"/>
    <x v="3"/>
    <s v="Operations Associate"/>
    <s v="Male"/>
    <n v="43"/>
    <d v="2017-05-26T00:00:00"/>
    <s v="Contract"/>
    <n v="53854.73"/>
    <n v="2"/>
    <n v="96.61"/>
    <n v="8"/>
    <n v="59"/>
    <n v="44"/>
    <s v="Brian Ramirez"/>
    <s v="Active"/>
  </r>
  <r>
    <s v="EMP0144"/>
    <s v="Juan Cooper"/>
    <x v="6"/>
    <s v="HR Officer"/>
    <s v="Female"/>
    <n v="23"/>
    <d v="2025-09-16T00:00:00"/>
    <s v="Part-Time"/>
    <n v="40159.1"/>
    <n v="2"/>
    <n v="97.72"/>
    <n v="0"/>
    <n v="40"/>
    <n v="59"/>
    <s v="Ryan Munoz"/>
    <s v="Active"/>
  </r>
  <r>
    <s v="EMP0145"/>
    <s v="Michael Nelson"/>
    <x v="4"/>
    <s v="Product Developer"/>
    <s v="Male"/>
    <n v="33"/>
    <d v="2025-03-06T00:00:00"/>
    <s v="Part-Time"/>
    <n v="55697.42"/>
    <n v="1"/>
    <n v="97.32"/>
    <n v="0"/>
    <n v="42"/>
    <n v="17"/>
    <s v="Daniel Wagner"/>
    <s v="Active"/>
  </r>
  <r>
    <s v="EMP0146"/>
    <s v="Nathan Stewart"/>
    <x v="7"/>
    <s v="Team Lead"/>
    <s v="Female"/>
    <n v="45"/>
    <d v="2020-02-04T00:00:00"/>
    <s v="Part-Time"/>
    <n v="117372.36"/>
    <n v="4"/>
    <n v="93.84"/>
    <n v="5"/>
    <n v="47"/>
    <n v="59"/>
    <s v="Holly Wood"/>
    <s v="Active"/>
  </r>
  <r>
    <s v="EMP0147"/>
    <s v="Melissa Lee"/>
    <x v="0"/>
    <s v="Content Specialist"/>
    <s v="Female"/>
    <n v="26"/>
    <d v="2024-12-06T00:00:00"/>
    <s v="Part-Time"/>
    <n v="80245.33"/>
    <n v="2"/>
    <n v="90.91"/>
    <n v="1"/>
    <n v="41"/>
    <n v="6"/>
    <s v="Angie Henderson"/>
    <s v="Active"/>
  </r>
  <r>
    <s v="EMP0148"/>
    <s v="Kevin Wolf"/>
    <x v="2"/>
    <s v="Financial Analyst"/>
    <s v="Female"/>
    <n v="59"/>
    <d v="2024-01-20T00:00:00"/>
    <s v="Contract"/>
    <n v="62611.61"/>
    <n v="4"/>
    <n v="87.03"/>
    <n v="1"/>
    <n v="5"/>
    <n v="46"/>
    <s v="Jamie Arnold"/>
    <s v="Active"/>
  </r>
  <r>
    <s v="EMP0149"/>
    <s v="Dr. Elizabeth Ward"/>
    <x v="7"/>
    <s v="Team Lead"/>
    <s v="Male"/>
    <n v="25"/>
    <d v="2020-08-18T00:00:00"/>
    <s v="Contract"/>
    <n v="83751.25"/>
    <n v="3"/>
    <n v="90.26"/>
    <n v="5"/>
    <n v="20"/>
    <n v="60"/>
    <s v="Allison Hill"/>
    <s v="Active"/>
  </r>
  <r>
    <s v="EMP0150"/>
    <s v="Joseph Hill"/>
    <x v="4"/>
    <s v="Researcher"/>
    <s v="Male"/>
    <n v="25"/>
    <d v="2020-12-16T00:00:00"/>
    <s v="Full-Time"/>
    <n v="97851.54"/>
    <n v="3"/>
    <n v="87.24"/>
    <n v="5"/>
    <n v="72"/>
    <n v="2"/>
    <s v="Carla Gray"/>
    <s v="Active"/>
  </r>
  <r>
    <s v="EMP0151"/>
    <s v="Melissa Martinez"/>
    <x v="4"/>
    <s v="Product Developer"/>
    <s v="Female"/>
    <n v="49"/>
    <d v="2016-09-28T00:00:00"/>
    <s v="Full-Time"/>
    <n v="77392.179999999993"/>
    <n v="5"/>
    <n v="87.34"/>
    <n v="9"/>
    <n v="40"/>
    <n v="41"/>
    <s v="Gabrielle Davis"/>
    <s v="Active"/>
  </r>
  <r>
    <s v="EMP0152"/>
    <s v="Adam Mitchell"/>
    <x v="0"/>
    <s v="Marketing Analyst"/>
    <s v="Male"/>
    <n v="52"/>
    <d v="2024-03-02T00:00:00"/>
    <s v="Contract"/>
    <n v="58698.74"/>
    <n v="5"/>
    <n v="82.36"/>
    <n v="1"/>
    <n v="33"/>
    <n v="45"/>
    <s v="Dylan Miller"/>
    <s v="Active"/>
  </r>
  <r>
    <s v="EMP0153"/>
    <s v="Cody Williams"/>
    <x v="2"/>
    <s v="Finance Manager"/>
    <s v="Female"/>
    <n v="33"/>
    <d v="2023-12-17T00:00:00"/>
    <s v="Full-Time"/>
    <n v="33572.839999999997"/>
    <n v="1"/>
    <n v="89.04"/>
    <n v="2"/>
    <n v="56"/>
    <n v="5"/>
    <s v="Monica Herrera"/>
    <s v="Active"/>
  </r>
  <r>
    <s v="EMP0154"/>
    <s v="Austin Vasquez"/>
    <x v="0"/>
    <s v="Content Specialist"/>
    <s v="Female"/>
    <n v="40"/>
    <d v="2023-12-11T00:00:00"/>
    <s v="Full-Time"/>
    <n v="91180.91"/>
    <n v="2"/>
    <n v="95.87"/>
    <n v="2"/>
    <n v="65"/>
    <n v="14"/>
    <s v="Daniel Wagner"/>
    <s v="Resigned"/>
  </r>
  <r>
    <s v="EMP0155"/>
    <s v="Amy Hernandez"/>
    <x v="6"/>
    <s v="HR Officer"/>
    <s v="Female"/>
    <n v="22"/>
    <d v="2025-08-19T00:00:00"/>
    <s v="Part-Time"/>
    <n v="75402.14"/>
    <n v="3"/>
    <n v="89.35"/>
    <n v="0"/>
    <n v="70"/>
    <n v="8"/>
    <s v="Carla Gray"/>
    <s v="Resigned"/>
  </r>
  <r>
    <s v="EMP0156"/>
    <s v="Angela Wright"/>
    <x v="0"/>
    <s v="Brand Manager"/>
    <s v="Female"/>
    <n v="51"/>
    <d v="2025-05-23T00:00:00"/>
    <s v="Contract"/>
    <n v="61079.51"/>
    <n v="4"/>
    <n v="96.47"/>
    <n v="0"/>
    <n v="9"/>
    <n v="8"/>
    <s v="Monica Herrera"/>
    <s v="Active"/>
  </r>
  <r>
    <s v="EMP0157"/>
    <s v="Lisa Gibbs"/>
    <x v="4"/>
    <s v="Product Developer"/>
    <s v="Female"/>
    <n v="29"/>
    <d v="2025-04-23T00:00:00"/>
    <s v="Contract"/>
    <n v="83979.39"/>
    <n v="2"/>
    <n v="95.36"/>
    <n v="0"/>
    <n v="16"/>
    <n v="27"/>
    <s v="Holly Wood"/>
    <s v="Resigned"/>
  </r>
  <r>
    <s v="EMP0158"/>
    <s v="Jamie Kerr"/>
    <x v="1"/>
    <s v="Sales Rep"/>
    <s v="Male"/>
    <n v="40"/>
    <d v="2019-08-28T00:00:00"/>
    <s v="Full-Time"/>
    <n v="36196.699999999997"/>
    <n v="2"/>
    <n v="86.92"/>
    <n v="6"/>
    <n v="66"/>
    <n v="57"/>
    <s v="Ryan Munoz"/>
    <s v="Active"/>
  </r>
  <r>
    <s v="EMP0159"/>
    <s v="Wanda Torres"/>
    <x v="2"/>
    <s v="Accountant"/>
    <s v="Female"/>
    <n v="29"/>
    <d v="2020-11-15T00:00:00"/>
    <s v="Contract"/>
    <n v="50282.46"/>
    <n v="5"/>
    <n v="81.87"/>
    <n v="5"/>
    <n v="21"/>
    <n v="37"/>
    <s v="Lisa Jackson"/>
    <s v="Active"/>
  </r>
  <r>
    <s v="EMP0160"/>
    <s v="Natalie Meza"/>
    <x v="3"/>
    <s v="Operations Associate"/>
    <s v="Male"/>
    <n v="26"/>
    <d v="2016-11-03T00:00:00"/>
    <s v="Full-Time"/>
    <n v="114854.69"/>
    <n v="5"/>
    <n v="85.29"/>
    <n v="9"/>
    <n v="26"/>
    <n v="49"/>
    <s v="Lisa Jackson"/>
    <s v="Active"/>
  </r>
  <r>
    <s v="EMP0161"/>
    <s v="Deborah Miller"/>
    <x v="1"/>
    <s v="Sales Manager"/>
    <s v="Female"/>
    <n v="40"/>
    <d v="2019-05-09T00:00:00"/>
    <s v="Part-Time"/>
    <n v="44487.79"/>
    <n v="4"/>
    <n v="85.95"/>
    <n v="6"/>
    <n v="9"/>
    <n v="44"/>
    <s v="Noah Rhodes"/>
    <s v="Active"/>
  </r>
  <r>
    <s v="EMP0162"/>
    <s v="Benjamin Smith"/>
    <x v="7"/>
    <s v="Team Lead"/>
    <s v="Female"/>
    <n v="34"/>
    <d v="2019-11-24T00:00:00"/>
    <s v="Part-Time"/>
    <n v="80666.03"/>
    <n v="3"/>
    <n v="97.23"/>
    <n v="6"/>
    <n v="40"/>
    <n v="46"/>
    <s v="Jamie Arnold"/>
    <s v="Resigned"/>
  </r>
  <r>
    <s v="EMP0163"/>
    <s v="Julie Johnson"/>
    <x v="6"/>
    <s v="Recruiter"/>
    <s v="Male"/>
    <n v="41"/>
    <d v="2023-06-25T00:00:00"/>
    <s v="Full-Time"/>
    <n v="66647.259999999995"/>
    <n v="3"/>
    <n v="88.99"/>
    <n v="2"/>
    <n v="18"/>
    <n v="6"/>
    <s v="Noah Rhodes"/>
    <s v="Active"/>
  </r>
  <r>
    <s v="EMP0164"/>
    <s v="Michele Gibson"/>
    <x v="7"/>
    <s v="Team Lead"/>
    <s v="Male"/>
    <n v="31"/>
    <d v="2020-09-19T00:00:00"/>
    <s v="Part-Time"/>
    <n v="113375.15"/>
    <n v="3"/>
    <n v="83.8"/>
    <n v="5"/>
    <n v="20"/>
    <n v="31"/>
    <s v="Holly Wood"/>
    <s v="Active"/>
  </r>
  <r>
    <s v="EMP0165"/>
    <s v="Rachel Weber"/>
    <x v="2"/>
    <s v="Financial Analyst"/>
    <s v="Male"/>
    <n v="26"/>
    <d v="2019-10-15T00:00:00"/>
    <s v="Part-Time"/>
    <n v="70544.45"/>
    <n v="2"/>
    <n v="84.3"/>
    <n v="6"/>
    <n v="45"/>
    <n v="3"/>
    <s v="Noah Rhodes"/>
    <s v="Active"/>
  </r>
  <r>
    <s v="EMP0166"/>
    <s v="Joshua Holland"/>
    <x v="4"/>
    <s v="Product Developer"/>
    <s v="Male"/>
    <n v="27"/>
    <d v="2019-03-08T00:00:00"/>
    <s v="Part-Time"/>
    <n v="33393.49"/>
    <n v="3"/>
    <n v="94.55"/>
    <n v="6"/>
    <n v="51"/>
    <n v="23"/>
    <s v="Noah Rhodes"/>
    <s v="Active"/>
  </r>
  <r>
    <s v="EMP0167"/>
    <s v="Andrea Martin"/>
    <x v="5"/>
    <s v="Software Engineer"/>
    <s v="Female"/>
    <n v="25"/>
    <d v="2020-05-02T00:00:00"/>
    <s v="Part-Time"/>
    <n v="70425.55"/>
    <n v="5"/>
    <n v="85.59"/>
    <n v="5"/>
    <n v="79"/>
    <n v="43"/>
    <s v="Carla Gray"/>
    <s v="Active"/>
  </r>
  <r>
    <s v="EMP0168"/>
    <s v="Samantha Morse"/>
    <x v="0"/>
    <s v="Brand Manager"/>
    <s v="Female"/>
    <n v="42"/>
    <d v="2021-01-18T00:00:00"/>
    <s v="Contract"/>
    <n v="113894.86"/>
    <n v="2"/>
    <n v="83.98"/>
    <n v="4"/>
    <n v="65"/>
    <n v="25"/>
    <s v="Holly Wood"/>
    <s v="Active"/>
  </r>
  <r>
    <s v="EMP0169"/>
    <s v="Michael Lyons"/>
    <x v="1"/>
    <s v="Sales Rep"/>
    <s v="Female"/>
    <n v="51"/>
    <d v="2023-04-15T00:00:00"/>
    <s v="Contract"/>
    <n v="65698.86"/>
    <n v="5"/>
    <n v="97.86"/>
    <n v="2"/>
    <n v="17"/>
    <n v="20"/>
    <s v="Carla Gray"/>
    <s v="Active"/>
  </r>
  <r>
    <s v="EMP0170"/>
    <s v="Katherine Miller"/>
    <x v="7"/>
    <s v="Team Lead"/>
    <s v="Female"/>
    <n v="53"/>
    <d v="2020-06-12T00:00:00"/>
    <s v="Contract"/>
    <n v="73233.98"/>
    <n v="5"/>
    <n v="86"/>
    <n v="5"/>
    <n v="2"/>
    <n v="23"/>
    <s v="Monica Herrera"/>
    <s v="Active"/>
  </r>
  <r>
    <s v="EMP0171"/>
    <s v="Morgan Munoz"/>
    <x v="7"/>
    <s v="Team Lead"/>
    <s v="Male"/>
    <n v="59"/>
    <d v="2016-06-29T00:00:00"/>
    <s v="Part-Time"/>
    <n v="46553.04"/>
    <n v="5"/>
    <n v="91.55"/>
    <n v="9"/>
    <n v="6"/>
    <n v="37"/>
    <s v="Brian Ramirez"/>
    <s v="Active"/>
  </r>
  <r>
    <s v="EMP0172"/>
    <s v="Vernon Huff"/>
    <x v="7"/>
    <s v="Support Agent"/>
    <s v="Male"/>
    <n v="23"/>
    <d v="2016-04-03T00:00:00"/>
    <s v="Contract"/>
    <n v="114820.52"/>
    <n v="1"/>
    <n v="83.82"/>
    <n v="9"/>
    <n v="56"/>
    <n v="20"/>
    <s v="Michele Williams"/>
    <s v="Active"/>
  </r>
  <r>
    <s v="EMP0173"/>
    <s v="Alicia Hubbard"/>
    <x v="5"/>
    <s v="Software Engineer"/>
    <s v="Female"/>
    <n v="24"/>
    <d v="2025-08-08T00:00:00"/>
    <s v="Contract"/>
    <n v="33808.25"/>
    <n v="2"/>
    <n v="91.22"/>
    <n v="0"/>
    <n v="61"/>
    <n v="33"/>
    <s v="Lisa Hensley"/>
    <s v="Active"/>
  </r>
  <r>
    <s v="EMP0174"/>
    <s v="Pamela Thompson"/>
    <x v="6"/>
    <s v="Recruiter"/>
    <s v="Female"/>
    <n v="55"/>
    <d v="2020-05-26T00:00:00"/>
    <s v="Part-Time"/>
    <n v="87586.86"/>
    <n v="3"/>
    <n v="92.2"/>
    <n v="5"/>
    <n v="24"/>
    <n v="15"/>
    <s v="Gabrielle Davis"/>
    <s v="Active"/>
  </r>
  <r>
    <s v="EMP0175"/>
    <s v="Sydney White"/>
    <x v="5"/>
    <s v="Software Engineer"/>
    <s v="Female"/>
    <n v="34"/>
    <d v="2024-08-23T00:00:00"/>
    <s v="Contract"/>
    <n v="90498.83"/>
    <n v="3"/>
    <n v="89.6"/>
    <n v="1"/>
    <n v="71"/>
    <n v="59"/>
    <s v="Gabrielle Davis"/>
    <s v="Active"/>
  </r>
  <r>
    <s v="EMP0176"/>
    <s v="Robert Costa"/>
    <x v="7"/>
    <s v="Team Lead"/>
    <s v="Female"/>
    <n v="30"/>
    <d v="2025-10-10T00:00:00"/>
    <s v="Part-Time"/>
    <n v="24206.65"/>
    <n v="1"/>
    <n v="86.93"/>
    <n v="0"/>
    <n v="56"/>
    <n v="41"/>
    <s v="Gabrielle Davis"/>
    <s v="Active"/>
  </r>
  <r>
    <s v="EMP0177"/>
    <s v="Gary Santiago"/>
    <x v="5"/>
    <s v="IT Support"/>
    <s v="Female"/>
    <n v="56"/>
    <d v="2023-10-24T00:00:00"/>
    <s v="Contract"/>
    <n v="47162.15"/>
    <n v="1"/>
    <n v="92.31"/>
    <n v="2"/>
    <n v="75"/>
    <n v="15"/>
    <s v="Gina Moore"/>
    <s v="Active"/>
  </r>
  <r>
    <s v="EMP0178"/>
    <s v="Michael Roberts"/>
    <x v="5"/>
    <s v="Data Analyst"/>
    <s v="Male"/>
    <n v="24"/>
    <d v="2018-07-21T00:00:00"/>
    <s v="Full-Time"/>
    <n v="61330.14"/>
    <n v="4"/>
    <n v="82.01"/>
    <n v="7"/>
    <n v="17"/>
    <n v="0"/>
    <s v="Derek Zuniga"/>
    <s v="Resigned"/>
  </r>
  <r>
    <s v="EMP0179"/>
    <s v="Krista Gibson"/>
    <x v="6"/>
    <s v="Recruiter"/>
    <s v="Female"/>
    <n v="51"/>
    <d v="2022-08-18T00:00:00"/>
    <s v="Contract"/>
    <n v="39945.599999999999"/>
    <n v="3"/>
    <n v="86.42"/>
    <n v="3"/>
    <n v="7"/>
    <n v="58"/>
    <s v="Angie Henderson"/>
    <s v="Active"/>
  </r>
  <r>
    <s v="EMP0180"/>
    <s v="Brian Barton"/>
    <x v="5"/>
    <s v="Data Analyst"/>
    <s v="Male"/>
    <n v="32"/>
    <d v="2021-03-02T00:00:00"/>
    <s v="Part-Time"/>
    <n v="108224.5"/>
    <n v="2"/>
    <n v="98.68"/>
    <n v="4"/>
    <n v="4"/>
    <n v="53"/>
    <s v="Lisa Hensley"/>
    <s v="Active"/>
  </r>
  <r>
    <s v="EMP0181"/>
    <s v="April Booth"/>
    <x v="6"/>
    <s v="HR Manager"/>
    <s v="Female"/>
    <n v="23"/>
    <d v="2024-07-27T00:00:00"/>
    <s v="Full-Time"/>
    <n v="49839.22"/>
    <n v="5"/>
    <n v="82.15"/>
    <n v="1"/>
    <n v="42"/>
    <n v="18"/>
    <s v="Dylan Miller"/>
    <s v="Resigned"/>
  </r>
  <r>
    <s v="EMP0182"/>
    <s v="Cody Cox"/>
    <x v="4"/>
    <s v="Researcher"/>
    <s v="Female"/>
    <n v="38"/>
    <d v="2023-09-04T00:00:00"/>
    <s v="Full-Time"/>
    <n v="100881.39"/>
    <n v="3"/>
    <n v="83.25"/>
    <n v="2"/>
    <n v="58"/>
    <n v="41"/>
    <s v="Gabrielle Davis"/>
    <s v="Active"/>
  </r>
  <r>
    <s v="EMP0183"/>
    <s v="Olivia Harris"/>
    <x v="1"/>
    <s v="Account Executive"/>
    <s v="Female"/>
    <n v="39"/>
    <d v="2024-04-18T00:00:00"/>
    <s v="Contract"/>
    <n v="87440.11"/>
    <n v="2"/>
    <n v="83.51"/>
    <n v="1"/>
    <n v="51"/>
    <n v="52"/>
    <s v="Michele Williams"/>
    <s v="Active"/>
  </r>
  <r>
    <s v="EMP0184"/>
    <s v="Dwayne Gilmore"/>
    <x v="0"/>
    <s v="Brand Manager"/>
    <s v="Male"/>
    <n v="32"/>
    <d v="2025-02-27T00:00:00"/>
    <s v="Full-Time"/>
    <n v="67745.41"/>
    <n v="2"/>
    <n v="80.14"/>
    <n v="0"/>
    <n v="49"/>
    <n v="15"/>
    <s v="Dylan Miller"/>
    <s v="Active"/>
  </r>
  <r>
    <s v="EMP0185"/>
    <s v="William Lynch"/>
    <x v="3"/>
    <s v="Operations Manager"/>
    <s v="Male"/>
    <n v="37"/>
    <d v="2024-01-23T00:00:00"/>
    <s v="Contract"/>
    <n v="55955.21"/>
    <n v="2"/>
    <n v="81.239999999999995"/>
    <n v="1"/>
    <n v="15"/>
    <n v="29"/>
    <s v="Ryan Munoz"/>
    <s v="Active"/>
  </r>
  <r>
    <s v="EMP0186"/>
    <s v="Emily Smith"/>
    <x v="2"/>
    <s v="Finance Manager"/>
    <s v="Male"/>
    <n v="39"/>
    <d v="2019-11-20T00:00:00"/>
    <s v="Part-Time"/>
    <n v="81462.539999999994"/>
    <n v="2"/>
    <n v="99.15"/>
    <n v="6"/>
    <n v="61"/>
    <n v="9"/>
    <s v="Dylan Miller"/>
    <s v="Active"/>
  </r>
  <r>
    <s v="EMP0187"/>
    <s v="Willie Durham"/>
    <x v="3"/>
    <s v="Operations Manager"/>
    <s v="Female"/>
    <n v="55"/>
    <d v="2022-10-04T00:00:00"/>
    <s v="Contract"/>
    <n v="102560.35"/>
    <n v="2"/>
    <n v="93.61"/>
    <n v="3"/>
    <n v="76"/>
    <n v="55"/>
    <s v="Angie Henderson"/>
    <s v="Active"/>
  </r>
  <r>
    <s v="EMP0188"/>
    <s v="Maria Moore"/>
    <x v="3"/>
    <s v="Operations Associate"/>
    <s v="Male"/>
    <n v="24"/>
    <d v="2023-09-01T00:00:00"/>
    <s v="Contract"/>
    <n v="110288.82"/>
    <n v="2"/>
    <n v="91.45"/>
    <n v="2"/>
    <n v="19"/>
    <n v="10"/>
    <s v="Monica Herrera"/>
    <s v="Resigned"/>
  </r>
  <r>
    <s v="EMP0189"/>
    <s v="Denise Davenport"/>
    <x v="4"/>
    <s v="Researcher"/>
    <s v="Male"/>
    <n v="58"/>
    <d v="2020-10-12T00:00:00"/>
    <s v="Part-Time"/>
    <n v="29094.16"/>
    <n v="5"/>
    <n v="88.91"/>
    <n v="5"/>
    <n v="7"/>
    <n v="29"/>
    <s v="Cristian Santos"/>
    <s v="Active"/>
  </r>
  <r>
    <s v="EMP0190"/>
    <s v="Juan Reyes"/>
    <x v="4"/>
    <s v="Researcher"/>
    <s v="Female"/>
    <n v="40"/>
    <d v="2023-11-07T00:00:00"/>
    <s v="Contract"/>
    <n v="22177.05"/>
    <n v="3"/>
    <n v="96.33"/>
    <n v="2"/>
    <n v="27"/>
    <n v="37"/>
    <s v="Angie Henderson"/>
    <s v="Active"/>
  </r>
  <r>
    <s v="EMP0191"/>
    <s v="Breanna Jones"/>
    <x v="3"/>
    <s v="Operations Associate"/>
    <s v="Male"/>
    <n v="25"/>
    <d v="2024-06-18T00:00:00"/>
    <s v="Part-Time"/>
    <n v="23173.49"/>
    <n v="4"/>
    <n v="83.6"/>
    <n v="1"/>
    <n v="17"/>
    <n v="49"/>
    <s v="Michele Williams"/>
    <s v="Active"/>
  </r>
  <r>
    <s v="EMP0192"/>
    <s v="Richard Adams"/>
    <x v="7"/>
    <s v="Team Lead"/>
    <s v="Female"/>
    <n v="45"/>
    <d v="2022-11-16T00:00:00"/>
    <s v="Full-Time"/>
    <n v="88273.04"/>
    <n v="5"/>
    <n v="82.66"/>
    <n v="3"/>
    <n v="44"/>
    <n v="7"/>
    <s v="Connie Lawrence"/>
    <s v="Resigned"/>
  </r>
  <r>
    <s v="EMP0193"/>
    <s v="Edwin Matthews"/>
    <x v="7"/>
    <s v="Support Agent"/>
    <s v="Male"/>
    <n v="21"/>
    <d v="2015-11-10T00:00:00"/>
    <s v="Full-Time"/>
    <n v="117849.07"/>
    <n v="4"/>
    <n v="93.47"/>
    <n v="10"/>
    <n v="69"/>
    <n v="27"/>
    <s v="Derek Zuniga"/>
    <s v="Active"/>
  </r>
  <r>
    <s v="EMP0194"/>
    <s v="Jill Washington"/>
    <x v="5"/>
    <s v="IT Support"/>
    <s v="Female"/>
    <n v="43"/>
    <d v="2024-02-23T00:00:00"/>
    <s v="Full-Time"/>
    <n v="47564.97"/>
    <n v="1"/>
    <n v="80.64"/>
    <n v="1"/>
    <n v="53"/>
    <n v="39"/>
    <s v="Allison Hill"/>
    <s v="Active"/>
  </r>
  <r>
    <s v="EMP0195"/>
    <s v="Kimberly Gibson"/>
    <x v="0"/>
    <s v="Marketing Analyst"/>
    <s v="Male"/>
    <n v="49"/>
    <d v="2021-06-21T00:00:00"/>
    <s v="Contract"/>
    <n v="87202.36"/>
    <n v="1"/>
    <n v="84.89"/>
    <n v="4"/>
    <n v="5"/>
    <n v="25"/>
    <s v="Dylan Miller"/>
    <s v="Active"/>
  </r>
  <r>
    <s v="EMP0196"/>
    <s v="Veronica Allen"/>
    <x v="5"/>
    <s v="IT Support"/>
    <s v="Male"/>
    <n v="53"/>
    <d v="2021-04-16T00:00:00"/>
    <s v="Part-Time"/>
    <n v="43416.15"/>
    <n v="5"/>
    <n v="86.38"/>
    <n v="4"/>
    <n v="76"/>
    <n v="49"/>
    <s v="Monica Herrera"/>
    <s v="Active"/>
  </r>
  <r>
    <s v="EMP0197"/>
    <s v="Reginald Williams"/>
    <x v="6"/>
    <s v="HR Manager"/>
    <s v="Male"/>
    <n v="47"/>
    <d v="2022-05-01T00:00:00"/>
    <s v="Part-Time"/>
    <n v="47515.39"/>
    <n v="5"/>
    <n v="98.97"/>
    <n v="3"/>
    <n v="22"/>
    <n v="40"/>
    <s v="Michele Williams"/>
    <s v="Active"/>
  </r>
  <r>
    <s v="EMP0198"/>
    <s v="Roberta Hughes"/>
    <x v="1"/>
    <s v="Sales Manager"/>
    <s v="Female"/>
    <n v="54"/>
    <d v="2023-11-11T00:00:00"/>
    <s v="Part-Time"/>
    <n v="89630.84"/>
    <n v="4"/>
    <n v="82.98"/>
    <n v="2"/>
    <n v="48"/>
    <n v="11"/>
    <s v="Derek Zuniga"/>
    <s v="Active"/>
  </r>
  <r>
    <s v="EMP0199"/>
    <s v="Andrew Shaw MD"/>
    <x v="5"/>
    <s v="Software Engineer"/>
    <s v="Male"/>
    <n v="50"/>
    <d v="2018-05-28T00:00:00"/>
    <s v="Full-Time"/>
    <n v="76238.59"/>
    <n v="4"/>
    <n v="91.15"/>
    <n v="7"/>
    <n v="17"/>
    <n v="24"/>
    <s v="Gina Moore"/>
    <s v="Active"/>
  </r>
  <r>
    <s v="EMP0200"/>
    <s v="Jessica Fox"/>
    <x v="3"/>
    <s v="Operations Associate"/>
    <s v="Female"/>
    <n v="44"/>
    <d v="2017-07-10T00:00:00"/>
    <s v="Full-Time"/>
    <n v="73563.55"/>
    <n v="2"/>
    <n v="81.03"/>
    <n v="8"/>
    <n v="48"/>
    <n v="43"/>
    <s v="Carla Gray"/>
    <s v="Active"/>
  </r>
  <r>
    <s v="EMP0201"/>
    <s v="Charles Pitts"/>
    <x v="0"/>
    <s v="Marketing Analyst"/>
    <s v="Male"/>
    <n v="51"/>
    <d v="2023-08-04T00:00:00"/>
    <s v="Full-Time"/>
    <n v="106947.39"/>
    <n v="3"/>
    <n v="86.06"/>
    <n v="2"/>
    <n v="1"/>
    <n v="13"/>
    <s v="Abigail Shaffer"/>
    <s v="Resigned"/>
  </r>
  <r>
    <s v="EMP0202"/>
    <s v="Richard Baker"/>
    <x v="0"/>
    <s v="Content Specialist"/>
    <s v="Female"/>
    <n v="36"/>
    <d v="2018-06-11T00:00:00"/>
    <s v="Contract"/>
    <n v="80440.149999999994"/>
    <n v="2"/>
    <n v="87.93"/>
    <n v="7"/>
    <n v="30"/>
    <n v="35"/>
    <s v="Monica Herrera"/>
    <s v="Active"/>
  </r>
  <r>
    <s v="EMP0203"/>
    <s v="Sarah Phelps"/>
    <x v="7"/>
    <s v="Team Lead"/>
    <s v="Female"/>
    <n v="40"/>
    <d v="2022-07-30T00:00:00"/>
    <s v="Part-Time"/>
    <n v="55964.46"/>
    <n v="4"/>
    <n v="89.32"/>
    <n v="3"/>
    <n v="60"/>
    <n v="48"/>
    <s v="Monica Herrera"/>
    <s v="Resigned"/>
  </r>
  <r>
    <s v="EMP0204"/>
    <s v="Eugene Higgins"/>
    <x v="3"/>
    <s v="Operations Manager"/>
    <s v="Female"/>
    <n v="23"/>
    <d v="2024-11-22T00:00:00"/>
    <s v="Contract"/>
    <n v="106408.48"/>
    <n v="2"/>
    <n v="80.319999999999993"/>
    <n v="1"/>
    <n v="70"/>
    <n v="59"/>
    <s v="Lisa Jackson"/>
    <s v="Active"/>
  </r>
  <r>
    <s v="EMP0205"/>
    <s v="Amanda Jones"/>
    <x v="7"/>
    <s v="Team Lead"/>
    <s v="Male"/>
    <n v="33"/>
    <d v="2024-02-13T00:00:00"/>
    <s v="Part-Time"/>
    <n v="43001.86"/>
    <n v="5"/>
    <n v="96.67"/>
    <n v="1"/>
    <n v="63"/>
    <n v="35"/>
    <s v="Monica Herrera"/>
    <s v="Active"/>
  </r>
  <r>
    <s v="EMP0206"/>
    <s v="Nicole Hamilton MD"/>
    <x v="4"/>
    <s v="Product Developer"/>
    <s v="Female"/>
    <n v="31"/>
    <d v="2020-09-14T00:00:00"/>
    <s v="Contract"/>
    <n v="99497.55"/>
    <n v="2"/>
    <n v="82.8"/>
    <n v="5"/>
    <n v="69"/>
    <n v="31"/>
    <s v="Connie Lawrence"/>
    <s v="Resigned"/>
  </r>
  <r>
    <s v="EMP0207"/>
    <s v="Michael Berger"/>
    <x v="1"/>
    <s v="Account Executive"/>
    <s v="Male"/>
    <n v="25"/>
    <d v="2017-07-11T00:00:00"/>
    <s v="Contract"/>
    <n v="24851.439999999999"/>
    <n v="1"/>
    <n v="88.25"/>
    <n v="8"/>
    <n v="80"/>
    <n v="14"/>
    <s v="Angie Henderson"/>
    <s v="Active"/>
  </r>
  <r>
    <s v="EMP0208"/>
    <s v="Anthony Howard"/>
    <x v="1"/>
    <s v="Sales Rep"/>
    <s v="Female"/>
    <n v="44"/>
    <d v="2016-08-06T00:00:00"/>
    <s v="Full-Time"/>
    <n v="81783.520000000004"/>
    <n v="5"/>
    <n v="98.26"/>
    <n v="9"/>
    <n v="62"/>
    <n v="1"/>
    <s v="Allison Hill"/>
    <s v="Active"/>
  </r>
  <r>
    <s v="EMP0209"/>
    <s v="Joseph Knight"/>
    <x v="7"/>
    <s v="Support Agent"/>
    <s v="Male"/>
    <n v="54"/>
    <d v="2023-02-22T00:00:00"/>
    <s v="Contract"/>
    <n v="47474.07"/>
    <n v="3"/>
    <n v="80.34"/>
    <n v="2"/>
    <n v="55"/>
    <n v="51"/>
    <s v="Connie Lawrence"/>
    <s v="Active"/>
  </r>
  <r>
    <s v="EMP0210"/>
    <s v="Bob Pitts"/>
    <x v="0"/>
    <s v="Content Specialist"/>
    <s v="Male"/>
    <n v="36"/>
    <d v="2018-11-17T00:00:00"/>
    <s v="Full-Time"/>
    <n v="81978.080000000002"/>
    <n v="3"/>
    <n v="96.3"/>
    <n v="7"/>
    <n v="34"/>
    <n v="50"/>
    <s v="Lisa Hensley"/>
    <s v="Active"/>
  </r>
  <r>
    <s v="EMP0211"/>
    <s v="Mr. David Little MD"/>
    <x v="7"/>
    <s v="Team Lead"/>
    <s v="Male"/>
    <n v="35"/>
    <d v="2019-11-30T00:00:00"/>
    <s v="Part-Time"/>
    <n v="88404.160000000003"/>
    <n v="1"/>
    <n v="93.07"/>
    <n v="6"/>
    <n v="4"/>
    <n v="5"/>
    <s v="Lisa Hensley"/>
    <s v="Active"/>
  </r>
  <r>
    <s v="EMP0212"/>
    <s v="Julie Roberts"/>
    <x v="4"/>
    <s v="Researcher"/>
    <s v="Male"/>
    <n v="31"/>
    <d v="2015-12-23T00:00:00"/>
    <s v="Full-Time"/>
    <n v="69985.84"/>
    <n v="4"/>
    <n v="92.9"/>
    <n v="10"/>
    <n v="42"/>
    <n v="36"/>
    <s v="Daniel Wagner"/>
    <s v="Resigned"/>
  </r>
  <r>
    <s v="EMP0213"/>
    <s v="Jeremy Reed"/>
    <x v="1"/>
    <s v="Sales Rep"/>
    <s v="Male"/>
    <n v="57"/>
    <d v="2025-02-11T00:00:00"/>
    <s v="Part-Time"/>
    <n v="47109.51"/>
    <n v="1"/>
    <n v="93.69"/>
    <n v="0"/>
    <n v="35"/>
    <n v="57"/>
    <s v="Derek Zuniga"/>
    <s v="Active"/>
  </r>
  <r>
    <s v="EMP0214"/>
    <s v="Victor Vaughn"/>
    <x v="1"/>
    <s v="Sales Rep"/>
    <s v="Female"/>
    <n v="22"/>
    <d v="2025-10-24T00:00:00"/>
    <s v="Full-Time"/>
    <n v="78703.61"/>
    <n v="4"/>
    <n v="98.58"/>
    <n v="0"/>
    <n v="38"/>
    <n v="10"/>
    <s v="Lisa Jackson"/>
    <s v="Active"/>
  </r>
  <r>
    <s v="EMP0215"/>
    <s v="Christina Cruz"/>
    <x v="7"/>
    <s v="Team Lead"/>
    <s v="Female"/>
    <n v="29"/>
    <d v="2023-08-03T00:00:00"/>
    <s v="Contract"/>
    <n v="92416.36"/>
    <n v="5"/>
    <n v="94.91"/>
    <n v="2"/>
    <n v="44"/>
    <n v="3"/>
    <s v="Daniel Wagner"/>
    <s v="Active"/>
  </r>
  <r>
    <s v="EMP0216"/>
    <s v="James Howard"/>
    <x v="0"/>
    <s v="Brand Manager"/>
    <s v="Female"/>
    <n v="41"/>
    <d v="2024-01-14T00:00:00"/>
    <s v="Full-Time"/>
    <n v="83412.289999999994"/>
    <n v="4"/>
    <n v="89.81"/>
    <n v="1"/>
    <n v="45"/>
    <n v="35"/>
    <s v="Lisa Hensley"/>
    <s v="Active"/>
  </r>
  <r>
    <s v="EMP0217"/>
    <s v="Elizabeth Spence DDS"/>
    <x v="7"/>
    <s v="Support Agent"/>
    <s v="Female"/>
    <n v="36"/>
    <d v="2020-11-06T00:00:00"/>
    <s v="Contract"/>
    <n v="27350.67"/>
    <n v="3"/>
    <n v="83.08"/>
    <n v="5"/>
    <n v="19"/>
    <n v="47"/>
    <s v="Lisa Hensley"/>
    <s v="Active"/>
  </r>
  <r>
    <s v="EMP0218"/>
    <s v="Sean Osborne"/>
    <x v="0"/>
    <s v="Marketing Analyst"/>
    <s v="Male"/>
    <n v="40"/>
    <d v="2020-06-26T00:00:00"/>
    <s v="Part-Time"/>
    <n v="55991.75"/>
    <n v="3"/>
    <n v="82.04"/>
    <n v="5"/>
    <n v="11"/>
    <n v="11"/>
    <s v="Michele Williams"/>
    <s v="Active"/>
  </r>
  <r>
    <s v="EMP0219"/>
    <s v="Natasha Wall"/>
    <x v="7"/>
    <s v="Support Agent"/>
    <s v="Male"/>
    <n v="26"/>
    <d v="2016-08-25T00:00:00"/>
    <s v="Part-Time"/>
    <n v="75421.98"/>
    <n v="5"/>
    <n v="91.96"/>
    <n v="9"/>
    <n v="41"/>
    <n v="55"/>
    <s v="Lisa Hensley"/>
    <s v="Active"/>
  </r>
  <r>
    <s v="EMP0220"/>
    <s v="Crystal Pham"/>
    <x v="7"/>
    <s v="Team Lead"/>
    <s v="Male"/>
    <n v="56"/>
    <d v="2020-09-07T00:00:00"/>
    <s v="Full-Time"/>
    <n v="77196.039999999994"/>
    <n v="2"/>
    <n v="93.71"/>
    <n v="5"/>
    <n v="21"/>
    <n v="8"/>
    <s v="Gabrielle Davis"/>
    <s v="Active"/>
  </r>
  <r>
    <s v="EMP0221"/>
    <s v="Lisa Byrd"/>
    <x v="4"/>
    <s v="Researcher"/>
    <s v="Male"/>
    <n v="31"/>
    <d v="2019-07-17T00:00:00"/>
    <s v="Part-Time"/>
    <n v="47596.19"/>
    <n v="3"/>
    <n v="89.68"/>
    <n v="6"/>
    <n v="9"/>
    <n v="23"/>
    <s v="Gabrielle Davis"/>
    <s v="Resigned"/>
  </r>
  <r>
    <s v="EMP0222"/>
    <s v="Stephanie Lucas"/>
    <x v="4"/>
    <s v="Researcher"/>
    <s v="Female"/>
    <n v="27"/>
    <d v="2018-02-21T00:00:00"/>
    <s v="Full-Time"/>
    <n v="50465.8"/>
    <n v="4"/>
    <n v="86.64"/>
    <n v="7"/>
    <n v="79"/>
    <n v="24"/>
    <s v="Monica Herrera"/>
    <s v="Active"/>
  </r>
  <r>
    <s v="EMP0223"/>
    <s v="Amanda Diaz"/>
    <x v="7"/>
    <s v="Support Agent"/>
    <s v="Female"/>
    <n v="41"/>
    <d v="2021-01-26T00:00:00"/>
    <s v="Contract"/>
    <n v="114727.89"/>
    <n v="2"/>
    <n v="89.58"/>
    <n v="4"/>
    <n v="22"/>
    <n v="25"/>
    <s v="Monica Herrera"/>
    <s v="Active"/>
  </r>
  <r>
    <s v="EMP0224"/>
    <s v="Edward Burgess"/>
    <x v="4"/>
    <s v="Researcher"/>
    <s v="Female"/>
    <n v="45"/>
    <d v="2018-01-19T00:00:00"/>
    <s v="Part-Time"/>
    <n v="101649.45"/>
    <n v="4"/>
    <n v="87.3"/>
    <n v="7"/>
    <n v="72"/>
    <n v="12"/>
    <s v="Lisa Jackson"/>
    <s v="Resigned"/>
  </r>
  <r>
    <s v="EMP0225"/>
    <s v="Richard Walter"/>
    <x v="6"/>
    <s v="HR Manager"/>
    <s v="Male"/>
    <n v="50"/>
    <d v="2018-10-21T00:00:00"/>
    <s v="Contract"/>
    <n v="40964.839999999997"/>
    <n v="3"/>
    <n v="96.63"/>
    <n v="7"/>
    <n v="8"/>
    <n v="52"/>
    <s v="Michele Williams"/>
    <s v="Active"/>
  </r>
  <r>
    <s v="EMP0226"/>
    <s v="Susan Rivas"/>
    <x v="6"/>
    <s v="HR Manager"/>
    <s v="Female"/>
    <n v="36"/>
    <d v="2022-01-15T00:00:00"/>
    <s v="Part-Time"/>
    <n v="85866.3"/>
    <n v="4"/>
    <n v="95.78"/>
    <n v="3"/>
    <n v="9"/>
    <n v="28"/>
    <s v="Carla Gray"/>
    <s v="Active"/>
  </r>
  <r>
    <s v="EMP0227"/>
    <s v="Terry Coffey"/>
    <x v="7"/>
    <s v="Team Lead"/>
    <s v="Male"/>
    <n v="44"/>
    <d v="2020-03-09T00:00:00"/>
    <s v="Contract"/>
    <n v="109550.15"/>
    <n v="5"/>
    <n v="91.88"/>
    <n v="5"/>
    <n v="10"/>
    <n v="6"/>
    <s v="Gina Moore"/>
    <s v="Active"/>
  </r>
  <r>
    <s v="EMP0228"/>
    <s v="Gina Wilson"/>
    <x v="3"/>
    <s v="Operations Associate"/>
    <s v="Male"/>
    <n v="57"/>
    <d v="2020-11-01T00:00:00"/>
    <s v="Contract"/>
    <n v="87747.19"/>
    <n v="4"/>
    <n v="99.34"/>
    <n v="5"/>
    <n v="42"/>
    <n v="50"/>
    <s v="Michele Williams"/>
    <s v="Active"/>
  </r>
  <r>
    <s v="EMP0229"/>
    <s v="Vincent Dalton"/>
    <x v="0"/>
    <s v="Brand Manager"/>
    <s v="Male"/>
    <n v="53"/>
    <d v="2017-02-04T00:00:00"/>
    <s v="Contract"/>
    <n v="71879.78"/>
    <n v="5"/>
    <n v="93.75"/>
    <n v="8"/>
    <n v="28"/>
    <n v="28"/>
    <s v="Jamie Arnold"/>
    <s v="Active"/>
  </r>
  <r>
    <s v="EMP0230"/>
    <s v="Regina Diaz"/>
    <x v="6"/>
    <s v="Recruiter"/>
    <s v="Male"/>
    <n v="51"/>
    <d v="2022-07-30T00:00:00"/>
    <s v="Full-Time"/>
    <n v="49543.22"/>
    <n v="1"/>
    <n v="82.32"/>
    <n v="3"/>
    <n v="18"/>
    <n v="22"/>
    <s v="Ryan Munoz"/>
    <s v="Active"/>
  </r>
  <r>
    <s v="EMP0231"/>
    <s v="Joshua Gibson"/>
    <x v="5"/>
    <s v="Data Analyst"/>
    <s v="Female"/>
    <n v="43"/>
    <d v="2022-07-12T00:00:00"/>
    <s v="Part-Time"/>
    <n v="29762.3"/>
    <n v="4"/>
    <n v="86.38"/>
    <n v="3"/>
    <n v="38"/>
    <n v="2"/>
    <s v="Daniel Wagner"/>
    <s v="Active"/>
  </r>
  <r>
    <s v="EMP0232"/>
    <s v="Samantha Bentley"/>
    <x v="3"/>
    <s v="Operations Associate"/>
    <s v="Male"/>
    <n v="36"/>
    <d v="2020-04-11T00:00:00"/>
    <s v="Contract"/>
    <n v="37445.32"/>
    <n v="2"/>
    <n v="86.62"/>
    <n v="5"/>
    <n v="54"/>
    <n v="29"/>
    <s v="Gina Moore"/>
    <s v="Active"/>
  </r>
  <r>
    <s v="EMP0233"/>
    <s v="Kaitlyn Harvey"/>
    <x v="6"/>
    <s v="HR Officer"/>
    <s v="Female"/>
    <n v="46"/>
    <d v="2017-08-29T00:00:00"/>
    <s v="Full-Time"/>
    <n v="93738.84"/>
    <n v="2"/>
    <n v="88.99"/>
    <n v="8"/>
    <n v="54"/>
    <n v="24"/>
    <s v="Allison Hill"/>
    <s v="Active"/>
  </r>
  <r>
    <s v="EMP0234"/>
    <s v="Leonard Holland"/>
    <x v="5"/>
    <s v="Software Engineer"/>
    <s v="Male"/>
    <n v="57"/>
    <d v="2025-05-14T00:00:00"/>
    <s v="Full-Time"/>
    <n v="99950.24"/>
    <n v="5"/>
    <n v="83.74"/>
    <n v="0"/>
    <n v="41"/>
    <n v="12"/>
    <s v="Dylan Miller"/>
    <s v="Active"/>
  </r>
  <r>
    <s v="EMP0235"/>
    <s v="Elizabeth Ortiz"/>
    <x v="4"/>
    <s v="Product Developer"/>
    <s v="Female"/>
    <n v="60"/>
    <d v="2023-09-18T00:00:00"/>
    <s v="Part-Time"/>
    <n v="78700.47"/>
    <n v="3"/>
    <n v="87.04"/>
    <n v="2"/>
    <n v="58"/>
    <n v="39"/>
    <s v="Connie Lawrence"/>
    <s v="Active"/>
  </r>
  <r>
    <s v="EMP0236"/>
    <s v="Andrew Ferrell"/>
    <x v="2"/>
    <s v="Finance Manager"/>
    <s v="Male"/>
    <n v="29"/>
    <d v="2018-03-12T00:00:00"/>
    <s v="Part-Time"/>
    <n v="31786.17"/>
    <n v="3"/>
    <n v="82.34"/>
    <n v="7"/>
    <n v="47"/>
    <n v="44"/>
    <s v="Cristian Santos"/>
    <s v="Active"/>
  </r>
  <r>
    <s v="EMP0237"/>
    <s v="Stephen Taylor"/>
    <x v="7"/>
    <s v="Support Agent"/>
    <s v="Female"/>
    <n v="48"/>
    <d v="2017-10-16T00:00:00"/>
    <s v="Full-Time"/>
    <n v="68667.02"/>
    <n v="5"/>
    <n v="93.87"/>
    <n v="8"/>
    <n v="22"/>
    <n v="35"/>
    <s v="Connie Lawrence"/>
    <s v="Active"/>
  </r>
  <r>
    <s v="EMP0238"/>
    <s v="Travis Horton"/>
    <x v="6"/>
    <s v="HR Officer"/>
    <s v="Female"/>
    <n v="49"/>
    <d v="2023-07-14T00:00:00"/>
    <s v="Contract"/>
    <n v="25361.13"/>
    <n v="3"/>
    <n v="99.04"/>
    <n v="2"/>
    <n v="62"/>
    <n v="8"/>
    <s v="Abigail Shaffer"/>
    <s v="Active"/>
  </r>
  <r>
    <s v="EMP0239"/>
    <s v="Patrick Moore"/>
    <x v="4"/>
    <s v="Product Developer"/>
    <s v="Female"/>
    <n v="47"/>
    <d v="2025-01-02T00:00:00"/>
    <s v="Contract"/>
    <n v="103989.18"/>
    <n v="4"/>
    <n v="83.35"/>
    <n v="0"/>
    <n v="72"/>
    <n v="1"/>
    <s v="Gina Moore"/>
    <s v="Active"/>
  </r>
  <r>
    <s v="EMP0240"/>
    <s v="Sandra Gilbert"/>
    <x v="2"/>
    <s v="Accountant"/>
    <s v="Female"/>
    <n v="31"/>
    <d v="2022-11-16T00:00:00"/>
    <s v="Part-Time"/>
    <n v="76565.05"/>
    <n v="4"/>
    <n v="90.99"/>
    <n v="3"/>
    <n v="14"/>
    <n v="36"/>
    <s v="Daniel Wagner"/>
    <s v="Active"/>
  </r>
  <r>
    <s v="EMP0241"/>
    <s v="Jacob Ramos"/>
    <x v="3"/>
    <s v="Operations Associate"/>
    <s v="Female"/>
    <n v="55"/>
    <d v="2020-07-29T00:00:00"/>
    <s v="Full-Time"/>
    <n v="118977.57"/>
    <n v="1"/>
    <n v="94.72"/>
    <n v="5"/>
    <n v="31"/>
    <n v="19"/>
    <s v="Noah Rhodes"/>
    <s v="Active"/>
  </r>
  <r>
    <s v="EMP0242"/>
    <s v="Ariana Jennings"/>
    <x v="3"/>
    <s v="Operations Associate"/>
    <s v="Female"/>
    <n v="28"/>
    <d v="2019-11-01T00:00:00"/>
    <s v="Full-Time"/>
    <n v="40987.82"/>
    <n v="5"/>
    <n v="93.78"/>
    <n v="6"/>
    <n v="78"/>
    <n v="40"/>
    <s v="Michele Williams"/>
    <s v="Active"/>
  </r>
  <r>
    <s v="EMP0243"/>
    <s v="Maria Brown"/>
    <x v="6"/>
    <s v="HR Officer"/>
    <s v="Male"/>
    <n v="24"/>
    <d v="2025-01-29T00:00:00"/>
    <s v="Contract"/>
    <n v="55081.55"/>
    <n v="3"/>
    <n v="91.94"/>
    <n v="0"/>
    <n v="21"/>
    <n v="20"/>
    <s v="Ryan Munoz"/>
    <s v="Active"/>
  </r>
  <r>
    <s v="EMP0244"/>
    <s v="Bryan Charles"/>
    <x v="2"/>
    <s v="Finance Manager"/>
    <s v="Male"/>
    <n v="29"/>
    <d v="2020-07-05T00:00:00"/>
    <s v="Part-Time"/>
    <n v="111876.87"/>
    <n v="3"/>
    <n v="97.34"/>
    <n v="5"/>
    <n v="16"/>
    <n v="44"/>
    <s v="Cristian Santos"/>
    <s v="Active"/>
  </r>
  <r>
    <s v="EMP0245"/>
    <s v="Daniel Fowler"/>
    <x v="3"/>
    <s v="Operations Associate"/>
    <s v="Female"/>
    <n v="52"/>
    <d v="2023-07-21T00:00:00"/>
    <s v="Full-Time"/>
    <n v="77742.55"/>
    <n v="3"/>
    <n v="92.56"/>
    <n v="2"/>
    <n v="48"/>
    <n v="28"/>
    <s v="Angie Henderson"/>
    <s v="Active"/>
  </r>
  <r>
    <s v="EMP0246"/>
    <s v="Gavin Zhang"/>
    <x v="0"/>
    <s v="Brand Manager"/>
    <s v="Female"/>
    <n v="44"/>
    <d v="2016-03-06T00:00:00"/>
    <s v="Part-Time"/>
    <n v="115025.41"/>
    <n v="3"/>
    <n v="91.64"/>
    <n v="9"/>
    <n v="11"/>
    <n v="46"/>
    <s v="Dylan Miller"/>
    <s v="Active"/>
  </r>
  <r>
    <s v="EMP0247"/>
    <s v="Ronald Spencer"/>
    <x v="3"/>
    <s v="Operations Associate"/>
    <s v="Female"/>
    <n v="34"/>
    <d v="2025-06-03T00:00:00"/>
    <s v="Part-Time"/>
    <n v="102484.76"/>
    <n v="4"/>
    <n v="85.37"/>
    <n v="0"/>
    <n v="36"/>
    <n v="21"/>
    <s v="Derek Zuniga"/>
    <s v="Active"/>
  </r>
  <r>
    <s v="EMP0248"/>
    <s v="Sergio Murphy"/>
    <x v="4"/>
    <s v="Product Developer"/>
    <s v="Male"/>
    <n v="23"/>
    <d v="2025-10-16T00:00:00"/>
    <s v="Full-Time"/>
    <n v="82617.95"/>
    <n v="4"/>
    <n v="80.33"/>
    <n v="0"/>
    <n v="20"/>
    <n v="28"/>
    <s v="Dylan Miller"/>
    <s v="Active"/>
  </r>
  <r>
    <s v="EMP0249"/>
    <s v="Linda Ramirez"/>
    <x v="7"/>
    <s v="Support Agent"/>
    <s v="Male"/>
    <n v="40"/>
    <d v="2018-04-29T00:00:00"/>
    <s v="Full-Time"/>
    <n v="107442.34"/>
    <n v="3"/>
    <n v="81.87"/>
    <n v="7"/>
    <n v="46"/>
    <n v="16"/>
    <s v="Angie Henderson"/>
    <s v="Active"/>
  </r>
  <r>
    <s v="EMP0250"/>
    <s v="Ms. Rebecca Rodriguez"/>
    <x v="6"/>
    <s v="HR Officer"/>
    <s v="Female"/>
    <n v="40"/>
    <d v="2018-04-12T00:00:00"/>
    <s v="Contract"/>
    <n v="89944.14"/>
    <n v="2"/>
    <n v="88.58"/>
    <n v="7"/>
    <n v="11"/>
    <n v="45"/>
    <s v="Daniel Wagner"/>
    <s v="Active"/>
  </r>
  <r>
    <s v="EMP0251"/>
    <s v="Hunter Kramer"/>
    <x v="4"/>
    <s v="Researcher"/>
    <s v="Male"/>
    <n v="58"/>
    <d v="2016-04-03T00:00:00"/>
    <s v="Full-Time"/>
    <n v="71944.429999999993"/>
    <n v="4"/>
    <n v="80.19"/>
    <n v="9"/>
    <n v="43"/>
    <n v="52"/>
    <s v="Daniel Wagner"/>
    <s v="Resigned"/>
  </r>
  <r>
    <s v="EMP0252"/>
    <s v="Derek Martinez"/>
    <x v="7"/>
    <s v="Support Agent"/>
    <s v="Female"/>
    <n v="25"/>
    <d v="2021-04-28T00:00:00"/>
    <s v="Full-Time"/>
    <n v="58306.99"/>
    <n v="1"/>
    <n v="82.06"/>
    <n v="4"/>
    <n v="47"/>
    <n v="56"/>
    <s v="Ryan Munoz"/>
    <s v="Active"/>
  </r>
  <r>
    <s v="EMP0253"/>
    <s v="Nichole Alvarez"/>
    <x v="6"/>
    <s v="HR Manager"/>
    <s v="Male"/>
    <n v="25"/>
    <d v="2022-12-23T00:00:00"/>
    <s v="Contract"/>
    <n v="76329.119999999995"/>
    <n v="5"/>
    <n v="93"/>
    <n v="3"/>
    <n v="56"/>
    <n v="22"/>
    <s v="Abigail Shaffer"/>
    <s v="Active"/>
  </r>
  <r>
    <s v="EMP0254"/>
    <s v="Ashley Gordon"/>
    <x v="6"/>
    <s v="Recruiter"/>
    <s v="Female"/>
    <n v="34"/>
    <d v="2021-12-22T00:00:00"/>
    <s v="Full-Time"/>
    <n v="109659.29"/>
    <n v="2"/>
    <n v="95.05"/>
    <n v="4"/>
    <n v="75"/>
    <n v="46"/>
    <s v="Lisa Hensley"/>
    <s v="Active"/>
  </r>
  <r>
    <s v="EMP0255"/>
    <s v="Susan Hopkins"/>
    <x v="7"/>
    <s v="Team Lead"/>
    <s v="Male"/>
    <n v="36"/>
    <d v="2016-07-21T00:00:00"/>
    <s v="Part-Time"/>
    <n v="84462.06"/>
    <n v="2"/>
    <n v="91.07"/>
    <n v="9"/>
    <n v="76"/>
    <n v="46"/>
    <s v="Carla Gray"/>
    <s v="Active"/>
  </r>
  <r>
    <s v="EMP0256"/>
    <s v="Victor Brown"/>
    <x v="1"/>
    <s v="Account Executive"/>
    <s v="Female"/>
    <n v="34"/>
    <d v="2020-12-12T00:00:00"/>
    <s v="Contract"/>
    <n v="80692.69"/>
    <n v="2"/>
    <n v="94.96"/>
    <n v="5"/>
    <n v="37"/>
    <n v="41"/>
    <s v="Noah Rhodes"/>
    <s v="Active"/>
  </r>
  <r>
    <s v="EMP0257"/>
    <s v="Jessica Rodriguez"/>
    <x v="5"/>
    <s v="Software Engineer"/>
    <s v="Female"/>
    <n v="28"/>
    <d v="2023-12-19T00:00:00"/>
    <s v="Full-Time"/>
    <n v="69958.25"/>
    <n v="5"/>
    <n v="81.42"/>
    <n v="2"/>
    <n v="1"/>
    <n v="23"/>
    <s v="Monica Herrera"/>
    <s v="Active"/>
  </r>
  <r>
    <s v="EMP0258"/>
    <s v="Bobby Franklin"/>
    <x v="7"/>
    <s v="Team Lead"/>
    <s v="Male"/>
    <n v="51"/>
    <d v="2023-05-13T00:00:00"/>
    <s v="Full-Time"/>
    <n v="21668.94"/>
    <n v="1"/>
    <n v="80.28"/>
    <n v="2"/>
    <n v="27"/>
    <n v="2"/>
    <s v="Noah Rhodes"/>
    <s v="Resigned"/>
  </r>
  <r>
    <s v="EMP0259"/>
    <s v="Marcus Richards"/>
    <x v="7"/>
    <s v="Team Lead"/>
    <s v="Female"/>
    <n v="48"/>
    <d v="2016-12-07T00:00:00"/>
    <s v="Contract"/>
    <n v="60227.74"/>
    <n v="5"/>
    <n v="90.75"/>
    <n v="9"/>
    <n v="19"/>
    <n v="17"/>
    <s v="Angie Henderson"/>
    <s v="Active"/>
  </r>
  <r>
    <s v="EMP0260"/>
    <s v="Kyle Phillips"/>
    <x v="5"/>
    <s v="IT Support"/>
    <s v="Female"/>
    <n v="46"/>
    <d v="2021-05-07T00:00:00"/>
    <s v="Contract"/>
    <n v="83429.42"/>
    <n v="1"/>
    <n v="86.2"/>
    <n v="4"/>
    <n v="55"/>
    <n v="46"/>
    <s v="Gina Moore"/>
    <s v="Active"/>
  </r>
  <r>
    <s v="EMP0261"/>
    <s v="Annette Miles"/>
    <x v="0"/>
    <s v="Brand Manager"/>
    <s v="Male"/>
    <n v="50"/>
    <d v="2024-06-01T00:00:00"/>
    <s v="Contract"/>
    <n v="80883.240000000005"/>
    <n v="3"/>
    <n v="93.32"/>
    <n v="1"/>
    <n v="22"/>
    <n v="7"/>
    <s v="Allison Hill"/>
    <s v="Active"/>
  </r>
  <r>
    <s v="EMP0262"/>
    <s v="Cindy Hayes"/>
    <x v="1"/>
    <s v="Sales Rep"/>
    <s v="Female"/>
    <n v="43"/>
    <d v="2025-03-12T00:00:00"/>
    <s v="Contract"/>
    <n v="71722.28"/>
    <n v="3"/>
    <n v="83.34"/>
    <n v="0"/>
    <n v="16"/>
    <n v="47"/>
    <s v="Gabrielle Davis"/>
    <s v="Active"/>
  </r>
  <r>
    <s v="EMP0263"/>
    <s v="Ronald Ross"/>
    <x v="0"/>
    <s v="Marketing Analyst"/>
    <s v="Female"/>
    <n v="48"/>
    <d v="2019-09-14T00:00:00"/>
    <s v="Part-Time"/>
    <n v="72385.42"/>
    <n v="3"/>
    <n v="94.25"/>
    <n v="6"/>
    <n v="73"/>
    <n v="40"/>
    <s v="Angie Henderson"/>
    <s v="Active"/>
  </r>
  <r>
    <s v="EMP0264"/>
    <s v="Erik Scott"/>
    <x v="3"/>
    <s v="Operations Associate"/>
    <s v="Female"/>
    <n v="57"/>
    <d v="2017-06-07T00:00:00"/>
    <s v="Full-Time"/>
    <n v="56768.78"/>
    <n v="3"/>
    <n v="95.47"/>
    <n v="8"/>
    <n v="73"/>
    <n v="43"/>
    <s v="Daniel Wagner"/>
    <s v="Active"/>
  </r>
  <r>
    <s v="EMP0265"/>
    <s v="Kara Davis"/>
    <x v="1"/>
    <s v="Sales Rep"/>
    <s v="Male"/>
    <n v="36"/>
    <d v="2018-05-31T00:00:00"/>
    <s v="Full-Time"/>
    <n v="67176.460000000006"/>
    <n v="4"/>
    <n v="98.4"/>
    <n v="7"/>
    <n v="22"/>
    <n v="59"/>
    <s v="Noah Rhodes"/>
    <s v="Active"/>
  </r>
  <r>
    <s v="EMP0266"/>
    <s v="Brent Rodgers"/>
    <x v="7"/>
    <s v="Support Agent"/>
    <s v="Female"/>
    <n v="36"/>
    <d v="2017-04-08T00:00:00"/>
    <s v="Part-Time"/>
    <n v="111585.48"/>
    <n v="3"/>
    <n v="85.43"/>
    <n v="8"/>
    <n v="9"/>
    <n v="36"/>
    <s v="Jamie Arnold"/>
    <s v="Active"/>
  </r>
  <r>
    <s v="EMP0267"/>
    <s v="Laurie Hoffman"/>
    <x v="1"/>
    <s v="Sales Rep"/>
    <s v="Male"/>
    <n v="54"/>
    <d v="2018-01-11T00:00:00"/>
    <s v="Full-Time"/>
    <n v="115407.94"/>
    <n v="1"/>
    <n v="97.54"/>
    <n v="7"/>
    <n v="36"/>
    <n v="49"/>
    <s v="Ryan Munoz"/>
    <s v="Active"/>
  </r>
  <r>
    <s v="EMP0268"/>
    <s v="Jennifer Russo"/>
    <x v="4"/>
    <s v="Researcher"/>
    <s v="Female"/>
    <n v="33"/>
    <d v="2021-06-04T00:00:00"/>
    <s v="Part-Time"/>
    <n v="76380.67"/>
    <n v="3"/>
    <n v="94.79"/>
    <n v="4"/>
    <n v="31"/>
    <n v="29"/>
    <s v="Jamie Arnold"/>
    <s v="Active"/>
  </r>
  <r>
    <s v="EMP0269"/>
    <s v="Michelle Schmitt"/>
    <x v="4"/>
    <s v="Researcher"/>
    <s v="Male"/>
    <n v="30"/>
    <d v="2023-01-05T00:00:00"/>
    <s v="Full-Time"/>
    <n v="113239.75"/>
    <n v="1"/>
    <n v="84.66"/>
    <n v="2"/>
    <n v="44"/>
    <n v="40"/>
    <s v="Allison Hill"/>
    <s v="Resigned"/>
  </r>
  <r>
    <s v="EMP0270"/>
    <s v="Kenneth Lewis"/>
    <x v="1"/>
    <s v="Account Executive"/>
    <s v="Female"/>
    <n v="40"/>
    <d v="2021-02-17T00:00:00"/>
    <s v="Full-Time"/>
    <n v="40519.440000000002"/>
    <n v="2"/>
    <n v="88.4"/>
    <n v="4"/>
    <n v="7"/>
    <n v="9"/>
    <s v="Gabrielle Davis"/>
    <s v="Active"/>
  </r>
  <r>
    <s v="EMP0271"/>
    <s v="Brian Bruce"/>
    <x v="5"/>
    <s v="Data Analyst"/>
    <s v="Female"/>
    <n v="44"/>
    <d v="2024-01-08T00:00:00"/>
    <s v="Part-Time"/>
    <n v="117455.48"/>
    <n v="1"/>
    <n v="91.62"/>
    <n v="1"/>
    <n v="64"/>
    <n v="8"/>
    <s v="Lisa Hensley"/>
    <s v="Active"/>
  </r>
  <r>
    <s v="EMP0272"/>
    <s v="Donald Perez"/>
    <x v="1"/>
    <s v="Sales Manager"/>
    <s v="Male"/>
    <n v="36"/>
    <d v="2022-01-25T00:00:00"/>
    <s v="Part-Time"/>
    <n v="46099.09"/>
    <n v="3"/>
    <n v="98.52"/>
    <n v="3"/>
    <n v="50"/>
    <n v="44"/>
    <s v="Monica Herrera"/>
    <s v="Active"/>
  </r>
  <r>
    <s v="EMP0273"/>
    <s v="Vanessa Cardenas"/>
    <x v="2"/>
    <s v="Accountant"/>
    <s v="Male"/>
    <n v="33"/>
    <d v="2023-02-12T00:00:00"/>
    <s v="Full-Time"/>
    <n v="97993.7"/>
    <n v="5"/>
    <n v="82.18"/>
    <n v="2"/>
    <n v="13"/>
    <n v="10"/>
    <s v="Dylan Miller"/>
    <s v="Active"/>
  </r>
  <r>
    <s v="EMP0274"/>
    <s v="Timothy Gallegos"/>
    <x v="7"/>
    <s v="Support Agent"/>
    <s v="Female"/>
    <n v="34"/>
    <d v="2025-04-15T00:00:00"/>
    <s v="Part-Time"/>
    <n v="50830.77"/>
    <n v="3"/>
    <n v="97.05"/>
    <n v="0"/>
    <n v="11"/>
    <n v="10"/>
    <s v="Ryan Munoz"/>
    <s v="Active"/>
  </r>
  <r>
    <s v="EMP0275"/>
    <s v="Donald Farmer"/>
    <x v="1"/>
    <s v="Sales Rep"/>
    <s v="Female"/>
    <n v="30"/>
    <d v="2020-05-13T00:00:00"/>
    <s v="Full-Time"/>
    <n v="91115.74"/>
    <n v="3"/>
    <n v="87.92"/>
    <n v="5"/>
    <n v="6"/>
    <n v="43"/>
    <s v="Ryan Munoz"/>
    <s v="Active"/>
  </r>
  <r>
    <s v="EMP0276"/>
    <s v="Christopher Thomas"/>
    <x v="6"/>
    <s v="HR Officer"/>
    <s v="Female"/>
    <n v="49"/>
    <d v="2021-08-06T00:00:00"/>
    <s v="Contract"/>
    <n v="94807.84"/>
    <n v="2"/>
    <n v="81.89"/>
    <n v="4"/>
    <n v="13"/>
    <n v="51"/>
    <s v="Cristian Santos"/>
    <s v="Active"/>
  </r>
  <r>
    <s v="EMP0277"/>
    <s v="Patrick Bonilla"/>
    <x v="1"/>
    <s v="Sales Rep"/>
    <s v="Male"/>
    <n v="33"/>
    <d v="2022-08-20T00:00:00"/>
    <s v="Part-Time"/>
    <n v="57223.97"/>
    <n v="1"/>
    <n v="91.65"/>
    <n v="3"/>
    <n v="33"/>
    <n v="58"/>
    <s v="Angie Henderson"/>
    <s v="Active"/>
  </r>
  <r>
    <s v="EMP0278"/>
    <s v="Cindy Barnes"/>
    <x v="0"/>
    <s v="Marketing Analyst"/>
    <s v="Female"/>
    <n v="29"/>
    <d v="2017-05-18T00:00:00"/>
    <s v="Full-Time"/>
    <n v="110507.8"/>
    <n v="3"/>
    <n v="82.45"/>
    <n v="8"/>
    <n v="59"/>
    <n v="3"/>
    <s v="Connie Lawrence"/>
    <s v="Resigned"/>
  </r>
  <r>
    <s v="EMP0279"/>
    <s v="Eric Nguyen"/>
    <x v="7"/>
    <s v="Team Lead"/>
    <s v="Female"/>
    <n v="22"/>
    <d v="2021-08-13T00:00:00"/>
    <s v="Part-Time"/>
    <n v="88321.29"/>
    <n v="2"/>
    <n v="87.08"/>
    <n v="4"/>
    <n v="23"/>
    <n v="17"/>
    <s v="Gabrielle Davis"/>
    <s v="Active"/>
  </r>
  <r>
    <s v="EMP0280"/>
    <s v="Sophia Moore"/>
    <x v="6"/>
    <s v="HR Officer"/>
    <s v="Male"/>
    <n v="39"/>
    <d v="2025-06-21T00:00:00"/>
    <s v="Part-Time"/>
    <n v="61199.22"/>
    <n v="5"/>
    <n v="89.58"/>
    <n v="0"/>
    <n v="11"/>
    <n v="17"/>
    <s v="Lisa Hensley"/>
    <s v="Active"/>
  </r>
  <r>
    <s v="EMP0281"/>
    <s v="Denise Stanley"/>
    <x v="5"/>
    <s v="Data Analyst"/>
    <s v="Male"/>
    <n v="55"/>
    <d v="2016-08-30T00:00:00"/>
    <s v="Full-Time"/>
    <n v="118940.36"/>
    <n v="3"/>
    <n v="89.59"/>
    <n v="9"/>
    <n v="62"/>
    <n v="22"/>
    <s v="Lisa Jackson"/>
    <s v="Active"/>
  </r>
  <r>
    <s v="EMP0282"/>
    <s v="Jennifer Lewis"/>
    <x v="7"/>
    <s v="Team Lead"/>
    <s v="Male"/>
    <n v="22"/>
    <d v="2024-01-29T00:00:00"/>
    <s v="Part-Time"/>
    <n v="79711.64"/>
    <n v="1"/>
    <n v="97.92"/>
    <n v="1"/>
    <n v="35"/>
    <n v="3"/>
    <s v="Brian Ramirez"/>
    <s v="Active"/>
  </r>
  <r>
    <s v="EMP0283"/>
    <s v="Jeffrey Campbell"/>
    <x v="5"/>
    <s v="IT Support"/>
    <s v="Male"/>
    <n v="36"/>
    <d v="2024-07-13T00:00:00"/>
    <s v="Contract"/>
    <n v="44115.28"/>
    <n v="5"/>
    <n v="96.33"/>
    <n v="1"/>
    <n v="7"/>
    <n v="48"/>
    <s v="Gina Moore"/>
    <s v="Active"/>
  </r>
  <r>
    <s v="EMP0284"/>
    <s v="Elizabeth Walker"/>
    <x v="7"/>
    <s v="Team Lead"/>
    <s v="Male"/>
    <n v="32"/>
    <d v="2024-02-04T00:00:00"/>
    <s v="Full-Time"/>
    <n v="79251.95"/>
    <n v="3"/>
    <n v="98.28"/>
    <n v="1"/>
    <n v="3"/>
    <n v="45"/>
    <s v="Jamie Arnold"/>
    <s v="Resigned"/>
  </r>
  <r>
    <s v="EMP0285"/>
    <s v="Eric Clark"/>
    <x v="6"/>
    <s v="HR Manager"/>
    <s v="Male"/>
    <n v="52"/>
    <d v="2016-09-30T00:00:00"/>
    <s v="Contract"/>
    <n v="50905.31"/>
    <n v="4"/>
    <n v="80.760000000000005"/>
    <n v="9"/>
    <n v="7"/>
    <n v="14"/>
    <s v="Carla Gray"/>
    <s v="Active"/>
  </r>
  <r>
    <s v="EMP0286"/>
    <s v="Donna Wilson"/>
    <x v="4"/>
    <s v="Researcher"/>
    <s v="Female"/>
    <n v="60"/>
    <d v="2018-02-24T00:00:00"/>
    <s v="Full-Time"/>
    <n v="100644.54"/>
    <n v="3"/>
    <n v="94.34"/>
    <n v="7"/>
    <n v="41"/>
    <n v="3"/>
    <s v="Allison Hill"/>
    <s v="Active"/>
  </r>
  <r>
    <s v="EMP0287"/>
    <s v="Casey James"/>
    <x v="6"/>
    <s v="HR Officer"/>
    <s v="Female"/>
    <n v="25"/>
    <d v="2024-04-11T00:00:00"/>
    <s v="Part-Time"/>
    <n v="90453.8"/>
    <n v="4"/>
    <n v="91.72"/>
    <n v="1"/>
    <n v="43"/>
    <n v="19"/>
    <s v="Monica Herrera"/>
    <s v="Active"/>
  </r>
  <r>
    <s v="EMP0288"/>
    <s v="Sandra Drake"/>
    <x v="6"/>
    <s v="HR Manager"/>
    <s v="Female"/>
    <n v="52"/>
    <d v="2019-09-24T00:00:00"/>
    <s v="Contract"/>
    <n v="51728.34"/>
    <n v="5"/>
    <n v="93.87"/>
    <n v="6"/>
    <n v="78"/>
    <n v="50"/>
    <s v="Jamie Arnold"/>
    <s v="Active"/>
  </r>
  <r>
    <s v="EMP0289"/>
    <s v="Patrick Graham"/>
    <x v="6"/>
    <s v="Recruiter"/>
    <s v="Female"/>
    <n v="39"/>
    <d v="2017-01-15T00:00:00"/>
    <s v="Full-Time"/>
    <n v="37770.83"/>
    <n v="1"/>
    <n v="98.98"/>
    <n v="8"/>
    <n v="73"/>
    <n v="25"/>
    <s v="Lisa Jackson"/>
    <s v="Active"/>
  </r>
  <r>
    <s v="EMP0290"/>
    <s v="Shannon Johnston"/>
    <x v="3"/>
    <s v="Operations Associate"/>
    <s v="Male"/>
    <n v="52"/>
    <d v="2023-08-21T00:00:00"/>
    <s v="Full-Time"/>
    <n v="53116.84"/>
    <n v="1"/>
    <n v="84.76"/>
    <n v="2"/>
    <n v="40"/>
    <n v="10"/>
    <s v="Angie Henderson"/>
    <s v="Active"/>
  </r>
  <r>
    <s v="EMP0291"/>
    <s v="Mark Roberts"/>
    <x v="3"/>
    <s v="Operations Manager"/>
    <s v="Male"/>
    <n v="37"/>
    <d v="2025-07-27T00:00:00"/>
    <s v="Full-Time"/>
    <n v="44954.09"/>
    <n v="1"/>
    <n v="87.01"/>
    <n v="0"/>
    <n v="13"/>
    <n v="46"/>
    <s v="Allison Hill"/>
    <s v="Active"/>
  </r>
  <r>
    <s v="EMP0292"/>
    <s v="Frederick Solis"/>
    <x v="4"/>
    <s v="Product Developer"/>
    <s v="Male"/>
    <n v="47"/>
    <d v="2022-09-15T00:00:00"/>
    <s v="Part-Time"/>
    <n v="108177.07"/>
    <n v="3"/>
    <n v="90.92"/>
    <n v="3"/>
    <n v="12"/>
    <n v="53"/>
    <s v="Brian Ramirez"/>
    <s v="Active"/>
  </r>
  <r>
    <s v="EMP0293"/>
    <s v="Tamara Davis"/>
    <x v="5"/>
    <s v="IT Support"/>
    <s v="Female"/>
    <n v="25"/>
    <d v="2023-08-23T00:00:00"/>
    <s v="Full-Time"/>
    <n v="49490.86"/>
    <n v="3"/>
    <n v="85.22"/>
    <n v="2"/>
    <n v="13"/>
    <n v="4"/>
    <s v="Monica Herrera"/>
    <s v="Active"/>
  </r>
  <r>
    <s v="EMP0294"/>
    <s v="Kevin Warren"/>
    <x v="7"/>
    <s v="Support Agent"/>
    <s v="Male"/>
    <n v="56"/>
    <d v="2017-08-13T00:00:00"/>
    <s v="Full-Time"/>
    <n v="53795.06"/>
    <n v="5"/>
    <n v="97.86"/>
    <n v="8"/>
    <n v="3"/>
    <n v="27"/>
    <s v="Connie Lawrence"/>
    <s v="Active"/>
  </r>
  <r>
    <s v="EMP0295"/>
    <s v="Nichole Walker"/>
    <x v="7"/>
    <s v="Support Agent"/>
    <s v="Male"/>
    <n v="27"/>
    <d v="2022-07-20T00:00:00"/>
    <s v="Part-Time"/>
    <n v="40555.050000000003"/>
    <n v="2"/>
    <n v="88.19"/>
    <n v="3"/>
    <n v="70"/>
    <n v="46"/>
    <s v="Derek Zuniga"/>
    <s v="Active"/>
  </r>
  <r>
    <s v="EMP0296"/>
    <s v="Mark Schmidt"/>
    <x v="2"/>
    <s v="Financial Analyst"/>
    <s v="Male"/>
    <n v="27"/>
    <d v="2018-09-04T00:00:00"/>
    <s v="Full-Time"/>
    <n v="59290.22"/>
    <n v="5"/>
    <n v="96.8"/>
    <n v="7"/>
    <n v="19"/>
    <n v="3"/>
    <s v="Jamie Arnold"/>
    <s v="Active"/>
  </r>
  <r>
    <s v="EMP0297"/>
    <s v="Hannah Luna"/>
    <x v="0"/>
    <s v="Brand Manager"/>
    <s v="Female"/>
    <n v="33"/>
    <d v="2019-02-11T00:00:00"/>
    <s v="Full-Time"/>
    <n v="22573.57"/>
    <n v="2"/>
    <n v="92.76"/>
    <n v="6"/>
    <n v="10"/>
    <n v="30"/>
    <s v="Daniel Wagner"/>
    <s v="Active"/>
  </r>
  <r>
    <s v="EMP0298"/>
    <s v="Charles Gonzalez"/>
    <x v="7"/>
    <s v="Team Lead"/>
    <s v="Female"/>
    <n v="37"/>
    <d v="2018-04-30T00:00:00"/>
    <s v="Full-Time"/>
    <n v="84186.64"/>
    <n v="4"/>
    <n v="83.7"/>
    <n v="7"/>
    <n v="48"/>
    <n v="23"/>
    <s v="Connie Lawrence"/>
    <s v="Active"/>
  </r>
  <r>
    <s v="EMP0299"/>
    <s v="Mary Thompson"/>
    <x v="2"/>
    <s v="Financial Analyst"/>
    <s v="Female"/>
    <n v="37"/>
    <d v="2018-06-01T00:00:00"/>
    <s v="Full-Time"/>
    <n v="103707.88"/>
    <n v="5"/>
    <n v="81.23"/>
    <n v="7"/>
    <n v="12"/>
    <n v="5"/>
    <s v="Jamie Arnold"/>
    <s v="Active"/>
  </r>
  <r>
    <s v="EMP0300"/>
    <s v="Justin Riley"/>
    <x v="7"/>
    <s v="Support Agent"/>
    <s v="Male"/>
    <n v="45"/>
    <d v="2024-03-22T00:00:00"/>
    <s v="Contract"/>
    <n v="61863.21"/>
    <n v="5"/>
    <n v="93.74"/>
    <n v="1"/>
    <n v="60"/>
    <n v="36"/>
    <s v="Gina Moore"/>
    <s v="Active"/>
  </r>
  <r>
    <s v="EMP0301"/>
    <s v="Victoria Morris"/>
    <x v="0"/>
    <s v="Brand Manager"/>
    <s v="Male"/>
    <n v="53"/>
    <d v="2025-06-02T00:00:00"/>
    <s v="Contract"/>
    <n v="110045.51"/>
    <n v="5"/>
    <n v="93.55"/>
    <n v="0"/>
    <n v="79"/>
    <n v="9"/>
    <s v="Daniel Wagner"/>
    <s v="Resigned"/>
  </r>
  <r>
    <s v="EMP0302"/>
    <s v="Barry Ramos"/>
    <x v="4"/>
    <s v="Researcher"/>
    <s v="Male"/>
    <n v="34"/>
    <d v="2021-03-12T00:00:00"/>
    <s v="Full-Time"/>
    <n v="32618.6"/>
    <n v="4"/>
    <n v="81.569999999999993"/>
    <n v="4"/>
    <n v="55"/>
    <n v="12"/>
    <s v="Cristian Santos"/>
    <s v="Active"/>
  </r>
  <r>
    <s v="EMP0303"/>
    <s v="Leslie Bell"/>
    <x v="2"/>
    <s v="Financial Analyst"/>
    <s v="Male"/>
    <n v="26"/>
    <d v="2020-12-19T00:00:00"/>
    <s v="Part-Time"/>
    <n v="75636.42"/>
    <n v="5"/>
    <n v="86.52"/>
    <n v="5"/>
    <n v="35"/>
    <n v="33"/>
    <s v="Dylan Miller"/>
    <s v="Resigned"/>
  </r>
  <r>
    <s v="EMP0304"/>
    <s v="Jesse Brown"/>
    <x v="1"/>
    <s v="Account Executive"/>
    <s v="Female"/>
    <n v="28"/>
    <d v="2017-01-29T00:00:00"/>
    <s v="Part-Time"/>
    <n v="34964.230000000003"/>
    <n v="5"/>
    <n v="91.76"/>
    <n v="8"/>
    <n v="12"/>
    <n v="59"/>
    <s v="Daniel Wagner"/>
    <s v="Active"/>
  </r>
  <r>
    <s v="EMP0305"/>
    <s v="Sean Wyatt"/>
    <x v="0"/>
    <s v="Brand Manager"/>
    <s v="Female"/>
    <n v="47"/>
    <d v="2020-09-12T00:00:00"/>
    <s v="Part-Time"/>
    <n v="58304.35"/>
    <n v="4"/>
    <n v="91.44"/>
    <n v="5"/>
    <n v="60"/>
    <n v="2"/>
    <s v="Connie Lawrence"/>
    <s v="Active"/>
  </r>
  <r>
    <s v="EMP0306"/>
    <s v="Kevin Best"/>
    <x v="6"/>
    <s v="HR Manager"/>
    <s v="Female"/>
    <n v="23"/>
    <d v="2024-06-10T00:00:00"/>
    <s v="Part-Time"/>
    <n v="108957.42"/>
    <n v="3"/>
    <n v="93.81"/>
    <n v="1"/>
    <n v="6"/>
    <n v="47"/>
    <s v="Brian Ramirez"/>
    <s v="Resigned"/>
  </r>
  <r>
    <s v="EMP0307"/>
    <s v="Robert Pearson"/>
    <x v="3"/>
    <s v="Operations Associate"/>
    <s v="Female"/>
    <n v="40"/>
    <d v="2016-07-06T00:00:00"/>
    <s v="Part-Time"/>
    <n v="48034.67"/>
    <n v="4"/>
    <n v="97.16"/>
    <n v="9"/>
    <n v="12"/>
    <n v="55"/>
    <s v="Gina Moore"/>
    <s v="Active"/>
  </r>
  <r>
    <s v="EMP0308"/>
    <s v="Kathryn Rosario"/>
    <x v="4"/>
    <s v="Product Developer"/>
    <s v="Female"/>
    <n v="47"/>
    <d v="2021-04-14T00:00:00"/>
    <s v="Contract"/>
    <n v="84555.48"/>
    <n v="2"/>
    <n v="88.83"/>
    <n v="4"/>
    <n v="52"/>
    <n v="47"/>
    <s v="Brian Ramirez"/>
    <s v="Active"/>
  </r>
  <r>
    <s v="EMP0309"/>
    <s v="Steven Cooper"/>
    <x v="3"/>
    <s v="Operations Associate"/>
    <s v="Male"/>
    <n v="25"/>
    <d v="2023-06-25T00:00:00"/>
    <s v="Part-Time"/>
    <n v="90956.94"/>
    <n v="4"/>
    <n v="82.71"/>
    <n v="2"/>
    <n v="67"/>
    <n v="56"/>
    <s v="Lisa Jackson"/>
    <s v="Active"/>
  </r>
  <r>
    <s v="EMP0310"/>
    <s v="Carrie Wright"/>
    <x v="5"/>
    <s v="IT Support"/>
    <s v="Male"/>
    <n v="36"/>
    <d v="2017-04-02T00:00:00"/>
    <s v="Full-Time"/>
    <n v="65644.87"/>
    <n v="3"/>
    <n v="94.09"/>
    <n v="8"/>
    <n v="35"/>
    <n v="23"/>
    <s v="Dylan Miller"/>
    <s v="Active"/>
  </r>
  <r>
    <s v="EMP0311"/>
    <s v="Kelly Bishop MD"/>
    <x v="0"/>
    <s v="Content Specialist"/>
    <s v="Male"/>
    <n v="36"/>
    <d v="2023-04-07T00:00:00"/>
    <s v="Part-Time"/>
    <n v="68878.67"/>
    <n v="4"/>
    <n v="83.55"/>
    <n v="2"/>
    <n v="60"/>
    <n v="37"/>
    <s v="Derek Zuniga"/>
    <s v="Active"/>
  </r>
  <r>
    <s v="EMP0312"/>
    <s v="Raymond Shelton"/>
    <x v="6"/>
    <s v="Recruiter"/>
    <s v="Male"/>
    <n v="39"/>
    <d v="2020-08-17T00:00:00"/>
    <s v="Full-Time"/>
    <n v="58656.57"/>
    <n v="2"/>
    <n v="97.08"/>
    <n v="5"/>
    <n v="27"/>
    <n v="54"/>
    <s v="Gina Moore"/>
    <s v="Active"/>
  </r>
  <r>
    <s v="EMP0313"/>
    <s v="Maria Jones"/>
    <x v="5"/>
    <s v="Software Engineer"/>
    <s v="Female"/>
    <n v="53"/>
    <d v="2016-09-15T00:00:00"/>
    <s v="Full-Time"/>
    <n v="106462.99"/>
    <n v="1"/>
    <n v="89.48"/>
    <n v="9"/>
    <n v="16"/>
    <n v="41"/>
    <s v="Connie Lawrence"/>
    <s v="Active"/>
  </r>
  <r>
    <s v="EMP0314"/>
    <s v="Jasmine King"/>
    <x v="1"/>
    <s v="Sales Rep"/>
    <s v="Female"/>
    <n v="59"/>
    <d v="2017-06-04T00:00:00"/>
    <s v="Part-Time"/>
    <n v="91274.05"/>
    <n v="3"/>
    <n v="88.48"/>
    <n v="8"/>
    <n v="48"/>
    <n v="54"/>
    <s v="Jamie Arnold"/>
    <s v="Active"/>
  </r>
  <r>
    <s v="EMP0315"/>
    <s v="Kevin Thomas"/>
    <x v="5"/>
    <s v="Software Engineer"/>
    <s v="Female"/>
    <n v="54"/>
    <d v="2018-05-17T00:00:00"/>
    <s v="Contract"/>
    <n v="59715.25"/>
    <n v="1"/>
    <n v="80.150000000000006"/>
    <n v="7"/>
    <n v="47"/>
    <n v="35"/>
    <s v="Carla Gray"/>
    <s v="Active"/>
  </r>
  <r>
    <s v="EMP0316"/>
    <s v="Matthew Bates"/>
    <x v="2"/>
    <s v="Finance Manager"/>
    <s v="Male"/>
    <n v="51"/>
    <d v="2021-10-07T00:00:00"/>
    <s v="Full-Time"/>
    <n v="53628.37"/>
    <n v="3"/>
    <n v="92.81"/>
    <n v="4"/>
    <n v="35"/>
    <n v="16"/>
    <s v="Ryan Munoz"/>
    <s v="Active"/>
  </r>
  <r>
    <s v="EMP0317"/>
    <s v="Teresa Collins"/>
    <x v="5"/>
    <s v="IT Support"/>
    <s v="Female"/>
    <n v="41"/>
    <d v="2018-01-04T00:00:00"/>
    <s v="Contract"/>
    <n v="33992.949999999997"/>
    <n v="1"/>
    <n v="93.11"/>
    <n v="7"/>
    <n v="37"/>
    <n v="16"/>
    <s v="Michele Williams"/>
    <s v="Active"/>
  </r>
  <r>
    <s v="EMP0318"/>
    <s v="Erin Anderson"/>
    <x v="1"/>
    <s v="Account Executive"/>
    <s v="Male"/>
    <n v="42"/>
    <d v="2022-03-23T00:00:00"/>
    <s v="Contract"/>
    <n v="91336.93"/>
    <n v="5"/>
    <n v="92.77"/>
    <n v="3"/>
    <n v="60"/>
    <n v="58"/>
    <s v="Jamie Arnold"/>
    <s v="Active"/>
  </r>
  <r>
    <s v="EMP0319"/>
    <s v="Michael Romero"/>
    <x v="6"/>
    <s v="HR Manager"/>
    <s v="Male"/>
    <n v="39"/>
    <d v="2024-10-08T00:00:00"/>
    <s v="Full-Time"/>
    <n v="67078.09"/>
    <n v="3"/>
    <n v="94.5"/>
    <n v="1"/>
    <n v="71"/>
    <n v="48"/>
    <s v="Connie Lawrence"/>
    <s v="Resigned"/>
  </r>
  <r>
    <s v="EMP0320"/>
    <s v="Christopher Lewis"/>
    <x v="3"/>
    <s v="Operations Associate"/>
    <s v="Male"/>
    <n v="43"/>
    <d v="2016-02-16T00:00:00"/>
    <s v="Full-Time"/>
    <n v="94420.99"/>
    <n v="3"/>
    <n v="88.41"/>
    <n v="9"/>
    <n v="42"/>
    <n v="23"/>
    <s v="Gabrielle Davis"/>
    <s v="Active"/>
  </r>
  <r>
    <s v="EMP0321"/>
    <s v="Zachary Moore"/>
    <x v="4"/>
    <s v="Researcher"/>
    <s v="Female"/>
    <n v="24"/>
    <d v="2024-02-02T00:00:00"/>
    <s v="Contract"/>
    <n v="78357.460000000006"/>
    <n v="5"/>
    <n v="81.42"/>
    <n v="1"/>
    <n v="24"/>
    <n v="32"/>
    <s v="Daniel Wagner"/>
    <s v="Resigned"/>
  </r>
  <r>
    <s v="EMP0322"/>
    <s v="Ashley Wise"/>
    <x v="7"/>
    <s v="Team Lead"/>
    <s v="Female"/>
    <n v="24"/>
    <d v="2020-11-05T00:00:00"/>
    <s v="Full-Time"/>
    <n v="33736.53"/>
    <n v="2"/>
    <n v="86.85"/>
    <n v="5"/>
    <n v="72"/>
    <n v="57"/>
    <s v="Dylan Miller"/>
    <s v="Active"/>
  </r>
  <r>
    <s v="EMP0323"/>
    <s v="George Miranda"/>
    <x v="6"/>
    <s v="HR Officer"/>
    <s v="Female"/>
    <n v="42"/>
    <d v="2024-10-09T00:00:00"/>
    <s v="Contract"/>
    <n v="118664.04"/>
    <n v="3"/>
    <n v="92.69"/>
    <n v="1"/>
    <n v="0"/>
    <n v="28"/>
    <s v="Gabrielle Davis"/>
    <s v="Active"/>
  </r>
  <r>
    <s v="EMP0324"/>
    <s v="Brittany White"/>
    <x v="6"/>
    <s v="HR Manager"/>
    <s v="Male"/>
    <n v="52"/>
    <d v="2018-01-17T00:00:00"/>
    <s v="Full-Time"/>
    <n v="32940.6"/>
    <n v="4"/>
    <n v="92.67"/>
    <n v="7"/>
    <n v="51"/>
    <n v="27"/>
    <s v="Brian Ramirez"/>
    <s v="Active"/>
  </r>
  <r>
    <s v="EMP0325"/>
    <s v="Amanda Diaz"/>
    <x v="1"/>
    <s v="Account Executive"/>
    <s v="Male"/>
    <n v="44"/>
    <d v="2018-08-19T00:00:00"/>
    <s v="Full-Time"/>
    <n v="109200.64"/>
    <n v="5"/>
    <n v="83.81"/>
    <n v="7"/>
    <n v="0"/>
    <n v="40"/>
    <s v="Gina Moore"/>
    <s v="Active"/>
  </r>
  <r>
    <s v="EMP0326"/>
    <s v="Lisa Goodwin"/>
    <x v="3"/>
    <s v="Operations Manager"/>
    <s v="Male"/>
    <n v="27"/>
    <d v="2019-11-09T00:00:00"/>
    <s v="Part-Time"/>
    <n v="70333.649999999994"/>
    <n v="3"/>
    <n v="83.34"/>
    <n v="6"/>
    <n v="5"/>
    <n v="19"/>
    <s v="Ryan Munoz"/>
    <s v="Active"/>
  </r>
  <r>
    <s v="EMP0327"/>
    <s v="David Sheppard"/>
    <x v="3"/>
    <s v="Operations Manager"/>
    <s v="Male"/>
    <n v="42"/>
    <d v="2023-06-15T00:00:00"/>
    <s v="Part-Time"/>
    <n v="55925.09"/>
    <n v="2"/>
    <n v="83.3"/>
    <n v="2"/>
    <n v="51"/>
    <n v="1"/>
    <s v="Gina Moore"/>
    <s v="Active"/>
  </r>
  <r>
    <s v="EMP0328"/>
    <s v="Cheyenne Gregory"/>
    <x v="6"/>
    <s v="HR Officer"/>
    <s v="Male"/>
    <n v="58"/>
    <d v="2023-10-18T00:00:00"/>
    <s v="Contract"/>
    <n v="36898.47"/>
    <n v="3"/>
    <n v="94.22"/>
    <n v="2"/>
    <n v="4"/>
    <n v="24"/>
    <s v="Gabrielle Davis"/>
    <s v="Active"/>
  </r>
  <r>
    <s v="EMP0329"/>
    <s v="Mrs. Diane Reyes"/>
    <x v="1"/>
    <s v="Account Executive"/>
    <s v="Male"/>
    <n v="27"/>
    <d v="2025-07-09T00:00:00"/>
    <s v="Contract"/>
    <n v="103612"/>
    <n v="1"/>
    <n v="93.79"/>
    <n v="0"/>
    <n v="53"/>
    <n v="28"/>
    <s v="Lisa Hensley"/>
    <s v="Active"/>
  </r>
  <r>
    <s v="EMP0330"/>
    <s v="Christopher Gonzalez"/>
    <x v="2"/>
    <s v="Financial Analyst"/>
    <s v="Male"/>
    <n v="34"/>
    <d v="2024-10-15T00:00:00"/>
    <s v="Contract"/>
    <n v="88574"/>
    <n v="1"/>
    <n v="86.02"/>
    <n v="1"/>
    <n v="12"/>
    <n v="42"/>
    <s v="Holly Wood"/>
    <s v="Active"/>
  </r>
  <r>
    <s v="EMP0331"/>
    <s v="Amy Castillo"/>
    <x v="6"/>
    <s v="Recruiter"/>
    <s v="Male"/>
    <n v="53"/>
    <d v="2018-03-03T00:00:00"/>
    <s v="Contract"/>
    <n v="81769.8"/>
    <n v="3"/>
    <n v="82.28"/>
    <n v="7"/>
    <n v="13"/>
    <n v="31"/>
    <s v="Abigail Shaffer"/>
    <s v="Active"/>
  </r>
  <r>
    <s v="EMP0332"/>
    <s v="Ashley Singleton"/>
    <x v="2"/>
    <s v="Finance Manager"/>
    <s v="Male"/>
    <n v="43"/>
    <d v="2022-02-17T00:00:00"/>
    <s v="Contract"/>
    <n v="60975.62"/>
    <n v="2"/>
    <n v="80.790000000000006"/>
    <n v="3"/>
    <n v="63"/>
    <n v="58"/>
    <s v="Abigail Shaffer"/>
    <s v="Active"/>
  </r>
  <r>
    <s v="EMP0333"/>
    <s v="Phillip Nelson"/>
    <x v="4"/>
    <s v="Product Developer"/>
    <s v="Male"/>
    <n v="21"/>
    <d v="2017-12-08T00:00:00"/>
    <s v="Full-Time"/>
    <n v="87163.31"/>
    <n v="1"/>
    <n v="96.7"/>
    <n v="8"/>
    <n v="63"/>
    <n v="9"/>
    <s v="Angie Henderson"/>
    <s v="Active"/>
  </r>
  <r>
    <s v="EMP0334"/>
    <s v="Jeffrey Potts"/>
    <x v="0"/>
    <s v="Content Specialist"/>
    <s v="Male"/>
    <n v="37"/>
    <d v="2024-07-19T00:00:00"/>
    <s v="Contract"/>
    <n v="43116.03"/>
    <n v="3"/>
    <n v="85.28"/>
    <n v="1"/>
    <n v="6"/>
    <n v="6"/>
    <s v="Connie Lawrence"/>
    <s v="Resigned"/>
  </r>
  <r>
    <s v="EMP0335"/>
    <s v="Stacey Arias"/>
    <x v="2"/>
    <s v="Financial Analyst"/>
    <s v="Female"/>
    <n v="48"/>
    <d v="2019-08-05T00:00:00"/>
    <s v="Contract"/>
    <n v="31590.11"/>
    <n v="1"/>
    <n v="80.19"/>
    <n v="6"/>
    <n v="17"/>
    <n v="42"/>
    <s v="Connie Lawrence"/>
    <s v="Active"/>
  </r>
  <r>
    <s v="EMP0336"/>
    <s v="Jonathan Young"/>
    <x v="4"/>
    <s v="Product Developer"/>
    <s v="Male"/>
    <n v="44"/>
    <d v="2022-11-16T00:00:00"/>
    <s v="Part-Time"/>
    <n v="38286.94"/>
    <n v="4"/>
    <n v="88.01"/>
    <n v="3"/>
    <n v="58"/>
    <n v="17"/>
    <s v="Lisa Hensley"/>
    <s v="Active"/>
  </r>
  <r>
    <s v="EMP0337"/>
    <s v="Alfred Galvan"/>
    <x v="4"/>
    <s v="Product Developer"/>
    <s v="Male"/>
    <n v="28"/>
    <d v="2017-03-16T00:00:00"/>
    <s v="Full-Time"/>
    <n v="89616.99"/>
    <n v="1"/>
    <n v="99.63"/>
    <n v="8"/>
    <n v="20"/>
    <n v="6"/>
    <s v="Michele Williams"/>
    <s v="Resigned"/>
  </r>
  <r>
    <s v="EMP0338"/>
    <s v="Brenda Mitchell"/>
    <x v="4"/>
    <s v="Product Developer"/>
    <s v="Male"/>
    <n v="60"/>
    <d v="2021-07-09T00:00:00"/>
    <s v="Part-Time"/>
    <n v="97916.43"/>
    <n v="5"/>
    <n v="80.58"/>
    <n v="4"/>
    <n v="16"/>
    <n v="30"/>
    <s v="Brian Ramirez"/>
    <s v="Active"/>
  </r>
  <r>
    <s v="EMP0339"/>
    <s v="Brenda Thornton"/>
    <x v="7"/>
    <s v="Team Lead"/>
    <s v="Male"/>
    <n v="25"/>
    <d v="2023-11-08T00:00:00"/>
    <s v="Part-Time"/>
    <n v="85497.36"/>
    <n v="1"/>
    <n v="94.09"/>
    <n v="2"/>
    <n v="67"/>
    <n v="49"/>
    <s v="Lisa Jackson"/>
    <s v="Active"/>
  </r>
  <r>
    <s v="EMP0340"/>
    <s v="Susan Smith"/>
    <x v="5"/>
    <s v="Data Analyst"/>
    <s v="Female"/>
    <n v="54"/>
    <d v="2023-06-13T00:00:00"/>
    <s v="Contract"/>
    <n v="88824.16"/>
    <n v="5"/>
    <n v="81.900000000000006"/>
    <n v="2"/>
    <n v="31"/>
    <n v="30"/>
    <s v="Jamie Arnold"/>
    <s v="Active"/>
  </r>
  <r>
    <s v="EMP0341"/>
    <s v="Kimberly Acosta"/>
    <x v="7"/>
    <s v="Support Agent"/>
    <s v="Male"/>
    <n v="21"/>
    <d v="2019-06-27T00:00:00"/>
    <s v="Contract"/>
    <n v="113437.14"/>
    <n v="5"/>
    <n v="96.98"/>
    <n v="6"/>
    <n v="63"/>
    <n v="55"/>
    <s v="Connie Lawrence"/>
    <s v="Active"/>
  </r>
  <r>
    <s v="EMP0342"/>
    <s v="Ricardo Young"/>
    <x v="4"/>
    <s v="Product Developer"/>
    <s v="Male"/>
    <n v="42"/>
    <d v="2024-10-17T00:00:00"/>
    <s v="Part-Time"/>
    <n v="25035.07"/>
    <n v="2"/>
    <n v="91.01"/>
    <n v="1"/>
    <n v="48"/>
    <n v="25"/>
    <s v="Gina Moore"/>
    <s v="Active"/>
  </r>
  <r>
    <s v="EMP0343"/>
    <s v="Jason Bauer"/>
    <x v="4"/>
    <s v="Product Developer"/>
    <s v="Male"/>
    <n v="52"/>
    <d v="2017-11-21T00:00:00"/>
    <s v="Part-Time"/>
    <n v="51606.15"/>
    <n v="4"/>
    <n v="94.9"/>
    <n v="8"/>
    <n v="2"/>
    <n v="6"/>
    <s v="Lisa Hensley"/>
    <s v="Active"/>
  </r>
  <r>
    <s v="EMP0344"/>
    <s v="Russell Porter"/>
    <x v="1"/>
    <s v="Sales Rep"/>
    <s v="Female"/>
    <n v="53"/>
    <d v="2023-08-05T00:00:00"/>
    <s v="Contract"/>
    <n v="40685.120000000003"/>
    <n v="4"/>
    <n v="99.01"/>
    <n v="2"/>
    <n v="46"/>
    <n v="52"/>
    <s v="Noah Rhodes"/>
    <s v="Active"/>
  </r>
  <r>
    <s v="EMP0345"/>
    <s v="Jose Allen"/>
    <x v="4"/>
    <s v="Product Developer"/>
    <s v="Female"/>
    <n v="44"/>
    <d v="2024-12-07T00:00:00"/>
    <s v="Contract"/>
    <n v="65253.25"/>
    <n v="1"/>
    <n v="95.19"/>
    <n v="1"/>
    <n v="28"/>
    <n v="0"/>
    <s v="Monica Herrera"/>
    <s v="Active"/>
  </r>
  <r>
    <s v="EMP0346"/>
    <s v="Aaron Gomez"/>
    <x v="2"/>
    <s v="Finance Manager"/>
    <s v="Female"/>
    <n v="27"/>
    <d v="2018-04-05T00:00:00"/>
    <s v="Full-Time"/>
    <n v="109687.71"/>
    <n v="4"/>
    <n v="82.81"/>
    <n v="7"/>
    <n v="52"/>
    <n v="6"/>
    <s v="Gabrielle Davis"/>
    <s v="Active"/>
  </r>
  <r>
    <s v="EMP0347"/>
    <s v="Matthew Miller"/>
    <x v="5"/>
    <s v="IT Support"/>
    <s v="Female"/>
    <n v="34"/>
    <d v="2025-07-10T00:00:00"/>
    <s v="Part-Time"/>
    <n v="102455.41"/>
    <n v="2"/>
    <n v="94.34"/>
    <n v="0"/>
    <n v="13"/>
    <n v="48"/>
    <s v="Michele Williams"/>
    <s v="Active"/>
  </r>
  <r>
    <s v="EMP0348"/>
    <s v="Joseph Romero"/>
    <x v="0"/>
    <s v="Brand Manager"/>
    <s v="Female"/>
    <n v="58"/>
    <d v="2021-12-13T00:00:00"/>
    <s v="Contract"/>
    <n v="33463.599999999999"/>
    <n v="4"/>
    <n v="80.09"/>
    <n v="4"/>
    <n v="6"/>
    <n v="35"/>
    <s v="Michele Williams"/>
    <s v="Active"/>
  </r>
  <r>
    <s v="EMP0349"/>
    <s v="Jeanette Harrison"/>
    <x v="4"/>
    <s v="Researcher"/>
    <s v="Male"/>
    <n v="29"/>
    <d v="2024-06-14T00:00:00"/>
    <s v="Full-Time"/>
    <n v="58740.56"/>
    <n v="5"/>
    <n v="92.12"/>
    <n v="1"/>
    <n v="41"/>
    <n v="32"/>
    <s v="Lisa Hensley"/>
    <s v="Active"/>
  </r>
  <r>
    <s v="EMP0350"/>
    <s v="Mrs. Alexis Kramer"/>
    <x v="5"/>
    <s v="Software Engineer"/>
    <s v="Female"/>
    <n v="42"/>
    <d v="2022-05-25T00:00:00"/>
    <s v="Part-Time"/>
    <n v="65284.57"/>
    <n v="2"/>
    <n v="82.76"/>
    <n v="3"/>
    <n v="77"/>
    <n v="44"/>
    <s v="Holly Wood"/>
    <s v="Active"/>
  </r>
  <r>
    <s v="EMP0351"/>
    <s v="Matthew Garcia"/>
    <x v="3"/>
    <s v="Operations Associate"/>
    <s v="Male"/>
    <n v="34"/>
    <d v="2021-09-06T00:00:00"/>
    <s v="Contract"/>
    <n v="91438.45"/>
    <n v="3"/>
    <n v="98.42"/>
    <n v="4"/>
    <n v="16"/>
    <n v="45"/>
    <s v="Connie Lawrence"/>
    <s v="Active"/>
  </r>
  <r>
    <s v="EMP0352"/>
    <s v="Evelyn Williams"/>
    <x v="3"/>
    <s v="Operations Associate"/>
    <s v="Female"/>
    <n v="56"/>
    <d v="2025-09-18T00:00:00"/>
    <s v="Part-Time"/>
    <n v="78280.63"/>
    <n v="4"/>
    <n v="93.48"/>
    <n v="0"/>
    <n v="68"/>
    <n v="18"/>
    <s v="Michele Williams"/>
    <s v="Active"/>
  </r>
  <r>
    <s v="EMP0353"/>
    <s v="Marvin Greer"/>
    <x v="0"/>
    <s v="Marketing Analyst"/>
    <s v="Female"/>
    <n v="30"/>
    <d v="2025-02-07T00:00:00"/>
    <s v="Full-Time"/>
    <n v="87025.42"/>
    <n v="2"/>
    <n v="85.34"/>
    <n v="0"/>
    <n v="20"/>
    <n v="18"/>
    <s v="Gabrielle Davis"/>
    <s v="Active"/>
  </r>
  <r>
    <s v="EMP0354"/>
    <s v="Mrs. Catherine Taylor"/>
    <x v="1"/>
    <s v="Account Executive"/>
    <s v="Female"/>
    <n v="34"/>
    <d v="2023-09-21T00:00:00"/>
    <s v="Contract"/>
    <n v="23230.639999999999"/>
    <n v="4"/>
    <n v="82.05"/>
    <n v="2"/>
    <n v="71"/>
    <n v="55"/>
    <s v="Gina Moore"/>
    <s v="Active"/>
  </r>
  <r>
    <s v="EMP0355"/>
    <s v="Dakota Moody"/>
    <x v="7"/>
    <s v="Support Agent"/>
    <s v="Female"/>
    <n v="24"/>
    <d v="2023-08-08T00:00:00"/>
    <s v="Part-Time"/>
    <n v="58755.46"/>
    <n v="3"/>
    <n v="99.32"/>
    <n v="2"/>
    <n v="6"/>
    <n v="0"/>
    <s v="Gabrielle Davis"/>
    <s v="Active"/>
  </r>
  <r>
    <s v="EMP0356"/>
    <s v="Eric Sanders"/>
    <x v="4"/>
    <s v="Researcher"/>
    <s v="Female"/>
    <n v="58"/>
    <d v="2016-07-12T00:00:00"/>
    <s v="Contract"/>
    <n v="93845"/>
    <n v="2"/>
    <n v="95.52"/>
    <n v="9"/>
    <n v="24"/>
    <n v="18"/>
    <s v="Dylan Miller"/>
    <s v="Active"/>
  </r>
  <r>
    <s v="EMP0357"/>
    <s v="Andrew Lucas"/>
    <x v="0"/>
    <s v="Marketing Analyst"/>
    <s v="Male"/>
    <n v="53"/>
    <d v="2025-01-20T00:00:00"/>
    <s v="Full-Time"/>
    <n v="57719.82"/>
    <n v="4"/>
    <n v="85.58"/>
    <n v="0"/>
    <n v="33"/>
    <n v="8"/>
    <s v="Connie Lawrence"/>
    <s v="Active"/>
  </r>
  <r>
    <s v="EMP0358"/>
    <s v="Richard Glenn"/>
    <x v="2"/>
    <s v="Accountant"/>
    <s v="Female"/>
    <n v="50"/>
    <d v="2020-09-06T00:00:00"/>
    <s v="Contract"/>
    <n v="113749.45"/>
    <n v="1"/>
    <n v="83.07"/>
    <n v="5"/>
    <n v="41"/>
    <n v="38"/>
    <s v="Noah Rhodes"/>
    <s v="Active"/>
  </r>
  <r>
    <s v="EMP0359"/>
    <s v="Robert Kim"/>
    <x v="2"/>
    <s v="Financial Analyst"/>
    <s v="Female"/>
    <n v="25"/>
    <d v="2021-06-18T00:00:00"/>
    <s v="Contract"/>
    <n v="51785.9"/>
    <n v="2"/>
    <n v="99.14"/>
    <n v="4"/>
    <n v="66"/>
    <n v="4"/>
    <s v="Holly Wood"/>
    <s v="Active"/>
  </r>
  <r>
    <s v="EMP0360"/>
    <s v="Stephanie Hughes"/>
    <x v="7"/>
    <s v="Support Agent"/>
    <s v="Female"/>
    <n v="35"/>
    <d v="2022-08-15T00:00:00"/>
    <s v="Full-Time"/>
    <n v="86333.45"/>
    <n v="3"/>
    <n v="87.22"/>
    <n v="3"/>
    <n v="27"/>
    <n v="60"/>
    <s v="Carla Gray"/>
    <s v="Active"/>
  </r>
  <r>
    <s v="EMP0361"/>
    <s v="Jonathan Glass MD"/>
    <x v="1"/>
    <s v="Sales Rep"/>
    <s v="Female"/>
    <n v="49"/>
    <d v="2018-12-29T00:00:00"/>
    <s v="Full-Time"/>
    <n v="110449.65"/>
    <n v="5"/>
    <n v="98.37"/>
    <n v="7"/>
    <n v="31"/>
    <n v="2"/>
    <s v="Monica Herrera"/>
    <s v="Active"/>
  </r>
  <r>
    <s v="EMP0362"/>
    <s v="Angela Morrison"/>
    <x v="0"/>
    <s v="Brand Manager"/>
    <s v="Female"/>
    <n v="55"/>
    <d v="2017-03-22T00:00:00"/>
    <s v="Contract"/>
    <n v="48282.9"/>
    <n v="5"/>
    <n v="96.44"/>
    <n v="8"/>
    <n v="47"/>
    <n v="32"/>
    <s v="Holly Wood"/>
    <s v="Active"/>
  </r>
  <r>
    <s v="EMP0363"/>
    <s v="Erica Miller"/>
    <x v="1"/>
    <s v="Sales Manager"/>
    <s v="Male"/>
    <n v="41"/>
    <d v="2018-11-20T00:00:00"/>
    <s v="Contract"/>
    <n v="28234.54"/>
    <n v="1"/>
    <n v="83.35"/>
    <n v="7"/>
    <n v="68"/>
    <n v="34"/>
    <s v="Allison Hill"/>
    <s v="Active"/>
  </r>
  <r>
    <s v="EMP0364"/>
    <s v="Lance Simmons"/>
    <x v="5"/>
    <s v="Data Analyst"/>
    <s v="Male"/>
    <n v="48"/>
    <d v="2020-11-05T00:00:00"/>
    <s v="Full-Time"/>
    <n v="40557.96"/>
    <n v="4"/>
    <n v="92.93"/>
    <n v="5"/>
    <n v="9"/>
    <n v="47"/>
    <s v="Cristian Santos"/>
    <s v="Active"/>
  </r>
  <r>
    <s v="EMP0365"/>
    <s v="Andrew Berg"/>
    <x v="3"/>
    <s v="Operations Associate"/>
    <s v="Male"/>
    <n v="25"/>
    <d v="2023-05-15T00:00:00"/>
    <s v="Full-Time"/>
    <n v="37799.22"/>
    <n v="3"/>
    <n v="91.16"/>
    <n v="2"/>
    <n v="73"/>
    <n v="52"/>
    <s v="Gina Moore"/>
    <s v="Resigned"/>
  </r>
  <r>
    <s v="EMP0366"/>
    <s v="Jessica Fowler"/>
    <x v="7"/>
    <s v="Team Lead"/>
    <s v="Female"/>
    <n v="46"/>
    <d v="2021-10-24T00:00:00"/>
    <s v="Part-Time"/>
    <n v="51640.42"/>
    <n v="4"/>
    <n v="93.47"/>
    <n v="4"/>
    <n v="68"/>
    <n v="0"/>
    <s v="Carla Gray"/>
    <s v="Active"/>
  </r>
  <r>
    <s v="EMP0367"/>
    <s v="Mark Cox"/>
    <x v="1"/>
    <s v="Account Executive"/>
    <s v="Male"/>
    <n v="43"/>
    <d v="2016-10-16T00:00:00"/>
    <s v="Contract"/>
    <n v="30613.55"/>
    <n v="3"/>
    <n v="92.13"/>
    <n v="9"/>
    <n v="36"/>
    <n v="48"/>
    <s v="Dylan Miller"/>
    <s v="Active"/>
  </r>
  <r>
    <s v="EMP0368"/>
    <s v="Brenda Lawson"/>
    <x v="1"/>
    <s v="Sales Manager"/>
    <s v="Male"/>
    <n v="55"/>
    <d v="2018-07-16T00:00:00"/>
    <s v="Full-Time"/>
    <n v="33638.15"/>
    <n v="4"/>
    <n v="95.94"/>
    <n v="7"/>
    <n v="69"/>
    <n v="18"/>
    <s v="Cristian Santos"/>
    <s v="Active"/>
  </r>
  <r>
    <s v="EMP0369"/>
    <s v="Austin Osborne"/>
    <x v="3"/>
    <s v="Operations Associate"/>
    <s v="Male"/>
    <n v="28"/>
    <d v="2023-04-09T00:00:00"/>
    <s v="Full-Time"/>
    <n v="20502.98"/>
    <n v="5"/>
    <n v="87.88"/>
    <n v="2"/>
    <n v="70"/>
    <n v="60"/>
    <s v="Angie Henderson"/>
    <s v="Active"/>
  </r>
  <r>
    <s v="EMP0370"/>
    <s v="Travis Johnson"/>
    <x v="3"/>
    <s v="Operations Associate"/>
    <s v="Female"/>
    <n v="53"/>
    <d v="2022-01-18T00:00:00"/>
    <s v="Full-Time"/>
    <n v="36095.440000000002"/>
    <n v="2"/>
    <n v="92.34"/>
    <n v="3"/>
    <n v="32"/>
    <n v="12"/>
    <s v="Daniel Wagner"/>
    <s v="Active"/>
  </r>
  <r>
    <s v="EMP0371"/>
    <s v="Tiffany Watson"/>
    <x v="1"/>
    <s v="Account Executive"/>
    <s v="Female"/>
    <n v="56"/>
    <d v="2018-06-05T00:00:00"/>
    <s v="Full-Time"/>
    <n v="49065.27"/>
    <n v="1"/>
    <n v="85.01"/>
    <n v="7"/>
    <n v="25"/>
    <n v="46"/>
    <s v="Lisa Jackson"/>
    <s v="Active"/>
  </r>
  <r>
    <s v="EMP0372"/>
    <s v="Kendra Sanders"/>
    <x v="3"/>
    <s v="Operations Manager"/>
    <s v="Male"/>
    <n v="36"/>
    <d v="2017-02-14T00:00:00"/>
    <s v="Full-Time"/>
    <n v="48513.71"/>
    <n v="1"/>
    <n v="98"/>
    <n v="8"/>
    <n v="40"/>
    <n v="31"/>
    <s v="Dylan Miller"/>
    <s v="Active"/>
  </r>
  <r>
    <s v="EMP0373"/>
    <s v="Brian Fitzgerald"/>
    <x v="2"/>
    <s v="Finance Manager"/>
    <s v="Male"/>
    <n v="57"/>
    <d v="2020-07-22T00:00:00"/>
    <s v="Contract"/>
    <n v="56449.34"/>
    <n v="3"/>
    <n v="99.17"/>
    <n v="5"/>
    <n v="21"/>
    <n v="0"/>
    <s v="Monica Herrera"/>
    <s v="Active"/>
  </r>
  <r>
    <s v="EMP0374"/>
    <s v="Susan Wilson"/>
    <x v="5"/>
    <s v="Data Analyst"/>
    <s v="Female"/>
    <n v="38"/>
    <d v="2024-04-21T00:00:00"/>
    <s v="Part-Time"/>
    <n v="33430.58"/>
    <n v="3"/>
    <n v="97.56"/>
    <n v="1"/>
    <n v="59"/>
    <n v="28"/>
    <s v="Jamie Arnold"/>
    <s v="Active"/>
  </r>
  <r>
    <s v="EMP0375"/>
    <s v="Cindy Carr"/>
    <x v="4"/>
    <s v="Researcher"/>
    <s v="Male"/>
    <n v="59"/>
    <d v="2020-03-30T00:00:00"/>
    <s v="Full-Time"/>
    <n v="104179.3"/>
    <n v="2"/>
    <n v="97.83"/>
    <n v="5"/>
    <n v="25"/>
    <n v="16"/>
    <s v="Angie Henderson"/>
    <s v="Active"/>
  </r>
  <r>
    <s v="EMP0376"/>
    <s v="Chad Jones"/>
    <x v="1"/>
    <s v="Account Executive"/>
    <s v="Male"/>
    <n v="58"/>
    <d v="2024-03-04T00:00:00"/>
    <s v="Contract"/>
    <n v="60513.45"/>
    <n v="5"/>
    <n v="84.26"/>
    <n v="1"/>
    <n v="4"/>
    <n v="35"/>
    <s v="Gabrielle Davis"/>
    <s v="Active"/>
  </r>
  <r>
    <s v="EMP0377"/>
    <s v="Jill Miller"/>
    <x v="4"/>
    <s v="Researcher"/>
    <s v="Female"/>
    <n v="46"/>
    <d v="2018-10-02T00:00:00"/>
    <s v="Full-Time"/>
    <n v="109143.75"/>
    <n v="5"/>
    <n v="94.66"/>
    <n v="7"/>
    <n v="37"/>
    <n v="8"/>
    <s v="Dylan Miller"/>
    <s v="Active"/>
  </r>
  <r>
    <s v="EMP0378"/>
    <s v="Michelle Pierce"/>
    <x v="0"/>
    <s v="Brand Manager"/>
    <s v="Female"/>
    <n v="53"/>
    <d v="2021-04-02T00:00:00"/>
    <s v="Full-Time"/>
    <n v="86267.85"/>
    <n v="5"/>
    <n v="93.68"/>
    <n v="4"/>
    <n v="65"/>
    <n v="8"/>
    <s v="Dylan Miller"/>
    <s v="Active"/>
  </r>
  <r>
    <s v="EMP0379"/>
    <s v="Sarah Joseph"/>
    <x v="6"/>
    <s v="HR Manager"/>
    <s v="Female"/>
    <n v="43"/>
    <d v="2020-10-03T00:00:00"/>
    <s v="Full-Time"/>
    <n v="41881.910000000003"/>
    <n v="4"/>
    <n v="84.63"/>
    <n v="5"/>
    <n v="33"/>
    <n v="23"/>
    <s v="Gina Moore"/>
    <s v="Active"/>
  </r>
  <r>
    <s v="EMP0380"/>
    <s v="Katie Martinez"/>
    <x v="5"/>
    <s v="Data Analyst"/>
    <s v="Female"/>
    <n v="45"/>
    <d v="2018-10-11T00:00:00"/>
    <s v="Part-Time"/>
    <n v="111790.19"/>
    <n v="1"/>
    <n v="80.8"/>
    <n v="7"/>
    <n v="41"/>
    <n v="6"/>
    <s v="Holly Wood"/>
    <s v="Active"/>
  </r>
  <r>
    <s v="EMP0381"/>
    <s v="Cynthia Snyder"/>
    <x v="2"/>
    <s v="Finance Manager"/>
    <s v="Female"/>
    <n v="58"/>
    <d v="2019-03-27T00:00:00"/>
    <s v="Contract"/>
    <n v="77016.02"/>
    <n v="4"/>
    <n v="93.07"/>
    <n v="6"/>
    <n v="46"/>
    <n v="37"/>
    <s v="Angie Henderson"/>
    <s v="Active"/>
  </r>
  <r>
    <s v="EMP0382"/>
    <s v="Jackie Lara"/>
    <x v="7"/>
    <s v="Support Agent"/>
    <s v="Female"/>
    <n v="43"/>
    <d v="2021-12-15T00:00:00"/>
    <s v="Part-Time"/>
    <n v="68686.16"/>
    <n v="4"/>
    <n v="97.74"/>
    <n v="4"/>
    <n v="0"/>
    <n v="32"/>
    <s v="Cristian Santos"/>
    <s v="Active"/>
  </r>
  <r>
    <s v="EMP0383"/>
    <s v="Stephen Jones"/>
    <x v="5"/>
    <s v="IT Support"/>
    <s v="Female"/>
    <n v="34"/>
    <d v="2025-03-14T00:00:00"/>
    <s v="Full-Time"/>
    <n v="38690.57"/>
    <n v="3"/>
    <n v="92.04"/>
    <n v="0"/>
    <n v="15"/>
    <n v="42"/>
    <s v="Gina Moore"/>
    <s v="Active"/>
  </r>
  <r>
    <s v="EMP0384"/>
    <s v="Dr. Kelly Hammond DVM"/>
    <x v="3"/>
    <s v="Operations Associate"/>
    <s v="Female"/>
    <n v="51"/>
    <d v="2022-08-04T00:00:00"/>
    <s v="Part-Time"/>
    <n v="41070.400000000001"/>
    <n v="2"/>
    <n v="92.95"/>
    <n v="3"/>
    <n v="52"/>
    <n v="1"/>
    <s v="Gina Moore"/>
    <s v="Active"/>
  </r>
  <r>
    <s v="EMP0385"/>
    <s v="Evan Jones"/>
    <x v="6"/>
    <s v="HR Officer"/>
    <s v="Male"/>
    <n v="57"/>
    <d v="2017-01-26T00:00:00"/>
    <s v="Full-Time"/>
    <n v="25591.200000000001"/>
    <n v="3"/>
    <n v="98.45"/>
    <n v="8"/>
    <n v="66"/>
    <n v="25"/>
    <s v="Carla Gray"/>
    <s v="Resigned"/>
  </r>
  <r>
    <s v="EMP0386"/>
    <s v="Haley Humphrey"/>
    <x v="1"/>
    <s v="Account Executive"/>
    <s v="Female"/>
    <n v="26"/>
    <d v="2023-09-28T00:00:00"/>
    <s v="Full-Time"/>
    <n v="64920.34"/>
    <n v="4"/>
    <n v="97.35"/>
    <n v="2"/>
    <n v="21"/>
    <n v="14"/>
    <s v="Michele Williams"/>
    <s v="Active"/>
  </r>
  <r>
    <s v="EMP0387"/>
    <s v="Catherine Burch"/>
    <x v="6"/>
    <s v="HR Manager"/>
    <s v="Female"/>
    <n v="31"/>
    <d v="2025-03-12T00:00:00"/>
    <s v="Contract"/>
    <n v="88559.12"/>
    <n v="4"/>
    <n v="91.93"/>
    <n v="0"/>
    <n v="8"/>
    <n v="14"/>
    <s v="Lisa Hensley"/>
    <s v="Active"/>
  </r>
  <r>
    <s v="EMP0388"/>
    <s v="Sheena Guerra"/>
    <x v="0"/>
    <s v="Marketing Analyst"/>
    <s v="Male"/>
    <n v="54"/>
    <d v="2023-03-06T00:00:00"/>
    <s v="Contract"/>
    <n v="88436.78"/>
    <n v="2"/>
    <n v="92.11"/>
    <n v="2"/>
    <n v="22"/>
    <n v="30"/>
    <s v="Carla Gray"/>
    <s v="Active"/>
  </r>
  <r>
    <s v="EMP0389"/>
    <s v="Christopher Morris"/>
    <x v="0"/>
    <s v="Marketing Analyst"/>
    <s v="Female"/>
    <n v="29"/>
    <d v="2024-08-18T00:00:00"/>
    <s v="Contract"/>
    <n v="73928.600000000006"/>
    <n v="1"/>
    <n v="97.94"/>
    <n v="1"/>
    <n v="55"/>
    <n v="33"/>
    <s v="Michele Williams"/>
    <s v="Active"/>
  </r>
  <r>
    <s v="EMP0390"/>
    <s v="Todd Jacobson"/>
    <x v="1"/>
    <s v="Account Executive"/>
    <s v="Female"/>
    <n v="35"/>
    <d v="2019-08-27T00:00:00"/>
    <s v="Part-Time"/>
    <n v="98955.56"/>
    <n v="4"/>
    <n v="87.01"/>
    <n v="6"/>
    <n v="73"/>
    <n v="6"/>
    <s v="Michele Williams"/>
    <s v="Active"/>
  </r>
  <r>
    <s v="EMP0391"/>
    <s v="Mark Pierce"/>
    <x v="4"/>
    <s v="Researcher"/>
    <s v="Male"/>
    <n v="39"/>
    <d v="2017-02-27T00:00:00"/>
    <s v="Contract"/>
    <n v="107676.63"/>
    <n v="4"/>
    <n v="85.16"/>
    <n v="8"/>
    <n v="0"/>
    <n v="45"/>
    <s v="Allison Hill"/>
    <s v="Active"/>
  </r>
  <r>
    <s v="EMP0392"/>
    <s v="Lisa Davis"/>
    <x v="0"/>
    <s v="Content Specialist"/>
    <s v="Male"/>
    <n v="45"/>
    <d v="2017-12-11T00:00:00"/>
    <s v="Contract"/>
    <n v="40541.870000000003"/>
    <n v="3"/>
    <n v="88.18"/>
    <n v="8"/>
    <n v="13"/>
    <n v="9"/>
    <s v="Michele Williams"/>
    <s v="Active"/>
  </r>
  <r>
    <s v="EMP0393"/>
    <s v="Lauren Jackson"/>
    <x v="2"/>
    <s v="Financial Analyst"/>
    <s v="Female"/>
    <n v="57"/>
    <d v="2018-09-07T00:00:00"/>
    <s v="Part-Time"/>
    <n v="81188.070000000007"/>
    <n v="4"/>
    <n v="95.1"/>
    <n v="7"/>
    <n v="52"/>
    <n v="35"/>
    <s v="Derek Zuniga"/>
    <s v="Active"/>
  </r>
  <r>
    <s v="EMP0394"/>
    <s v="Kristy Bryan"/>
    <x v="3"/>
    <s v="Operations Manager"/>
    <s v="Female"/>
    <n v="40"/>
    <d v="2021-07-23T00:00:00"/>
    <s v="Contract"/>
    <n v="54435.63"/>
    <n v="4"/>
    <n v="94.72"/>
    <n v="4"/>
    <n v="15"/>
    <n v="47"/>
    <s v="Gina Moore"/>
    <s v="Active"/>
  </r>
  <r>
    <s v="EMP0395"/>
    <s v="Travis Wise"/>
    <x v="6"/>
    <s v="HR Officer"/>
    <s v="Male"/>
    <n v="53"/>
    <d v="2016-04-19T00:00:00"/>
    <s v="Part-Time"/>
    <n v="98608.11"/>
    <n v="5"/>
    <n v="92.28"/>
    <n v="9"/>
    <n v="6"/>
    <n v="10"/>
    <s v="Lisa Hensley"/>
    <s v="Resigned"/>
  </r>
  <r>
    <s v="EMP0396"/>
    <s v="Pamela Butler"/>
    <x v="1"/>
    <s v="Sales Rep"/>
    <s v="Male"/>
    <n v="51"/>
    <d v="2020-04-26T00:00:00"/>
    <s v="Contract"/>
    <n v="63537.74"/>
    <n v="1"/>
    <n v="85.26"/>
    <n v="5"/>
    <n v="47"/>
    <n v="5"/>
    <s v="Carla Gray"/>
    <s v="Active"/>
  </r>
  <r>
    <s v="EMP0397"/>
    <s v="Mr. Dylan Frye MD"/>
    <x v="7"/>
    <s v="Team Lead"/>
    <s v="Female"/>
    <n v="59"/>
    <d v="2016-05-01T00:00:00"/>
    <s v="Full-Time"/>
    <n v="114571.59"/>
    <n v="2"/>
    <n v="92.81"/>
    <n v="9"/>
    <n v="56"/>
    <n v="0"/>
    <s v="Abigail Shaffer"/>
    <s v="Resigned"/>
  </r>
  <r>
    <s v="EMP0398"/>
    <s v="Benjamin Brown"/>
    <x v="2"/>
    <s v="Accountant"/>
    <s v="Male"/>
    <n v="59"/>
    <d v="2022-09-22T00:00:00"/>
    <s v="Contract"/>
    <n v="71581.36"/>
    <n v="2"/>
    <n v="92.3"/>
    <n v="3"/>
    <n v="4"/>
    <n v="23"/>
    <s v="Gina Moore"/>
    <s v="Active"/>
  </r>
  <r>
    <s v="EMP0399"/>
    <s v="John Peterson"/>
    <x v="6"/>
    <s v="HR Officer"/>
    <s v="Female"/>
    <n v="46"/>
    <d v="2023-04-18T00:00:00"/>
    <s v="Part-Time"/>
    <n v="86966.2"/>
    <n v="4"/>
    <n v="91.72"/>
    <n v="2"/>
    <n v="66"/>
    <n v="0"/>
    <s v="Angie Henderson"/>
    <s v="Resigned"/>
  </r>
  <r>
    <s v="EMP0400"/>
    <s v="Nathan Gross"/>
    <x v="2"/>
    <s v="Finance Manager"/>
    <s v="Female"/>
    <n v="43"/>
    <d v="2018-04-05T00:00:00"/>
    <s v="Part-Time"/>
    <n v="42629.55"/>
    <n v="2"/>
    <n v="89.1"/>
    <n v="7"/>
    <n v="51"/>
    <n v="36"/>
    <s v="Allison Hill"/>
    <s v="Active"/>
  </r>
  <r>
    <s v="EMP0401"/>
    <s v="Bianca Wood"/>
    <x v="7"/>
    <s v="Support Agent"/>
    <s v="Male"/>
    <n v="53"/>
    <d v="2021-09-10T00:00:00"/>
    <s v="Part-Time"/>
    <n v="53996.59"/>
    <n v="1"/>
    <n v="96.06"/>
    <n v="4"/>
    <n v="32"/>
    <n v="56"/>
    <s v="Derek Zuniga"/>
    <s v="Active"/>
  </r>
  <r>
    <s v="EMP0402"/>
    <s v="David Martinez"/>
    <x v="2"/>
    <s v="Finance Manager"/>
    <s v="Female"/>
    <n v="45"/>
    <d v="2025-05-15T00:00:00"/>
    <s v="Contract"/>
    <n v="68362.990000000005"/>
    <n v="2"/>
    <n v="95.15"/>
    <n v="0"/>
    <n v="58"/>
    <n v="43"/>
    <s v="Dylan Miller"/>
    <s v="Resigned"/>
  </r>
  <r>
    <s v="EMP0403"/>
    <s v="Brent Roberts"/>
    <x v="1"/>
    <s v="Sales Manager"/>
    <s v="Male"/>
    <n v="37"/>
    <d v="2023-06-19T00:00:00"/>
    <s v="Full-Time"/>
    <n v="58267.32"/>
    <n v="2"/>
    <n v="93.54"/>
    <n v="2"/>
    <n v="29"/>
    <n v="51"/>
    <s v="Monica Herrera"/>
    <s v="Active"/>
  </r>
  <r>
    <s v="EMP0404"/>
    <s v="Jennifer Estes"/>
    <x v="3"/>
    <s v="Operations Associate"/>
    <s v="Female"/>
    <n v="36"/>
    <d v="2022-05-09T00:00:00"/>
    <s v="Part-Time"/>
    <n v="29300.94"/>
    <n v="3"/>
    <n v="81.52"/>
    <n v="3"/>
    <n v="22"/>
    <n v="30"/>
    <s v="Monica Herrera"/>
    <s v="Active"/>
  </r>
  <r>
    <s v="EMP0405"/>
    <s v="Taylor Griffith"/>
    <x v="2"/>
    <s v="Accountant"/>
    <s v="Male"/>
    <n v="52"/>
    <d v="2018-07-14T00:00:00"/>
    <s v="Contract"/>
    <n v="39966.65"/>
    <n v="2"/>
    <n v="97.45"/>
    <n v="7"/>
    <n v="26"/>
    <n v="14"/>
    <s v="Abigail Shaffer"/>
    <s v="Active"/>
  </r>
  <r>
    <s v="EMP0406"/>
    <s v="Kathleen Robertson"/>
    <x v="3"/>
    <s v="Operations Associate"/>
    <s v="Male"/>
    <n v="28"/>
    <d v="2019-01-17T00:00:00"/>
    <s v="Full-Time"/>
    <n v="87581.21"/>
    <n v="4"/>
    <n v="92.28"/>
    <n v="6"/>
    <n v="69"/>
    <n v="2"/>
    <s v="Brian Ramirez"/>
    <s v="Active"/>
  </r>
  <r>
    <s v="EMP0407"/>
    <s v="Kathleen Davis"/>
    <x v="3"/>
    <s v="Operations Manager"/>
    <s v="Female"/>
    <n v="52"/>
    <d v="2024-04-20T00:00:00"/>
    <s v="Full-Time"/>
    <n v="118439.47"/>
    <n v="5"/>
    <n v="85.61"/>
    <n v="1"/>
    <n v="28"/>
    <n v="48"/>
    <s v="Lisa Jackson"/>
    <s v="Active"/>
  </r>
  <r>
    <s v="EMP0408"/>
    <s v="Tracy Lewis"/>
    <x v="7"/>
    <s v="Team Lead"/>
    <s v="Male"/>
    <n v="53"/>
    <d v="2022-07-04T00:00:00"/>
    <s v="Part-Time"/>
    <n v="59371.69"/>
    <n v="2"/>
    <n v="89.14"/>
    <n v="3"/>
    <n v="15"/>
    <n v="44"/>
    <s v="Holly Wood"/>
    <s v="Active"/>
  </r>
  <r>
    <s v="EMP0409"/>
    <s v="Douglas Harper"/>
    <x v="1"/>
    <s v="Sales Rep"/>
    <s v="Male"/>
    <n v="45"/>
    <d v="2021-10-26T00:00:00"/>
    <s v="Contract"/>
    <n v="30074.78"/>
    <n v="3"/>
    <n v="92.26"/>
    <n v="4"/>
    <n v="33"/>
    <n v="11"/>
    <s v="Derek Zuniga"/>
    <s v="Active"/>
  </r>
  <r>
    <s v="EMP0410"/>
    <s v="Adam Rodriguez"/>
    <x v="2"/>
    <s v="Financial Analyst"/>
    <s v="Female"/>
    <n v="44"/>
    <d v="2023-10-28T00:00:00"/>
    <s v="Full-Time"/>
    <n v="69877"/>
    <n v="2"/>
    <n v="88.38"/>
    <n v="2"/>
    <n v="47"/>
    <n v="23"/>
    <s v="Lisa Hensley"/>
    <s v="Active"/>
  </r>
  <r>
    <s v="EMP0411"/>
    <s v="Monica Gallagher"/>
    <x v="6"/>
    <s v="HR Manager"/>
    <s v="Male"/>
    <n v="57"/>
    <d v="2018-02-04T00:00:00"/>
    <s v="Contract"/>
    <n v="42856.67"/>
    <n v="1"/>
    <n v="94.42"/>
    <n v="7"/>
    <n v="30"/>
    <n v="35"/>
    <s v="Michele Williams"/>
    <s v="Resigned"/>
  </r>
  <r>
    <s v="EMP0412"/>
    <s v="Anthony Hoffman"/>
    <x v="5"/>
    <s v="IT Support"/>
    <s v="Male"/>
    <n v="51"/>
    <d v="2022-01-15T00:00:00"/>
    <s v="Full-Time"/>
    <n v="37660.730000000003"/>
    <n v="4"/>
    <n v="82.69"/>
    <n v="3"/>
    <n v="80"/>
    <n v="33"/>
    <s v="Derek Zuniga"/>
    <s v="Active"/>
  </r>
  <r>
    <s v="EMP0413"/>
    <s v="Angel Gordon"/>
    <x v="4"/>
    <s v="Product Developer"/>
    <s v="Female"/>
    <n v="56"/>
    <d v="2021-12-25T00:00:00"/>
    <s v="Contract"/>
    <n v="24770.93"/>
    <n v="1"/>
    <n v="93.81"/>
    <n v="4"/>
    <n v="7"/>
    <n v="13"/>
    <s v="Gabrielle Davis"/>
    <s v="Active"/>
  </r>
  <r>
    <s v="EMP0414"/>
    <s v="William Becker"/>
    <x v="0"/>
    <s v="Brand Manager"/>
    <s v="Female"/>
    <n v="37"/>
    <d v="2025-03-03T00:00:00"/>
    <s v="Part-Time"/>
    <n v="56030.66"/>
    <n v="5"/>
    <n v="98.64"/>
    <n v="0"/>
    <n v="32"/>
    <n v="22"/>
    <s v="Allison Hill"/>
    <s v="Active"/>
  </r>
  <r>
    <s v="EMP0415"/>
    <s v="Brent Brooks"/>
    <x v="3"/>
    <s v="Operations Associate"/>
    <s v="Male"/>
    <n v="39"/>
    <d v="2017-11-02T00:00:00"/>
    <s v="Part-Time"/>
    <n v="52509.03"/>
    <n v="5"/>
    <n v="89.75"/>
    <n v="8"/>
    <n v="57"/>
    <n v="56"/>
    <s v="Angie Henderson"/>
    <s v="Active"/>
  </r>
  <r>
    <s v="EMP0416"/>
    <s v="Holly Thomas"/>
    <x v="2"/>
    <s v="Financial Analyst"/>
    <s v="Male"/>
    <n v="31"/>
    <d v="2021-08-02T00:00:00"/>
    <s v="Contract"/>
    <n v="100771.71"/>
    <n v="3"/>
    <n v="88.44"/>
    <n v="4"/>
    <n v="78"/>
    <n v="36"/>
    <s v="Lisa Hensley"/>
    <s v="Active"/>
  </r>
  <r>
    <s v="EMP0417"/>
    <s v="Andrew Williams"/>
    <x v="0"/>
    <s v="Marketing Analyst"/>
    <s v="Male"/>
    <n v="42"/>
    <d v="2024-06-23T00:00:00"/>
    <s v="Full-Time"/>
    <n v="51348.21"/>
    <n v="3"/>
    <n v="94.21"/>
    <n v="1"/>
    <n v="77"/>
    <n v="41"/>
    <s v="Lisa Hensley"/>
    <s v="Active"/>
  </r>
  <r>
    <s v="EMP0418"/>
    <s v="Kelly Hernandez"/>
    <x v="4"/>
    <s v="Product Developer"/>
    <s v="Female"/>
    <n v="47"/>
    <d v="2021-06-25T00:00:00"/>
    <s v="Full-Time"/>
    <n v="38388.620000000003"/>
    <n v="1"/>
    <n v="82.5"/>
    <n v="4"/>
    <n v="30"/>
    <n v="42"/>
    <s v="Gabrielle Davis"/>
    <s v="Resigned"/>
  </r>
  <r>
    <s v="EMP0419"/>
    <s v="Timothy Flores"/>
    <x v="0"/>
    <s v="Marketing Analyst"/>
    <s v="Male"/>
    <n v="46"/>
    <d v="2024-08-02T00:00:00"/>
    <s v="Full-Time"/>
    <n v="29555.37"/>
    <n v="4"/>
    <n v="90.97"/>
    <n v="1"/>
    <n v="3"/>
    <n v="49"/>
    <s v="Lisa Hensley"/>
    <s v="Active"/>
  </r>
  <r>
    <s v="EMP0420"/>
    <s v="Nancy Evans MD"/>
    <x v="0"/>
    <s v="Marketing Analyst"/>
    <s v="Female"/>
    <n v="60"/>
    <d v="2022-07-02T00:00:00"/>
    <s v="Full-Time"/>
    <n v="28431.13"/>
    <n v="4"/>
    <n v="86.19"/>
    <n v="3"/>
    <n v="31"/>
    <n v="47"/>
    <s v="Ryan Munoz"/>
    <s v="Active"/>
  </r>
  <r>
    <s v="EMP0421"/>
    <s v="Michelle Evans"/>
    <x v="6"/>
    <s v="HR Officer"/>
    <s v="Male"/>
    <n v="22"/>
    <d v="2024-06-27T00:00:00"/>
    <s v="Full-Time"/>
    <n v="86354.91"/>
    <n v="3"/>
    <n v="97.28"/>
    <n v="1"/>
    <n v="59"/>
    <n v="55"/>
    <s v="Derek Zuniga"/>
    <s v="Resigned"/>
  </r>
  <r>
    <s v="EMP0422"/>
    <s v="Michael Whitney"/>
    <x v="4"/>
    <s v="Researcher"/>
    <s v="Male"/>
    <n v="58"/>
    <d v="2016-02-06T00:00:00"/>
    <s v="Contract"/>
    <n v="65654.34"/>
    <n v="5"/>
    <n v="88.7"/>
    <n v="9"/>
    <n v="68"/>
    <n v="19"/>
    <s v="Jamie Arnold"/>
    <s v="Active"/>
  </r>
  <r>
    <s v="EMP0423"/>
    <s v="Steven Wiggins"/>
    <x v="5"/>
    <s v="IT Support"/>
    <s v="Female"/>
    <n v="40"/>
    <d v="2025-09-29T00:00:00"/>
    <s v="Part-Time"/>
    <n v="61220.38"/>
    <n v="2"/>
    <n v="86.07"/>
    <n v="0"/>
    <n v="0"/>
    <n v="33"/>
    <s v="Cristian Santos"/>
    <s v="Active"/>
  </r>
  <r>
    <s v="EMP0424"/>
    <s v="Deborah Rios"/>
    <x v="4"/>
    <s v="Researcher"/>
    <s v="Female"/>
    <n v="51"/>
    <d v="2016-04-08T00:00:00"/>
    <s v="Part-Time"/>
    <n v="20913.259999999998"/>
    <n v="4"/>
    <n v="95.96"/>
    <n v="9"/>
    <n v="76"/>
    <n v="14"/>
    <s v="Allison Hill"/>
    <s v="Active"/>
  </r>
  <r>
    <s v="EMP0425"/>
    <s v="Mikayla Silva"/>
    <x v="5"/>
    <s v="Software Engineer"/>
    <s v="Female"/>
    <n v="46"/>
    <d v="2025-08-28T00:00:00"/>
    <s v="Full-Time"/>
    <n v="36326.949999999997"/>
    <n v="4"/>
    <n v="96.57"/>
    <n v="0"/>
    <n v="28"/>
    <n v="16"/>
    <s v="Angie Henderson"/>
    <s v="Active"/>
  </r>
  <r>
    <s v="EMP0426"/>
    <s v="Michelle Hampton"/>
    <x v="5"/>
    <s v="Data Analyst"/>
    <s v="Female"/>
    <n v="39"/>
    <d v="2018-09-19T00:00:00"/>
    <s v="Contract"/>
    <n v="94292.69"/>
    <n v="3"/>
    <n v="88.26"/>
    <n v="7"/>
    <n v="8"/>
    <n v="11"/>
    <s v="Cristian Santos"/>
    <s v="Active"/>
  </r>
  <r>
    <s v="EMP0427"/>
    <s v="Michael Johnson"/>
    <x v="4"/>
    <s v="Product Developer"/>
    <s v="Female"/>
    <n v="60"/>
    <d v="2022-04-14T00:00:00"/>
    <s v="Part-Time"/>
    <n v="38778.94"/>
    <n v="1"/>
    <n v="83.04"/>
    <n v="3"/>
    <n v="68"/>
    <n v="1"/>
    <s v="Connie Lawrence"/>
    <s v="Resigned"/>
  </r>
  <r>
    <s v="EMP0428"/>
    <s v="Jeremy Barnes"/>
    <x v="2"/>
    <s v="Financial Analyst"/>
    <s v="Male"/>
    <n v="49"/>
    <d v="2017-09-07T00:00:00"/>
    <s v="Contract"/>
    <n v="20820.41"/>
    <n v="1"/>
    <n v="83.01"/>
    <n v="8"/>
    <n v="63"/>
    <n v="13"/>
    <s v="Monica Herrera"/>
    <s v="Active"/>
  </r>
  <r>
    <s v="EMP0429"/>
    <s v="Jennifer Hampton"/>
    <x v="4"/>
    <s v="Product Developer"/>
    <s v="Female"/>
    <n v="23"/>
    <d v="2022-11-04T00:00:00"/>
    <s v="Part-Time"/>
    <n v="28022.31"/>
    <n v="2"/>
    <n v="81.12"/>
    <n v="3"/>
    <n v="50"/>
    <n v="4"/>
    <s v="Derek Zuniga"/>
    <s v="Active"/>
  </r>
  <r>
    <s v="EMP0430"/>
    <s v="Nancy Brown"/>
    <x v="5"/>
    <s v="Software Engineer"/>
    <s v="Female"/>
    <n v="21"/>
    <d v="2023-11-03T00:00:00"/>
    <s v="Full-Time"/>
    <n v="117459.85"/>
    <n v="2"/>
    <n v="87.7"/>
    <n v="2"/>
    <n v="56"/>
    <n v="15"/>
    <s v="Noah Rhodes"/>
    <s v="Active"/>
  </r>
  <r>
    <s v="EMP0431"/>
    <s v="Kristina Bolton"/>
    <x v="0"/>
    <s v="Content Specialist"/>
    <s v="Male"/>
    <n v="51"/>
    <d v="2018-03-02T00:00:00"/>
    <s v="Part-Time"/>
    <n v="88144.23"/>
    <n v="3"/>
    <n v="98.72"/>
    <n v="7"/>
    <n v="20"/>
    <n v="40"/>
    <s v="Noah Rhodes"/>
    <s v="Active"/>
  </r>
  <r>
    <s v="EMP0432"/>
    <s v="Emily Thompson"/>
    <x v="0"/>
    <s v="Brand Manager"/>
    <s v="Female"/>
    <n v="40"/>
    <d v="2023-12-15T00:00:00"/>
    <s v="Full-Time"/>
    <n v="56042.67"/>
    <n v="1"/>
    <n v="97.27"/>
    <n v="2"/>
    <n v="27"/>
    <n v="7"/>
    <s v="Gina Moore"/>
    <s v="Active"/>
  </r>
  <r>
    <s v="EMP0433"/>
    <s v="Hector Ingram"/>
    <x v="3"/>
    <s v="Operations Associate"/>
    <s v="Male"/>
    <n v="38"/>
    <d v="2024-11-19T00:00:00"/>
    <s v="Contract"/>
    <n v="31964.959999999999"/>
    <n v="2"/>
    <n v="80.180000000000007"/>
    <n v="1"/>
    <n v="5"/>
    <n v="37"/>
    <s v="Brian Ramirez"/>
    <s v="Active"/>
  </r>
  <r>
    <s v="EMP0434"/>
    <s v="Cheryl Wright"/>
    <x v="6"/>
    <s v="Recruiter"/>
    <s v="Male"/>
    <n v="36"/>
    <d v="2020-04-24T00:00:00"/>
    <s v="Full-Time"/>
    <n v="69991.92"/>
    <n v="5"/>
    <n v="86.77"/>
    <n v="5"/>
    <n v="80"/>
    <n v="3"/>
    <s v="Noah Rhodes"/>
    <s v="Active"/>
  </r>
  <r>
    <s v="EMP0435"/>
    <s v="Todd Hendrix"/>
    <x v="6"/>
    <s v="HR Manager"/>
    <s v="Male"/>
    <n v="29"/>
    <d v="2025-04-23T00:00:00"/>
    <s v="Part-Time"/>
    <n v="43267.46"/>
    <n v="5"/>
    <n v="95.77"/>
    <n v="0"/>
    <n v="44"/>
    <n v="51"/>
    <s v="Dylan Miller"/>
    <s v="Active"/>
  </r>
  <r>
    <s v="EMP0436"/>
    <s v="Melissa Burns"/>
    <x v="1"/>
    <s v="Account Executive"/>
    <s v="Female"/>
    <n v="43"/>
    <d v="2020-09-24T00:00:00"/>
    <s v="Contract"/>
    <n v="33473.22"/>
    <n v="1"/>
    <n v="89.71"/>
    <n v="5"/>
    <n v="56"/>
    <n v="35"/>
    <s v="Ryan Munoz"/>
    <s v="Active"/>
  </r>
  <r>
    <s v="EMP0437"/>
    <s v="Timothy Pope"/>
    <x v="4"/>
    <s v="Researcher"/>
    <s v="Male"/>
    <n v="55"/>
    <d v="2023-12-24T00:00:00"/>
    <s v="Part-Time"/>
    <n v="52368.09"/>
    <n v="4"/>
    <n v="85.51"/>
    <n v="2"/>
    <n v="76"/>
    <n v="58"/>
    <s v="Derek Zuniga"/>
    <s v="Active"/>
  </r>
  <r>
    <s v="EMP0438"/>
    <s v="Kenneth Daniels"/>
    <x v="6"/>
    <s v="Recruiter"/>
    <s v="Female"/>
    <n v="37"/>
    <d v="2020-06-20T00:00:00"/>
    <s v="Contract"/>
    <n v="56711.27"/>
    <n v="1"/>
    <n v="95.52"/>
    <n v="5"/>
    <n v="64"/>
    <n v="24"/>
    <s v="Connie Lawrence"/>
    <s v="Resigned"/>
  </r>
  <r>
    <s v="EMP0439"/>
    <s v="Tina Ballard"/>
    <x v="3"/>
    <s v="Operations Associate"/>
    <s v="Female"/>
    <n v="25"/>
    <d v="2022-07-12T00:00:00"/>
    <s v="Contract"/>
    <n v="116716.32"/>
    <n v="4"/>
    <n v="83.8"/>
    <n v="3"/>
    <n v="63"/>
    <n v="49"/>
    <s v="Derek Zuniga"/>
    <s v="Active"/>
  </r>
  <r>
    <s v="EMP0440"/>
    <s v="Tyler Miller"/>
    <x v="2"/>
    <s v="Financial Analyst"/>
    <s v="Female"/>
    <n v="41"/>
    <d v="2020-10-03T00:00:00"/>
    <s v="Full-Time"/>
    <n v="29625.63"/>
    <n v="1"/>
    <n v="80.88"/>
    <n v="5"/>
    <n v="16"/>
    <n v="11"/>
    <s v="Noah Rhodes"/>
    <s v="Active"/>
  </r>
  <r>
    <s v="EMP0441"/>
    <s v="Nicole Lewis"/>
    <x v="4"/>
    <s v="Researcher"/>
    <s v="Male"/>
    <n v="23"/>
    <d v="2023-05-05T00:00:00"/>
    <s v="Contract"/>
    <n v="84175.17"/>
    <n v="4"/>
    <n v="93.16"/>
    <n v="2"/>
    <n v="67"/>
    <n v="39"/>
    <s v="Lisa Jackson"/>
    <s v="Active"/>
  </r>
  <r>
    <s v="EMP0442"/>
    <s v="Justin Nelson"/>
    <x v="3"/>
    <s v="Operations Associate"/>
    <s v="Male"/>
    <n v="21"/>
    <d v="2024-12-23T00:00:00"/>
    <s v="Full-Time"/>
    <n v="85574.94"/>
    <n v="1"/>
    <n v="89.36"/>
    <n v="1"/>
    <n v="7"/>
    <n v="23"/>
    <s v="Derek Zuniga"/>
    <s v="Active"/>
  </r>
  <r>
    <s v="EMP0443"/>
    <s v="Laurie Sanchez"/>
    <x v="7"/>
    <s v="Team Lead"/>
    <s v="Male"/>
    <n v="60"/>
    <d v="2017-09-03T00:00:00"/>
    <s v="Part-Time"/>
    <n v="72902.080000000002"/>
    <n v="1"/>
    <n v="96.69"/>
    <n v="8"/>
    <n v="9"/>
    <n v="60"/>
    <s v="Abigail Shaffer"/>
    <s v="Resigned"/>
  </r>
  <r>
    <s v="EMP0444"/>
    <s v="David Garcia"/>
    <x v="0"/>
    <s v="Marketing Analyst"/>
    <s v="Male"/>
    <n v="55"/>
    <d v="2024-11-06T00:00:00"/>
    <s v="Part-Time"/>
    <n v="38946.04"/>
    <n v="5"/>
    <n v="93.14"/>
    <n v="1"/>
    <n v="72"/>
    <n v="40"/>
    <s v="Connie Lawrence"/>
    <s v="Active"/>
  </r>
  <r>
    <s v="EMP0445"/>
    <s v="Ashlee Townsend"/>
    <x v="7"/>
    <s v="Support Agent"/>
    <s v="Female"/>
    <n v="50"/>
    <d v="2021-06-08T00:00:00"/>
    <s v="Contract"/>
    <n v="86524.24"/>
    <n v="1"/>
    <n v="83.34"/>
    <n v="4"/>
    <n v="23"/>
    <n v="35"/>
    <s v="Lisa Hensley"/>
    <s v="Active"/>
  </r>
  <r>
    <s v="EMP0446"/>
    <s v="Vanessa Moore"/>
    <x v="6"/>
    <s v="HR Manager"/>
    <s v="Female"/>
    <n v="43"/>
    <d v="2015-11-27T00:00:00"/>
    <s v="Part-Time"/>
    <n v="75008.13"/>
    <n v="3"/>
    <n v="96.9"/>
    <n v="10"/>
    <n v="52"/>
    <n v="48"/>
    <s v="Michele Williams"/>
    <s v="Active"/>
  </r>
  <r>
    <s v="EMP0447"/>
    <s v="Curtis Maynard"/>
    <x v="3"/>
    <s v="Operations Associate"/>
    <s v="Male"/>
    <n v="45"/>
    <d v="2023-11-28T00:00:00"/>
    <s v="Contract"/>
    <n v="112614.69"/>
    <n v="3"/>
    <n v="87.2"/>
    <n v="2"/>
    <n v="57"/>
    <n v="28"/>
    <s v="Lisa Hensley"/>
    <s v="Active"/>
  </r>
  <r>
    <s v="EMP0448"/>
    <s v="Anthony Mack"/>
    <x v="1"/>
    <s v="Sales Manager"/>
    <s v="Male"/>
    <n v="54"/>
    <d v="2021-04-12T00:00:00"/>
    <s v="Full-Time"/>
    <n v="119341.2"/>
    <n v="3"/>
    <n v="80.13"/>
    <n v="4"/>
    <n v="28"/>
    <n v="13"/>
    <s v="Monica Herrera"/>
    <s v="Active"/>
  </r>
  <r>
    <s v="EMP0449"/>
    <s v="Parker Jefferson"/>
    <x v="2"/>
    <s v="Finance Manager"/>
    <s v="Male"/>
    <n v="27"/>
    <d v="2025-08-01T00:00:00"/>
    <s v="Full-Time"/>
    <n v="66036.98"/>
    <n v="2"/>
    <n v="82.77"/>
    <n v="0"/>
    <n v="46"/>
    <n v="56"/>
    <s v="Lisa Jackson"/>
    <s v="Active"/>
  </r>
  <r>
    <s v="EMP0450"/>
    <s v="Carrie Khan"/>
    <x v="2"/>
    <s v="Financial Analyst"/>
    <s v="Male"/>
    <n v="57"/>
    <d v="2016-06-13T00:00:00"/>
    <s v="Part-Time"/>
    <n v="76906.490000000005"/>
    <n v="2"/>
    <n v="94.69"/>
    <n v="9"/>
    <n v="41"/>
    <n v="50"/>
    <s v="Brian Ramirez"/>
    <s v="Active"/>
  </r>
  <r>
    <s v="EMP0451"/>
    <s v="Amanda Huff"/>
    <x v="0"/>
    <s v="Content Specialist"/>
    <s v="Female"/>
    <n v="23"/>
    <d v="2018-10-22T00:00:00"/>
    <s v="Contract"/>
    <n v="100834.12"/>
    <n v="4"/>
    <n v="81.569999999999993"/>
    <n v="7"/>
    <n v="7"/>
    <n v="58"/>
    <s v="Monica Herrera"/>
    <s v="Active"/>
  </r>
  <r>
    <s v="EMP0452"/>
    <s v="Paul Brennan"/>
    <x v="7"/>
    <s v="Team Lead"/>
    <s v="Male"/>
    <n v="35"/>
    <d v="2024-03-30T00:00:00"/>
    <s v="Contract"/>
    <n v="85277.92"/>
    <n v="5"/>
    <n v="98.57"/>
    <n v="1"/>
    <n v="80"/>
    <n v="24"/>
    <s v="Noah Rhodes"/>
    <s v="Active"/>
  </r>
  <r>
    <s v="EMP0453"/>
    <s v="Alexandra Bradley"/>
    <x v="1"/>
    <s v="Sales Manager"/>
    <s v="Male"/>
    <n v="41"/>
    <d v="2020-09-27T00:00:00"/>
    <s v="Contract"/>
    <n v="89776.87"/>
    <n v="2"/>
    <n v="81.010000000000005"/>
    <n v="5"/>
    <n v="50"/>
    <n v="28"/>
    <s v="Carla Gray"/>
    <s v="Active"/>
  </r>
  <r>
    <s v="EMP0454"/>
    <s v="Frances Gibson"/>
    <x v="0"/>
    <s v="Marketing Analyst"/>
    <s v="Female"/>
    <n v="39"/>
    <d v="2017-08-22T00:00:00"/>
    <s v="Part-Time"/>
    <n v="34801.24"/>
    <n v="3"/>
    <n v="81.650000000000006"/>
    <n v="8"/>
    <n v="73"/>
    <n v="47"/>
    <s v="Noah Rhodes"/>
    <s v="Active"/>
  </r>
  <r>
    <s v="EMP0455"/>
    <s v="Stacy Anderson"/>
    <x v="2"/>
    <s v="Accountant"/>
    <s v="Female"/>
    <n v="53"/>
    <d v="2025-01-21T00:00:00"/>
    <s v="Part-Time"/>
    <n v="97382.51"/>
    <n v="2"/>
    <n v="95.24"/>
    <n v="0"/>
    <n v="61"/>
    <n v="35"/>
    <s v="Abigail Shaffer"/>
    <s v="Active"/>
  </r>
  <r>
    <s v="EMP0456"/>
    <s v="Corey Rodriguez"/>
    <x v="5"/>
    <s v="Data Analyst"/>
    <s v="Male"/>
    <n v="36"/>
    <d v="2024-05-24T00:00:00"/>
    <s v="Full-Time"/>
    <n v="46625.71"/>
    <n v="4"/>
    <n v="86.47"/>
    <n v="1"/>
    <n v="73"/>
    <n v="5"/>
    <s v="Daniel Wagner"/>
    <s v="Active"/>
  </r>
  <r>
    <s v="EMP0457"/>
    <s v="Mariah Higgins"/>
    <x v="7"/>
    <s v="Team Lead"/>
    <s v="Female"/>
    <n v="33"/>
    <d v="2018-07-31T00:00:00"/>
    <s v="Part-Time"/>
    <n v="54452.49"/>
    <n v="1"/>
    <n v="95.39"/>
    <n v="7"/>
    <n v="21"/>
    <n v="22"/>
    <s v="Carla Gray"/>
    <s v="Active"/>
  </r>
  <r>
    <s v="EMP0458"/>
    <s v="Rachel Bradley"/>
    <x v="4"/>
    <s v="Researcher"/>
    <s v="Female"/>
    <n v="23"/>
    <d v="2016-01-21T00:00:00"/>
    <s v="Full-Time"/>
    <n v="39968.519999999997"/>
    <n v="3"/>
    <n v="83.12"/>
    <n v="9"/>
    <n v="10"/>
    <n v="7"/>
    <s v="Noah Rhodes"/>
    <s v="Active"/>
  </r>
  <r>
    <s v="EMP0459"/>
    <s v="Scott Prince"/>
    <x v="6"/>
    <s v="Recruiter"/>
    <s v="Male"/>
    <n v="42"/>
    <d v="2019-02-07T00:00:00"/>
    <s v="Contract"/>
    <n v="100428.08"/>
    <n v="3"/>
    <n v="89"/>
    <n v="6"/>
    <n v="2"/>
    <n v="21"/>
    <s v="Abigail Shaffer"/>
    <s v="Active"/>
  </r>
  <r>
    <s v="EMP0460"/>
    <s v="Angie Caldwell"/>
    <x v="5"/>
    <s v="IT Support"/>
    <s v="Female"/>
    <n v="56"/>
    <d v="2023-02-03T00:00:00"/>
    <s v="Part-Time"/>
    <n v="82304.2"/>
    <n v="2"/>
    <n v="93.9"/>
    <n v="2"/>
    <n v="2"/>
    <n v="24"/>
    <s v="Lisa Jackson"/>
    <s v="Resigned"/>
  </r>
  <r>
    <s v="EMP0461"/>
    <s v="Mrs. Taylor Smith"/>
    <x v="1"/>
    <s v="Sales Manager"/>
    <s v="Male"/>
    <n v="24"/>
    <d v="2018-12-17T00:00:00"/>
    <s v="Part-Time"/>
    <n v="40069.61"/>
    <n v="5"/>
    <n v="85.43"/>
    <n v="7"/>
    <n v="59"/>
    <n v="41"/>
    <s v="Allison Hill"/>
    <s v="Active"/>
  </r>
  <r>
    <s v="EMP0462"/>
    <s v="Paul Finley"/>
    <x v="2"/>
    <s v="Finance Manager"/>
    <s v="Female"/>
    <n v="27"/>
    <d v="2022-05-05T00:00:00"/>
    <s v="Full-Time"/>
    <n v="49249.56"/>
    <n v="4"/>
    <n v="84.62"/>
    <n v="3"/>
    <n v="48"/>
    <n v="32"/>
    <s v="Daniel Wagner"/>
    <s v="Resigned"/>
  </r>
  <r>
    <s v="EMP0463"/>
    <s v="Laura Green"/>
    <x v="4"/>
    <s v="Researcher"/>
    <s v="Male"/>
    <n v="33"/>
    <d v="2020-12-14T00:00:00"/>
    <s v="Contract"/>
    <n v="116679.14"/>
    <n v="5"/>
    <n v="98.53"/>
    <n v="5"/>
    <n v="2"/>
    <n v="2"/>
    <s v="Gina Moore"/>
    <s v="Resigned"/>
  </r>
  <r>
    <s v="EMP0464"/>
    <s v="Amy Wilson"/>
    <x v="2"/>
    <s v="Financial Analyst"/>
    <s v="Female"/>
    <n v="46"/>
    <d v="2021-12-07T00:00:00"/>
    <s v="Contract"/>
    <n v="35700.53"/>
    <n v="3"/>
    <n v="93.69"/>
    <n v="4"/>
    <n v="45"/>
    <n v="40"/>
    <s v="Ryan Munoz"/>
    <s v="Active"/>
  </r>
  <r>
    <s v="EMP0465"/>
    <s v="Michael Leblanc"/>
    <x v="2"/>
    <s v="Accountant"/>
    <s v="Female"/>
    <n v="45"/>
    <d v="2021-01-13T00:00:00"/>
    <s v="Full-Time"/>
    <n v="114413.67"/>
    <n v="3"/>
    <n v="84.51"/>
    <n v="4"/>
    <n v="43"/>
    <n v="57"/>
    <s v="Lisa Hensley"/>
    <s v="Active"/>
  </r>
  <r>
    <s v="EMP0466"/>
    <s v="Margaret Shepard"/>
    <x v="0"/>
    <s v="Content Specialist"/>
    <s v="Female"/>
    <n v="54"/>
    <d v="2021-02-08T00:00:00"/>
    <s v="Contract"/>
    <n v="81244.84"/>
    <n v="2"/>
    <n v="88.35"/>
    <n v="4"/>
    <n v="73"/>
    <n v="9"/>
    <s v="Michele Williams"/>
    <s v="Resigned"/>
  </r>
  <r>
    <s v="EMP0467"/>
    <s v="Colleen Anderson"/>
    <x v="3"/>
    <s v="Operations Manager"/>
    <s v="Male"/>
    <n v="34"/>
    <d v="2022-01-25T00:00:00"/>
    <s v="Contract"/>
    <n v="33857.65"/>
    <n v="5"/>
    <n v="93.68"/>
    <n v="3"/>
    <n v="25"/>
    <n v="55"/>
    <s v="Cristian Santos"/>
    <s v="Active"/>
  </r>
  <r>
    <s v="EMP0468"/>
    <s v="William Brooks"/>
    <x v="6"/>
    <s v="Recruiter"/>
    <s v="Male"/>
    <n v="57"/>
    <d v="2018-06-03T00:00:00"/>
    <s v="Full-Time"/>
    <n v="51749.62"/>
    <n v="5"/>
    <n v="90.66"/>
    <n v="7"/>
    <n v="15"/>
    <n v="11"/>
    <s v="Monica Herrera"/>
    <s v="Active"/>
  </r>
  <r>
    <s v="EMP0469"/>
    <s v="Nicole Pham"/>
    <x v="6"/>
    <s v="HR Manager"/>
    <s v="Male"/>
    <n v="41"/>
    <d v="2025-02-27T00:00:00"/>
    <s v="Part-Time"/>
    <n v="116119.62"/>
    <n v="3"/>
    <n v="88.86"/>
    <n v="0"/>
    <n v="35"/>
    <n v="9"/>
    <s v="Abigail Shaffer"/>
    <s v="Active"/>
  </r>
  <r>
    <s v="EMP0470"/>
    <s v="Melanie Larson"/>
    <x v="6"/>
    <s v="HR Officer"/>
    <s v="Female"/>
    <n v="59"/>
    <d v="2019-07-14T00:00:00"/>
    <s v="Contract"/>
    <n v="81236.2"/>
    <n v="5"/>
    <n v="84.64"/>
    <n v="6"/>
    <n v="3"/>
    <n v="22"/>
    <s v="Angie Henderson"/>
    <s v="Active"/>
  </r>
  <r>
    <s v="EMP0471"/>
    <s v="Kelsey Cox"/>
    <x v="4"/>
    <s v="Researcher"/>
    <s v="Female"/>
    <n v="44"/>
    <d v="2017-03-17T00:00:00"/>
    <s v="Full-Time"/>
    <n v="105212.94"/>
    <n v="4"/>
    <n v="89.48"/>
    <n v="8"/>
    <n v="20"/>
    <n v="12"/>
    <s v="Gina Moore"/>
    <s v="Active"/>
  </r>
  <r>
    <s v="EMP0472"/>
    <s v="Ronald Leach"/>
    <x v="1"/>
    <s v="Sales Manager"/>
    <s v="Female"/>
    <n v="35"/>
    <d v="2025-05-31T00:00:00"/>
    <s v="Contract"/>
    <n v="87133.91"/>
    <n v="2"/>
    <n v="95.16"/>
    <n v="0"/>
    <n v="8"/>
    <n v="11"/>
    <s v="Dylan Miller"/>
    <s v="Resigned"/>
  </r>
  <r>
    <s v="EMP0473"/>
    <s v="Brittany Murphy"/>
    <x v="4"/>
    <s v="Product Developer"/>
    <s v="Female"/>
    <n v="36"/>
    <d v="2019-04-04T00:00:00"/>
    <s v="Part-Time"/>
    <n v="60486.68"/>
    <n v="1"/>
    <n v="92.16"/>
    <n v="6"/>
    <n v="48"/>
    <n v="46"/>
    <s v="Monica Herrera"/>
    <s v="Active"/>
  </r>
  <r>
    <s v="EMP0474"/>
    <s v="Michael Love"/>
    <x v="1"/>
    <s v="Account Executive"/>
    <s v="Male"/>
    <n v="49"/>
    <d v="2024-09-01T00:00:00"/>
    <s v="Part-Time"/>
    <n v="102701.01"/>
    <n v="1"/>
    <n v="97.56"/>
    <n v="1"/>
    <n v="31"/>
    <n v="33"/>
    <s v="Derek Zuniga"/>
    <s v="Active"/>
  </r>
  <r>
    <s v="EMP0475"/>
    <s v="Jordan Stokes"/>
    <x v="1"/>
    <s v="Account Executive"/>
    <s v="Female"/>
    <n v="54"/>
    <d v="2024-02-18T00:00:00"/>
    <s v="Contract"/>
    <n v="116259.23"/>
    <n v="2"/>
    <n v="85.82"/>
    <n v="1"/>
    <n v="50"/>
    <n v="56"/>
    <s v="Ryan Munoz"/>
    <s v="Active"/>
  </r>
  <r>
    <s v="EMP0476"/>
    <s v="Jason Elliott"/>
    <x v="2"/>
    <s v="Financial Analyst"/>
    <s v="Male"/>
    <n v="48"/>
    <d v="2023-07-13T00:00:00"/>
    <s v="Part-Time"/>
    <n v="81313.429999999993"/>
    <n v="1"/>
    <n v="93.8"/>
    <n v="2"/>
    <n v="18"/>
    <n v="29"/>
    <s v="Dylan Miller"/>
    <s v="Active"/>
  </r>
  <r>
    <s v="EMP0477"/>
    <s v="Robert Cummings"/>
    <x v="0"/>
    <s v="Marketing Analyst"/>
    <s v="Male"/>
    <n v="46"/>
    <d v="2025-04-28T00:00:00"/>
    <s v="Part-Time"/>
    <n v="52346.09"/>
    <n v="1"/>
    <n v="83.58"/>
    <n v="0"/>
    <n v="75"/>
    <n v="57"/>
    <s v="Abigail Shaffer"/>
    <s v="Resigned"/>
  </r>
  <r>
    <s v="EMP0478"/>
    <s v="Aaron Robinson"/>
    <x v="0"/>
    <s v="Brand Manager"/>
    <s v="Female"/>
    <n v="31"/>
    <d v="2022-07-21T00:00:00"/>
    <s v="Contract"/>
    <n v="93326.23"/>
    <n v="1"/>
    <n v="82.28"/>
    <n v="3"/>
    <n v="57"/>
    <n v="40"/>
    <s v="Jamie Arnold"/>
    <s v="Active"/>
  </r>
  <r>
    <s v="EMP0479"/>
    <s v="Gregory Brown"/>
    <x v="7"/>
    <s v="Support Agent"/>
    <s v="Female"/>
    <n v="56"/>
    <d v="2017-01-21T00:00:00"/>
    <s v="Part-Time"/>
    <n v="24390.61"/>
    <n v="2"/>
    <n v="98.25"/>
    <n v="8"/>
    <n v="72"/>
    <n v="55"/>
    <s v="Cristian Santos"/>
    <s v="Active"/>
  </r>
  <r>
    <s v="EMP0480"/>
    <s v="Andrea Peck"/>
    <x v="6"/>
    <s v="HR Officer"/>
    <s v="Male"/>
    <n v="47"/>
    <d v="2016-11-03T00:00:00"/>
    <s v="Part-Time"/>
    <n v="50951.83"/>
    <n v="4"/>
    <n v="85.78"/>
    <n v="9"/>
    <n v="23"/>
    <n v="7"/>
    <s v="Cristian Santos"/>
    <s v="Resigned"/>
  </r>
  <r>
    <s v="EMP0481"/>
    <s v="Christopher Taylor"/>
    <x v="1"/>
    <s v="Account Executive"/>
    <s v="Female"/>
    <n v="21"/>
    <d v="2016-05-10T00:00:00"/>
    <s v="Part-Time"/>
    <n v="69762.759999999995"/>
    <n v="4"/>
    <n v="90.87"/>
    <n v="9"/>
    <n v="0"/>
    <n v="38"/>
    <s v="Brian Ramirez"/>
    <s v="Active"/>
  </r>
  <r>
    <s v="EMP0482"/>
    <s v="Steven West"/>
    <x v="4"/>
    <s v="Product Developer"/>
    <s v="Female"/>
    <n v="49"/>
    <d v="2022-12-20T00:00:00"/>
    <s v="Full-Time"/>
    <n v="80121.66"/>
    <n v="1"/>
    <n v="84.89"/>
    <n v="3"/>
    <n v="70"/>
    <n v="17"/>
    <s v="Carla Gray"/>
    <s v="Active"/>
  </r>
  <r>
    <s v="EMP0483"/>
    <s v="Michael Stanley"/>
    <x v="5"/>
    <s v="IT Support"/>
    <s v="Male"/>
    <n v="30"/>
    <d v="2022-03-28T00:00:00"/>
    <s v="Full-Time"/>
    <n v="85327.69"/>
    <n v="1"/>
    <n v="82.91"/>
    <n v="3"/>
    <n v="4"/>
    <n v="42"/>
    <s v="Lisa Jackson"/>
    <s v="Active"/>
  </r>
  <r>
    <s v="EMP0484"/>
    <s v="Scott Wilson"/>
    <x v="2"/>
    <s v="Financial Analyst"/>
    <s v="Male"/>
    <n v="24"/>
    <d v="2024-12-28T00:00:00"/>
    <s v="Full-Time"/>
    <n v="61695.69"/>
    <n v="2"/>
    <n v="83.23"/>
    <n v="1"/>
    <n v="36"/>
    <n v="39"/>
    <s v="Carla Gray"/>
    <s v="Active"/>
  </r>
  <r>
    <s v="EMP0485"/>
    <s v="Cameron Irwin"/>
    <x v="6"/>
    <s v="Recruiter"/>
    <s v="Female"/>
    <n v="23"/>
    <d v="2024-12-15T00:00:00"/>
    <s v="Full-Time"/>
    <n v="96851.199999999997"/>
    <n v="3"/>
    <n v="87.37"/>
    <n v="1"/>
    <n v="48"/>
    <n v="52"/>
    <s v="Angie Henderson"/>
    <s v="Active"/>
  </r>
  <r>
    <s v="EMP0486"/>
    <s v="Veronica Ford"/>
    <x v="0"/>
    <s v="Brand Manager"/>
    <s v="Female"/>
    <n v="29"/>
    <d v="2015-11-16T00:00:00"/>
    <s v="Full-Time"/>
    <n v="89461.94"/>
    <n v="3"/>
    <n v="86.58"/>
    <n v="10"/>
    <n v="52"/>
    <n v="33"/>
    <s v="Abigail Shaffer"/>
    <s v="Active"/>
  </r>
  <r>
    <s v="EMP0487"/>
    <s v="James Hall"/>
    <x v="1"/>
    <s v="Sales Rep"/>
    <s v="Male"/>
    <n v="51"/>
    <d v="2025-01-29T00:00:00"/>
    <s v="Contract"/>
    <n v="88865.43"/>
    <n v="3"/>
    <n v="88.54"/>
    <n v="0"/>
    <n v="40"/>
    <n v="16"/>
    <s v="Holly Wood"/>
    <s v="Active"/>
  </r>
  <r>
    <s v="EMP0488"/>
    <s v="Donald Pineda"/>
    <x v="3"/>
    <s v="Operations Associate"/>
    <s v="Female"/>
    <n v="54"/>
    <d v="2023-08-27T00:00:00"/>
    <s v="Contract"/>
    <n v="83185.759999999995"/>
    <n v="4"/>
    <n v="96.16"/>
    <n v="2"/>
    <n v="78"/>
    <n v="14"/>
    <s v="Ryan Munoz"/>
    <s v="Resigned"/>
  </r>
  <r>
    <s v="EMP0489"/>
    <s v="Matthew Mendez"/>
    <x v="1"/>
    <s v="Sales Rep"/>
    <s v="Male"/>
    <n v="50"/>
    <d v="2017-09-26T00:00:00"/>
    <s v="Contract"/>
    <n v="99673.26"/>
    <n v="2"/>
    <n v="95.99"/>
    <n v="8"/>
    <n v="53"/>
    <n v="26"/>
    <s v="Noah Rhodes"/>
    <s v="Active"/>
  </r>
  <r>
    <s v="EMP0490"/>
    <s v="Austin Wheeler"/>
    <x v="5"/>
    <s v="IT Support"/>
    <s v="Male"/>
    <n v="39"/>
    <d v="2016-01-31T00:00:00"/>
    <s v="Part-Time"/>
    <n v="99019.55"/>
    <n v="3"/>
    <n v="86.01"/>
    <n v="9"/>
    <n v="70"/>
    <n v="20"/>
    <s v="Allison Hill"/>
    <s v="Active"/>
  </r>
  <r>
    <s v="EMP0491"/>
    <s v="Michele Williams"/>
    <x v="3"/>
    <s v="Operations Manager"/>
    <s v="Female"/>
    <n v="57"/>
    <d v="2023-05-31T00:00:00"/>
    <s v="Contract"/>
    <n v="116011.28"/>
    <n v="2"/>
    <n v="83.88"/>
    <n v="2"/>
    <n v="43"/>
    <n v="59"/>
    <s v="Brian Ramirez"/>
    <s v="Resigned"/>
  </r>
  <r>
    <s v="EMP0492"/>
    <s v="David Robinson"/>
    <x v="1"/>
    <s v="Account Executive"/>
    <s v="Male"/>
    <n v="51"/>
    <d v="2016-07-26T00:00:00"/>
    <s v="Full-Time"/>
    <n v="82720.05"/>
    <n v="5"/>
    <n v="97.92"/>
    <n v="9"/>
    <n v="59"/>
    <n v="50"/>
    <s v="Michele Williams"/>
    <s v="Resigned"/>
  </r>
  <r>
    <s v="EMP0493"/>
    <s v="Wyatt Young"/>
    <x v="1"/>
    <s v="Account Executive"/>
    <s v="Female"/>
    <n v="57"/>
    <d v="2016-10-10T00:00:00"/>
    <s v="Contract"/>
    <n v="87819.76"/>
    <n v="5"/>
    <n v="90.72"/>
    <n v="9"/>
    <n v="26"/>
    <n v="36"/>
    <s v="Monica Herrera"/>
    <s v="Active"/>
  </r>
  <r>
    <s v="EMP0494"/>
    <s v="Kyle Chambers"/>
    <x v="3"/>
    <s v="Operations Associate"/>
    <s v="Male"/>
    <n v="38"/>
    <d v="2025-08-13T00:00:00"/>
    <s v="Full-Time"/>
    <n v="53915.24"/>
    <n v="4"/>
    <n v="92.53"/>
    <n v="0"/>
    <n v="21"/>
    <n v="36"/>
    <s v="Carla Gray"/>
    <s v="Active"/>
  </r>
  <r>
    <s v="EMP0495"/>
    <s v="Shawn Odom"/>
    <x v="0"/>
    <s v="Brand Manager"/>
    <s v="Female"/>
    <n v="23"/>
    <d v="2021-04-09T00:00:00"/>
    <s v="Part-Time"/>
    <n v="61386.96"/>
    <n v="4"/>
    <n v="97.54"/>
    <n v="4"/>
    <n v="47"/>
    <n v="28"/>
    <s v="Ryan Munoz"/>
    <s v="Active"/>
  </r>
  <r>
    <s v="EMP0496"/>
    <s v="Eric Brown"/>
    <x v="2"/>
    <s v="Accountant"/>
    <s v="Male"/>
    <n v="44"/>
    <d v="2024-09-06T00:00:00"/>
    <s v="Full-Time"/>
    <n v="97779.04"/>
    <n v="1"/>
    <n v="88.88"/>
    <n v="1"/>
    <n v="3"/>
    <n v="51"/>
    <s v="Brian Ramirez"/>
    <s v="Resigned"/>
  </r>
  <r>
    <s v="EMP0497"/>
    <s v="Jessica Simpson"/>
    <x v="6"/>
    <s v="HR Officer"/>
    <s v="Female"/>
    <n v="51"/>
    <d v="2018-10-18T00:00:00"/>
    <s v="Contract"/>
    <n v="107387.91"/>
    <n v="3"/>
    <n v="95.51"/>
    <n v="7"/>
    <n v="18"/>
    <n v="49"/>
    <s v="Daniel Wagner"/>
    <s v="Active"/>
  </r>
  <r>
    <s v="EMP0498"/>
    <s v="Megan Floyd"/>
    <x v="6"/>
    <s v="HR Officer"/>
    <s v="Male"/>
    <n v="50"/>
    <d v="2021-09-04T00:00:00"/>
    <s v="Part-Time"/>
    <n v="91367.74"/>
    <n v="5"/>
    <n v="82.32"/>
    <n v="4"/>
    <n v="39"/>
    <n v="59"/>
    <s v="Noah Rhodes"/>
    <s v="Active"/>
  </r>
  <r>
    <s v="EMP0499"/>
    <s v="Jennifer Evans"/>
    <x v="0"/>
    <s v="Brand Manager"/>
    <s v="Female"/>
    <n v="23"/>
    <d v="2021-03-28T00:00:00"/>
    <s v="Full-Time"/>
    <n v="72057.77"/>
    <n v="3"/>
    <n v="80.45"/>
    <n v="4"/>
    <n v="39"/>
    <n v="40"/>
    <s v="Abigail Shaffer"/>
    <s v="Active"/>
  </r>
  <r>
    <s v="EMP0500"/>
    <s v="Kara Atkinson"/>
    <x v="5"/>
    <s v="Software Engineer"/>
    <s v="Female"/>
    <n v="55"/>
    <d v="2018-12-11T00:00:00"/>
    <s v="Part-Time"/>
    <n v="97278.71"/>
    <n v="1"/>
    <n v="85.45"/>
    <n v="7"/>
    <n v="20"/>
    <n v="17"/>
    <s v="Daniel Wagner"/>
    <s v="Active"/>
  </r>
  <r>
    <s v="EMP0501"/>
    <s v="Brianna Ford"/>
    <x v="0"/>
    <s v="Marketing Analyst"/>
    <s v="Female"/>
    <n v="56"/>
    <d v="2020-12-06T00:00:00"/>
    <s v="Part-Time"/>
    <n v="47105.21"/>
    <n v="3"/>
    <n v="91.48"/>
    <n v="5"/>
    <n v="21"/>
    <n v="4"/>
    <s v="Ryan Munoz"/>
    <s v="Active"/>
  </r>
  <r>
    <s v="EMP0502"/>
    <s v="Tracy Grant"/>
    <x v="3"/>
    <s v="Operations Manager"/>
    <s v="Male"/>
    <n v="29"/>
    <d v="2016-10-18T00:00:00"/>
    <s v="Full-Time"/>
    <n v="67073.56"/>
    <n v="1"/>
    <n v="82.12"/>
    <n v="9"/>
    <n v="6"/>
    <n v="5"/>
    <s v="Michele Williams"/>
    <s v="Active"/>
  </r>
  <r>
    <s v="EMP0503"/>
    <s v="David Rivera"/>
    <x v="4"/>
    <s v="Product Developer"/>
    <s v="Female"/>
    <n v="42"/>
    <d v="2018-02-05T00:00:00"/>
    <s v="Full-Time"/>
    <n v="91289.87"/>
    <n v="5"/>
    <n v="81.569999999999993"/>
    <n v="7"/>
    <n v="59"/>
    <n v="36"/>
    <s v="Cristian Santos"/>
    <s v="Active"/>
  </r>
  <r>
    <s v="EMP0504"/>
    <s v="Sarah Davis"/>
    <x v="4"/>
    <s v="Researcher"/>
    <s v="Female"/>
    <n v="40"/>
    <d v="2017-02-28T00:00:00"/>
    <s v="Contract"/>
    <n v="84441.86"/>
    <n v="4"/>
    <n v="89.41"/>
    <n v="8"/>
    <n v="28"/>
    <n v="9"/>
    <s v="Carla Gray"/>
    <s v="Active"/>
  </r>
  <r>
    <s v="EMP0505"/>
    <s v="James Jacobs"/>
    <x v="3"/>
    <s v="Operations Manager"/>
    <s v="Male"/>
    <n v="42"/>
    <d v="2019-01-21T00:00:00"/>
    <s v="Part-Time"/>
    <n v="65328.31"/>
    <n v="1"/>
    <n v="81.31"/>
    <n v="6"/>
    <n v="14"/>
    <n v="22"/>
    <s v="Brian Ramirez"/>
    <s v="Active"/>
  </r>
  <r>
    <s v="EMP0506"/>
    <s v="Chelsea Gill"/>
    <x v="6"/>
    <s v="Recruiter"/>
    <s v="Female"/>
    <n v="59"/>
    <d v="2016-06-27T00:00:00"/>
    <s v="Contract"/>
    <n v="32739.4"/>
    <n v="1"/>
    <n v="88.11"/>
    <n v="9"/>
    <n v="13"/>
    <n v="20"/>
    <s v="Derek Zuniga"/>
    <s v="Active"/>
  </r>
  <r>
    <s v="EMP0507"/>
    <s v="Daniel Meadows"/>
    <x v="2"/>
    <s v="Finance Manager"/>
    <s v="Female"/>
    <n v="46"/>
    <d v="2025-04-28T00:00:00"/>
    <s v="Contract"/>
    <n v="61344.19"/>
    <n v="5"/>
    <n v="84.87"/>
    <n v="0"/>
    <n v="20"/>
    <n v="30"/>
    <s v="Lisa Hensley"/>
    <s v="Active"/>
  </r>
  <r>
    <s v="EMP0508"/>
    <s v="Alexis Giles"/>
    <x v="5"/>
    <s v="Data Analyst"/>
    <s v="Female"/>
    <n v="48"/>
    <d v="2020-12-21T00:00:00"/>
    <s v="Contract"/>
    <n v="98732.68"/>
    <n v="5"/>
    <n v="93.88"/>
    <n v="5"/>
    <n v="22"/>
    <n v="42"/>
    <s v="Angie Henderson"/>
    <s v="Active"/>
  </r>
  <r>
    <s v="EMP0509"/>
    <s v="Nicole Rocha"/>
    <x v="4"/>
    <s v="Researcher"/>
    <s v="Female"/>
    <n v="41"/>
    <d v="2017-10-23T00:00:00"/>
    <s v="Contract"/>
    <n v="29765.39"/>
    <n v="4"/>
    <n v="83.52"/>
    <n v="8"/>
    <n v="51"/>
    <n v="4"/>
    <s v="Carla Gray"/>
    <s v="Active"/>
  </r>
  <r>
    <s v="EMP0510"/>
    <s v="David Morris"/>
    <x v="7"/>
    <s v="Team Lead"/>
    <s v="Female"/>
    <n v="24"/>
    <d v="2019-04-18T00:00:00"/>
    <s v="Full-Time"/>
    <n v="41761.18"/>
    <n v="2"/>
    <n v="97.75"/>
    <n v="6"/>
    <n v="0"/>
    <n v="48"/>
    <s v="Cristian Santos"/>
    <s v="Active"/>
  </r>
  <r>
    <s v="EMP0511"/>
    <s v="Joseph Howard"/>
    <x v="4"/>
    <s v="Product Developer"/>
    <s v="Female"/>
    <n v="60"/>
    <d v="2020-08-18T00:00:00"/>
    <s v="Contract"/>
    <n v="64715.98"/>
    <n v="2"/>
    <n v="93.63"/>
    <n v="5"/>
    <n v="40"/>
    <n v="19"/>
    <s v="Lisa Jackson"/>
    <s v="Active"/>
  </r>
  <r>
    <s v="EMP0512"/>
    <s v="Stephen Owens"/>
    <x v="2"/>
    <s v="Financial Analyst"/>
    <s v="Female"/>
    <n v="26"/>
    <d v="2020-04-07T00:00:00"/>
    <s v="Contract"/>
    <n v="20811.93"/>
    <n v="5"/>
    <n v="88.08"/>
    <n v="5"/>
    <n v="16"/>
    <n v="54"/>
    <s v="Ryan Munoz"/>
    <s v="Active"/>
  </r>
  <r>
    <s v="EMP0513"/>
    <s v="Erica Harris"/>
    <x v="1"/>
    <s v="Sales Rep"/>
    <s v="Female"/>
    <n v="28"/>
    <d v="2023-10-21T00:00:00"/>
    <s v="Part-Time"/>
    <n v="106567.96"/>
    <n v="2"/>
    <n v="88.63"/>
    <n v="2"/>
    <n v="75"/>
    <n v="25"/>
    <s v="Monica Herrera"/>
    <s v="Active"/>
  </r>
  <r>
    <s v="EMP0514"/>
    <s v="Justin Walker"/>
    <x v="7"/>
    <s v="Team Lead"/>
    <s v="Female"/>
    <n v="55"/>
    <d v="2021-02-20T00:00:00"/>
    <s v="Full-Time"/>
    <n v="86248.76"/>
    <n v="4"/>
    <n v="82.78"/>
    <n v="4"/>
    <n v="71"/>
    <n v="24"/>
    <s v="Jamie Arnold"/>
    <s v="Active"/>
  </r>
  <r>
    <s v="EMP0515"/>
    <s v="Juan Silva"/>
    <x v="6"/>
    <s v="Recruiter"/>
    <s v="Male"/>
    <n v="29"/>
    <d v="2018-04-19T00:00:00"/>
    <s v="Full-Time"/>
    <n v="27174.6"/>
    <n v="1"/>
    <n v="82.88"/>
    <n v="7"/>
    <n v="62"/>
    <n v="42"/>
    <s v="Michele Williams"/>
    <s v="Resigned"/>
  </r>
  <r>
    <s v="EMP0516"/>
    <s v="Craig Hall"/>
    <x v="6"/>
    <s v="HR Officer"/>
    <s v="Male"/>
    <n v="47"/>
    <d v="2022-12-02T00:00:00"/>
    <s v="Part-Time"/>
    <n v="109358.25"/>
    <n v="5"/>
    <n v="98.61"/>
    <n v="3"/>
    <n v="79"/>
    <n v="11"/>
    <s v="Dylan Miller"/>
    <s v="Active"/>
  </r>
  <r>
    <s v="EMP0517"/>
    <s v="Kathryn Pena"/>
    <x v="4"/>
    <s v="Product Developer"/>
    <s v="Female"/>
    <n v="35"/>
    <d v="2025-07-05T00:00:00"/>
    <s v="Full-Time"/>
    <n v="62477.19"/>
    <n v="1"/>
    <n v="91.56"/>
    <n v="0"/>
    <n v="30"/>
    <n v="45"/>
    <s v="Holly Wood"/>
    <s v="Active"/>
  </r>
  <r>
    <s v="EMP0518"/>
    <s v="Roberto Levy"/>
    <x v="3"/>
    <s v="Operations Associate"/>
    <s v="Male"/>
    <n v="57"/>
    <d v="2021-07-23T00:00:00"/>
    <s v="Part-Time"/>
    <n v="90488.25"/>
    <n v="1"/>
    <n v="91.61"/>
    <n v="4"/>
    <n v="10"/>
    <n v="9"/>
    <s v="Holly Wood"/>
    <s v="Resigned"/>
  </r>
  <r>
    <s v="EMP0519"/>
    <s v="Nicholas Bell"/>
    <x v="2"/>
    <s v="Financial Analyst"/>
    <s v="Male"/>
    <n v="54"/>
    <d v="2024-02-29T00:00:00"/>
    <s v="Contract"/>
    <n v="28844.639999999999"/>
    <n v="4"/>
    <n v="92.61"/>
    <n v="1"/>
    <n v="9"/>
    <n v="43"/>
    <s v="Derek Zuniga"/>
    <s v="Active"/>
  </r>
  <r>
    <s v="EMP0520"/>
    <s v="Katherine Stark"/>
    <x v="2"/>
    <s v="Finance Manager"/>
    <s v="Male"/>
    <n v="42"/>
    <d v="2018-03-13T00:00:00"/>
    <s v="Contract"/>
    <n v="97852.71"/>
    <n v="4"/>
    <n v="89.08"/>
    <n v="7"/>
    <n v="60"/>
    <n v="36"/>
    <s v="Monica Herrera"/>
    <s v="Active"/>
  </r>
  <r>
    <s v="EMP0521"/>
    <s v="Tina Warren DVM"/>
    <x v="2"/>
    <s v="Financial Analyst"/>
    <s v="Male"/>
    <n v="23"/>
    <d v="2025-01-14T00:00:00"/>
    <s v="Contract"/>
    <n v="112286.45"/>
    <n v="3"/>
    <n v="94.54"/>
    <n v="0"/>
    <n v="72"/>
    <n v="16"/>
    <s v="Noah Rhodes"/>
    <s v="Active"/>
  </r>
  <r>
    <s v="EMP0522"/>
    <s v="Mary Duran"/>
    <x v="6"/>
    <s v="HR Manager"/>
    <s v="Male"/>
    <n v="39"/>
    <d v="2017-01-29T00:00:00"/>
    <s v="Contract"/>
    <n v="82431.7"/>
    <n v="3"/>
    <n v="89.7"/>
    <n v="8"/>
    <n v="16"/>
    <n v="32"/>
    <s v="Angie Henderson"/>
    <s v="Resigned"/>
  </r>
  <r>
    <s v="EMP0523"/>
    <s v="Mark Jones"/>
    <x v="2"/>
    <s v="Financial Analyst"/>
    <s v="Male"/>
    <n v="60"/>
    <d v="2022-10-31T00:00:00"/>
    <s v="Part-Time"/>
    <n v="47521.71"/>
    <n v="3"/>
    <n v="80.28"/>
    <n v="3"/>
    <n v="14"/>
    <n v="38"/>
    <s v="Connie Lawrence"/>
    <s v="Resigned"/>
  </r>
  <r>
    <s v="EMP0524"/>
    <s v="Jonathan Brooks"/>
    <x v="6"/>
    <s v="HR Manager"/>
    <s v="Female"/>
    <n v="44"/>
    <d v="2018-05-21T00:00:00"/>
    <s v="Full-Time"/>
    <n v="46125.26"/>
    <n v="2"/>
    <n v="89.7"/>
    <n v="7"/>
    <n v="67"/>
    <n v="55"/>
    <s v="Noah Rhodes"/>
    <s v="Active"/>
  </r>
  <r>
    <s v="EMP0525"/>
    <s v="Alexis Patel"/>
    <x v="0"/>
    <s v="Marketing Analyst"/>
    <s v="Male"/>
    <n v="52"/>
    <d v="2024-01-14T00:00:00"/>
    <s v="Part-Time"/>
    <n v="97036.78"/>
    <n v="2"/>
    <n v="93.21"/>
    <n v="1"/>
    <n v="21"/>
    <n v="13"/>
    <s v="Lisa Jackson"/>
    <s v="Active"/>
  </r>
  <r>
    <s v="EMP0526"/>
    <s v="Joseph Hill"/>
    <x v="3"/>
    <s v="Operations Associate"/>
    <s v="Female"/>
    <n v="28"/>
    <d v="2022-10-24T00:00:00"/>
    <s v="Full-Time"/>
    <n v="36760.04"/>
    <n v="4"/>
    <n v="89.52"/>
    <n v="3"/>
    <n v="60"/>
    <n v="47"/>
    <s v="Derek Zuniga"/>
    <s v="Active"/>
  </r>
  <r>
    <s v="EMP0527"/>
    <s v="Robert Craig"/>
    <x v="7"/>
    <s v="Team Lead"/>
    <s v="Female"/>
    <n v="30"/>
    <d v="2020-09-10T00:00:00"/>
    <s v="Contract"/>
    <n v="107027.77"/>
    <n v="1"/>
    <n v="85.78"/>
    <n v="5"/>
    <n v="57"/>
    <n v="24"/>
    <s v="Monica Herrera"/>
    <s v="Resigned"/>
  </r>
  <r>
    <s v="EMP0528"/>
    <s v="Brent Hernandez"/>
    <x v="1"/>
    <s v="Sales Rep"/>
    <s v="Female"/>
    <n v="48"/>
    <d v="2018-11-12T00:00:00"/>
    <s v="Contract"/>
    <n v="111804.2"/>
    <n v="3"/>
    <n v="86.7"/>
    <n v="7"/>
    <n v="34"/>
    <n v="51"/>
    <s v="Daniel Wagner"/>
    <s v="Active"/>
  </r>
  <r>
    <s v="EMP0529"/>
    <s v="Dawn Gomez"/>
    <x v="7"/>
    <s v="Team Lead"/>
    <s v="Male"/>
    <n v="58"/>
    <d v="2019-01-30T00:00:00"/>
    <s v="Full-Time"/>
    <n v="71995.23"/>
    <n v="2"/>
    <n v="86.27"/>
    <n v="6"/>
    <n v="1"/>
    <n v="43"/>
    <s v="Allison Hill"/>
    <s v="Active"/>
  </r>
  <r>
    <s v="EMP0530"/>
    <s v="Tyler Stevens"/>
    <x v="1"/>
    <s v="Sales Manager"/>
    <s v="Male"/>
    <n v="54"/>
    <d v="2022-07-27T00:00:00"/>
    <s v="Full-Time"/>
    <n v="88549.96"/>
    <n v="3"/>
    <n v="84.39"/>
    <n v="3"/>
    <n v="36"/>
    <n v="16"/>
    <s v="Abigail Shaffer"/>
    <s v="Active"/>
  </r>
  <r>
    <s v="EMP0531"/>
    <s v="Courtney Sutton DVM"/>
    <x v="0"/>
    <s v="Marketing Analyst"/>
    <s v="Male"/>
    <n v="59"/>
    <d v="2019-12-15T00:00:00"/>
    <s v="Contract"/>
    <n v="32179.01"/>
    <n v="1"/>
    <n v="81.73"/>
    <n v="6"/>
    <n v="77"/>
    <n v="8"/>
    <s v="Lisa Hensley"/>
    <s v="Active"/>
  </r>
  <r>
    <s v="EMP0532"/>
    <s v="James Tran"/>
    <x v="6"/>
    <s v="HR Officer"/>
    <s v="Male"/>
    <n v="37"/>
    <d v="2016-05-09T00:00:00"/>
    <s v="Part-Time"/>
    <n v="66695.56"/>
    <n v="1"/>
    <n v="92.78"/>
    <n v="9"/>
    <n v="35"/>
    <n v="49"/>
    <s v="Michele Williams"/>
    <s v="Active"/>
  </r>
  <r>
    <s v="EMP0533"/>
    <s v="Michele Miller"/>
    <x v="3"/>
    <s v="Operations Manager"/>
    <s v="Male"/>
    <n v="25"/>
    <d v="2016-10-08T00:00:00"/>
    <s v="Part-Time"/>
    <n v="97710.6"/>
    <n v="4"/>
    <n v="87.77"/>
    <n v="9"/>
    <n v="7"/>
    <n v="16"/>
    <s v="Gabrielle Davis"/>
    <s v="Active"/>
  </r>
  <r>
    <s v="EMP0534"/>
    <s v="Erin Madden"/>
    <x v="0"/>
    <s v="Brand Manager"/>
    <s v="Male"/>
    <n v="60"/>
    <d v="2023-03-14T00:00:00"/>
    <s v="Part-Time"/>
    <n v="37844.22"/>
    <n v="4"/>
    <n v="82.17"/>
    <n v="2"/>
    <n v="69"/>
    <n v="49"/>
    <s v="Michele Williams"/>
    <s v="Active"/>
  </r>
  <r>
    <s v="EMP0535"/>
    <s v="Tamara Hall"/>
    <x v="0"/>
    <s v="Brand Manager"/>
    <s v="Female"/>
    <n v="27"/>
    <d v="2017-06-09T00:00:00"/>
    <s v="Full-Time"/>
    <n v="27291.95"/>
    <n v="5"/>
    <n v="94.55"/>
    <n v="8"/>
    <n v="57"/>
    <n v="1"/>
    <s v="Brian Ramirez"/>
    <s v="Active"/>
  </r>
  <r>
    <s v="EMP0536"/>
    <s v="Anthony Jones"/>
    <x v="1"/>
    <s v="Sales Rep"/>
    <s v="Female"/>
    <n v="38"/>
    <d v="2025-06-16T00:00:00"/>
    <s v="Full-Time"/>
    <n v="90005.52"/>
    <n v="4"/>
    <n v="91.49"/>
    <n v="0"/>
    <n v="65"/>
    <n v="45"/>
    <s v="Brian Ramirez"/>
    <s v="Active"/>
  </r>
  <r>
    <s v="EMP0537"/>
    <s v="Kristy Johnson"/>
    <x v="7"/>
    <s v="Support Agent"/>
    <s v="Male"/>
    <n v="21"/>
    <d v="2020-08-02T00:00:00"/>
    <s v="Part-Time"/>
    <n v="115415.53"/>
    <n v="4"/>
    <n v="82.42"/>
    <n v="5"/>
    <n v="68"/>
    <n v="59"/>
    <s v="Jamie Arnold"/>
    <s v="Active"/>
  </r>
  <r>
    <s v="EMP0538"/>
    <s v="Daniel Thomas"/>
    <x v="2"/>
    <s v="Financial Analyst"/>
    <s v="Male"/>
    <n v="26"/>
    <d v="2021-03-02T00:00:00"/>
    <s v="Part-Time"/>
    <n v="73462.63"/>
    <n v="3"/>
    <n v="81.61"/>
    <n v="4"/>
    <n v="58"/>
    <n v="48"/>
    <s v="Ryan Munoz"/>
    <s v="Active"/>
  </r>
  <r>
    <s v="EMP0539"/>
    <s v="Elizabeth Elliott"/>
    <x v="6"/>
    <s v="HR Manager"/>
    <s v="Male"/>
    <n v="45"/>
    <d v="2022-08-04T00:00:00"/>
    <s v="Contract"/>
    <n v="39100.32"/>
    <n v="4"/>
    <n v="97.93"/>
    <n v="3"/>
    <n v="80"/>
    <n v="44"/>
    <s v="Jamie Arnold"/>
    <s v="Active"/>
  </r>
  <r>
    <s v="EMP0540"/>
    <s v="Jasmine Mosley"/>
    <x v="4"/>
    <s v="Researcher"/>
    <s v="Male"/>
    <n v="23"/>
    <d v="2025-06-16T00:00:00"/>
    <s v="Full-Time"/>
    <n v="22536.46"/>
    <n v="5"/>
    <n v="84.77"/>
    <n v="0"/>
    <n v="49"/>
    <n v="4"/>
    <s v="Derek Zuniga"/>
    <s v="Active"/>
  </r>
  <r>
    <s v="EMP0541"/>
    <s v="Patrick Gibbs"/>
    <x v="4"/>
    <s v="Product Developer"/>
    <s v="Male"/>
    <n v="23"/>
    <d v="2021-06-17T00:00:00"/>
    <s v="Part-Time"/>
    <n v="25605.45"/>
    <n v="1"/>
    <n v="88.11"/>
    <n v="4"/>
    <n v="27"/>
    <n v="51"/>
    <s v="Holly Wood"/>
    <s v="Active"/>
  </r>
  <r>
    <s v="EMP0542"/>
    <s v="Valerie Brown"/>
    <x v="6"/>
    <s v="HR Manager"/>
    <s v="Male"/>
    <n v="25"/>
    <d v="2017-02-24T00:00:00"/>
    <s v="Full-Time"/>
    <n v="93545.97"/>
    <n v="4"/>
    <n v="93.08"/>
    <n v="8"/>
    <n v="60"/>
    <n v="58"/>
    <s v="Carla Gray"/>
    <s v="Active"/>
  </r>
  <r>
    <s v="EMP0543"/>
    <s v="Billy Jacobs"/>
    <x v="6"/>
    <s v="HR Officer"/>
    <s v="Male"/>
    <n v="24"/>
    <d v="2023-04-02T00:00:00"/>
    <s v="Part-Time"/>
    <n v="102073.92"/>
    <n v="1"/>
    <n v="89.12"/>
    <n v="2"/>
    <n v="21"/>
    <n v="53"/>
    <s v="Lisa Jackson"/>
    <s v="Active"/>
  </r>
  <r>
    <s v="EMP0544"/>
    <s v="Erin Walters"/>
    <x v="0"/>
    <s v="Marketing Analyst"/>
    <s v="Female"/>
    <n v="59"/>
    <d v="2022-07-26T00:00:00"/>
    <s v="Contract"/>
    <n v="42057.25"/>
    <n v="2"/>
    <n v="88.52"/>
    <n v="3"/>
    <n v="51"/>
    <n v="20"/>
    <s v="Daniel Wagner"/>
    <s v="Resigned"/>
  </r>
  <r>
    <s v="EMP0545"/>
    <s v="Henry Pugh MD"/>
    <x v="6"/>
    <s v="Recruiter"/>
    <s v="Male"/>
    <n v="23"/>
    <d v="2023-06-25T00:00:00"/>
    <s v="Contract"/>
    <n v="37344.76"/>
    <n v="1"/>
    <n v="82.41"/>
    <n v="2"/>
    <n v="18"/>
    <n v="48"/>
    <s v="Michele Williams"/>
    <s v="Active"/>
  </r>
  <r>
    <s v="EMP0546"/>
    <s v="Angelica Montgomery"/>
    <x v="3"/>
    <s v="Operations Associate"/>
    <s v="Female"/>
    <n v="36"/>
    <d v="2025-10-13T00:00:00"/>
    <s v="Contract"/>
    <n v="24069.89"/>
    <n v="1"/>
    <n v="95.82"/>
    <n v="0"/>
    <n v="80"/>
    <n v="39"/>
    <s v="Lisa Hensley"/>
    <s v="Active"/>
  </r>
  <r>
    <s v="EMP0547"/>
    <s v="Angela Moore"/>
    <x v="1"/>
    <s v="Sales Manager"/>
    <s v="Male"/>
    <n v="21"/>
    <d v="2020-01-04T00:00:00"/>
    <s v="Full-Time"/>
    <n v="37941.29"/>
    <n v="1"/>
    <n v="94.13"/>
    <n v="5"/>
    <n v="75"/>
    <n v="56"/>
    <s v="Ryan Munoz"/>
    <s v="Active"/>
  </r>
  <r>
    <s v="EMP0548"/>
    <s v="Emily Rodriguez"/>
    <x v="4"/>
    <s v="Researcher"/>
    <s v="Male"/>
    <n v="30"/>
    <d v="2018-06-10T00:00:00"/>
    <s v="Contract"/>
    <n v="47094.97"/>
    <n v="4"/>
    <n v="88.24"/>
    <n v="7"/>
    <n v="22"/>
    <n v="39"/>
    <s v="Noah Rhodes"/>
    <s v="Active"/>
  </r>
  <r>
    <s v="EMP0549"/>
    <s v="Jill Juarez"/>
    <x v="4"/>
    <s v="Researcher"/>
    <s v="Female"/>
    <n v="43"/>
    <d v="2015-11-27T00:00:00"/>
    <s v="Part-Time"/>
    <n v="20457"/>
    <n v="2"/>
    <n v="83.84"/>
    <n v="10"/>
    <n v="67"/>
    <n v="6"/>
    <s v="Carla Gray"/>
    <s v="Active"/>
  </r>
  <r>
    <s v="EMP0550"/>
    <s v="Cody Cole"/>
    <x v="5"/>
    <s v="Software Engineer"/>
    <s v="Male"/>
    <n v="38"/>
    <d v="2017-07-22T00:00:00"/>
    <s v="Full-Time"/>
    <n v="39371.9"/>
    <n v="2"/>
    <n v="93.7"/>
    <n v="8"/>
    <n v="60"/>
    <n v="31"/>
    <s v="Connie Lawrence"/>
    <s v="Active"/>
  </r>
  <r>
    <s v="EMP0551"/>
    <s v="Ashley Davis"/>
    <x v="1"/>
    <s v="Sales Rep"/>
    <s v="Female"/>
    <n v="39"/>
    <d v="2025-04-03T00:00:00"/>
    <s v="Full-Time"/>
    <n v="63467.16"/>
    <n v="3"/>
    <n v="92.34"/>
    <n v="0"/>
    <n v="58"/>
    <n v="2"/>
    <s v="Daniel Wagner"/>
    <s v="Active"/>
  </r>
  <r>
    <s v="EMP0552"/>
    <s v="Kyle Nguyen"/>
    <x v="6"/>
    <s v="HR Officer"/>
    <s v="Male"/>
    <n v="52"/>
    <d v="2025-03-30T00:00:00"/>
    <s v="Contract"/>
    <n v="31606.51"/>
    <n v="2"/>
    <n v="94.43"/>
    <n v="0"/>
    <n v="75"/>
    <n v="37"/>
    <s v="Monica Herrera"/>
    <s v="Active"/>
  </r>
  <r>
    <s v="EMP0553"/>
    <s v="Jason Maxwell"/>
    <x v="3"/>
    <s v="Operations Associate"/>
    <s v="Male"/>
    <n v="41"/>
    <d v="2022-05-15T00:00:00"/>
    <s v="Full-Time"/>
    <n v="29806.41"/>
    <n v="4"/>
    <n v="97.4"/>
    <n v="3"/>
    <n v="48"/>
    <n v="57"/>
    <s v="Gina Moore"/>
    <s v="Active"/>
  </r>
  <r>
    <s v="EMP0554"/>
    <s v="Vanessa Armstrong"/>
    <x v="4"/>
    <s v="Researcher"/>
    <s v="Female"/>
    <n v="30"/>
    <d v="2025-05-02T00:00:00"/>
    <s v="Full-Time"/>
    <n v="112788.71"/>
    <n v="4"/>
    <n v="83.56"/>
    <n v="0"/>
    <n v="47"/>
    <n v="8"/>
    <s v="Dylan Miller"/>
    <s v="Active"/>
  </r>
  <r>
    <s v="EMP0555"/>
    <s v="Caroline Adams"/>
    <x v="3"/>
    <s v="Operations Manager"/>
    <s v="Male"/>
    <n v="42"/>
    <d v="2018-09-13T00:00:00"/>
    <s v="Full-Time"/>
    <n v="23209.46"/>
    <n v="5"/>
    <n v="81.19"/>
    <n v="7"/>
    <n v="17"/>
    <n v="7"/>
    <s v="Dylan Miller"/>
    <s v="Active"/>
  </r>
  <r>
    <s v="EMP0556"/>
    <s v="Arthur Hamilton MD"/>
    <x v="6"/>
    <s v="Recruiter"/>
    <s v="Male"/>
    <n v="39"/>
    <d v="2020-05-19T00:00:00"/>
    <s v="Contract"/>
    <n v="35678.81"/>
    <n v="5"/>
    <n v="98.11"/>
    <n v="5"/>
    <n v="73"/>
    <n v="35"/>
    <s v="Gina Moore"/>
    <s v="Active"/>
  </r>
  <r>
    <s v="EMP0557"/>
    <s v="Heather Raymond"/>
    <x v="4"/>
    <s v="Researcher"/>
    <s v="Female"/>
    <n v="50"/>
    <d v="2024-01-20T00:00:00"/>
    <s v="Part-Time"/>
    <n v="21450.39"/>
    <n v="4"/>
    <n v="94.72"/>
    <n v="1"/>
    <n v="31"/>
    <n v="15"/>
    <s v="Monica Herrera"/>
    <s v="Active"/>
  </r>
  <r>
    <s v="EMP0558"/>
    <s v="Christina Rodriguez"/>
    <x v="5"/>
    <s v="Data Analyst"/>
    <s v="Male"/>
    <n v="57"/>
    <d v="2024-04-01T00:00:00"/>
    <s v="Full-Time"/>
    <n v="61777.19"/>
    <n v="1"/>
    <n v="80.8"/>
    <n v="1"/>
    <n v="60"/>
    <n v="46"/>
    <s v="Holly Wood"/>
    <s v="Active"/>
  </r>
  <r>
    <s v="EMP0559"/>
    <s v="James Skinner"/>
    <x v="7"/>
    <s v="Team Lead"/>
    <s v="Male"/>
    <n v="49"/>
    <d v="2020-12-31T00:00:00"/>
    <s v="Part-Time"/>
    <n v="44051.15"/>
    <n v="5"/>
    <n v="95.06"/>
    <n v="5"/>
    <n v="52"/>
    <n v="60"/>
    <s v="Abigail Shaffer"/>
    <s v="Active"/>
  </r>
  <r>
    <s v="EMP0560"/>
    <s v="Erin Cook"/>
    <x v="2"/>
    <s v="Accountant"/>
    <s v="Male"/>
    <n v="22"/>
    <d v="2022-04-12T00:00:00"/>
    <s v="Part-Time"/>
    <n v="86903.56"/>
    <n v="2"/>
    <n v="94.07"/>
    <n v="3"/>
    <n v="73"/>
    <n v="47"/>
    <s v="Lisa Jackson"/>
    <s v="Active"/>
  </r>
  <r>
    <s v="EMP0561"/>
    <s v="Larry Dominguez"/>
    <x v="4"/>
    <s v="Product Developer"/>
    <s v="Male"/>
    <n v="46"/>
    <d v="2018-02-17T00:00:00"/>
    <s v="Full-Time"/>
    <n v="98985.87"/>
    <n v="3"/>
    <n v="92.54"/>
    <n v="7"/>
    <n v="0"/>
    <n v="55"/>
    <s v="Angie Henderson"/>
    <s v="Active"/>
  </r>
  <r>
    <s v="EMP0562"/>
    <s v="Vincent Novak"/>
    <x v="3"/>
    <s v="Operations Associate"/>
    <s v="Female"/>
    <n v="48"/>
    <d v="2023-12-19T00:00:00"/>
    <s v="Part-Time"/>
    <n v="89805.5"/>
    <n v="5"/>
    <n v="90.85"/>
    <n v="2"/>
    <n v="26"/>
    <n v="50"/>
    <s v="Angie Henderson"/>
    <s v="Active"/>
  </r>
  <r>
    <s v="EMP0563"/>
    <s v="Mackenzie Faulkner"/>
    <x v="3"/>
    <s v="Operations Associate"/>
    <s v="Female"/>
    <n v="24"/>
    <d v="2020-10-09T00:00:00"/>
    <s v="Full-Time"/>
    <n v="58295.5"/>
    <n v="4"/>
    <n v="92.38"/>
    <n v="5"/>
    <n v="46"/>
    <n v="23"/>
    <s v="Connie Lawrence"/>
    <s v="Active"/>
  </r>
  <r>
    <s v="EMP0564"/>
    <s v="Douglas Hartman"/>
    <x v="0"/>
    <s v="Content Specialist"/>
    <s v="Male"/>
    <n v="29"/>
    <d v="2019-12-10T00:00:00"/>
    <s v="Part-Time"/>
    <n v="43863.27"/>
    <n v="1"/>
    <n v="92.98"/>
    <n v="6"/>
    <n v="74"/>
    <n v="55"/>
    <s v="Abigail Shaffer"/>
    <s v="Active"/>
  </r>
  <r>
    <s v="EMP0565"/>
    <s v="Justin Vargas"/>
    <x v="5"/>
    <s v="Software Engineer"/>
    <s v="Female"/>
    <n v="38"/>
    <d v="2022-01-10T00:00:00"/>
    <s v="Contract"/>
    <n v="88022.67"/>
    <n v="3"/>
    <n v="81.09"/>
    <n v="3"/>
    <n v="47"/>
    <n v="22"/>
    <s v="Dylan Miller"/>
    <s v="Active"/>
  </r>
  <r>
    <s v="EMP0566"/>
    <s v="Randall Johnson"/>
    <x v="0"/>
    <s v="Brand Manager"/>
    <s v="Female"/>
    <n v="49"/>
    <d v="2025-02-05T00:00:00"/>
    <s v="Contract"/>
    <n v="56814.59"/>
    <n v="1"/>
    <n v="83.77"/>
    <n v="0"/>
    <n v="58"/>
    <n v="5"/>
    <s v="Angie Henderson"/>
    <s v="Active"/>
  </r>
  <r>
    <s v="EMP0567"/>
    <s v="Christine Salinas"/>
    <x v="6"/>
    <s v="Recruiter"/>
    <s v="Male"/>
    <n v="27"/>
    <d v="2023-09-02T00:00:00"/>
    <s v="Full-Time"/>
    <n v="47594.27"/>
    <n v="2"/>
    <n v="89.93"/>
    <n v="2"/>
    <n v="26"/>
    <n v="33"/>
    <s v="Allison Hill"/>
    <s v="Active"/>
  </r>
  <r>
    <s v="EMP0568"/>
    <s v="Rebecca Ortiz"/>
    <x v="6"/>
    <s v="Recruiter"/>
    <s v="Female"/>
    <n v="47"/>
    <d v="2016-12-28T00:00:00"/>
    <s v="Part-Time"/>
    <n v="93770.92"/>
    <n v="1"/>
    <n v="85.83"/>
    <n v="9"/>
    <n v="8"/>
    <n v="1"/>
    <s v="Gina Moore"/>
    <s v="Active"/>
  </r>
  <r>
    <s v="EMP0569"/>
    <s v="Eric King"/>
    <x v="3"/>
    <s v="Operations Manager"/>
    <s v="Female"/>
    <n v="41"/>
    <d v="2024-04-23T00:00:00"/>
    <s v="Part-Time"/>
    <n v="79335.73"/>
    <n v="5"/>
    <n v="96.84"/>
    <n v="1"/>
    <n v="56"/>
    <n v="29"/>
    <s v="Ryan Munoz"/>
    <s v="Active"/>
  </r>
  <r>
    <s v="EMP0570"/>
    <s v="Rachel Jones"/>
    <x v="2"/>
    <s v="Accountant"/>
    <s v="Female"/>
    <n v="35"/>
    <d v="2018-06-09T00:00:00"/>
    <s v="Part-Time"/>
    <n v="57190.23"/>
    <n v="3"/>
    <n v="95.39"/>
    <n v="7"/>
    <n v="6"/>
    <n v="9"/>
    <s v="Jamie Arnold"/>
    <s v="Active"/>
  </r>
  <r>
    <s v="EMP0571"/>
    <s v="Kimberly Mclean"/>
    <x v="6"/>
    <s v="HR Manager"/>
    <s v="Male"/>
    <n v="55"/>
    <d v="2023-12-20T00:00:00"/>
    <s v="Part-Time"/>
    <n v="38228.050000000003"/>
    <n v="2"/>
    <n v="96.79"/>
    <n v="2"/>
    <n v="19"/>
    <n v="10"/>
    <s v="Gina Moore"/>
    <s v="Active"/>
  </r>
  <r>
    <s v="EMP0572"/>
    <s v="Rachel Ward"/>
    <x v="3"/>
    <s v="Operations Associate"/>
    <s v="Female"/>
    <n v="37"/>
    <d v="2022-12-07T00:00:00"/>
    <s v="Part-Time"/>
    <n v="38449.660000000003"/>
    <n v="5"/>
    <n v="94.14"/>
    <n v="3"/>
    <n v="40"/>
    <n v="22"/>
    <s v="Cristian Santos"/>
    <s v="Active"/>
  </r>
  <r>
    <s v="EMP0573"/>
    <s v="Suzanne Rodriguez"/>
    <x v="6"/>
    <s v="HR Manager"/>
    <s v="Female"/>
    <n v="28"/>
    <d v="2024-12-13T00:00:00"/>
    <s v="Full-Time"/>
    <n v="60456.23"/>
    <n v="4"/>
    <n v="95.37"/>
    <n v="1"/>
    <n v="58"/>
    <n v="59"/>
    <s v="Monica Herrera"/>
    <s v="Active"/>
  </r>
  <r>
    <s v="EMP0574"/>
    <s v="Heather Holland"/>
    <x v="3"/>
    <s v="Operations Manager"/>
    <s v="Female"/>
    <n v="39"/>
    <d v="2020-01-15T00:00:00"/>
    <s v="Contract"/>
    <n v="86688.77"/>
    <n v="5"/>
    <n v="94.57"/>
    <n v="5"/>
    <n v="56"/>
    <n v="21"/>
    <s v="Daniel Wagner"/>
    <s v="Active"/>
  </r>
  <r>
    <s v="EMP0575"/>
    <s v="Maria Lucas"/>
    <x v="1"/>
    <s v="Sales Rep"/>
    <s v="Male"/>
    <n v="40"/>
    <d v="2016-07-27T00:00:00"/>
    <s v="Full-Time"/>
    <n v="60162.99"/>
    <n v="2"/>
    <n v="88.92"/>
    <n v="9"/>
    <n v="11"/>
    <n v="20"/>
    <s v="Noah Rhodes"/>
    <s v="Active"/>
  </r>
  <r>
    <s v="EMP0576"/>
    <s v="Jessica Smith"/>
    <x v="5"/>
    <s v="Data Analyst"/>
    <s v="Male"/>
    <n v="38"/>
    <d v="2021-06-16T00:00:00"/>
    <s v="Full-Time"/>
    <n v="22254.86"/>
    <n v="5"/>
    <n v="96.99"/>
    <n v="4"/>
    <n v="11"/>
    <n v="32"/>
    <s v="Lisa Hensley"/>
    <s v="Active"/>
  </r>
  <r>
    <s v="EMP0577"/>
    <s v="Paul Grant"/>
    <x v="3"/>
    <s v="Operations Associate"/>
    <s v="Female"/>
    <n v="46"/>
    <d v="2020-03-20T00:00:00"/>
    <s v="Full-Time"/>
    <n v="91596.38"/>
    <n v="4"/>
    <n v="87.39"/>
    <n v="5"/>
    <n v="47"/>
    <n v="0"/>
    <s v="Ryan Munoz"/>
    <s v="Active"/>
  </r>
  <r>
    <s v="EMP0578"/>
    <s v="James Ford"/>
    <x v="2"/>
    <s v="Financial Analyst"/>
    <s v="Male"/>
    <n v="34"/>
    <d v="2025-08-08T00:00:00"/>
    <s v="Contract"/>
    <n v="108780.49"/>
    <n v="4"/>
    <n v="96.07"/>
    <n v="0"/>
    <n v="36"/>
    <n v="10"/>
    <s v="Michele Williams"/>
    <s v="Active"/>
  </r>
  <r>
    <s v="EMP0579"/>
    <s v="Zachary Webb"/>
    <x v="7"/>
    <s v="Support Agent"/>
    <s v="Male"/>
    <n v="30"/>
    <d v="2024-04-30T00:00:00"/>
    <s v="Full-Time"/>
    <n v="50323.11"/>
    <n v="5"/>
    <n v="99.73"/>
    <n v="1"/>
    <n v="8"/>
    <n v="59"/>
    <s v="Lisa Jackson"/>
    <s v="Active"/>
  </r>
  <r>
    <s v="EMP0580"/>
    <s v="Vernon Wilson"/>
    <x v="0"/>
    <s v="Marketing Analyst"/>
    <s v="Female"/>
    <n v="38"/>
    <d v="2020-11-03T00:00:00"/>
    <s v="Part-Time"/>
    <n v="37489.300000000003"/>
    <n v="4"/>
    <n v="94.2"/>
    <n v="5"/>
    <n v="17"/>
    <n v="12"/>
    <s v="Connie Lawrence"/>
    <s v="Active"/>
  </r>
  <r>
    <s v="EMP0581"/>
    <s v="Grant Mueller"/>
    <x v="2"/>
    <s v="Finance Manager"/>
    <s v="Female"/>
    <n v="23"/>
    <d v="2018-03-24T00:00:00"/>
    <s v="Part-Time"/>
    <n v="103458.52"/>
    <n v="3"/>
    <n v="89.88"/>
    <n v="7"/>
    <n v="59"/>
    <n v="14"/>
    <s v="Allison Hill"/>
    <s v="Active"/>
  </r>
  <r>
    <s v="EMP0582"/>
    <s v="Mr. Jeffrey Horton"/>
    <x v="6"/>
    <s v="Recruiter"/>
    <s v="Female"/>
    <n v="51"/>
    <d v="2024-09-06T00:00:00"/>
    <s v="Full-Time"/>
    <n v="85381.3"/>
    <n v="3"/>
    <n v="88.34"/>
    <n v="1"/>
    <n v="62"/>
    <n v="58"/>
    <s v="Gina Moore"/>
    <s v="Active"/>
  </r>
  <r>
    <s v="EMP0583"/>
    <s v="Andrew Page"/>
    <x v="2"/>
    <s v="Financial Analyst"/>
    <s v="Male"/>
    <n v="59"/>
    <d v="2021-03-29T00:00:00"/>
    <s v="Contract"/>
    <n v="56175.95"/>
    <n v="4"/>
    <n v="91.31"/>
    <n v="4"/>
    <n v="33"/>
    <n v="40"/>
    <s v="Brian Ramirez"/>
    <s v="Resigned"/>
  </r>
  <r>
    <s v="EMP0584"/>
    <s v="Maria Byrd"/>
    <x v="0"/>
    <s v="Brand Manager"/>
    <s v="Male"/>
    <n v="37"/>
    <d v="2016-03-14T00:00:00"/>
    <s v="Full-Time"/>
    <n v="78165.45"/>
    <n v="2"/>
    <n v="86.39"/>
    <n v="9"/>
    <n v="17"/>
    <n v="22"/>
    <s v="Connie Lawrence"/>
    <s v="Active"/>
  </r>
  <r>
    <s v="EMP0585"/>
    <s v="Natalie Black"/>
    <x v="3"/>
    <s v="Operations Manager"/>
    <s v="Female"/>
    <n v="24"/>
    <d v="2018-08-12T00:00:00"/>
    <s v="Part-Time"/>
    <n v="49166.41"/>
    <n v="1"/>
    <n v="90.28"/>
    <n v="7"/>
    <n v="80"/>
    <n v="11"/>
    <s v="Daniel Wagner"/>
    <s v="Active"/>
  </r>
  <r>
    <s v="EMP0586"/>
    <s v="Justin Mullen"/>
    <x v="6"/>
    <s v="HR Manager"/>
    <s v="Female"/>
    <n v="41"/>
    <d v="2025-03-16T00:00:00"/>
    <s v="Contract"/>
    <n v="99987.72"/>
    <n v="3"/>
    <n v="93.71"/>
    <n v="0"/>
    <n v="46"/>
    <n v="6"/>
    <s v="Derek Zuniga"/>
    <s v="Active"/>
  </r>
  <r>
    <s v="EMP0587"/>
    <s v="Lori Lopez"/>
    <x v="6"/>
    <s v="HR Officer"/>
    <s v="Male"/>
    <n v="54"/>
    <d v="2019-10-05T00:00:00"/>
    <s v="Part-Time"/>
    <n v="57301.42"/>
    <n v="4"/>
    <n v="88.24"/>
    <n v="6"/>
    <n v="20"/>
    <n v="6"/>
    <s v="Abigail Shaffer"/>
    <s v="Active"/>
  </r>
  <r>
    <s v="EMP0588"/>
    <s v="Omar Ware"/>
    <x v="5"/>
    <s v="IT Support"/>
    <s v="Male"/>
    <n v="47"/>
    <d v="2023-03-03T00:00:00"/>
    <s v="Part-Time"/>
    <n v="111603.12"/>
    <n v="1"/>
    <n v="96.38"/>
    <n v="2"/>
    <n v="2"/>
    <n v="30"/>
    <s v="Jamie Arnold"/>
    <s v="Active"/>
  </r>
  <r>
    <s v="EMP0589"/>
    <s v="Jasmine Bush"/>
    <x v="3"/>
    <s v="Operations Associate"/>
    <s v="Female"/>
    <n v="59"/>
    <d v="2023-06-19T00:00:00"/>
    <s v="Contract"/>
    <n v="96358.95"/>
    <n v="3"/>
    <n v="83.44"/>
    <n v="2"/>
    <n v="38"/>
    <n v="1"/>
    <s v="Daniel Wagner"/>
    <s v="Active"/>
  </r>
  <r>
    <s v="EMP0590"/>
    <s v="Michael Flynn"/>
    <x v="6"/>
    <s v="HR Manager"/>
    <s v="Male"/>
    <n v="40"/>
    <d v="2019-04-26T00:00:00"/>
    <s v="Full-Time"/>
    <n v="40984.1"/>
    <n v="1"/>
    <n v="88.5"/>
    <n v="6"/>
    <n v="14"/>
    <n v="4"/>
    <s v="Allison Hill"/>
    <s v="Active"/>
  </r>
  <r>
    <s v="EMP0591"/>
    <s v="Shane Lopez"/>
    <x v="7"/>
    <s v="Support Agent"/>
    <s v="Male"/>
    <n v="27"/>
    <d v="2025-08-21T00:00:00"/>
    <s v="Full-Time"/>
    <n v="99305.52"/>
    <n v="5"/>
    <n v="91.86"/>
    <n v="0"/>
    <n v="60"/>
    <n v="7"/>
    <s v="Gabrielle Davis"/>
    <s v="Active"/>
  </r>
  <r>
    <s v="EMP0592"/>
    <s v="Brian Lambert"/>
    <x v="2"/>
    <s v="Finance Manager"/>
    <s v="Male"/>
    <n v="27"/>
    <d v="2021-05-12T00:00:00"/>
    <s v="Full-Time"/>
    <n v="112009.81"/>
    <n v="2"/>
    <n v="91.75"/>
    <n v="4"/>
    <n v="25"/>
    <n v="11"/>
    <s v="Jamie Arnold"/>
    <s v="Active"/>
  </r>
  <r>
    <s v="EMP0593"/>
    <s v="Margaret Harper"/>
    <x v="6"/>
    <s v="HR Manager"/>
    <s v="Female"/>
    <n v="58"/>
    <d v="2024-02-22T00:00:00"/>
    <s v="Part-Time"/>
    <n v="55220.33"/>
    <n v="5"/>
    <n v="95.62"/>
    <n v="1"/>
    <n v="78"/>
    <n v="15"/>
    <s v="Holly Wood"/>
    <s v="Active"/>
  </r>
  <r>
    <s v="EMP0594"/>
    <s v="Hannah Bruce"/>
    <x v="0"/>
    <s v="Content Specialist"/>
    <s v="Male"/>
    <n v="54"/>
    <d v="2022-06-30T00:00:00"/>
    <s v="Full-Time"/>
    <n v="91581.16"/>
    <n v="3"/>
    <n v="83.44"/>
    <n v="3"/>
    <n v="68"/>
    <n v="0"/>
    <s v="Daniel Wagner"/>
    <s v="Resigned"/>
  </r>
  <r>
    <s v="EMP0595"/>
    <s v="Michele Evans"/>
    <x v="4"/>
    <s v="Product Developer"/>
    <s v="Male"/>
    <n v="49"/>
    <d v="2018-10-02T00:00:00"/>
    <s v="Contract"/>
    <n v="115774.77"/>
    <n v="2"/>
    <n v="96.69"/>
    <n v="7"/>
    <n v="48"/>
    <n v="27"/>
    <s v="Abigail Shaffer"/>
    <s v="Active"/>
  </r>
  <r>
    <s v="EMP0596"/>
    <s v="Emily Allen"/>
    <x v="7"/>
    <s v="Support Agent"/>
    <s v="Female"/>
    <n v="28"/>
    <d v="2017-04-04T00:00:00"/>
    <s v="Part-Time"/>
    <n v="31031.62"/>
    <n v="2"/>
    <n v="89.92"/>
    <n v="8"/>
    <n v="46"/>
    <n v="45"/>
    <s v="Ryan Munoz"/>
    <s v="Active"/>
  </r>
  <r>
    <s v="EMP0597"/>
    <s v="Michael Dixon"/>
    <x v="1"/>
    <s v="Sales Rep"/>
    <s v="Female"/>
    <n v="52"/>
    <d v="2017-10-21T00:00:00"/>
    <s v="Full-Time"/>
    <n v="58478.11"/>
    <n v="4"/>
    <n v="92.01"/>
    <n v="8"/>
    <n v="39"/>
    <n v="43"/>
    <s v="Dylan Miller"/>
    <s v="Active"/>
  </r>
  <r>
    <s v="EMP0598"/>
    <s v="Laura Henderson"/>
    <x v="7"/>
    <s v="Team Lead"/>
    <s v="Female"/>
    <n v="33"/>
    <d v="2022-12-06T00:00:00"/>
    <s v="Full-Time"/>
    <n v="109475.46"/>
    <n v="4"/>
    <n v="98.78"/>
    <n v="3"/>
    <n v="47"/>
    <n v="11"/>
    <s v="Allison Hill"/>
    <s v="Resigned"/>
  </r>
  <r>
    <s v="EMP0599"/>
    <s v="Melissa Brewer"/>
    <x v="4"/>
    <s v="Researcher"/>
    <s v="Female"/>
    <n v="49"/>
    <d v="2024-02-05T00:00:00"/>
    <s v="Contract"/>
    <n v="85854.83"/>
    <n v="1"/>
    <n v="82.38"/>
    <n v="1"/>
    <n v="50"/>
    <n v="25"/>
    <s v="Lisa Jackson"/>
    <s v="Resigned"/>
  </r>
  <r>
    <s v="EMP0600"/>
    <s v="Katherine Taylor"/>
    <x v="6"/>
    <s v="HR Officer"/>
    <s v="Female"/>
    <n v="33"/>
    <d v="2018-10-06T00:00:00"/>
    <s v="Part-Time"/>
    <n v="40026.35"/>
    <n v="4"/>
    <n v="82.46"/>
    <n v="7"/>
    <n v="54"/>
    <n v="46"/>
    <s v="Brian Ramirez"/>
    <s v="Active"/>
  </r>
  <r>
    <s v="EMP0601"/>
    <s v="Lisa Glenn"/>
    <x v="2"/>
    <s v="Finance Manager"/>
    <s v="Female"/>
    <n v="43"/>
    <d v="2021-03-02T00:00:00"/>
    <s v="Part-Time"/>
    <n v="86667.7"/>
    <n v="4"/>
    <n v="99.75"/>
    <n v="4"/>
    <n v="65"/>
    <n v="17"/>
    <s v="Cristian Santos"/>
    <s v="Active"/>
  </r>
  <r>
    <s v="EMP0602"/>
    <s v="Mr. James Hoffman"/>
    <x v="0"/>
    <s v="Marketing Analyst"/>
    <s v="Female"/>
    <n v="52"/>
    <d v="2015-12-24T00:00:00"/>
    <s v="Part-Time"/>
    <n v="43082.18"/>
    <n v="2"/>
    <n v="80.59"/>
    <n v="10"/>
    <n v="6"/>
    <n v="53"/>
    <s v="Angie Henderson"/>
    <s v="Active"/>
  </r>
  <r>
    <s v="EMP0603"/>
    <s v="John Mckinney"/>
    <x v="1"/>
    <s v="Sales Rep"/>
    <s v="Female"/>
    <n v="59"/>
    <d v="2024-03-27T00:00:00"/>
    <s v="Contract"/>
    <n v="52695.59"/>
    <n v="3"/>
    <n v="92.44"/>
    <n v="1"/>
    <n v="12"/>
    <n v="48"/>
    <s v="Angie Henderson"/>
    <s v="Active"/>
  </r>
  <r>
    <s v="EMP0604"/>
    <s v="Bradley Johnson DDS"/>
    <x v="4"/>
    <s v="Product Developer"/>
    <s v="Male"/>
    <n v="39"/>
    <d v="2023-05-14T00:00:00"/>
    <s v="Contract"/>
    <n v="69789.899999999994"/>
    <n v="5"/>
    <n v="85.23"/>
    <n v="2"/>
    <n v="43"/>
    <n v="51"/>
    <s v="Derek Zuniga"/>
    <s v="Active"/>
  </r>
  <r>
    <s v="EMP0605"/>
    <s v="Danny Roberts"/>
    <x v="1"/>
    <s v="Sales Manager"/>
    <s v="Male"/>
    <n v="45"/>
    <d v="2020-10-13T00:00:00"/>
    <s v="Part-Time"/>
    <n v="51455.92"/>
    <n v="4"/>
    <n v="88.85"/>
    <n v="5"/>
    <n v="4"/>
    <n v="2"/>
    <s v="Connie Lawrence"/>
    <s v="Active"/>
  </r>
  <r>
    <s v="EMP0606"/>
    <s v="Patricia Simpson"/>
    <x v="2"/>
    <s v="Finance Manager"/>
    <s v="Male"/>
    <n v="52"/>
    <d v="2023-08-06T00:00:00"/>
    <s v="Part-Time"/>
    <n v="33448.82"/>
    <n v="4"/>
    <n v="89.75"/>
    <n v="2"/>
    <n v="14"/>
    <n v="36"/>
    <s v="Brian Ramirez"/>
    <s v="Active"/>
  </r>
  <r>
    <s v="EMP0607"/>
    <s v="Brian Hampton"/>
    <x v="4"/>
    <s v="Product Developer"/>
    <s v="Male"/>
    <n v="53"/>
    <d v="2024-07-04T00:00:00"/>
    <s v="Full-Time"/>
    <n v="59138.48"/>
    <n v="4"/>
    <n v="91.82"/>
    <n v="1"/>
    <n v="48"/>
    <n v="39"/>
    <s v="Jamie Arnold"/>
    <s v="Active"/>
  </r>
  <r>
    <s v="EMP0608"/>
    <s v="Nicole Wolf"/>
    <x v="2"/>
    <s v="Financial Analyst"/>
    <s v="Male"/>
    <n v="22"/>
    <d v="2022-01-21T00:00:00"/>
    <s v="Contract"/>
    <n v="24511.85"/>
    <n v="3"/>
    <n v="86.98"/>
    <n v="3"/>
    <n v="74"/>
    <n v="1"/>
    <s v="Monica Herrera"/>
    <s v="Active"/>
  </r>
  <r>
    <s v="EMP0609"/>
    <s v="Wanda Garcia"/>
    <x v="7"/>
    <s v="Team Lead"/>
    <s v="Female"/>
    <n v="47"/>
    <d v="2023-04-29T00:00:00"/>
    <s v="Part-Time"/>
    <n v="25644.92"/>
    <n v="2"/>
    <n v="84.95"/>
    <n v="2"/>
    <n v="39"/>
    <n v="37"/>
    <s v="Angie Henderson"/>
    <s v="Resigned"/>
  </r>
  <r>
    <s v="EMP0610"/>
    <s v="Zachary Cole"/>
    <x v="0"/>
    <s v="Brand Manager"/>
    <s v="Male"/>
    <n v="42"/>
    <d v="2020-01-11T00:00:00"/>
    <s v="Full-Time"/>
    <n v="21971.200000000001"/>
    <n v="3"/>
    <n v="80.75"/>
    <n v="5"/>
    <n v="54"/>
    <n v="36"/>
    <s v="Holly Wood"/>
    <s v="Resigned"/>
  </r>
  <r>
    <s v="EMP0611"/>
    <s v="Angie Grimes"/>
    <x v="2"/>
    <s v="Accountant"/>
    <s v="Female"/>
    <n v="58"/>
    <d v="2021-09-29T00:00:00"/>
    <s v="Full-Time"/>
    <n v="118576.48"/>
    <n v="4"/>
    <n v="91.41"/>
    <n v="4"/>
    <n v="41"/>
    <n v="36"/>
    <s v="Daniel Wagner"/>
    <s v="Active"/>
  </r>
  <r>
    <s v="EMP0612"/>
    <s v="Cynthia Cochran"/>
    <x v="0"/>
    <s v="Content Specialist"/>
    <s v="Male"/>
    <n v="42"/>
    <d v="2017-10-24T00:00:00"/>
    <s v="Part-Time"/>
    <n v="70276.850000000006"/>
    <n v="3"/>
    <n v="83.33"/>
    <n v="8"/>
    <n v="38"/>
    <n v="23"/>
    <s v="Michele Williams"/>
    <s v="Active"/>
  </r>
  <r>
    <s v="EMP0613"/>
    <s v="Lisa Patterson"/>
    <x v="0"/>
    <s v="Content Specialist"/>
    <s v="Male"/>
    <n v="39"/>
    <d v="2021-10-12T00:00:00"/>
    <s v="Part-Time"/>
    <n v="24753.14"/>
    <n v="5"/>
    <n v="88.04"/>
    <n v="4"/>
    <n v="28"/>
    <n v="39"/>
    <s v="Angie Henderson"/>
    <s v="Active"/>
  </r>
  <r>
    <s v="EMP0614"/>
    <s v="Robin Trujillo"/>
    <x v="0"/>
    <s v="Content Specialist"/>
    <s v="Female"/>
    <n v="38"/>
    <d v="2018-03-09T00:00:00"/>
    <s v="Full-Time"/>
    <n v="76642.83"/>
    <n v="5"/>
    <n v="89.51"/>
    <n v="7"/>
    <n v="26"/>
    <n v="22"/>
    <s v="Angie Henderson"/>
    <s v="Active"/>
  </r>
  <r>
    <s v="EMP0615"/>
    <s v="Douglas Ryan"/>
    <x v="2"/>
    <s v="Finance Manager"/>
    <s v="Female"/>
    <n v="48"/>
    <d v="2025-07-07T00:00:00"/>
    <s v="Contract"/>
    <n v="73994.759999999995"/>
    <n v="2"/>
    <n v="88.29"/>
    <n v="0"/>
    <n v="32"/>
    <n v="39"/>
    <s v="Holly Wood"/>
    <s v="Active"/>
  </r>
  <r>
    <s v="EMP0616"/>
    <s v="Eileen Armstrong"/>
    <x v="6"/>
    <s v="HR Officer"/>
    <s v="Male"/>
    <n v="57"/>
    <d v="2021-04-28T00:00:00"/>
    <s v="Part-Time"/>
    <n v="41295.279999999999"/>
    <n v="4"/>
    <n v="85.36"/>
    <n v="4"/>
    <n v="68"/>
    <n v="51"/>
    <s v="Carla Gray"/>
    <s v="Resigned"/>
  </r>
  <r>
    <s v="EMP0617"/>
    <s v="Miss Anna Estes"/>
    <x v="7"/>
    <s v="Support Agent"/>
    <s v="Male"/>
    <n v="44"/>
    <d v="2024-07-26T00:00:00"/>
    <s v="Part-Time"/>
    <n v="34774.370000000003"/>
    <n v="2"/>
    <n v="94.93"/>
    <n v="1"/>
    <n v="38"/>
    <n v="54"/>
    <s v="Michele Williams"/>
    <s v="Active"/>
  </r>
  <r>
    <s v="EMP0618"/>
    <s v="Wendy Camacho"/>
    <x v="0"/>
    <s v="Content Specialist"/>
    <s v="Male"/>
    <n v="47"/>
    <d v="2022-10-26T00:00:00"/>
    <s v="Part-Time"/>
    <n v="102371.07"/>
    <n v="2"/>
    <n v="85.13"/>
    <n v="3"/>
    <n v="76"/>
    <n v="15"/>
    <s v="Lisa Hensley"/>
    <s v="Active"/>
  </r>
  <r>
    <s v="EMP0619"/>
    <s v="Brandi Thomas"/>
    <x v="6"/>
    <s v="HR Officer"/>
    <s v="Male"/>
    <n v="36"/>
    <d v="2017-12-22T00:00:00"/>
    <s v="Part-Time"/>
    <n v="66415.97"/>
    <n v="5"/>
    <n v="99.83"/>
    <n v="8"/>
    <n v="54"/>
    <n v="41"/>
    <s v="Noah Rhodes"/>
    <s v="Active"/>
  </r>
  <r>
    <s v="EMP0620"/>
    <s v="Pam Lowe"/>
    <x v="2"/>
    <s v="Accountant"/>
    <s v="Male"/>
    <n v="37"/>
    <d v="2021-04-18T00:00:00"/>
    <s v="Part-Time"/>
    <n v="85867.07"/>
    <n v="2"/>
    <n v="92.89"/>
    <n v="4"/>
    <n v="5"/>
    <n v="46"/>
    <s v="Brian Ramirez"/>
    <s v="Active"/>
  </r>
  <r>
    <s v="EMP0621"/>
    <s v="Mark Burton"/>
    <x v="1"/>
    <s v="Sales Rep"/>
    <s v="Female"/>
    <n v="59"/>
    <d v="2024-02-22T00:00:00"/>
    <s v="Part-Time"/>
    <n v="106717.18"/>
    <n v="4"/>
    <n v="97.94"/>
    <n v="1"/>
    <n v="11"/>
    <n v="25"/>
    <s v="Cristian Santos"/>
    <s v="Active"/>
  </r>
  <r>
    <s v="EMP0622"/>
    <s v="Mark Beard"/>
    <x v="0"/>
    <s v="Content Specialist"/>
    <s v="Female"/>
    <n v="52"/>
    <d v="2022-03-14T00:00:00"/>
    <s v="Full-Time"/>
    <n v="43807.69"/>
    <n v="1"/>
    <n v="95.46"/>
    <n v="3"/>
    <n v="40"/>
    <n v="21"/>
    <s v="Lisa Jackson"/>
    <s v="Active"/>
  </r>
  <r>
    <s v="EMP0623"/>
    <s v="Paul Neal"/>
    <x v="5"/>
    <s v="Software Engineer"/>
    <s v="Male"/>
    <n v="30"/>
    <d v="2017-05-26T00:00:00"/>
    <s v="Full-Time"/>
    <n v="37515.43"/>
    <n v="3"/>
    <n v="88.79"/>
    <n v="8"/>
    <n v="32"/>
    <n v="55"/>
    <s v="Lisa Jackson"/>
    <s v="Active"/>
  </r>
  <r>
    <s v="EMP0624"/>
    <s v="John Perkins"/>
    <x v="3"/>
    <s v="Operations Associate"/>
    <s v="Female"/>
    <n v="55"/>
    <d v="2022-02-04T00:00:00"/>
    <s v="Part-Time"/>
    <n v="67485.41"/>
    <n v="2"/>
    <n v="99.27"/>
    <n v="3"/>
    <n v="18"/>
    <n v="23"/>
    <s v="Brian Ramirez"/>
    <s v="Active"/>
  </r>
  <r>
    <s v="EMP0625"/>
    <s v="Judy Beck"/>
    <x v="2"/>
    <s v="Accountant"/>
    <s v="Male"/>
    <n v="24"/>
    <d v="2017-05-26T00:00:00"/>
    <s v="Contract"/>
    <n v="111745.73"/>
    <n v="2"/>
    <n v="85.06"/>
    <n v="8"/>
    <n v="49"/>
    <n v="19"/>
    <s v="Jamie Arnold"/>
    <s v="Resigned"/>
  </r>
  <r>
    <s v="EMP0626"/>
    <s v="Rebecca Sanders"/>
    <x v="0"/>
    <s v="Content Specialist"/>
    <s v="Male"/>
    <n v="49"/>
    <d v="2021-11-28T00:00:00"/>
    <s v="Part-Time"/>
    <n v="20786.61"/>
    <n v="4"/>
    <n v="98.55"/>
    <n v="4"/>
    <n v="32"/>
    <n v="19"/>
    <s v="Angie Henderson"/>
    <s v="Resigned"/>
  </r>
  <r>
    <s v="EMP0627"/>
    <s v="Kathleen Morris"/>
    <x v="5"/>
    <s v="Software Engineer"/>
    <s v="Male"/>
    <n v="31"/>
    <d v="2023-02-15T00:00:00"/>
    <s v="Part-Time"/>
    <n v="83135.27"/>
    <n v="4"/>
    <n v="95.79"/>
    <n v="2"/>
    <n v="35"/>
    <n v="55"/>
    <s v="Angie Henderson"/>
    <s v="Active"/>
  </r>
  <r>
    <s v="EMP0628"/>
    <s v="Kenneth Knight"/>
    <x v="4"/>
    <s v="Product Developer"/>
    <s v="Female"/>
    <n v="42"/>
    <d v="2020-08-22T00:00:00"/>
    <s v="Contract"/>
    <n v="62236.6"/>
    <n v="1"/>
    <n v="96.49"/>
    <n v="5"/>
    <n v="33"/>
    <n v="32"/>
    <s v="Angie Henderson"/>
    <s v="Active"/>
  </r>
  <r>
    <s v="EMP0629"/>
    <s v="Stephanie Farmer"/>
    <x v="3"/>
    <s v="Operations Manager"/>
    <s v="Male"/>
    <n v="24"/>
    <d v="2024-01-27T00:00:00"/>
    <s v="Contract"/>
    <n v="84159.25"/>
    <n v="4"/>
    <n v="95.82"/>
    <n v="1"/>
    <n v="17"/>
    <n v="0"/>
    <s v="Lisa Hensley"/>
    <s v="Active"/>
  </r>
  <r>
    <s v="EMP0630"/>
    <s v="Richard Stevens"/>
    <x v="2"/>
    <s v="Financial Analyst"/>
    <s v="Male"/>
    <n v="28"/>
    <d v="2016-08-06T00:00:00"/>
    <s v="Full-Time"/>
    <n v="44960.36"/>
    <n v="2"/>
    <n v="96.94"/>
    <n v="9"/>
    <n v="52"/>
    <n v="50"/>
    <s v="Monica Herrera"/>
    <s v="Active"/>
  </r>
  <r>
    <s v="EMP0631"/>
    <s v="Brooke Bryant"/>
    <x v="6"/>
    <s v="Recruiter"/>
    <s v="Male"/>
    <n v="58"/>
    <d v="2017-12-05T00:00:00"/>
    <s v="Part-Time"/>
    <n v="99952.87"/>
    <n v="2"/>
    <n v="81.69"/>
    <n v="8"/>
    <n v="47"/>
    <n v="11"/>
    <s v="Lisa Hensley"/>
    <s v="Resigned"/>
  </r>
  <r>
    <s v="EMP0632"/>
    <s v="Michael Anderson"/>
    <x v="5"/>
    <s v="IT Support"/>
    <s v="Male"/>
    <n v="56"/>
    <d v="2023-02-04T00:00:00"/>
    <s v="Contract"/>
    <n v="81200.320000000007"/>
    <n v="2"/>
    <n v="98.14"/>
    <n v="2"/>
    <n v="59"/>
    <n v="12"/>
    <s v="Gabrielle Davis"/>
    <s v="Active"/>
  </r>
  <r>
    <s v="EMP0633"/>
    <s v="Timothy Hill"/>
    <x v="6"/>
    <s v="HR Officer"/>
    <s v="Female"/>
    <n v="60"/>
    <d v="2020-12-13T00:00:00"/>
    <s v="Part-Time"/>
    <n v="80039.27"/>
    <n v="2"/>
    <n v="81.78"/>
    <n v="5"/>
    <n v="47"/>
    <n v="10"/>
    <s v="Lisa Jackson"/>
    <s v="Active"/>
  </r>
  <r>
    <s v="EMP0634"/>
    <s v="Jacob Mckee"/>
    <x v="7"/>
    <s v="Team Lead"/>
    <s v="Female"/>
    <n v="28"/>
    <d v="2021-12-12T00:00:00"/>
    <s v="Full-Time"/>
    <n v="91356.37"/>
    <n v="2"/>
    <n v="98.92"/>
    <n v="4"/>
    <n v="34"/>
    <n v="18"/>
    <s v="Brian Ramirez"/>
    <s v="Active"/>
  </r>
  <r>
    <s v="EMP0635"/>
    <s v="Mario Barber"/>
    <x v="7"/>
    <s v="Support Agent"/>
    <s v="Male"/>
    <n v="39"/>
    <d v="2018-08-19T00:00:00"/>
    <s v="Contract"/>
    <n v="87718.87"/>
    <n v="4"/>
    <n v="83.61"/>
    <n v="7"/>
    <n v="18"/>
    <n v="1"/>
    <s v="Ryan Munoz"/>
    <s v="Resigned"/>
  </r>
  <r>
    <s v="EMP0636"/>
    <s v="Brandon Davis"/>
    <x v="5"/>
    <s v="Data Analyst"/>
    <s v="Female"/>
    <n v="36"/>
    <d v="2019-10-19T00:00:00"/>
    <s v="Part-Time"/>
    <n v="78290.31"/>
    <n v="4"/>
    <n v="81.709999999999994"/>
    <n v="6"/>
    <n v="60"/>
    <n v="8"/>
    <s v="Monica Herrera"/>
    <s v="Resigned"/>
  </r>
  <r>
    <s v="EMP0637"/>
    <s v="Casey Perez"/>
    <x v="7"/>
    <s v="Support Agent"/>
    <s v="Female"/>
    <n v="48"/>
    <d v="2019-06-13T00:00:00"/>
    <s v="Contract"/>
    <n v="79719.59"/>
    <n v="1"/>
    <n v="81.91"/>
    <n v="6"/>
    <n v="7"/>
    <n v="3"/>
    <s v="Monica Herrera"/>
    <s v="Resigned"/>
  </r>
  <r>
    <s v="EMP0638"/>
    <s v="Michael Montoya"/>
    <x v="4"/>
    <s v="Product Developer"/>
    <s v="Male"/>
    <n v="21"/>
    <d v="2023-05-22T00:00:00"/>
    <s v="Part-Time"/>
    <n v="70454.2"/>
    <n v="4"/>
    <n v="86.05"/>
    <n v="2"/>
    <n v="50"/>
    <n v="42"/>
    <s v="Jamie Arnold"/>
    <s v="Active"/>
  </r>
  <r>
    <s v="EMP0639"/>
    <s v="Karen Perez"/>
    <x v="1"/>
    <s v="Account Executive"/>
    <s v="Male"/>
    <n v="37"/>
    <d v="2023-01-01T00:00:00"/>
    <s v="Full-Time"/>
    <n v="70374.67"/>
    <n v="3"/>
    <n v="97.56"/>
    <n v="2"/>
    <n v="16"/>
    <n v="5"/>
    <s v="Monica Herrera"/>
    <s v="Active"/>
  </r>
  <r>
    <s v="EMP0640"/>
    <s v="Ashley Edwards"/>
    <x v="7"/>
    <s v="Support Agent"/>
    <s v="Female"/>
    <n v="28"/>
    <d v="2017-05-03T00:00:00"/>
    <s v="Part-Time"/>
    <n v="24416.22"/>
    <n v="2"/>
    <n v="89.98"/>
    <n v="8"/>
    <n v="35"/>
    <n v="47"/>
    <s v="Jamie Arnold"/>
    <s v="Resigned"/>
  </r>
  <r>
    <s v="EMP0641"/>
    <s v="Raymond Mullins"/>
    <x v="2"/>
    <s v="Financial Analyst"/>
    <s v="Female"/>
    <n v="54"/>
    <d v="2020-11-27T00:00:00"/>
    <s v="Part-Time"/>
    <n v="63577.54"/>
    <n v="2"/>
    <n v="86.31"/>
    <n v="5"/>
    <n v="62"/>
    <n v="48"/>
    <s v="Cristian Santos"/>
    <s v="Active"/>
  </r>
  <r>
    <s v="EMP0642"/>
    <s v="Megan Jones"/>
    <x v="4"/>
    <s v="Researcher"/>
    <s v="Male"/>
    <n v="30"/>
    <d v="2018-01-30T00:00:00"/>
    <s v="Full-Time"/>
    <n v="42986.05"/>
    <n v="1"/>
    <n v="89.4"/>
    <n v="7"/>
    <n v="20"/>
    <n v="45"/>
    <s v="Dylan Miller"/>
    <s v="Active"/>
  </r>
  <r>
    <s v="EMP0643"/>
    <s v="Matthew Alexander"/>
    <x v="4"/>
    <s v="Researcher"/>
    <s v="Female"/>
    <n v="43"/>
    <d v="2025-05-26T00:00:00"/>
    <s v="Contract"/>
    <n v="76085.45"/>
    <n v="4"/>
    <n v="89.86"/>
    <n v="0"/>
    <n v="18"/>
    <n v="7"/>
    <s v="Jamie Arnold"/>
    <s v="Active"/>
  </r>
  <r>
    <s v="EMP0644"/>
    <s v="Brittany Jenkins"/>
    <x v="2"/>
    <s v="Accountant"/>
    <s v="Male"/>
    <n v="53"/>
    <d v="2019-06-10T00:00:00"/>
    <s v="Part-Time"/>
    <n v="76324.740000000005"/>
    <n v="5"/>
    <n v="84.25"/>
    <n v="6"/>
    <n v="0"/>
    <n v="33"/>
    <s v="Lisa Jackson"/>
    <s v="Active"/>
  </r>
  <r>
    <s v="EMP0645"/>
    <s v="Angelica Garcia"/>
    <x v="0"/>
    <s v="Marketing Analyst"/>
    <s v="Female"/>
    <n v="27"/>
    <d v="2023-05-05T00:00:00"/>
    <s v="Part-Time"/>
    <n v="22596.22"/>
    <n v="1"/>
    <n v="87.88"/>
    <n v="2"/>
    <n v="75"/>
    <n v="59"/>
    <s v="Daniel Wagner"/>
    <s v="Active"/>
  </r>
  <r>
    <s v="EMP0646"/>
    <s v="Janet Richmond"/>
    <x v="6"/>
    <s v="HR Officer"/>
    <s v="Male"/>
    <n v="50"/>
    <d v="2017-11-29T00:00:00"/>
    <s v="Contract"/>
    <n v="85953.93"/>
    <n v="4"/>
    <n v="92.57"/>
    <n v="8"/>
    <n v="34"/>
    <n v="38"/>
    <s v="Allison Hill"/>
    <s v="Active"/>
  </r>
  <r>
    <s v="EMP0647"/>
    <s v="Danielle Newman"/>
    <x v="1"/>
    <s v="Account Executive"/>
    <s v="Female"/>
    <n v="41"/>
    <d v="2021-03-02T00:00:00"/>
    <s v="Contract"/>
    <n v="119982.11"/>
    <n v="5"/>
    <n v="82.59"/>
    <n v="4"/>
    <n v="6"/>
    <n v="51"/>
    <s v="Ryan Munoz"/>
    <s v="Active"/>
  </r>
  <r>
    <s v="EMP0648"/>
    <s v="Lindsay Lawson"/>
    <x v="1"/>
    <s v="Account Executive"/>
    <s v="Male"/>
    <n v="56"/>
    <d v="2020-01-15T00:00:00"/>
    <s v="Contract"/>
    <n v="58139.09"/>
    <n v="4"/>
    <n v="85.1"/>
    <n v="5"/>
    <n v="30"/>
    <n v="49"/>
    <s v="Lisa Hensley"/>
    <s v="Active"/>
  </r>
  <r>
    <s v="EMP0649"/>
    <s v="Mary Turner"/>
    <x v="5"/>
    <s v="IT Support"/>
    <s v="Female"/>
    <n v="46"/>
    <d v="2016-04-09T00:00:00"/>
    <s v="Part-Time"/>
    <n v="84716.800000000003"/>
    <n v="2"/>
    <n v="82.41"/>
    <n v="9"/>
    <n v="62"/>
    <n v="51"/>
    <s v="Michele Williams"/>
    <s v="Active"/>
  </r>
  <r>
    <s v="EMP0650"/>
    <s v="Chelsea Myers"/>
    <x v="2"/>
    <s v="Finance Manager"/>
    <s v="Male"/>
    <n v="43"/>
    <d v="2024-08-16T00:00:00"/>
    <s v="Contract"/>
    <n v="29611.15"/>
    <n v="3"/>
    <n v="90.25"/>
    <n v="1"/>
    <n v="62"/>
    <n v="28"/>
    <s v="Lisa Hensley"/>
    <s v="Active"/>
  </r>
  <r>
    <s v="EMP0651"/>
    <s v="Rebecca Allen"/>
    <x v="7"/>
    <s v="Support Agent"/>
    <s v="Female"/>
    <n v="44"/>
    <d v="2016-09-29T00:00:00"/>
    <s v="Contract"/>
    <n v="38635.58"/>
    <n v="4"/>
    <n v="81.86"/>
    <n v="9"/>
    <n v="65"/>
    <n v="21"/>
    <s v="Dylan Miller"/>
    <s v="Active"/>
  </r>
  <r>
    <s v="EMP0652"/>
    <s v="Jonathan Wheeler"/>
    <x v="6"/>
    <s v="Recruiter"/>
    <s v="Male"/>
    <n v="39"/>
    <d v="2022-05-19T00:00:00"/>
    <s v="Part-Time"/>
    <n v="63735.55"/>
    <n v="4"/>
    <n v="86.01"/>
    <n v="3"/>
    <n v="16"/>
    <n v="43"/>
    <s v="Ryan Munoz"/>
    <s v="Active"/>
  </r>
  <r>
    <s v="EMP0653"/>
    <s v="Alexandria Ward"/>
    <x v="7"/>
    <s v="Team Lead"/>
    <s v="Male"/>
    <n v="56"/>
    <d v="2024-10-20T00:00:00"/>
    <s v="Full-Time"/>
    <n v="111730.2"/>
    <n v="5"/>
    <n v="82.15"/>
    <n v="1"/>
    <n v="54"/>
    <n v="26"/>
    <s v="Daniel Wagner"/>
    <s v="Active"/>
  </r>
  <r>
    <s v="EMP0654"/>
    <s v="Scott Carroll"/>
    <x v="2"/>
    <s v="Financial Analyst"/>
    <s v="Female"/>
    <n v="58"/>
    <d v="2021-03-14T00:00:00"/>
    <s v="Full-Time"/>
    <n v="96864.68"/>
    <n v="1"/>
    <n v="82.28"/>
    <n v="4"/>
    <n v="59"/>
    <n v="11"/>
    <s v="Connie Lawrence"/>
    <s v="Active"/>
  </r>
  <r>
    <s v="EMP0655"/>
    <s v="Carrie Ruiz"/>
    <x v="1"/>
    <s v="Sales Rep"/>
    <s v="Female"/>
    <n v="40"/>
    <d v="2022-01-12T00:00:00"/>
    <s v="Part-Time"/>
    <n v="78720.84"/>
    <n v="4"/>
    <n v="95.15"/>
    <n v="3"/>
    <n v="57"/>
    <n v="39"/>
    <s v="Gabrielle Davis"/>
    <s v="Active"/>
  </r>
  <r>
    <s v="EMP0656"/>
    <s v="Austin Baker"/>
    <x v="6"/>
    <s v="HR Officer"/>
    <s v="Male"/>
    <n v="26"/>
    <d v="2017-01-21T00:00:00"/>
    <s v="Contract"/>
    <n v="118218.62"/>
    <n v="3"/>
    <n v="97.43"/>
    <n v="8"/>
    <n v="13"/>
    <n v="27"/>
    <s v="Derek Zuniga"/>
    <s v="Active"/>
  </r>
  <r>
    <s v="EMP0657"/>
    <s v="Tiffany Sanders"/>
    <x v="7"/>
    <s v="Support Agent"/>
    <s v="Male"/>
    <n v="31"/>
    <d v="2016-06-29T00:00:00"/>
    <s v="Contract"/>
    <n v="67711.990000000005"/>
    <n v="4"/>
    <n v="97.38"/>
    <n v="9"/>
    <n v="77"/>
    <n v="46"/>
    <s v="Brian Ramirez"/>
    <s v="Active"/>
  </r>
  <r>
    <s v="EMP0658"/>
    <s v="Kathryn Perry"/>
    <x v="3"/>
    <s v="Operations Manager"/>
    <s v="Female"/>
    <n v="26"/>
    <d v="2020-09-09T00:00:00"/>
    <s v="Full-Time"/>
    <n v="33511.39"/>
    <n v="2"/>
    <n v="82.24"/>
    <n v="5"/>
    <n v="2"/>
    <n v="44"/>
    <s v="Abigail Shaffer"/>
    <s v="Resigned"/>
  </r>
  <r>
    <s v="EMP0659"/>
    <s v="Joshua Jensen"/>
    <x v="5"/>
    <s v="Software Engineer"/>
    <s v="Male"/>
    <n v="36"/>
    <d v="2022-08-29T00:00:00"/>
    <s v="Part-Time"/>
    <n v="104208.97"/>
    <n v="5"/>
    <n v="83.82"/>
    <n v="3"/>
    <n v="38"/>
    <n v="49"/>
    <s v="Dylan Miller"/>
    <s v="Active"/>
  </r>
  <r>
    <s v="EMP0660"/>
    <s v="Bob Mccall"/>
    <x v="7"/>
    <s v="Support Agent"/>
    <s v="Male"/>
    <n v="31"/>
    <d v="2020-07-15T00:00:00"/>
    <s v="Full-Time"/>
    <n v="93878.12"/>
    <n v="4"/>
    <n v="99.28"/>
    <n v="5"/>
    <n v="60"/>
    <n v="1"/>
    <s v="Dylan Miller"/>
    <s v="Active"/>
  </r>
  <r>
    <s v="EMP0661"/>
    <s v="Jeanette Walters"/>
    <x v="5"/>
    <s v="Software Engineer"/>
    <s v="Female"/>
    <n v="24"/>
    <d v="2018-06-17T00:00:00"/>
    <s v="Part-Time"/>
    <n v="20787.43"/>
    <n v="4"/>
    <n v="99.59"/>
    <n v="7"/>
    <n v="63"/>
    <n v="47"/>
    <s v="Lisa Jackson"/>
    <s v="Active"/>
  </r>
  <r>
    <s v="EMP0662"/>
    <s v="Jeffrey Ashley"/>
    <x v="2"/>
    <s v="Accountant"/>
    <s v="Female"/>
    <n v="46"/>
    <d v="2016-12-09T00:00:00"/>
    <s v="Part-Time"/>
    <n v="71335.570000000007"/>
    <n v="5"/>
    <n v="98.71"/>
    <n v="9"/>
    <n v="62"/>
    <n v="14"/>
    <s v="Noah Rhodes"/>
    <s v="Active"/>
  </r>
  <r>
    <s v="EMP0663"/>
    <s v="Brandon Hamilton"/>
    <x v="7"/>
    <s v="Team Lead"/>
    <s v="Male"/>
    <n v="38"/>
    <d v="2019-11-16T00:00:00"/>
    <s v="Contract"/>
    <n v="61713.75"/>
    <n v="4"/>
    <n v="82.34"/>
    <n v="6"/>
    <n v="79"/>
    <n v="60"/>
    <s v="Jamie Arnold"/>
    <s v="Active"/>
  </r>
  <r>
    <s v="EMP0664"/>
    <s v="Amy Wade"/>
    <x v="7"/>
    <s v="Support Agent"/>
    <s v="Male"/>
    <n v="39"/>
    <d v="2023-07-13T00:00:00"/>
    <s v="Contract"/>
    <n v="39220.129999999997"/>
    <n v="3"/>
    <n v="88.76"/>
    <n v="2"/>
    <n v="64"/>
    <n v="14"/>
    <s v="Lisa Jackson"/>
    <s v="Resigned"/>
  </r>
  <r>
    <s v="EMP0665"/>
    <s v="Michael Miles"/>
    <x v="3"/>
    <s v="Operations Manager"/>
    <s v="Male"/>
    <n v="39"/>
    <d v="2018-10-21T00:00:00"/>
    <s v="Contract"/>
    <n v="91138.52"/>
    <n v="4"/>
    <n v="96.66"/>
    <n v="7"/>
    <n v="46"/>
    <n v="50"/>
    <s v="Brian Ramirez"/>
    <s v="Active"/>
  </r>
  <r>
    <s v="EMP0666"/>
    <s v="Gregory Holmes PhD"/>
    <x v="6"/>
    <s v="HR Manager"/>
    <s v="Male"/>
    <n v="39"/>
    <d v="2018-08-09T00:00:00"/>
    <s v="Contract"/>
    <n v="94925.43"/>
    <n v="4"/>
    <n v="82.58"/>
    <n v="7"/>
    <n v="25"/>
    <n v="10"/>
    <s v="Carla Gray"/>
    <s v="Active"/>
  </r>
  <r>
    <s v="EMP0667"/>
    <s v="Cameron Norman"/>
    <x v="7"/>
    <s v="Team Lead"/>
    <s v="Female"/>
    <n v="36"/>
    <d v="2020-03-23T00:00:00"/>
    <s v="Full-Time"/>
    <n v="75683.05"/>
    <n v="1"/>
    <n v="87.18"/>
    <n v="5"/>
    <n v="33"/>
    <n v="22"/>
    <s v="Connie Lawrence"/>
    <s v="Active"/>
  </r>
  <r>
    <s v="EMP0668"/>
    <s v="Bailey Yoder"/>
    <x v="1"/>
    <s v="Sales Rep"/>
    <s v="Female"/>
    <n v="48"/>
    <d v="2020-05-22T00:00:00"/>
    <s v="Full-Time"/>
    <n v="81756.289999999994"/>
    <n v="1"/>
    <n v="91.24"/>
    <n v="5"/>
    <n v="62"/>
    <n v="16"/>
    <s v="Monica Herrera"/>
    <s v="Active"/>
  </r>
  <r>
    <s v="EMP0669"/>
    <s v="Denise Brown"/>
    <x v="1"/>
    <s v="Account Executive"/>
    <s v="Female"/>
    <n v="30"/>
    <d v="2021-07-07T00:00:00"/>
    <s v="Contract"/>
    <n v="107369.57"/>
    <n v="5"/>
    <n v="93.39"/>
    <n v="4"/>
    <n v="6"/>
    <n v="59"/>
    <s v="Dylan Miller"/>
    <s v="Active"/>
  </r>
  <r>
    <s v="EMP0670"/>
    <s v="Kathleen Dixon"/>
    <x v="0"/>
    <s v="Marketing Analyst"/>
    <s v="Male"/>
    <n v="56"/>
    <d v="2025-08-17T00:00:00"/>
    <s v="Full-Time"/>
    <n v="70730.570000000007"/>
    <n v="2"/>
    <n v="92.6"/>
    <n v="0"/>
    <n v="26"/>
    <n v="58"/>
    <s v="Jamie Arnold"/>
    <s v="Active"/>
  </r>
  <r>
    <s v="EMP0671"/>
    <s v="Mr. Jacob Scott Jr."/>
    <x v="2"/>
    <s v="Finance Manager"/>
    <s v="Female"/>
    <n v="53"/>
    <d v="2016-10-04T00:00:00"/>
    <s v="Part-Time"/>
    <n v="93255.19"/>
    <n v="1"/>
    <n v="83.09"/>
    <n v="9"/>
    <n v="46"/>
    <n v="21"/>
    <s v="Cristian Santos"/>
    <s v="Active"/>
  </r>
  <r>
    <s v="EMP0672"/>
    <s v="Ashley Yang"/>
    <x v="5"/>
    <s v="Software Engineer"/>
    <s v="Female"/>
    <n v="21"/>
    <d v="2025-07-31T00:00:00"/>
    <s v="Full-Time"/>
    <n v="103481.34"/>
    <n v="4"/>
    <n v="86.83"/>
    <n v="0"/>
    <n v="64"/>
    <n v="10"/>
    <s v="Angie Henderson"/>
    <s v="Active"/>
  </r>
  <r>
    <s v="EMP0673"/>
    <s v="Scott Sanchez"/>
    <x v="7"/>
    <s v="Team Lead"/>
    <s v="Male"/>
    <n v="30"/>
    <d v="2015-11-10T00:00:00"/>
    <s v="Contract"/>
    <n v="62172.22"/>
    <n v="2"/>
    <n v="82.76"/>
    <n v="10"/>
    <n v="54"/>
    <n v="26"/>
    <s v="Michele Williams"/>
    <s v="Resigned"/>
  </r>
  <r>
    <s v="EMP0674"/>
    <s v="Thomas White"/>
    <x v="3"/>
    <s v="Operations Associate"/>
    <s v="Female"/>
    <n v="30"/>
    <d v="2023-11-04T00:00:00"/>
    <s v="Full-Time"/>
    <n v="91762.57"/>
    <n v="5"/>
    <n v="98.87"/>
    <n v="2"/>
    <n v="10"/>
    <n v="21"/>
    <s v="Monica Herrera"/>
    <s v="Active"/>
  </r>
  <r>
    <s v="EMP0675"/>
    <s v="Suzanne Yang"/>
    <x v="6"/>
    <s v="Recruiter"/>
    <s v="Male"/>
    <n v="46"/>
    <d v="2016-06-01T00:00:00"/>
    <s v="Full-Time"/>
    <n v="86017.62"/>
    <n v="2"/>
    <n v="98.05"/>
    <n v="9"/>
    <n v="7"/>
    <n v="40"/>
    <s v="Holly Wood"/>
    <s v="Resigned"/>
  </r>
  <r>
    <s v="EMP0676"/>
    <s v="David Moon"/>
    <x v="7"/>
    <s v="Team Lead"/>
    <s v="Female"/>
    <n v="41"/>
    <d v="2022-12-13T00:00:00"/>
    <s v="Part-Time"/>
    <n v="20790.22"/>
    <n v="3"/>
    <n v="98"/>
    <n v="3"/>
    <n v="78"/>
    <n v="58"/>
    <s v="Cristian Santos"/>
    <s v="Active"/>
  </r>
  <r>
    <s v="EMP0677"/>
    <s v="Blake Watson"/>
    <x v="4"/>
    <s v="Researcher"/>
    <s v="Female"/>
    <n v="43"/>
    <d v="2021-04-05T00:00:00"/>
    <s v="Contract"/>
    <n v="60450.57"/>
    <n v="2"/>
    <n v="97.62"/>
    <n v="4"/>
    <n v="10"/>
    <n v="2"/>
    <s v="Derek Zuniga"/>
    <s v="Active"/>
  </r>
  <r>
    <s v="EMP0678"/>
    <s v="Amy Walker"/>
    <x v="6"/>
    <s v="HR Manager"/>
    <s v="Female"/>
    <n v="34"/>
    <d v="2024-05-10T00:00:00"/>
    <s v="Full-Time"/>
    <n v="71167.16"/>
    <n v="3"/>
    <n v="90.43"/>
    <n v="1"/>
    <n v="20"/>
    <n v="1"/>
    <s v="Allison Hill"/>
    <s v="Resigned"/>
  </r>
  <r>
    <s v="EMP0679"/>
    <s v="Dr. Andrea Marshall"/>
    <x v="2"/>
    <s v="Accountant"/>
    <s v="Female"/>
    <n v="48"/>
    <d v="2024-08-03T00:00:00"/>
    <s v="Contract"/>
    <n v="31044.19"/>
    <n v="1"/>
    <n v="96.83"/>
    <n v="1"/>
    <n v="33"/>
    <n v="40"/>
    <s v="Holly Wood"/>
    <s v="Active"/>
  </r>
  <r>
    <s v="EMP0680"/>
    <s v="Emily Miller"/>
    <x v="1"/>
    <s v="Account Executive"/>
    <s v="Male"/>
    <n v="49"/>
    <d v="2020-08-14T00:00:00"/>
    <s v="Part-Time"/>
    <n v="77243.53"/>
    <n v="1"/>
    <n v="89.06"/>
    <n v="5"/>
    <n v="30"/>
    <n v="51"/>
    <s v="Lisa Jackson"/>
    <s v="Active"/>
  </r>
  <r>
    <s v="EMP0681"/>
    <s v="Curtis Elliott"/>
    <x v="5"/>
    <s v="Software Engineer"/>
    <s v="Female"/>
    <n v="39"/>
    <d v="2023-08-03T00:00:00"/>
    <s v="Contract"/>
    <n v="98478.93"/>
    <n v="5"/>
    <n v="93.45"/>
    <n v="2"/>
    <n v="48"/>
    <n v="33"/>
    <s v="Gina Moore"/>
    <s v="Active"/>
  </r>
  <r>
    <s v="EMP0682"/>
    <s v="Dana Richardson"/>
    <x v="5"/>
    <s v="Software Engineer"/>
    <s v="Female"/>
    <n v="27"/>
    <d v="2020-12-26T00:00:00"/>
    <s v="Full-Time"/>
    <n v="91164.04"/>
    <n v="4"/>
    <n v="81.64"/>
    <n v="5"/>
    <n v="7"/>
    <n v="27"/>
    <s v="Cristian Santos"/>
    <s v="Active"/>
  </r>
  <r>
    <s v="EMP0683"/>
    <s v="Dr. Morgan Payne PhD"/>
    <x v="4"/>
    <s v="Researcher"/>
    <s v="Female"/>
    <n v="54"/>
    <d v="2024-03-17T00:00:00"/>
    <s v="Part-Time"/>
    <n v="78823.95"/>
    <n v="5"/>
    <n v="95.58"/>
    <n v="1"/>
    <n v="33"/>
    <n v="37"/>
    <s v="Brian Ramirez"/>
    <s v="Active"/>
  </r>
  <r>
    <s v="EMP0684"/>
    <s v="Jason Hall"/>
    <x v="4"/>
    <s v="Product Developer"/>
    <s v="Female"/>
    <n v="31"/>
    <d v="2018-05-18T00:00:00"/>
    <s v="Full-Time"/>
    <n v="70578.59"/>
    <n v="4"/>
    <n v="94.22"/>
    <n v="7"/>
    <n v="16"/>
    <n v="45"/>
    <s v="Holly Wood"/>
    <s v="Resigned"/>
  </r>
  <r>
    <s v="EMP0685"/>
    <s v="Melissa Smith"/>
    <x v="0"/>
    <s v="Content Specialist"/>
    <s v="Male"/>
    <n v="50"/>
    <d v="2021-09-16T00:00:00"/>
    <s v="Part-Time"/>
    <n v="23260.74"/>
    <n v="2"/>
    <n v="98.88"/>
    <n v="4"/>
    <n v="47"/>
    <n v="58"/>
    <s v="Daniel Wagner"/>
    <s v="Active"/>
  </r>
  <r>
    <s v="EMP0686"/>
    <s v="Matthew Sweeney"/>
    <x v="7"/>
    <s v="Support Agent"/>
    <s v="Male"/>
    <n v="44"/>
    <d v="2021-07-07T00:00:00"/>
    <s v="Contract"/>
    <n v="48959.06"/>
    <n v="5"/>
    <n v="83.07"/>
    <n v="4"/>
    <n v="47"/>
    <n v="19"/>
    <s v="Jamie Arnold"/>
    <s v="Active"/>
  </r>
  <r>
    <s v="EMP0687"/>
    <s v="Joseph Allen"/>
    <x v="4"/>
    <s v="Researcher"/>
    <s v="Male"/>
    <n v="30"/>
    <d v="2021-01-17T00:00:00"/>
    <s v="Contract"/>
    <n v="62175.7"/>
    <n v="3"/>
    <n v="97.78"/>
    <n v="4"/>
    <n v="27"/>
    <n v="11"/>
    <s v="Brian Ramirez"/>
    <s v="Active"/>
  </r>
  <r>
    <s v="EMP0688"/>
    <s v="Valerie Thomas"/>
    <x v="3"/>
    <s v="Operations Associate"/>
    <s v="Male"/>
    <n v="47"/>
    <d v="2024-03-09T00:00:00"/>
    <s v="Part-Time"/>
    <n v="77305.91"/>
    <n v="5"/>
    <n v="89.05"/>
    <n v="1"/>
    <n v="43"/>
    <n v="50"/>
    <s v="Lisa Hensley"/>
    <s v="Active"/>
  </r>
  <r>
    <s v="EMP0689"/>
    <s v="Thomas Merritt"/>
    <x v="6"/>
    <s v="HR Officer"/>
    <s v="Female"/>
    <n v="49"/>
    <d v="2020-07-29T00:00:00"/>
    <s v="Contract"/>
    <n v="64907.47"/>
    <n v="3"/>
    <n v="81.790000000000006"/>
    <n v="5"/>
    <n v="79"/>
    <n v="42"/>
    <s v="Carla Gray"/>
    <s v="Active"/>
  </r>
  <r>
    <s v="EMP0690"/>
    <s v="Steven Ellis"/>
    <x v="5"/>
    <s v="Software Engineer"/>
    <s v="Female"/>
    <n v="55"/>
    <d v="2024-08-28T00:00:00"/>
    <s v="Full-Time"/>
    <n v="115807.95"/>
    <n v="4"/>
    <n v="94.72"/>
    <n v="1"/>
    <n v="11"/>
    <n v="55"/>
    <s v="Connie Lawrence"/>
    <s v="Active"/>
  </r>
  <r>
    <s v="EMP0691"/>
    <s v="Kathy Walsh"/>
    <x v="2"/>
    <s v="Finance Manager"/>
    <s v="Male"/>
    <n v="56"/>
    <d v="2017-04-05T00:00:00"/>
    <s v="Full-Time"/>
    <n v="39242.67"/>
    <n v="5"/>
    <n v="90.84"/>
    <n v="8"/>
    <n v="6"/>
    <n v="36"/>
    <s v="Holly Wood"/>
    <s v="Active"/>
  </r>
  <r>
    <s v="EMP0692"/>
    <s v="Keith Graham"/>
    <x v="4"/>
    <s v="Researcher"/>
    <s v="Male"/>
    <n v="55"/>
    <d v="2022-07-11T00:00:00"/>
    <s v="Full-Time"/>
    <n v="116237.68"/>
    <n v="3"/>
    <n v="95.74"/>
    <n v="3"/>
    <n v="31"/>
    <n v="53"/>
    <s v="Lisa Jackson"/>
    <s v="Active"/>
  </r>
  <r>
    <s v="EMP0693"/>
    <s v="Dean Edwards"/>
    <x v="3"/>
    <s v="Operations Manager"/>
    <s v="Male"/>
    <n v="52"/>
    <d v="2018-01-15T00:00:00"/>
    <s v="Full-Time"/>
    <n v="53995.66"/>
    <n v="2"/>
    <n v="88.3"/>
    <n v="7"/>
    <n v="67"/>
    <n v="20"/>
    <s v="Lisa Hensley"/>
    <s v="Active"/>
  </r>
  <r>
    <s v="EMP0694"/>
    <s v="Nancy Stewart"/>
    <x v="0"/>
    <s v="Marketing Analyst"/>
    <s v="Male"/>
    <n v="39"/>
    <d v="2022-07-02T00:00:00"/>
    <s v="Full-Time"/>
    <n v="38266.89"/>
    <n v="1"/>
    <n v="83.08"/>
    <n v="3"/>
    <n v="52"/>
    <n v="43"/>
    <s v="Connie Lawrence"/>
    <s v="Active"/>
  </r>
  <r>
    <s v="EMP0695"/>
    <s v="Tony Taylor"/>
    <x v="3"/>
    <s v="Operations Associate"/>
    <s v="Male"/>
    <n v="24"/>
    <d v="2020-06-10T00:00:00"/>
    <s v="Part-Time"/>
    <n v="58993.97"/>
    <n v="3"/>
    <n v="82.85"/>
    <n v="5"/>
    <n v="41"/>
    <n v="16"/>
    <s v="Lisa Hensley"/>
    <s v="Resigned"/>
  </r>
  <r>
    <s v="EMP0696"/>
    <s v="Brian Cole"/>
    <x v="0"/>
    <s v="Marketing Analyst"/>
    <s v="Male"/>
    <n v="36"/>
    <d v="2025-10-06T00:00:00"/>
    <s v="Contract"/>
    <n v="78602.91"/>
    <n v="4"/>
    <n v="90.17"/>
    <n v="0"/>
    <n v="64"/>
    <n v="24"/>
    <s v="Daniel Wagner"/>
    <s v="Active"/>
  </r>
  <r>
    <s v="EMP0697"/>
    <s v="Joshua Oconnell"/>
    <x v="3"/>
    <s v="Operations Manager"/>
    <s v="Female"/>
    <n v="25"/>
    <d v="2021-02-27T00:00:00"/>
    <s v="Part-Time"/>
    <n v="22890.639999999999"/>
    <n v="2"/>
    <n v="98.27"/>
    <n v="4"/>
    <n v="2"/>
    <n v="17"/>
    <s v="Derek Zuniga"/>
    <s v="Resigned"/>
  </r>
  <r>
    <s v="EMP0698"/>
    <s v="John Phelps"/>
    <x v="0"/>
    <s v="Marketing Analyst"/>
    <s v="Male"/>
    <n v="40"/>
    <d v="2019-05-08T00:00:00"/>
    <s v="Contract"/>
    <n v="60674.59"/>
    <n v="1"/>
    <n v="96.93"/>
    <n v="6"/>
    <n v="64"/>
    <n v="13"/>
    <s v="Cristian Santos"/>
    <s v="Active"/>
  </r>
  <r>
    <s v="EMP0699"/>
    <s v="Michael Mckenzie"/>
    <x v="6"/>
    <s v="HR Officer"/>
    <s v="Female"/>
    <n v="56"/>
    <d v="2017-05-09T00:00:00"/>
    <s v="Part-Time"/>
    <n v="24179.21"/>
    <n v="4"/>
    <n v="99.22"/>
    <n v="8"/>
    <n v="79"/>
    <n v="18"/>
    <s v="Connie Lawrence"/>
    <s v="Active"/>
  </r>
  <r>
    <s v="EMP0700"/>
    <s v="Scott Hernandez"/>
    <x v="4"/>
    <s v="Product Developer"/>
    <s v="Female"/>
    <n v="45"/>
    <d v="2016-07-02T00:00:00"/>
    <s v="Part-Time"/>
    <n v="104243.87"/>
    <n v="2"/>
    <n v="91.7"/>
    <n v="9"/>
    <n v="65"/>
    <n v="18"/>
    <s v="Noah Rhodes"/>
    <s v="Active"/>
  </r>
  <r>
    <s v="EMP0701"/>
    <s v="Jennifer Williams"/>
    <x v="0"/>
    <s v="Brand Manager"/>
    <s v="Male"/>
    <n v="46"/>
    <d v="2020-01-15T00:00:00"/>
    <s v="Contract"/>
    <n v="32297.7"/>
    <n v="2"/>
    <n v="94.5"/>
    <n v="5"/>
    <n v="35"/>
    <n v="56"/>
    <s v="Michele Williams"/>
    <s v="Active"/>
  </r>
  <r>
    <s v="EMP0702"/>
    <s v="William Johnson"/>
    <x v="3"/>
    <s v="Operations Manager"/>
    <s v="Female"/>
    <n v="49"/>
    <d v="2020-11-24T00:00:00"/>
    <s v="Part-Time"/>
    <n v="44592.83"/>
    <n v="3"/>
    <n v="86.83"/>
    <n v="5"/>
    <n v="58"/>
    <n v="38"/>
    <s v="Monica Herrera"/>
    <s v="Active"/>
  </r>
  <r>
    <s v="EMP0703"/>
    <s v="Kristi Pierce"/>
    <x v="6"/>
    <s v="HR Manager"/>
    <s v="Male"/>
    <n v="59"/>
    <d v="2022-09-11T00:00:00"/>
    <s v="Part-Time"/>
    <n v="20427.919999999998"/>
    <n v="1"/>
    <n v="93.45"/>
    <n v="3"/>
    <n v="52"/>
    <n v="35"/>
    <s v="Brian Ramirez"/>
    <s v="Active"/>
  </r>
  <r>
    <s v="EMP0704"/>
    <s v="Robert Taylor"/>
    <x v="0"/>
    <s v="Content Specialist"/>
    <s v="Male"/>
    <n v="55"/>
    <d v="2017-06-05T00:00:00"/>
    <s v="Full-Time"/>
    <n v="109257.22"/>
    <n v="4"/>
    <n v="93.44"/>
    <n v="8"/>
    <n v="45"/>
    <n v="52"/>
    <s v="Lisa Hensley"/>
    <s v="Active"/>
  </r>
  <r>
    <s v="EMP0705"/>
    <s v="Richard Walker"/>
    <x v="3"/>
    <s v="Operations Manager"/>
    <s v="Male"/>
    <n v="21"/>
    <d v="2016-01-08T00:00:00"/>
    <s v="Full-Time"/>
    <n v="66269.25"/>
    <n v="2"/>
    <n v="88.89"/>
    <n v="9"/>
    <n v="28"/>
    <n v="47"/>
    <s v="Allison Hill"/>
    <s v="Active"/>
  </r>
  <r>
    <s v="EMP0706"/>
    <s v="Jacqueline Mccoy"/>
    <x v="3"/>
    <s v="Operations Associate"/>
    <s v="Male"/>
    <n v="60"/>
    <d v="2019-03-10T00:00:00"/>
    <s v="Contract"/>
    <n v="50317.85"/>
    <n v="2"/>
    <n v="84.69"/>
    <n v="6"/>
    <n v="63"/>
    <n v="23"/>
    <s v="Noah Rhodes"/>
    <s v="Active"/>
  </r>
  <r>
    <s v="EMP0707"/>
    <s v="Deanna Hess"/>
    <x v="5"/>
    <s v="IT Support"/>
    <s v="Male"/>
    <n v="46"/>
    <d v="2017-03-31T00:00:00"/>
    <s v="Full-Time"/>
    <n v="106991.62"/>
    <n v="5"/>
    <n v="90.01"/>
    <n v="8"/>
    <n v="21"/>
    <n v="35"/>
    <s v="Abigail Shaffer"/>
    <s v="Active"/>
  </r>
  <r>
    <s v="EMP0708"/>
    <s v="Christina Brewer PhD"/>
    <x v="6"/>
    <s v="HR Officer"/>
    <s v="Male"/>
    <n v="25"/>
    <d v="2016-03-09T00:00:00"/>
    <s v="Full-Time"/>
    <n v="45962.45"/>
    <n v="5"/>
    <n v="97.11"/>
    <n v="9"/>
    <n v="66"/>
    <n v="46"/>
    <s v="Gabrielle Davis"/>
    <s v="Active"/>
  </r>
  <r>
    <s v="EMP0709"/>
    <s v="Sandra Rivera"/>
    <x v="1"/>
    <s v="Account Executive"/>
    <s v="Female"/>
    <n v="56"/>
    <d v="2017-05-19T00:00:00"/>
    <s v="Part-Time"/>
    <n v="20195.5"/>
    <n v="4"/>
    <n v="92.82"/>
    <n v="8"/>
    <n v="6"/>
    <n v="54"/>
    <s v="Monica Herrera"/>
    <s v="Active"/>
  </r>
  <r>
    <s v="EMP0710"/>
    <s v="Amber Glass"/>
    <x v="7"/>
    <s v="Team Lead"/>
    <s v="Male"/>
    <n v="54"/>
    <d v="2016-07-17T00:00:00"/>
    <s v="Part-Time"/>
    <n v="69557.47"/>
    <n v="5"/>
    <n v="95.18"/>
    <n v="9"/>
    <n v="28"/>
    <n v="3"/>
    <s v="Gabrielle Davis"/>
    <s v="Resigned"/>
  </r>
  <r>
    <s v="EMP0711"/>
    <s v="Jennifer Johnson"/>
    <x v="4"/>
    <s v="Product Developer"/>
    <s v="Male"/>
    <n v="46"/>
    <d v="2023-03-09T00:00:00"/>
    <s v="Full-Time"/>
    <n v="53470.58"/>
    <n v="5"/>
    <n v="96.15"/>
    <n v="2"/>
    <n v="28"/>
    <n v="44"/>
    <s v="Michele Williams"/>
    <s v="Resigned"/>
  </r>
  <r>
    <s v="EMP0712"/>
    <s v="Daniel Lopez"/>
    <x v="5"/>
    <s v="IT Support"/>
    <s v="Male"/>
    <n v="42"/>
    <d v="2023-01-28T00:00:00"/>
    <s v="Part-Time"/>
    <n v="26284.41"/>
    <n v="1"/>
    <n v="80.56"/>
    <n v="2"/>
    <n v="55"/>
    <n v="51"/>
    <s v="Allison Hill"/>
    <s v="Active"/>
  </r>
  <r>
    <s v="EMP0713"/>
    <s v="Charles Mendez"/>
    <x v="3"/>
    <s v="Operations Manager"/>
    <s v="Male"/>
    <n v="27"/>
    <d v="2020-07-29T00:00:00"/>
    <s v="Part-Time"/>
    <n v="43835.92"/>
    <n v="3"/>
    <n v="96.65"/>
    <n v="5"/>
    <n v="42"/>
    <n v="33"/>
    <s v="Gina Moore"/>
    <s v="Resigned"/>
  </r>
  <r>
    <s v="EMP0714"/>
    <s v="Kathleen Andrade"/>
    <x v="4"/>
    <s v="Researcher"/>
    <s v="Female"/>
    <n v="58"/>
    <d v="2019-12-31T00:00:00"/>
    <s v="Full-Time"/>
    <n v="28553.47"/>
    <n v="1"/>
    <n v="98.33"/>
    <n v="6"/>
    <n v="48"/>
    <n v="20"/>
    <s v="Angie Henderson"/>
    <s v="Active"/>
  </r>
  <r>
    <s v="EMP0715"/>
    <s v="Douglas Taylor"/>
    <x v="1"/>
    <s v="Sales Manager"/>
    <s v="Male"/>
    <n v="40"/>
    <d v="2023-12-19T00:00:00"/>
    <s v="Contract"/>
    <n v="82618.52"/>
    <n v="1"/>
    <n v="82.04"/>
    <n v="2"/>
    <n v="7"/>
    <n v="35"/>
    <s v="Noah Rhodes"/>
    <s v="Active"/>
  </r>
  <r>
    <s v="EMP0716"/>
    <s v="Rebecca Wright"/>
    <x v="7"/>
    <s v="Team Lead"/>
    <s v="Male"/>
    <n v="60"/>
    <d v="2019-03-18T00:00:00"/>
    <s v="Part-Time"/>
    <n v="43311.199999999997"/>
    <n v="5"/>
    <n v="95.75"/>
    <n v="6"/>
    <n v="79"/>
    <n v="0"/>
    <s v="Dylan Miller"/>
    <s v="Active"/>
  </r>
  <r>
    <s v="EMP0717"/>
    <s v="Virginia Casey"/>
    <x v="7"/>
    <s v="Support Agent"/>
    <s v="Female"/>
    <n v="22"/>
    <d v="2025-01-24T00:00:00"/>
    <s v="Part-Time"/>
    <n v="71721.289999999994"/>
    <n v="5"/>
    <n v="83.85"/>
    <n v="0"/>
    <n v="13"/>
    <n v="0"/>
    <s v="Carla Gray"/>
    <s v="Active"/>
  </r>
  <r>
    <s v="EMP0718"/>
    <s v="Richard Cooper"/>
    <x v="5"/>
    <s v="Data Analyst"/>
    <s v="Male"/>
    <n v="53"/>
    <d v="2021-12-04T00:00:00"/>
    <s v="Part-Time"/>
    <n v="55539.12"/>
    <n v="4"/>
    <n v="94.49"/>
    <n v="4"/>
    <n v="56"/>
    <n v="11"/>
    <s v="Gina Moore"/>
    <s v="Active"/>
  </r>
  <r>
    <s v="EMP0719"/>
    <s v="Jasmine White"/>
    <x v="1"/>
    <s v="Sales Rep"/>
    <s v="Male"/>
    <n v="40"/>
    <d v="2025-06-09T00:00:00"/>
    <s v="Contract"/>
    <n v="63584.81"/>
    <n v="3"/>
    <n v="86.22"/>
    <n v="0"/>
    <n v="69"/>
    <n v="49"/>
    <s v="Cristian Santos"/>
    <s v="Active"/>
  </r>
  <r>
    <s v="EMP0720"/>
    <s v="Alyssa Cochran"/>
    <x v="2"/>
    <s v="Finance Manager"/>
    <s v="Female"/>
    <n v="39"/>
    <d v="2021-03-29T00:00:00"/>
    <s v="Part-Time"/>
    <n v="117027.11"/>
    <n v="5"/>
    <n v="91.73"/>
    <n v="4"/>
    <n v="18"/>
    <n v="3"/>
    <s v="Gina Moore"/>
    <s v="Active"/>
  </r>
  <r>
    <s v="EMP0721"/>
    <s v="William Moreno"/>
    <x v="1"/>
    <s v="Sales Manager"/>
    <s v="Female"/>
    <n v="33"/>
    <d v="2020-08-05T00:00:00"/>
    <s v="Full-Time"/>
    <n v="84055.48"/>
    <n v="2"/>
    <n v="95.71"/>
    <n v="5"/>
    <n v="43"/>
    <n v="12"/>
    <s v="Brian Ramirez"/>
    <s v="Active"/>
  </r>
  <r>
    <s v="EMP0722"/>
    <s v="Dr. Ariel Sandoval MD"/>
    <x v="4"/>
    <s v="Product Developer"/>
    <s v="Female"/>
    <n v="60"/>
    <d v="2025-10-01T00:00:00"/>
    <s v="Part-Time"/>
    <n v="61869.53"/>
    <n v="2"/>
    <n v="82.1"/>
    <n v="0"/>
    <n v="5"/>
    <n v="31"/>
    <s v="Gina Moore"/>
    <s v="Resigned"/>
  </r>
  <r>
    <s v="EMP0723"/>
    <s v="Theresa Johnston"/>
    <x v="5"/>
    <s v="Data Analyst"/>
    <s v="Male"/>
    <n v="50"/>
    <d v="2016-10-07T00:00:00"/>
    <s v="Contract"/>
    <n v="41313.85"/>
    <n v="4"/>
    <n v="94.69"/>
    <n v="9"/>
    <n v="42"/>
    <n v="51"/>
    <s v="Lisa Hensley"/>
    <s v="Active"/>
  </r>
  <r>
    <s v="EMP0724"/>
    <s v="Ryan Bruce"/>
    <x v="6"/>
    <s v="HR Officer"/>
    <s v="Female"/>
    <n v="21"/>
    <d v="2022-06-04T00:00:00"/>
    <s v="Full-Time"/>
    <n v="55788.67"/>
    <n v="5"/>
    <n v="82.3"/>
    <n v="3"/>
    <n v="37"/>
    <n v="28"/>
    <s v="Abigail Shaffer"/>
    <s v="Active"/>
  </r>
  <r>
    <s v="EMP0725"/>
    <s v="Evan Rojas"/>
    <x v="3"/>
    <s v="Operations Associate"/>
    <s v="Male"/>
    <n v="33"/>
    <d v="2018-10-24T00:00:00"/>
    <s v="Full-Time"/>
    <n v="48410.09"/>
    <n v="2"/>
    <n v="97.71"/>
    <n v="7"/>
    <n v="22"/>
    <n v="21"/>
    <s v="Derek Zuniga"/>
    <s v="Active"/>
  </r>
  <r>
    <s v="EMP0726"/>
    <s v="Alyssa Haynes"/>
    <x v="5"/>
    <s v="IT Support"/>
    <s v="Male"/>
    <n v="37"/>
    <d v="2021-12-02T00:00:00"/>
    <s v="Full-Time"/>
    <n v="22099.38"/>
    <n v="2"/>
    <n v="87.58"/>
    <n v="4"/>
    <n v="14"/>
    <n v="21"/>
    <s v="Abigail Shaffer"/>
    <s v="Active"/>
  </r>
  <r>
    <s v="EMP0727"/>
    <s v="Kristine Lopez"/>
    <x v="5"/>
    <s v="Software Engineer"/>
    <s v="Female"/>
    <n v="31"/>
    <d v="2025-06-22T00:00:00"/>
    <s v="Contract"/>
    <n v="117710.18"/>
    <n v="5"/>
    <n v="97.63"/>
    <n v="0"/>
    <n v="8"/>
    <n v="7"/>
    <s v="Cristian Santos"/>
    <s v="Resigned"/>
  </r>
  <r>
    <s v="EMP0728"/>
    <s v="Casey Johnson"/>
    <x v="6"/>
    <s v="HR Officer"/>
    <s v="Male"/>
    <n v="55"/>
    <d v="2024-03-10T00:00:00"/>
    <s v="Part-Time"/>
    <n v="89435.39"/>
    <n v="3"/>
    <n v="91.99"/>
    <n v="1"/>
    <n v="31"/>
    <n v="58"/>
    <s v="Noah Rhodes"/>
    <s v="Active"/>
  </r>
  <r>
    <s v="EMP0729"/>
    <s v="Daniel Fox"/>
    <x v="5"/>
    <s v="Data Analyst"/>
    <s v="Female"/>
    <n v="30"/>
    <d v="2016-10-09T00:00:00"/>
    <s v="Part-Time"/>
    <n v="44717.16"/>
    <n v="3"/>
    <n v="97.46"/>
    <n v="9"/>
    <n v="65"/>
    <n v="37"/>
    <s v="Brian Ramirez"/>
    <s v="Active"/>
  </r>
  <r>
    <s v="EMP0730"/>
    <s v="Lucas Drake"/>
    <x v="0"/>
    <s v="Brand Manager"/>
    <s v="Male"/>
    <n v="31"/>
    <d v="2015-10-30T00:00:00"/>
    <s v="Contract"/>
    <n v="58811.58"/>
    <n v="5"/>
    <n v="87.49"/>
    <n v="10"/>
    <n v="66"/>
    <n v="29"/>
    <s v="Connie Lawrence"/>
    <s v="Active"/>
  </r>
  <r>
    <s v="EMP0731"/>
    <s v="Tamara Richard"/>
    <x v="3"/>
    <s v="Operations Manager"/>
    <s v="Female"/>
    <n v="51"/>
    <d v="2021-08-12T00:00:00"/>
    <s v="Part-Time"/>
    <n v="78118.67"/>
    <n v="5"/>
    <n v="92.99"/>
    <n v="4"/>
    <n v="26"/>
    <n v="14"/>
    <s v="Abigail Shaffer"/>
    <s v="Active"/>
  </r>
  <r>
    <s v="EMP0732"/>
    <s v="Charles Bush"/>
    <x v="5"/>
    <s v="Software Engineer"/>
    <s v="Male"/>
    <n v="40"/>
    <d v="2021-04-27T00:00:00"/>
    <s v="Part-Time"/>
    <n v="108870.89"/>
    <n v="5"/>
    <n v="83.14"/>
    <n v="4"/>
    <n v="47"/>
    <n v="16"/>
    <s v="Derek Zuniga"/>
    <s v="Active"/>
  </r>
  <r>
    <s v="EMP0733"/>
    <s v="Sarah Valencia"/>
    <x v="0"/>
    <s v="Brand Manager"/>
    <s v="Female"/>
    <n v="54"/>
    <d v="2018-03-24T00:00:00"/>
    <s v="Part-Time"/>
    <n v="43017.760000000002"/>
    <n v="1"/>
    <n v="89.31"/>
    <n v="7"/>
    <n v="79"/>
    <n v="21"/>
    <s v="Michele Williams"/>
    <s v="Active"/>
  </r>
  <r>
    <s v="EMP0734"/>
    <s v="Tom Foster"/>
    <x v="7"/>
    <s v="Team Lead"/>
    <s v="Female"/>
    <n v="52"/>
    <d v="2017-01-18T00:00:00"/>
    <s v="Part-Time"/>
    <n v="47301.95"/>
    <n v="1"/>
    <n v="83.59"/>
    <n v="8"/>
    <n v="29"/>
    <n v="16"/>
    <s v="Angie Henderson"/>
    <s v="Active"/>
  </r>
  <r>
    <s v="EMP0735"/>
    <s v="Frank Daugherty"/>
    <x v="0"/>
    <s v="Brand Manager"/>
    <s v="Male"/>
    <n v="38"/>
    <d v="2017-07-14T00:00:00"/>
    <s v="Full-Time"/>
    <n v="29840.91"/>
    <n v="1"/>
    <n v="87.2"/>
    <n v="8"/>
    <n v="69"/>
    <n v="12"/>
    <s v="Monica Herrera"/>
    <s v="Active"/>
  </r>
  <r>
    <s v="EMP0736"/>
    <s v="Toni Banks"/>
    <x v="3"/>
    <s v="Operations Manager"/>
    <s v="Female"/>
    <n v="38"/>
    <d v="2023-04-01T00:00:00"/>
    <s v="Full-Time"/>
    <n v="90564.26"/>
    <n v="2"/>
    <n v="99.97"/>
    <n v="2"/>
    <n v="69"/>
    <n v="58"/>
    <s v="Gabrielle Davis"/>
    <s v="Active"/>
  </r>
  <r>
    <s v="EMP0737"/>
    <s v="Kristina Preston"/>
    <x v="2"/>
    <s v="Financial Analyst"/>
    <s v="Female"/>
    <n v="46"/>
    <d v="2018-10-12T00:00:00"/>
    <s v="Part-Time"/>
    <n v="102186.13"/>
    <n v="1"/>
    <n v="89.44"/>
    <n v="7"/>
    <n v="65"/>
    <n v="48"/>
    <s v="Cristian Santos"/>
    <s v="Resigned"/>
  </r>
  <r>
    <s v="EMP0738"/>
    <s v="Kevin Thompson"/>
    <x v="5"/>
    <s v="IT Support"/>
    <s v="Male"/>
    <n v="51"/>
    <d v="2021-11-20T00:00:00"/>
    <s v="Full-Time"/>
    <n v="71582.539999999994"/>
    <n v="5"/>
    <n v="95.15"/>
    <n v="4"/>
    <n v="59"/>
    <n v="21"/>
    <s v="Angie Henderson"/>
    <s v="Active"/>
  </r>
  <r>
    <s v="EMP0739"/>
    <s v="Elizabeth Thompson"/>
    <x v="5"/>
    <s v="Software Engineer"/>
    <s v="Female"/>
    <n v="34"/>
    <d v="2021-01-13T00:00:00"/>
    <s v="Part-Time"/>
    <n v="64997.19"/>
    <n v="5"/>
    <n v="80.599999999999994"/>
    <n v="4"/>
    <n v="17"/>
    <n v="36"/>
    <s v="Cristian Santos"/>
    <s v="Active"/>
  </r>
  <r>
    <s v="EMP0740"/>
    <s v="Tiffany Myers"/>
    <x v="1"/>
    <s v="Sales Manager"/>
    <s v="Female"/>
    <n v="42"/>
    <d v="2015-11-06T00:00:00"/>
    <s v="Full-Time"/>
    <n v="61914.73"/>
    <n v="4"/>
    <n v="95.26"/>
    <n v="10"/>
    <n v="68"/>
    <n v="19"/>
    <s v="Monica Herrera"/>
    <s v="Active"/>
  </r>
  <r>
    <s v="EMP0741"/>
    <s v="Lance Mccall"/>
    <x v="1"/>
    <s v="Sales Rep"/>
    <s v="Male"/>
    <n v="42"/>
    <d v="2025-06-21T00:00:00"/>
    <s v="Contract"/>
    <n v="82983.929999999993"/>
    <n v="5"/>
    <n v="98.28"/>
    <n v="0"/>
    <n v="73"/>
    <n v="55"/>
    <s v="Lisa Hensley"/>
    <s v="Resigned"/>
  </r>
  <r>
    <s v="EMP0742"/>
    <s v="Ashley Crawford"/>
    <x v="5"/>
    <s v="Software Engineer"/>
    <s v="Male"/>
    <n v="55"/>
    <d v="2019-07-29T00:00:00"/>
    <s v="Part-Time"/>
    <n v="38833.870000000003"/>
    <n v="1"/>
    <n v="86.58"/>
    <n v="6"/>
    <n v="57"/>
    <n v="40"/>
    <s v="Ryan Munoz"/>
    <s v="Active"/>
  </r>
  <r>
    <s v="EMP0743"/>
    <s v="Cynthia Haas"/>
    <x v="0"/>
    <s v="Content Specialist"/>
    <s v="Male"/>
    <n v="23"/>
    <d v="2021-06-13T00:00:00"/>
    <s v="Contract"/>
    <n v="80336.39"/>
    <n v="1"/>
    <n v="83.73"/>
    <n v="4"/>
    <n v="8"/>
    <n v="58"/>
    <s v="Lisa Hensley"/>
    <s v="Active"/>
  </r>
  <r>
    <s v="EMP0744"/>
    <s v="Tracey Underwood"/>
    <x v="5"/>
    <s v="Software Engineer"/>
    <s v="Male"/>
    <n v="50"/>
    <d v="2018-09-03T00:00:00"/>
    <s v="Full-Time"/>
    <n v="56865.23"/>
    <n v="1"/>
    <n v="83.44"/>
    <n v="7"/>
    <n v="52"/>
    <n v="25"/>
    <s v="Connie Lawrence"/>
    <s v="Resigned"/>
  </r>
  <r>
    <s v="EMP0745"/>
    <s v="Derek Wright"/>
    <x v="6"/>
    <s v="HR Manager"/>
    <s v="Female"/>
    <n v="51"/>
    <d v="2021-07-12T00:00:00"/>
    <s v="Contract"/>
    <n v="26876.3"/>
    <n v="2"/>
    <n v="82.6"/>
    <n v="4"/>
    <n v="26"/>
    <n v="19"/>
    <s v="Michele Williams"/>
    <s v="Active"/>
  </r>
  <r>
    <s v="EMP0746"/>
    <s v="Richard Le"/>
    <x v="4"/>
    <s v="Researcher"/>
    <s v="Female"/>
    <n v="58"/>
    <d v="2016-12-20T00:00:00"/>
    <s v="Full-Time"/>
    <n v="70247.5"/>
    <n v="4"/>
    <n v="85.51"/>
    <n v="9"/>
    <n v="0"/>
    <n v="9"/>
    <s v="Dylan Miller"/>
    <s v="Active"/>
  </r>
  <r>
    <s v="EMP0747"/>
    <s v="Nicholas Costa"/>
    <x v="7"/>
    <s v="Support Agent"/>
    <s v="Female"/>
    <n v="57"/>
    <d v="2016-08-20T00:00:00"/>
    <s v="Part-Time"/>
    <n v="66020.460000000006"/>
    <n v="5"/>
    <n v="80.78"/>
    <n v="9"/>
    <n v="11"/>
    <n v="18"/>
    <s v="Dylan Miller"/>
    <s v="Active"/>
  </r>
  <r>
    <s v="EMP0748"/>
    <s v="James Payne Jr."/>
    <x v="2"/>
    <s v="Financial Analyst"/>
    <s v="Male"/>
    <n v="47"/>
    <d v="2022-11-10T00:00:00"/>
    <s v="Full-Time"/>
    <n v="37957.81"/>
    <n v="5"/>
    <n v="94.66"/>
    <n v="3"/>
    <n v="58"/>
    <n v="24"/>
    <s v="Connie Lawrence"/>
    <s v="Active"/>
  </r>
  <r>
    <s v="EMP0749"/>
    <s v="Laura Chang"/>
    <x v="0"/>
    <s v="Brand Manager"/>
    <s v="Male"/>
    <n v="36"/>
    <d v="2023-12-22T00:00:00"/>
    <s v="Full-Time"/>
    <n v="47377.63"/>
    <n v="5"/>
    <n v="85.84"/>
    <n v="2"/>
    <n v="8"/>
    <n v="44"/>
    <s v="Abigail Shaffer"/>
    <s v="Resigned"/>
  </r>
  <r>
    <s v="EMP0750"/>
    <s v="Benjamin Singleton"/>
    <x v="7"/>
    <s v="Support Agent"/>
    <s v="Female"/>
    <n v="25"/>
    <d v="2019-08-27T00:00:00"/>
    <s v="Full-Time"/>
    <n v="70439.48"/>
    <n v="3"/>
    <n v="88.2"/>
    <n v="6"/>
    <n v="21"/>
    <n v="16"/>
    <s v="Abigail Shaffer"/>
    <s v="Active"/>
  </r>
  <r>
    <s v="EMP0751"/>
    <s v="Dean Garcia"/>
    <x v="4"/>
    <s v="Researcher"/>
    <s v="Male"/>
    <n v="50"/>
    <d v="2020-10-31T00:00:00"/>
    <s v="Part-Time"/>
    <n v="54365.77"/>
    <n v="4"/>
    <n v="97.12"/>
    <n v="5"/>
    <n v="50"/>
    <n v="2"/>
    <s v="Allison Hill"/>
    <s v="Active"/>
  </r>
  <r>
    <s v="EMP0752"/>
    <s v="James Dennis"/>
    <x v="6"/>
    <s v="Recruiter"/>
    <s v="Female"/>
    <n v="52"/>
    <d v="2021-08-18T00:00:00"/>
    <s v="Part-Time"/>
    <n v="26823.72"/>
    <n v="5"/>
    <n v="93.14"/>
    <n v="4"/>
    <n v="56"/>
    <n v="8"/>
    <s v="Brian Ramirez"/>
    <s v="Active"/>
  </r>
  <r>
    <s v="EMP0753"/>
    <s v="Vanessa Morgan"/>
    <x v="6"/>
    <s v="HR Officer"/>
    <s v="Male"/>
    <n v="59"/>
    <d v="2025-02-14T00:00:00"/>
    <s v="Full-Time"/>
    <n v="37723.660000000003"/>
    <n v="1"/>
    <n v="90.69"/>
    <n v="0"/>
    <n v="50"/>
    <n v="10"/>
    <s v="Angie Henderson"/>
    <s v="Active"/>
  </r>
  <r>
    <s v="EMP0754"/>
    <s v="Jessica Valdez"/>
    <x v="1"/>
    <s v="Account Executive"/>
    <s v="Female"/>
    <n v="30"/>
    <d v="2024-01-11T00:00:00"/>
    <s v="Part-Time"/>
    <n v="55808.7"/>
    <n v="2"/>
    <n v="94.29"/>
    <n v="1"/>
    <n v="68"/>
    <n v="13"/>
    <s v="Dylan Miller"/>
    <s v="Active"/>
  </r>
  <r>
    <s v="EMP0755"/>
    <s v="Brian Harris"/>
    <x v="0"/>
    <s v="Brand Manager"/>
    <s v="Female"/>
    <n v="49"/>
    <d v="2023-03-16T00:00:00"/>
    <s v="Full-Time"/>
    <n v="79820.539999999994"/>
    <n v="1"/>
    <n v="95.45"/>
    <n v="2"/>
    <n v="25"/>
    <n v="59"/>
    <s v="Gina Moore"/>
    <s v="Active"/>
  </r>
  <r>
    <s v="EMP0756"/>
    <s v="Julian Frost"/>
    <x v="5"/>
    <s v="IT Support"/>
    <s v="Male"/>
    <n v="22"/>
    <d v="2019-01-18T00:00:00"/>
    <s v="Part-Time"/>
    <n v="22794.42"/>
    <n v="1"/>
    <n v="86.74"/>
    <n v="6"/>
    <n v="24"/>
    <n v="43"/>
    <s v="Angie Henderson"/>
    <s v="Active"/>
  </r>
  <r>
    <s v="EMP0757"/>
    <s v="Douglas Young"/>
    <x v="0"/>
    <s v="Content Specialist"/>
    <s v="Male"/>
    <n v="31"/>
    <d v="2025-01-02T00:00:00"/>
    <s v="Full-Time"/>
    <n v="61568"/>
    <n v="1"/>
    <n v="96.31"/>
    <n v="0"/>
    <n v="41"/>
    <n v="35"/>
    <s v="Abigail Shaffer"/>
    <s v="Active"/>
  </r>
  <r>
    <s v="EMP0758"/>
    <s v="Joshua Henry"/>
    <x v="7"/>
    <s v="Team Lead"/>
    <s v="Male"/>
    <n v="35"/>
    <d v="2016-08-29T00:00:00"/>
    <s v="Full-Time"/>
    <n v="30588.53"/>
    <n v="3"/>
    <n v="83.47"/>
    <n v="9"/>
    <n v="51"/>
    <n v="41"/>
    <s v="Monica Herrera"/>
    <s v="Active"/>
  </r>
  <r>
    <s v="EMP0759"/>
    <s v="Jeffrey Phillips"/>
    <x v="5"/>
    <s v="Software Engineer"/>
    <s v="Male"/>
    <n v="25"/>
    <d v="2016-09-28T00:00:00"/>
    <s v="Contract"/>
    <n v="101508.49"/>
    <n v="5"/>
    <n v="87.38"/>
    <n v="9"/>
    <n v="8"/>
    <n v="56"/>
    <s v="Abigail Shaffer"/>
    <s v="Active"/>
  </r>
  <r>
    <s v="EMP0760"/>
    <s v="Alexander Jackson"/>
    <x v="4"/>
    <s v="Researcher"/>
    <s v="Male"/>
    <n v="37"/>
    <d v="2023-12-27T00:00:00"/>
    <s v="Full-Time"/>
    <n v="79986.710000000006"/>
    <n v="4"/>
    <n v="93.56"/>
    <n v="2"/>
    <n v="17"/>
    <n v="21"/>
    <s v="Connie Lawrence"/>
    <s v="Active"/>
  </r>
  <r>
    <s v="EMP0761"/>
    <s v="Kara Wilson"/>
    <x v="3"/>
    <s v="Operations Manager"/>
    <s v="Male"/>
    <n v="42"/>
    <d v="2020-10-12T00:00:00"/>
    <s v="Full-Time"/>
    <n v="80853.33"/>
    <n v="5"/>
    <n v="88.98"/>
    <n v="5"/>
    <n v="65"/>
    <n v="40"/>
    <s v="Gina Moore"/>
    <s v="Active"/>
  </r>
  <r>
    <s v="EMP0762"/>
    <s v="Steven Baker"/>
    <x v="1"/>
    <s v="Sales Rep"/>
    <s v="Male"/>
    <n v="60"/>
    <d v="2022-07-30T00:00:00"/>
    <s v="Full-Time"/>
    <n v="50884.86"/>
    <n v="4"/>
    <n v="95.14"/>
    <n v="3"/>
    <n v="79"/>
    <n v="5"/>
    <s v="Noah Rhodes"/>
    <s v="Active"/>
  </r>
  <r>
    <s v="EMP0763"/>
    <s v="Jacob James"/>
    <x v="4"/>
    <s v="Product Developer"/>
    <s v="Male"/>
    <n v="30"/>
    <d v="2025-01-27T00:00:00"/>
    <s v="Part-Time"/>
    <n v="40438.53"/>
    <n v="1"/>
    <n v="84.76"/>
    <n v="0"/>
    <n v="76"/>
    <n v="60"/>
    <s v="Dylan Miller"/>
    <s v="Active"/>
  </r>
  <r>
    <s v="EMP0764"/>
    <s v="Dennis Marshall"/>
    <x v="3"/>
    <s v="Operations Associate"/>
    <s v="Female"/>
    <n v="41"/>
    <d v="2018-12-28T00:00:00"/>
    <s v="Contract"/>
    <n v="98697.09"/>
    <n v="1"/>
    <n v="90.42"/>
    <n v="7"/>
    <n v="53"/>
    <n v="41"/>
    <s v="Ryan Munoz"/>
    <s v="Active"/>
  </r>
  <r>
    <s v="EMP0765"/>
    <s v="Kristy Hernandez"/>
    <x v="5"/>
    <s v="Data Analyst"/>
    <s v="Female"/>
    <n v="42"/>
    <d v="2019-08-31T00:00:00"/>
    <s v="Full-Time"/>
    <n v="40581.74"/>
    <n v="1"/>
    <n v="98.13"/>
    <n v="6"/>
    <n v="31"/>
    <n v="51"/>
    <s v="Gina Moore"/>
    <s v="Active"/>
  </r>
  <r>
    <s v="EMP0766"/>
    <s v="Gregg Weaver"/>
    <x v="7"/>
    <s v="Team Lead"/>
    <s v="Male"/>
    <n v="49"/>
    <d v="2017-06-17T00:00:00"/>
    <s v="Contract"/>
    <n v="20604.27"/>
    <n v="4"/>
    <n v="81.400000000000006"/>
    <n v="8"/>
    <n v="24"/>
    <n v="3"/>
    <s v="Cristian Santos"/>
    <s v="Resigned"/>
  </r>
  <r>
    <s v="EMP0767"/>
    <s v="Sara Cardenas"/>
    <x v="6"/>
    <s v="HR Officer"/>
    <s v="Male"/>
    <n v="58"/>
    <d v="2019-09-08T00:00:00"/>
    <s v="Contract"/>
    <n v="103122.09"/>
    <n v="2"/>
    <n v="84.73"/>
    <n v="6"/>
    <n v="10"/>
    <n v="27"/>
    <s v="Dylan Miller"/>
    <s v="Active"/>
  </r>
  <r>
    <s v="EMP0768"/>
    <s v="Melissa Mayer"/>
    <x v="5"/>
    <s v="IT Support"/>
    <s v="Female"/>
    <n v="32"/>
    <d v="2022-12-09T00:00:00"/>
    <s v="Contract"/>
    <n v="44896.94"/>
    <n v="3"/>
    <n v="91.53"/>
    <n v="3"/>
    <n v="25"/>
    <n v="17"/>
    <s v="Brian Ramirez"/>
    <s v="Active"/>
  </r>
  <r>
    <s v="EMP0769"/>
    <s v="Karen Miller"/>
    <x v="3"/>
    <s v="Operations Manager"/>
    <s v="Female"/>
    <n v="31"/>
    <d v="2025-07-23T00:00:00"/>
    <s v="Part-Time"/>
    <n v="64137.61"/>
    <n v="5"/>
    <n v="92.19"/>
    <n v="0"/>
    <n v="55"/>
    <n v="48"/>
    <s v="Cristian Santos"/>
    <s v="Active"/>
  </r>
  <r>
    <s v="EMP0770"/>
    <s v="Stephanie Mcbride"/>
    <x v="4"/>
    <s v="Researcher"/>
    <s v="Female"/>
    <n v="48"/>
    <d v="2016-05-28T00:00:00"/>
    <s v="Full-Time"/>
    <n v="95885.83"/>
    <n v="3"/>
    <n v="91.9"/>
    <n v="9"/>
    <n v="19"/>
    <n v="35"/>
    <s v="Connie Lawrence"/>
    <s v="Active"/>
  </r>
  <r>
    <s v="EMP0771"/>
    <s v="Peter Thompson"/>
    <x v="4"/>
    <s v="Product Developer"/>
    <s v="Female"/>
    <n v="39"/>
    <d v="2018-04-29T00:00:00"/>
    <s v="Part-Time"/>
    <n v="76214.210000000006"/>
    <n v="4"/>
    <n v="81.44"/>
    <n v="7"/>
    <n v="17"/>
    <n v="45"/>
    <s v="Brian Ramirez"/>
    <s v="Active"/>
  </r>
  <r>
    <s v="EMP0772"/>
    <s v="Rhonda Martinez"/>
    <x v="5"/>
    <s v="IT Support"/>
    <s v="Male"/>
    <n v="53"/>
    <d v="2018-08-29T00:00:00"/>
    <s v="Contract"/>
    <n v="92534.54"/>
    <n v="4"/>
    <n v="88.09"/>
    <n v="7"/>
    <n v="53"/>
    <n v="60"/>
    <s v="Lisa Hensley"/>
    <s v="Resigned"/>
  </r>
  <r>
    <s v="EMP0773"/>
    <s v="Michael Harris"/>
    <x v="3"/>
    <s v="Operations Manager"/>
    <s v="Female"/>
    <n v="40"/>
    <d v="2023-01-07T00:00:00"/>
    <s v="Contract"/>
    <n v="118752.21"/>
    <n v="1"/>
    <n v="88.18"/>
    <n v="2"/>
    <n v="4"/>
    <n v="58"/>
    <s v="Daniel Wagner"/>
    <s v="Active"/>
  </r>
  <r>
    <s v="EMP0774"/>
    <s v="Deanna Bartlett"/>
    <x v="6"/>
    <s v="HR Officer"/>
    <s v="Female"/>
    <n v="37"/>
    <d v="2018-05-01T00:00:00"/>
    <s v="Contract"/>
    <n v="54857.87"/>
    <n v="4"/>
    <n v="92.7"/>
    <n v="7"/>
    <n v="47"/>
    <n v="44"/>
    <s v="Noah Rhodes"/>
    <s v="Active"/>
  </r>
  <r>
    <s v="EMP0775"/>
    <s v="Justin Arnold"/>
    <x v="7"/>
    <s v="Support Agent"/>
    <s v="Male"/>
    <n v="51"/>
    <d v="2016-12-15T00:00:00"/>
    <s v="Full-Time"/>
    <n v="112146.85"/>
    <n v="3"/>
    <n v="92.62"/>
    <n v="9"/>
    <n v="3"/>
    <n v="44"/>
    <s v="Cristian Santos"/>
    <s v="Active"/>
  </r>
  <r>
    <s v="EMP0776"/>
    <s v="Sylvia Smith"/>
    <x v="4"/>
    <s v="Researcher"/>
    <s v="Female"/>
    <n v="36"/>
    <d v="2020-07-07T00:00:00"/>
    <s v="Contract"/>
    <n v="77834.179999999993"/>
    <n v="2"/>
    <n v="80.25"/>
    <n v="5"/>
    <n v="11"/>
    <n v="41"/>
    <s v="Lisa Hensley"/>
    <s v="Active"/>
  </r>
  <r>
    <s v="EMP0777"/>
    <s v="Jennifer Perry"/>
    <x v="0"/>
    <s v="Content Specialist"/>
    <s v="Male"/>
    <n v="48"/>
    <d v="2025-10-24T00:00:00"/>
    <s v="Full-Time"/>
    <n v="102974.96"/>
    <n v="3"/>
    <n v="93.84"/>
    <n v="0"/>
    <n v="64"/>
    <n v="34"/>
    <s v="Lisa Hensley"/>
    <s v="Active"/>
  </r>
  <r>
    <s v="EMP0778"/>
    <s v="Lauren Hanna"/>
    <x v="7"/>
    <s v="Support Agent"/>
    <s v="Male"/>
    <n v="57"/>
    <d v="2018-05-03T00:00:00"/>
    <s v="Part-Time"/>
    <n v="101422.8"/>
    <n v="3"/>
    <n v="94.97"/>
    <n v="7"/>
    <n v="50"/>
    <n v="44"/>
    <s v="Ryan Munoz"/>
    <s v="Active"/>
  </r>
  <r>
    <s v="EMP0779"/>
    <s v="Kristine Garcia"/>
    <x v="6"/>
    <s v="Recruiter"/>
    <s v="Male"/>
    <n v="27"/>
    <d v="2017-07-09T00:00:00"/>
    <s v="Full-Time"/>
    <n v="97374.36"/>
    <n v="4"/>
    <n v="90.5"/>
    <n v="8"/>
    <n v="36"/>
    <n v="46"/>
    <s v="Michele Williams"/>
    <s v="Active"/>
  </r>
  <r>
    <s v="EMP0780"/>
    <s v="Sheryl Humphrey"/>
    <x v="3"/>
    <s v="Operations Associate"/>
    <s v="Male"/>
    <n v="33"/>
    <d v="2020-09-06T00:00:00"/>
    <s v="Part-Time"/>
    <n v="38198.43"/>
    <n v="1"/>
    <n v="89.01"/>
    <n v="5"/>
    <n v="27"/>
    <n v="11"/>
    <s v="Abigail Shaffer"/>
    <s v="Active"/>
  </r>
  <r>
    <s v="EMP0781"/>
    <s v="John Lynch"/>
    <x v="6"/>
    <s v="HR Officer"/>
    <s v="Female"/>
    <n v="47"/>
    <d v="2020-04-23T00:00:00"/>
    <s v="Part-Time"/>
    <n v="82683.740000000005"/>
    <n v="5"/>
    <n v="82.18"/>
    <n v="5"/>
    <n v="21"/>
    <n v="5"/>
    <s v="Ryan Munoz"/>
    <s v="Active"/>
  </r>
  <r>
    <s v="EMP0782"/>
    <s v="Jamie Montgomery"/>
    <x v="0"/>
    <s v="Brand Manager"/>
    <s v="Male"/>
    <n v="42"/>
    <d v="2016-06-14T00:00:00"/>
    <s v="Full-Time"/>
    <n v="78564.639999999999"/>
    <n v="4"/>
    <n v="89.7"/>
    <n v="9"/>
    <n v="12"/>
    <n v="0"/>
    <s v="Noah Rhodes"/>
    <s v="Active"/>
  </r>
  <r>
    <s v="EMP0783"/>
    <s v="Steve Rivera"/>
    <x v="1"/>
    <s v="Account Executive"/>
    <s v="Male"/>
    <n v="27"/>
    <d v="2022-08-26T00:00:00"/>
    <s v="Full-Time"/>
    <n v="72233.45"/>
    <n v="1"/>
    <n v="87.51"/>
    <n v="3"/>
    <n v="66"/>
    <n v="48"/>
    <s v="Gabrielle Davis"/>
    <s v="Resigned"/>
  </r>
  <r>
    <s v="EMP0784"/>
    <s v="John Adams"/>
    <x v="4"/>
    <s v="Product Developer"/>
    <s v="Female"/>
    <n v="42"/>
    <d v="2019-11-10T00:00:00"/>
    <s v="Part-Time"/>
    <n v="88186"/>
    <n v="3"/>
    <n v="99.99"/>
    <n v="6"/>
    <n v="30"/>
    <n v="60"/>
    <s v="Jamie Arnold"/>
    <s v="Active"/>
  </r>
  <r>
    <s v="EMP0785"/>
    <s v="Robert Turner"/>
    <x v="7"/>
    <s v="Support Agent"/>
    <s v="Female"/>
    <n v="42"/>
    <d v="2022-02-25T00:00:00"/>
    <s v="Full-Time"/>
    <n v="20308.47"/>
    <n v="4"/>
    <n v="94.5"/>
    <n v="3"/>
    <n v="17"/>
    <n v="1"/>
    <s v="Carla Gray"/>
    <s v="Active"/>
  </r>
  <r>
    <s v="EMP0786"/>
    <s v="Shannon Cohen"/>
    <x v="2"/>
    <s v="Finance Manager"/>
    <s v="Male"/>
    <n v="44"/>
    <d v="2020-08-02T00:00:00"/>
    <s v="Part-Time"/>
    <n v="81835.17"/>
    <n v="4"/>
    <n v="90.3"/>
    <n v="5"/>
    <n v="24"/>
    <n v="0"/>
    <s v="Monica Herrera"/>
    <s v="Active"/>
  </r>
  <r>
    <s v="EMP0787"/>
    <s v="William Ramos"/>
    <x v="3"/>
    <s v="Operations Associate"/>
    <s v="Female"/>
    <n v="49"/>
    <d v="2019-09-11T00:00:00"/>
    <s v="Full-Time"/>
    <n v="80676.3"/>
    <n v="4"/>
    <n v="94.78"/>
    <n v="6"/>
    <n v="10"/>
    <n v="22"/>
    <s v="Michele Williams"/>
    <s v="Resigned"/>
  </r>
  <r>
    <s v="EMP0788"/>
    <s v="Jason Brewer"/>
    <x v="4"/>
    <s v="Researcher"/>
    <s v="Female"/>
    <n v="39"/>
    <d v="2021-04-10T00:00:00"/>
    <s v="Contract"/>
    <n v="39507.699999999997"/>
    <n v="2"/>
    <n v="97.4"/>
    <n v="4"/>
    <n v="73"/>
    <n v="50"/>
    <s v="Holly Wood"/>
    <s v="Active"/>
  </r>
  <r>
    <s v="EMP0789"/>
    <s v="Thomas Russell"/>
    <x v="4"/>
    <s v="Researcher"/>
    <s v="Female"/>
    <n v="56"/>
    <d v="2019-01-05T00:00:00"/>
    <s v="Part-Time"/>
    <n v="36805.29"/>
    <n v="4"/>
    <n v="99.1"/>
    <n v="6"/>
    <n v="61"/>
    <n v="42"/>
    <s v="Derek Zuniga"/>
    <s v="Active"/>
  </r>
  <r>
    <s v="EMP0790"/>
    <s v="Sharon Nicholson"/>
    <x v="5"/>
    <s v="IT Support"/>
    <s v="Male"/>
    <n v="27"/>
    <d v="2024-01-22T00:00:00"/>
    <s v="Part-Time"/>
    <n v="119336.15"/>
    <n v="1"/>
    <n v="83.2"/>
    <n v="1"/>
    <n v="41"/>
    <n v="57"/>
    <s v="Lisa Hensley"/>
    <s v="Active"/>
  </r>
  <r>
    <s v="EMP0791"/>
    <s v="Ana Mckinney"/>
    <x v="5"/>
    <s v="Data Analyst"/>
    <s v="Female"/>
    <n v="51"/>
    <d v="2024-07-31T00:00:00"/>
    <s v="Contract"/>
    <n v="32309.81"/>
    <n v="2"/>
    <n v="98.45"/>
    <n v="1"/>
    <n v="62"/>
    <n v="5"/>
    <s v="Monica Herrera"/>
    <s v="Resigned"/>
  </r>
  <r>
    <s v="EMP0792"/>
    <s v="Samuel Suarez"/>
    <x v="0"/>
    <s v="Content Specialist"/>
    <s v="Female"/>
    <n v="45"/>
    <d v="2022-09-05T00:00:00"/>
    <s v="Contract"/>
    <n v="94296.78"/>
    <n v="4"/>
    <n v="93.08"/>
    <n v="3"/>
    <n v="71"/>
    <n v="54"/>
    <s v="Michele Williams"/>
    <s v="Active"/>
  </r>
  <r>
    <s v="EMP0793"/>
    <s v="Shaun Gonzalez"/>
    <x v="5"/>
    <s v="Software Engineer"/>
    <s v="Male"/>
    <n v="39"/>
    <d v="2016-04-22T00:00:00"/>
    <s v="Full-Time"/>
    <n v="31138.25"/>
    <n v="3"/>
    <n v="94.81"/>
    <n v="9"/>
    <n v="24"/>
    <n v="47"/>
    <s v="Daniel Wagner"/>
    <s v="Active"/>
  </r>
  <r>
    <s v="EMP0794"/>
    <s v="Jesus Hull"/>
    <x v="6"/>
    <s v="Recruiter"/>
    <s v="Female"/>
    <n v="57"/>
    <d v="2016-10-18T00:00:00"/>
    <s v="Contract"/>
    <n v="20167.849999999999"/>
    <n v="1"/>
    <n v="91.8"/>
    <n v="9"/>
    <n v="24"/>
    <n v="54"/>
    <s v="Lisa Hensley"/>
    <s v="Resigned"/>
  </r>
  <r>
    <s v="EMP0795"/>
    <s v="Rodney Wagner"/>
    <x v="3"/>
    <s v="Operations Manager"/>
    <s v="Male"/>
    <n v="54"/>
    <d v="2019-03-16T00:00:00"/>
    <s v="Contract"/>
    <n v="80161.759999999995"/>
    <n v="2"/>
    <n v="82.13"/>
    <n v="6"/>
    <n v="1"/>
    <n v="34"/>
    <s v="Dylan Miller"/>
    <s v="Active"/>
  </r>
  <r>
    <s v="EMP0796"/>
    <s v="Dana Burns"/>
    <x v="2"/>
    <s v="Accountant"/>
    <s v="Female"/>
    <n v="50"/>
    <d v="2017-12-03T00:00:00"/>
    <s v="Full-Time"/>
    <n v="80146.539999999994"/>
    <n v="2"/>
    <n v="94.94"/>
    <n v="8"/>
    <n v="4"/>
    <n v="38"/>
    <s v="Monica Herrera"/>
    <s v="Active"/>
  </r>
  <r>
    <s v="EMP0797"/>
    <s v="Seth Matthews"/>
    <x v="0"/>
    <s v="Brand Manager"/>
    <s v="Female"/>
    <n v="34"/>
    <d v="2023-05-28T00:00:00"/>
    <s v="Part-Time"/>
    <n v="49149.51"/>
    <n v="4"/>
    <n v="81.180000000000007"/>
    <n v="2"/>
    <n v="42"/>
    <n v="9"/>
    <s v="Abigail Shaffer"/>
    <s v="Active"/>
  </r>
  <r>
    <s v="EMP0798"/>
    <s v="Ryan Green"/>
    <x v="5"/>
    <s v="Data Analyst"/>
    <s v="Male"/>
    <n v="32"/>
    <d v="2021-10-07T00:00:00"/>
    <s v="Part-Time"/>
    <n v="92739.55"/>
    <n v="3"/>
    <n v="99.69"/>
    <n v="4"/>
    <n v="20"/>
    <n v="1"/>
    <s v="Derek Zuniga"/>
    <s v="Active"/>
  </r>
  <r>
    <s v="EMP0799"/>
    <s v="James Martin"/>
    <x v="7"/>
    <s v="Team Lead"/>
    <s v="Female"/>
    <n v="46"/>
    <d v="2017-05-09T00:00:00"/>
    <s v="Part-Time"/>
    <n v="27182.32"/>
    <n v="3"/>
    <n v="85.65"/>
    <n v="8"/>
    <n v="24"/>
    <n v="44"/>
    <s v="Derek Zuniga"/>
    <s v="Active"/>
  </r>
  <r>
    <s v="EMP0800"/>
    <s v="Cindy Walker"/>
    <x v="6"/>
    <s v="Recruiter"/>
    <s v="Male"/>
    <n v="40"/>
    <d v="2025-07-20T00:00:00"/>
    <s v="Part-Time"/>
    <n v="85463.4"/>
    <n v="5"/>
    <n v="82.75"/>
    <n v="0"/>
    <n v="61"/>
    <n v="18"/>
    <s v="Cristian Santos"/>
    <s v="Active"/>
  </r>
  <r>
    <s v="EMP0801"/>
    <s v="Debra Ortiz"/>
    <x v="5"/>
    <s v="Data Analyst"/>
    <s v="Male"/>
    <n v="44"/>
    <d v="2019-08-24T00:00:00"/>
    <s v="Contract"/>
    <n v="105614.13"/>
    <n v="1"/>
    <n v="93.57"/>
    <n v="6"/>
    <n v="18"/>
    <n v="24"/>
    <s v="Michele Williams"/>
    <s v="Active"/>
  </r>
  <r>
    <s v="EMP0802"/>
    <s v="Tracy Fleming"/>
    <x v="6"/>
    <s v="HR Officer"/>
    <s v="Male"/>
    <n v="43"/>
    <d v="2016-02-27T00:00:00"/>
    <s v="Part-Time"/>
    <n v="37963.29"/>
    <n v="1"/>
    <n v="82.35"/>
    <n v="9"/>
    <n v="65"/>
    <n v="41"/>
    <s v="Monica Herrera"/>
    <s v="Active"/>
  </r>
  <r>
    <s v="EMP0803"/>
    <s v="Maria Burke"/>
    <x v="6"/>
    <s v="HR Manager"/>
    <s v="Female"/>
    <n v="36"/>
    <d v="2023-11-18T00:00:00"/>
    <s v="Full-Time"/>
    <n v="31880.25"/>
    <n v="4"/>
    <n v="89.77"/>
    <n v="2"/>
    <n v="76"/>
    <n v="11"/>
    <s v="Lisa Hensley"/>
    <s v="Active"/>
  </r>
  <r>
    <s v="EMP0804"/>
    <s v="Lee Hahn"/>
    <x v="0"/>
    <s v="Brand Manager"/>
    <s v="Female"/>
    <n v="38"/>
    <d v="2015-12-17T00:00:00"/>
    <s v="Contract"/>
    <n v="85319.55"/>
    <n v="3"/>
    <n v="80.23"/>
    <n v="10"/>
    <n v="14"/>
    <n v="5"/>
    <s v="Daniel Wagner"/>
    <s v="Active"/>
  </r>
  <r>
    <s v="EMP0805"/>
    <s v="James Bailey"/>
    <x v="5"/>
    <s v="IT Support"/>
    <s v="Female"/>
    <n v="38"/>
    <d v="2020-07-02T00:00:00"/>
    <s v="Contract"/>
    <n v="94535.93"/>
    <n v="5"/>
    <n v="83.62"/>
    <n v="5"/>
    <n v="61"/>
    <n v="41"/>
    <s v="Michele Williams"/>
    <s v="Active"/>
  </r>
  <r>
    <s v="EMP0806"/>
    <s v="Eric Meyer"/>
    <x v="6"/>
    <s v="HR Officer"/>
    <s v="Female"/>
    <n v="25"/>
    <d v="2020-02-07T00:00:00"/>
    <s v="Contract"/>
    <n v="110888.05"/>
    <n v="5"/>
    <n v="83.7"/>
    <n v="5"/>
    <n v="2"/>
    <n v="25"/>
    <s v="Derek Zuniga"/>
    <s v="Active"/>
  </r>
  <r>
    <s v="EMP0807"/>
    <s v="Adrienne Key"/>
    <x v="4"/>
    <s v="Researcher"/>
    <s v="Male"/>
    <n v="34"/>
    <d v="2022-07-28T00:00:00"/>
    <s v="Contract"/>
    <n v="109760.23"/>
    <n v="2"/>
    <n v="97.24"/>
    <n v="3"/>
    <n v="23"/>
    <n v="0"/>
    <s v="Derek Zuniga"/>
    <s v="Active"/>
  </r>
  <r>
    <s v="EMP0808"/>
    <s v="Linda Campbell"/>
    <x v="3"/>
    <s v="Operations Associate"/>
    <s v="Male"/>
    <n v="29"/>
    <d v="2022-03-08T00:00:00"/>
    <s v="Contract"/>
    <n v="40622.99"/>
    <n v="2"/>
    <n v="81.760000000000005"/>
    <n v="3"/>
    <n v="32"/>
    <n v="54"/>
    <s v="Noah Rhodes"/>
    <s v="Active"/>
  </r>
  <r>
    <s v="EMP0809"/>
    <s v="Mr. Donald Nguyen"/>
    <x v="0"/>
    <s v="Content Specialist"/>
    <s v="Female"/>
    <n v="44"/>
    <d v="2017-08-27T00:00:00"/>
    <s v="Contract"/>
    <n v="37160.32"/>
    <n v="1"/>
    <n v="84.97"/>
    <n v="8"/>
    <n v="5"/>
    <n v="60"/>
    <s v="Holly Wood"/>
    <s v="Resigned"/>
  </r>
  <r>
    <s v="EMP0810"/>
    <s v="Michael Stafford"/>
    <x v="2"/>
    <s v="Finance Manager"/>
    <s v="Female"/>
    <n v="29"/>
    <d v="2020-07-11T00:00:00"/>
    <s v="Contract"/>
    <n v="69044.28"/>
    <n v="3"/>
    <n v="90.45"/>
    <n v="5"/>
    <n v="45"/>
    <n v="38"/>
    <s v="Derek Zuniga"/>
    <s v="Active"/>
  </r>
  <r>
    <s v="EMP0811"/>
    <s v="Joseph Allen"/>
    <x v="0"/>
    <s v="Content Specialist"/>
    <s v="Male"/>
    <n v="36"/>
    <d v="2020-11-24T00:00:00"/>
    <s v="Full-Time"/>
    <n v="38807.370000000003"/>
    <n v="3"/>
    <n v="97.12"/>
    <n v="5"/>
    <n v="27"/>
    <n v="8"/>
    <s v="Carla Gray"/>
    <s v="Active"/>
  </r>
  <r>
    <s v="EMP0812"/>
    <s v="Rebekah Greene"/>
    <x v="3"/>
    <s v="Operations Manager"/>
    <s v="Male"/>
    <n v="60"/>
    <d v="2016-10-12T00:00:00"/>
    <s v="Part-Time"/>
    <n v="27435.97"/>
    <n v="3"/>
    <n v="85.21"/>
    <n v="9"/>
    <n v="20"/>
    <n v="25"/>
    <s v="Dylan Miller"/>
    <s v="Active"/>
  </r>
  <r>
    <s v="EMP0813"/>
    <s v="Mikayla Rios"/>
    <x v="2"/>
    <s v="Finance Manager"/>
    <s v="Female"/>
    <n v="30"/>
    <d v="2021-04-02T00:00:00"/>
    <s v="Contract"/>
    <n v="40376.29"/>
    <n v="3"/>
    <n v="99.91"/>
    <n v="4"/>
    <n v="24"/>
    <n v="45"/>
    <s v="Jamie Arnold"/>
    <s v="Active"/>
  </r>
  <r>
    <s v="EMP0814"/>
    <s v="Jason Price"/>
    <x v="6"/>
    <s v="Recruiter"/>
    <s v="Male"/>
    <n v="41"/>
    <d v="2020-11-04T00:00:00"/>
    <s v="Part-Time"/>
    <n v="57894.19"/>
    <n v="5"/>
    <n v="84.95"/>
    <n v="5"/>
    <n v="34"/>
    <n v="7"/>
    <s v="Derek Zuniga"/>
    <s v="Active"/>
  </r>
  <r>
    <s v="EMP0815"/>
    <s v="Wendy Cabrera"/>
    <x v="7"/>
    <s v="Support Agent"/>
    <s v="Female"/>
    <n v="26"/>
    <d v="2016-06-01T00:00:00"/>
    <s v="Part-Time"/>
    <n v="110924.54"/>
    <n v="3"/>
    <n v="82.93"/>
    <n v="9"/>
    <n v="28"/>
    <n v="17"/>
    <s v="Allison Hill"/>
    <s v="Active"/>
  </r>
  <r>
    <s v="EMP0816"/>
    <s v="Courtney Nichols"/>
    <x v="5"/>
    <s v="Software Engineer"/>
    <s v="Male"/>
    <n v="28"/>
    <d v="2021-08-27T00:00:00"/>
    <s v="Full-Time"/>
    <n v="72647.570000000007"/>
    <n v="3"/>
    <n v="91.78"/>
    <n v="4"/>
    <n v="62"/>
    <n v="6"/>
    <s v="Holly Wood"/>
    <s v="Active"/>
  </r>
  <r>
    <s v="EMP0817"/>
    <s v="Megan Romero"/>
    <x v="2"/>
    <s v="Finance Manager"/>
    <s v="Female"/>
    <n v="59"/>
    <d v="2023-11-29T00:00:00"/>
    <s v="Full-Time"/>
    <n v="109657.02"/>
    <n v="2"/>
    <n v="86.36"/>
    <n v="2"/>
    <n v="49"/>
    <n v="11"/>
    <s v="Jamie Arnold"/>
    <s v="Active"/>
  </r>
  <r>
    <s v="EMP0818"/>
    <s v="Sherri White"/>
    <x v="7"/>
    <s v="Team Lead"/>
    <s v="Male"/>
    <n v="37"/>
    <d v="2018-09-16T00:00:00"/>
    <s v="Full-Time"/>
    <n v="88665.83"/>
    <n v="2"/>
    <n v="93.15"/>
    <n v="7"/>
    <n v="18"/>
    <n v="24"/>
    <s v="Lisa Jackson"/>
    <s v="Active"/>
  </r>
  <r>
    <s v="EMP0819"/>
    <s v="Patrick Hardy"/>
    <x v="1"/>
    <s v="Account Executive"/>
    <s v="Female"/>
    <n v="36"/>
    <d v="2017-06-23T00:00:00"/>
    <s v="Contract"/>
    <n v="80870.3"/>
    <n v="4"/>
    <n v="83.66"/>
    <n v="8"/>
    <n v="45"/>
    <n v="51"/>
    <s v="Dylan Miller"/>
    <s v="Active"/>
  </r>
  <r>
    <s v="EMP0820"/>
    <s v="Catherine Frazier"/>
    <x v="2"/>
    <s v="Financial Analyst"/>
    <s v="Male"/>
    <n v="40"/>
    <d v="2025-04-29T00:00:00"/>
    <s v="Contract"/>
    <n v="105792.15"/>
    <n v="3"/>
    <n v="88.13"/>
    <n v="0"/>
    <n v="40"/>
    <n v="54"/>
    <s v="Angie Henderson"/>
    <s v="Active"/>
  </r>
  <r>
    <s v="EMP0821"/>
    <s v="Courtney Walker"/>
    <x v="0"/>
    <s v="Content Specialist"/>
    <s v="Male"/>
    <n v="26"/>
    <d v="2021-07-11T00:00:00"/>
    <s v="Full-Time"/>
    <n v="77531.67"/>
    <n v="1"/>
    <n v="94.87"/>
    <n v="4"/>
    <n v="70"/>
    <n v="59"/>
    <s v="Brian Ramirez"/>
    <s v="Active"/>
  </r>
  <r>
    <s v="EMP0822"/>
    <s v="Stephen Watson"/>
    <x v="1"/>
    <s v="Sales Manager"/>
    <s v="Male"/>
    <n v="51"/>
    <d v="2021-01-15T00:00:00"/>
    <s v="Part-Time"/>
    <n v="71501.149999999994"/>
    <n v="5"/>
    <n v="93.96"/>
    <n v="4"/>
    <n v="51"/>
    <n v="0"/>
    <s v="Carla Gray"/>
    <s v="Active"/>
  </r>
  <r>
    <s v="EMP0823"/>
    <s v="Samuel Ruiz"/>
    <x v="1"/>
    <s v="Account Executive"/>
    <s v="Female"/>
    <n v="55"/>
    <d v="2025-10-11T00:00:00"/>
    <s v="Contract"/>
    <n v="54506.06"/>
    <n v="5"/>
    <n v="93.68"/>
    <n v="0"/>
    <n v="5"/>
    <n v="38"/>
    <s v="Dylan Miller"/>
    <s v="Resigned"/>
  </r>
  <r>
    <s v="EMP0824"/>
    <s v="Lisa Kennedy"/>
    <x v="5"/>
    <s v="IT Support"/>
    <s v="Male"/>
    <n v="44"/>
    <d v="2025-09-29T00:00:00"/>
    <s v="Full-Time"/>
    <n v="71368.45"/>
    <n v="1"/>
    <n v="88.45"/>
    <n v="0"/>
    <n v="48"/>
    <n v="10"/>
    <s v="Jamie Arnold"/>
    <s v="Resigned"/>
  </r>
  <r>
    <s v="EMP0825"/>
    <s v="Sharon James"/>
    <x v="3"/>
    <s v="Operations Associate"/>
    <s v="Male"/>
    <n v="39"/>
    <d v="2019-02-15T00:00:00"/>
    <s v="Part-Time"/>
    <n v="68312.47"/>
    <n v="3"/>
    <n v="84.26"/>
    <n v="6"/>
    <n v="80"/>
    <n v="36"/>
    <s v="Lisa Hensley"/>
    <s v="Active"/>
  </r>
  <r>
    <s v="EMP0826"/>
    <s v="Seth Hernandez"/>
    <x v="2"/>
    <s v="Finance Manager"/>
    <s v="Male"/>
    <n v="50"/>
    <d v="2020-11-21T00:00:00"/>
    <s v="Contract"/>
    <n v="104835.18"/>
    <n v="1"/>
    <n v="87.11"/>
    <n v="5"/>
    <n v="78"/>
    <n v="29"/>
    <s v="Monica Herrera"/>
    <s v="Active"/>
  </r>
  <r>
    <s v="EMP0827"/>
    <s v="William Orozco"/>
    <x v="0"/>
    <s v="Marketing Analyst"/>
    <s v="Female"/>
    <n v="32"/>
    <d v="2019-03-23T00:00:00"/>
    <s v="Part-Time"/>
    <n v="55453.23"/>
    <n v="1"/>
    <n v="88.62"/>
    <n v="6"/>
    <n v="25"/>
    <n v="5"/>
    <s v="Holly Wood"/>
    <s v="Active"/>
  </r>
  <r>
    <s v="EMP0828"/>
    <s v="Scott White"/>
    <x v="6"/>
    <s v="Recruiter"/>
    <s v="Male"/>
    <n v="52"/>
    <d v="2023-08-08T00:00:00"/>
    <s v="Full-Time"/>
    <n v="35563.040000000001"/>
    <n v="3"/>
    <n v="84.52"/>
    <n v="2"/>
    <n v="50"/>
    <n v="23"/>
    <s v="Ryan Munoz"/>
    <s v="Active"/>
  </r>
  <r>
    <s v="EMP0829"/>
    <s v="Mr. Christopher Walters"/>
    <x v="6"/>
    <s v="HR Manager"/>
    <s v="Female"/>
    <n v="27"/>
    <d v="2017-03-11T00:00:00"/>
    <s v="Part-Time"/>
    <n v="85627.96"/>
    <n v="4"/>
    <n v="83.24"/>
    <n v="8"/>
    <n v="45"/>
    <n v="47"/>
    <s v="Michele Williams"/>
    <s v="Active"/>
  </r>
  <r>
    <s v="EMP0830"/>
    <s v="Daniel Ayala"/>
    <x v="5"/>
    <s v="IT Support"/>
    <s v="Male"/>
    <n v="39"/>
    <d v="2015-11-24T00:00:00"/>
    <s v="Full-Time"/>
    <n v="33368.03"/>
    <n v="4"/>
    <n v="94.88"/>
    <n v="10"/>
    <n v="4"/>
    <n v="10"/>
    <s v="Abigail Shaffer"/>
    <s v="Resigned"/>
  </r>
  <r>
    <s v="EMP0831"/>
    <s v="Katherine Gallagher"/>
    <x v="2"/>
    <s v="Accountant"/>
    <s v="Female"/>
    <n v="52"/>
    <d v="2025-08-14T00:00:00"/>
    <s v="Contract"/>
    <n v="69556.759999999995"/>
    <n v="2"/>
    <n v="86.5"/>
    <n v="0"/>
    <n v="51"/>
    <n v="32"/>
    <s v="Lisa Hensley"/>
    <s v="Active"/>
  </r>
  <r>
    <s v="EMP0832"/>
    <s v="Jeffrey Jordan"/>
    <x v="0"/>
    <s v="Marketing Analyst"/>
    <s v="Male"/>
    <n v="30"/>
    <d v="2017-04-25T00:00:00"/>
    <s v="Part-Time"/>
    <n v="70000.09"/>
    <n v="2"/>
    <n v="81.040000000000006"/>
    <n v="8"/>
    <n v="43"/>
    <n v="27"/>
    <s v="Carla Gray"/>
    <s v="Active"/>
  </r>
  <r>
    <s v="EMP0833"/>
    <s v="Janet Johnson"/>
    <x v="7"/>
    <s v="Team Lead"/>
    <s v="Female"/>
    <n v="39"/>
    <d v="2023-02-11T00:00:00"/>
    <s v="Part-Time"/>
    <n v="28261.49"/>
    <n v="4"/>
    <n v="84.95"/>
    <n v="2"/>
    <n v="19"/>
    <n v="46"/>
    <s v="Holly Wood"/>
    <s v="Active"/>
  </r>
  <r>
    <s v="EMP0834"/>
    <s v="Tiffany Mcclain"/>
    <x v="2"/>
    <s v="Accountant"/>
    <s v="Female"/>
    <n v="36"/>
    <d v="2019-03-18T00:00:00"/>
    <s v="Contract"/>
    <n v="102060.94"/>
    <n v="2"/>
    <n v="89.48"/>
    <n v="6"/>
    <n v="13"/>
    <n v="44"/>
    <s v="Holly Wood"/>
    <s v="Active"/>
  </r>
  <r>
    <s v="EMP0835"/>
    <s v="Michael Sims"/>
    <x v="5"/>
    <s v="Data Analyst"/>
    <s v="Male"/>
    <n v="35"/>
    <d v="2024-11-06T00:00:00"/>
    <s v="Full-Time"/>
    <n v="33229.58"/>
    <n v="1"/>
    <n v="85.48"/>
    <n v="1"/>
    <n v="24"/>
    <n v="59"/>
    <s v="Cristian Santos"/>
    <s v="Active"/>
  </r>
  <r>
    <s v="EMP0836"/>
    <s v="Shawn Collins"/>
    <x v="5"/>
    <s v="IT Support"/>
    <s v="Male"/>
    <n v="45"/>
    <d v="2020-01-19T00:00:00"/>
    <s v="Part-Time"/>
    <n v="72497.119999999995"/>
    <n v="2"/>
    <n v="84.44"/>
    <n v="5"/>
    <n v="54"/>
    <n v="30"/>
    <s v="Noah Rhodes"/>
    <s v="Active"/>
  </r>
  <r>
    <s v="EMP0837"/>
    <s v="Kevin Jackson"/>
    <x v="1"/>
    <s v="Sales Manager"/>
    <s v="Male"/>
    <n v="38"/>
    <d v="2017-07-25T00:00:00"/>
    <s v="Part-Time"/>
    <n v="48055.59"/>
    <n v="3"/>
    <n v="94.23"/>
    <n v="8"/>
    <n v="31"/>
    <n v="20"/>
    <s v="Noah Rhodes"/>
    <s v="Active"/>
  </r>
  <r>
    <s v="EMP0838"/>
    <s v="Earl Luna"/>
    <x v="1"/>
    <s v="Sales Rep"/>
    <s v="Female"/>
    <n v="34"/>
    <d v="2016-08-05T00:00:00"/>
    <s v="Part-Time"/>
    <n v="67205.820000000007"/>
    <n v="5"/>
    <n v="82.02"/>
    <n v="9"/>
    <n v="23"/>
    <n v="16"/>
    <s v="Brian Ramirez"/>
    <s v="Active"/>
  </r>
  <r>
    <s v="EMP0839"/>
    <s v="Stephen Cowan"/>
    <x v="2"/>
    <s v="Accountant"/>
    <s v="Male"/>
    <n v="21"/>
    <d v="2024-09-24T00:00:00"/>
    <s v="Contract"/>
    <n v="75176.820000000007"/>
    <n v="2"/>
    <n v="86.62"/>
    <n v="1"/>
    <n v="46"/>
    <n v="47"/>
    <s v="Lisa Jackson"/>
    <s v="Active"/>
  </r>
  <r>
    <s v="EMP0840"/>
    <s v="Katherine Christensen MD"/>
    <x v="3"/>
    <s v="Operations Associate"/>
    <s v="Female"/>
    <n v="34"/>
    <d v="2021-08-24T00:00:00"/>
    <s v="Contract"/>
    <n v="58404.94"/>
    <n v="1"/>
    <n v="82.61"/>
    <n v="4"/>
    <n v="77"/>
    <n v="7"/>
    <s v="Noah Rhodes"/>
    <s v="Active"/>
  </r>
  <r>
    <s v="EMP0841"/>
    <s v="Danny Mercer"/>
    <x v="5"/>
    <s v="IT Support"/>
    <s v="Female"/>
    <n v="27"/>
    <d v="2022-09-05T00:00:00"/>
    <s v="Full-Time"/>
    <n v="114181.8"/>
    <n v="5"/>
    <n v="86.86"/>
    <n v="3"/>
    <n v="60"/>
    <n v="48"/>
    <s v="Abigail Shaffer"/>
    <s v="Active"/>
  </r>
  <r>
    <s v="EMP0842"/>
    <s v="Leah Jackson"/>
    <x v="6"/>
    <s v="HR Officer"/>
    <s v="Male"/>
    <n v="33"/>
    <d v="2019-05-30T00:00:00"/>
    <s v="Part-Time"/>
    <n v="75049.570000000007"/>
    <n v="3"/>
    <n v="97.83"/>
    <n v="6"/>
    <n v="71"/>
    <n v="22"/>
    <s v="Jamie Arnold"/>
    <s v="Active"/>
  </r>
  <r>
    <s v="EMP0843"/>
    <s v="Rebecca Brooks"/>
    <x v="0"/>
    <s v="Brand Manager"/>
    <s v="Male"/>
    <n v="51"/>
    <d v="2022-01-19T00:00:00"/>
    <s v="Part-Time"/>
    <n v="72376.28"/>
    <n v="5"/>
    <n v="95.82"/>
    <n v="3"/>
    <n v="21"/>
    <n v="38"/>
    <s v="Gabrielle Davis"/>
    <s v="Active"/>
  </r>
  <r>
    <s v="EMP0844"/>
    <s v="Lisa Wheeler"/>
    <x v="6"/>
    <s v="Recruiter"/>
    <s v="Male"/>
    <n v="57"/>
    <d v="2020-03-02T00:00:00"/>
    <s v="Full-Time"/>
    <n v="99439.039999999994"/>
    <n v="2"/>
    <n v="94.81"/>
    <n v="5"/>
    <n v="50"/>
    <n v="31"/>
    <s v="Derek Zuniga"/>
    <s v="Resigned"/>
  </r>
  <r>
    <s v="EMP0845"/>
    <s v="Martha Smith"/>
    <x v="0"/>
    <s v="Marketing Analyst"/>
    <s v="Female"/>
    <n v="53"/>
    <d v="2016-08-19T00:00:00"/>
    <s v="Part-Time"/>
    <n v="76249.86"/>
    <n v="4"/>
    <n v="88.02"/>
    <n v="9"/>
    <n v="34"/>
    <n v="13"/>
    <s v="Connie Lawrence"/>
    <s v="Active"/>
  </r>
  <r>
    <s v="EMP0846"/>
    <s v="James Kelley"/>
    <x v="5"/>
    <s v="Data Analyst"/>
    <s v="Male"/>
    <n v="53"/>
    <d v="2017-10-14T00:00:00"/>
    <s v="Part-Time"/>
    <n v="70381.78"/>
    <n v="5"/>
    <n v="85.18"/>
    <n v="8"/>
    <n v="28"/>
    <n v="18"/>
    <s v="Gabrielle Davis"/>
    <s v="Active"/>
  </r>
  <r>
    <s v="EMP0847"/>
    <s v="Christine Jennings"/>
    <x v="6"/>
    <s v="HR Officer"/>
    <s v="Male"/>
    <n v="55"/>
    <d v="2023-11-20T00:00:00"/>
    <s v="Full-Time"/>
    <n v="49184.33"/>
    <n v="2"/>
    <n v="98.84"/>
    <n v="2"/>
    <n v="35"/>
    <n v="59"/>
    <s v="Cristian Santos"/>
    <s v="Active"/>
  </r>
  <r>
    <s v="EMP0848"/>
    <s v="Matthew Bates"/>
    <x v="1"/>
    <s v="Account Executive"/>
    <s v="Male"/>
    <n v="34"/>
    <d v="2015-12-22T00:00:00"/>
    <s v="Contract"/>
    <n v="31618.48"/>
    <n v="3"/>
    <n v="92.65"/>
    <n v="10"/>
    <n v="47"/>
    <n v="20"/>
    <s v="Angie Henderson"/>
    <s v="Resigned"/>
  </r>
  <r>
    <s v="EMP0849"/>
    <s v="Mercedes Barnes"/>
    <x v="2"/>
    <s v="Finance Manager"/>
    <s v="Male"/>
    <n v="47"/>
    <d v="2020-05-29T00:00:00"/>
    <s v="Contract"/>
    <n v="49489.53"/>
    <n v="1"/>
    <n v="92.52"/>
    <n v="5"/>
    <n v="1"/>
    <n v="52"/>
    <s v="Jamie Arnold"/>
    <s v="Active"/>
  </r>
  <r>
    <s v="EMP0850"/>
    <s v="Lisa Campbell"/>
    <x v="2"/>
    <s v="Accountant"/>
    <s v="Female"/>
    <n v="22"/>
    <d v="2017-08-07T00:00:00"/>
    <s v="Contract"/>
    <n v="85731.76"/>
    <n v="5"/>
    <n v="82.13"/>
    <n v="8"/>
    <n v="48"/>
    <n v="60"/>
    <s v="Gabrielle Davis"/>
    <s v="Resigned"/>
  </r>
  <r>
    <s v="EMP0851"/>
    <s v="Mr. Richard Decker DVM"/>
    <x v="5"/>
    <s v="Software Engineer"/>
    <s v="Male"/>
    <n v="41"/>
    <d v="2017-08-16T00:00:00"/>
    <s v="Part-Time"/>
    <n v="40391.86"/>
    <n v="4"/>
    <n v="83.11"/>
    <n v="8"/>
    <n v="29"/>
    <n v="46"/>
    <s v="Michele Williams"/>
    <s v="Active"/>
  </r>
  <r>
    <s v="EMP0852"/>
    <s v="Elizabeth Williams"/>
    <x v="4"/>
    <s v="Researcher"/>
    <s v="Female"/>
    <n v="32"/>
    <d v="2021-11-27T00:00:00"/>
    <s v="Part-Time"/>
    <n v="38502.800000000003"/>
    <n v="2"/>
    <n v="83.78"/>
    <n v="4"/>
    <n v="62"/>
    <n v="60"/>
    <s v="Connie Lawrence"/>
    <s v="Active"/>
  </r>
  <r>
    <s v="EMP0853"/>
    <s v="Melissa Castillo"/>
    <x v="1"/>
    <s v="Sales Manager"/>
    <s v="Male"/>
    <n v="32"/>
    <d v="2024-04-05T00:00:00"/>
    <s v="Part-Time"/>
    <n v="88736.68"/>
    <n v="2"/>
    <n v="81.39"/>
    <n v="1"/>
    <n v="9"/>
    <n v="27"/>
    <s v="Gina Moore"/>
    <s v="Active"/>
  </r>
  <r>
    <s v="EMP0854"/>
    <s v="Michael Meadows"/>
    <x v="7"/>
    <s v="Support Agent"/>
    <s v="Male"/>
    <n v="21"/>
    <d v="2019-10-22T00:00:00"/>
    <s v="Contract"/>
    <n v="29972.99"/>
    <n v="4"/>
    <n v="80.41"/>
    <n v="6"/>
    <n v="1"/>
    <n v="48"/>
    <s v="Noah Rhodes"/>
    <s v="Active"/>
  </r>
  <r>
    <s v="EMP0855"/>
    <s v="Brittany Davis"/>
    <x v="0"/>
    <s v="Brand Manager"/>
    <s v="Male"/>
    <n v="59"/>
    <d v="2025-08-01T00:00:00"/>
    <s v="Full-Time"/>
    <n v="99240.04"/>
    <n v="1"/>
    <n v="99.15"/>
    <n v="0"/>
    <n v="13"/>
    <n v="34"/>
    <s v="Monica Herrera"/>
    <s v="Resigned"/>
  </r>
  <r>
    <s v="EMP0856"/>
    <s v="Nathaniel Conway"/>
    <x v="0"/>
    <s v="Marketing Analyst"/>
    <s v="Male"/>
    <n v="51"/>
    <d v="2024-07-09T00:00:00"/>
    <s v="Contract"/>
    <n v="109239.03"/>
    <n v="2"/>
    <n v="86.15"/>
    <n v="1"/>
    <n v="61"/>
    <n v="9"/>
    <s v="Gina Moore"/>
    <s v="Active"/>
  </r>
  <r>
    <s v="EMP0857"/>
    <s v="William Baker"/>
    <x v="2"/>
    <s v="Finance Manager"/>
    <s v="Male"/>
    <n v="22"/>
    <d v="2019-10-01T00:00:00"/>
    <s v="Full-Time"/>
    <n v="30281.53"/>
    <n v="3"/>
    <n v="82.05"/>
    <n v="6"/>
    <n v="53"/>
    <n v="9"/>
    <s v="Allison Hill"/>
    <s v="Resigned"/>
  </r>
  <r>
    <s v="EMP0858"/>
    <s v="Christopher Williams"/>
    <x v="1"/>
    <s v="Sales Rep"/>
    <s v="Female"/>
    <n v="45"/>
    <d v="2016-09-01T00:00:00"/>
    <s v="Full-Time"/>
    <n v="55330.99"/>
    <n v="3"/>
    <n v="84.52"/>
    <n v="9"/>
    <n v="49"/>
    <n v="43"/>
    <s v="Daniel Wagner"/>
    <s v="Active"/>
  </r>
  <r>
    <s v="EMP0859"/>
    <s v="Michael Simmons"/>
    <x v="0"/>
    <s v="Marketing Analyst"/>
    <s v="Male"/>
    <n v="39"/>
    <d v="2020-10-04T00:00:00"/>
    <s v="Part-Time"/>
    <n v="27628.99"/>
    <n v="3"/>
    <n v="82.37"/>
    <n v="5"/>
    <n v="10"/>
    <n v="57"/>
    <s v="Noah Rhodes"/>
    <s v="Active"/>
  </r>
  <r>
    <s v="EMP0860"/>
    <s v="Peter Williams"/>
    <x v="6"/>
    <s v="Recruiter"/>
    <s v="Female"/>
    <n v="59"/>
    <d v="2017-10-15T00:00:00"/>
    <s v="Full-Time"/>
    <n v="87943.33"/>
    <n v="2"/>
    <n v="97.86"/>
    <n v="8"/>
    <n v="38"/>
    <n v="39"/>
    <s v="Ryan Munoz"/>
    <s v="Active"/>
  </r>
  <r>
    <s v="EMP0861"/>
    <s v="Carolyn Howard"/>
    <x v="0"/>
    <s v="Brand Manager"/>
    <s v="Female"/>
    <n v="44"/>
    <d v="2018-03-03T00:00:00"/>
    <s v="Part-Time"/>
    <n v="101071.94"/>
    <n v="1"/>
    <n v="95.78"/>
    <n v="7"/>
    <n v="19"/>
    <n v="49"/>
    <s v="Cristian Santos"/>
    <s v="Active"/>
  </r>
  <r>
    <s v="EMP0862"/>
    <s v="Debra Quinn"/>
    <x v="7"/>
    <s v="Team Lead"/>
    <s v="Female"/>
    <n v="25"/>
    <d v="2023-04-06T00:00:00"/>
    <s v="Full-Time"/>
    <n v="77784.289999999994"/>
    <n v="3"/>
    <n v="82.89"/>
    <n v="2"/>
    <n v="41"/>
    <n v="8"/>
    <s v="Connie Lawrence"/>
    <s v="Active"/>
  </r>
  <r>
    <s v="EMP0863"/>
    <s v="Catherine Morales"/>
    <x v="3"/>
    <s v="Operations Manager"/>
    <s v="Female"/>
    <n v="48"/>
    <d v="2022-02-26T00:00:00"/>
    <s v="Part-Time"/>
    <n v="89342.080000000002"/>
    <n v="4"/>
    <n v="92.03"/>
    <n v="3"/>
    <n v="42"/>
    <n v="8"/>
    <s v="Gina Moore"/>
    <s v="Active"/>
  </r>
  <r>
    <s v="EMP0864"/>
    <s v="James Jefferson"/>
    <x v="4"/>
    <s v="Product Developer"/>
    <s v="Male"/>
    <n v="45"/>
    <d v="2023-08-01T00:00:00"/>
    <s v="Full-Time"/>
    <n v="78096.39"/>
    <n v="4"/>
    <n v="90.54"/>
    <n v="2"/>
    <n v="28"/>
    <n v="44"/>
    <s v="Angie Henderson"/>
    <s v="Active"/>
  </r>
  <r>
    <s v="EMP0865"/>
    <s v="Rebecca Wilson"/>
    <x v="1"/>
    <s v="Sales Rep"/>
    <s v="Male"/>
    <n v="44"/>
    <d v="2022-12-28T00:00:00"/>
    <s v="Contract"/>
    <n v="67392.639999999999"/>
    <n v="2"/>
    <n v="98.42"/>
    <n v="3"/>
    <n v="7"/>
    <n v="58"/>
    <s v="Jamie Arnold"/>
    <s v="Active"/>
  </r>
  <r>
    <s v="EMP0866"/>
    <s v="Dr. Ashley Pruitt"/>
    <x v="6"/>
    <s v="Recruiter"/>
    <s v="Female"/>
    <n v="30"/>
    <d v="2016-10-24T00:00:00"/>
    <s v="Contract"/>
    <n v="117181.96"/>
    <n v="4"/>
    <n v="84.85"/>
    <n v="9"/>
    <n v="28"/>
    <n v="3"/>
    <s v="Cristian Santos"/>
    <s v="Active"/>
  </r>
  <r>
    <s v="EMP0867"/>
    <s v="Meghan White"/>
    <x v="6"/>
    <s v="Recruiter"/>
    <s v="Male"/>
    <n v="48"/>
    <d v="2024-01-11T00:00:00"/>
    <s v="Part-Time"/>
    <n v="25408.33"/>
    <n v="1"/>
    <n v="93.25"/>
    <n v="1"/>
    <n v="9"/>
    <n v="30"/>
    <s v="Carla Gray"/>
    <s v="Resigned"/>
  </r>
  <r>
    <s v="EMP0868"/>
    <s v="Lisa Huffman"/>
    <x v="1"/>
    <s v="Sales Rep"/>
    <s v="Female"/>
    <n v="30"/>
    <d v="2022-04-11T00:00:00"/>
    <s v="Full-Time"/>
    <n v="44504.58"/>
    <n v="1"/>
    <n v="91.38"/>
    <n v="3"/>
    <n v="53"/>
    <n v="9"/>
    <s v="Connie Lawrence"/>
    <s v="Active"/>
  </r>
  <r>
    <s v="EMP0869"/>
    <s v="Mr. Stephen Alexander"/>
    <x v="6"/>
    <s v="HR Manager"/>
    <s v="Female"/>
    <n v="51"/>
    <d v="2018-01-14T00:00:00"/>
    <s v="Part-Time"/>
    <n v="92255.74"/>
    <n v="4"/>
    <n v="95.63"/>
    <n v="7"/>
    <n v="1"/>
    <n v="18"/>
    <s v="Daniel Wagner"/>
    <s v="Active"/>
  </r>
  <r>
    <s v="EMP0870"/>
    <s v="Ernest Bush"/>
    <x v="1"/>
    <s v="Account Executive"/>
    <s v="Male"/>
    <n v="53"/>
    <d v="2016-11-22T00:00:00"/>
    <s v="Full-Time"/>
    <n v="21086.76"/>
    <n v="4"/>
    <n v="93.6"/>
    <n v="9"/>
    <n v="58"/>
    <n v="35"/>
    <s v="Gabrielle Davis"/>
    <s v="Resigned"/>
  </r>
  <r>
    <s v="EMP0871"/>
    <s v="Laura Cunningham"/>
    <x v="2"/>
    <s v="Finance Manager"/>
    <s v="Male"/>
    <n v="48"/>
    <d v="2024-09-29T00:00:00"/>
    <s v="Full-Time"/>
    <n v="47182.76"/>
    <n v="1"/>
    <n v="90.43"/>
    <n v="1"/>
    <n v="16"/>
    <n v="47"/>
    <s v="Abigail Shaffer"/>
    <s v="Active"/>
  </r>
  <r>
    <s v="EMP0872"/>
    <s v="Melissa Montgomery"/>
    <x v="1"/>
    <s v="Sales Rep"/>
    <s v="Female"/>
    <n v="32"/>
    <d v="2021-07-28T00:00:00"/>
    <s v="Contract"/>
    <n v="117598.74"/>
    <n v="5"/>
    <n v="96.83"/>
    <n v="4"/>
    <n v="59"/>
    <n v="30"/>
    <s v="Monica Herrera"/>
    <s v="Active"/>
  </r>
  <r>
    <s v="EMP0873"/>
    <s v="Danielle Reed"/>
    <x v="7"/>
    <s v="Team Lead"/>
    <s v="Male"/>
    <n v="24"/>
    <d v="2023-03-07T00:00:00"/>
    <s v="Part-Time"/>
    <n v="84664.72"/>
    <n v="2"/>
    <n v="85.4"/>
    <n v="2"/>
    <n v="13"/>
    <n v="4"/>
    <s v="Jamie Arnold"/>
    <s v="Active"/>
  </r>
  <r>
    <s v="EMP0874"/>
    <s v="Ronald Mcclain"/>
    <x v="3"/>
    <s v="Operations Associate"/>
    <s v="Male"/>
    <n v="39"/>
    <d v="2022-05-13T00:00:00"/>
    <s v="Full-Time"/>
    <n v="74156.789999999994"/>
    <n v="1"/>
    <n v="84.24"/>
    <n v="3"/>
    <n v="1"/>
    <n v="48"/>
    <s v="Ryan Munoz"/>
    <s v="Active"/>
  </r>
  <r>
    <s v="EMP0875"/>
    <s v="Timothy Wagner"/>
    <x v="5"/>
    <s v="Data Analyst"/>
    <s v="Male"/>
    <n v="36"/>
    <d v="2016-09-29T00:00:00"/>
    <s v="Part-Time"/>
    <n v="28503.94"/>
    <n v="5"/>
    <n v="91.3"/>
    <n v="9"/>
    <n v="72"/>
    <n v="50"/>
    <s v="Brian Ramirez"/>
    <s v="Active"/>
  </r>
  <r>
    <s v="EMP0876"/>
    <s v="Sheila Jones"/>
    <x v="3"/>
    <s v="Operations Associate"/>
    <s v="Female"/>
    <n v="21"/>
    <d v="2023-10-20T00:00:00"/>
    <s v="Part-Time"/>
    <n v="95167.94"/>
    <n v="4"/>
    <n v="90"/>
    <n v="2"/>
    <n v="40"/>
    <n v="48"/>
    <s v="Lisa Hensley"/>
    <s v="Active"/>
  </r>
  <r>
    <s v="EMP0877"/>
    <s v="Gary Ramirez"/>
    <x v="6"/>
    <s v="HR Manager"/>
    <s v="Male"/>
    <n v="42"/>
    <d v="2024-03-06T00:00:00"/>
    <s v="Part-Time"/>
    <n v="109651.12"/>
    <n v="5"/>
    <n v="82.02"/>
    <n v="1"/>
    <n v="19"/>
    <n v="1"/>
    <s v="Lisa Jackson"/>
    <s v="Active"/>
  </r>
  <r>
    <s v="EMP0878"/>
    <s v="Mason Powell"/>
    <x v="4"/>
    <s v="Researcher"/>
    <s v="Female"/>
    <n v="31"/>
    <d v="2024-06-09T00:00:00"/>
    <s v="Full-Time"/>
    <n v="88237.4"/>
    <n v="1"/>
    <n v="97.7"/>
    <n v="1"/>
    <n v="11"/>
    <n v="60"/>
    <s v="Gina Moore"/>
    <s v="Resigned"/>
  </r>
  <r>
    <s v="EMP0879"/>
    <s v="Jeremy Berry"/>
    <x v="6"/>
    <s v="HR Manager"/>
    <s v="Male"/>
    <n v="53"/>
    <d v="2019-10-25T00:00:00"/>
    <s v="Contract"/>
    <n v="119227.89"/>
    <n v="5"/>
    <n v="93.03"/>
    <n v="6"/>
    <n v="43"/>
    <n v="28"/>
    <s v="Cristian Santos"/>
    <s v="Active"/>
  </r>
  <r>
    <s v="EMP0880"/>
    <s v="Jillian Wilson"/>
    <x v="3"/>
    <s v="Operations Manager"/>
    <s v="Male"/>
    <n v="45"/>
    <d v="2017-04-24T00:00:00"/>
    <s v="Full-Time"/>
    <n v="40882.06"/>
    <n v="5"/>
    <n v="92.14"/>
    <n v="8"/>
    <n v="19"/>
    <n v="36"/>
    <s v="Brian Ramirez"/>
    <s v="Active"/>
  </r>
  <r>
    <s v="EMP0881"/>
    <s v="Alicia Powell"/>
    <x v="1"/>
    <s v="Sales Rep"/>
    <s v="Female"/>
    <n v="56"/>
    <d v="2024-04-11T00:00:00"/>
    <s v="Full-Time"/>
    <n v="69891.23"/>
    <n v="4"/>
    <n v="86.27"/>
    <n v="1"/>
    <n v="37"/>
    <n v="10"/>
    <s v="Angie Henderson"/>
    <s v="Active"/>
  </r>
  <r>
    <s v="EMP0882"/>
    <s v="April Davis"/>
    <x v="3"/>
    <s v="Operations Manager"/>
    <s v="Male"/>
    <n v="25"/>
    <d v="2016-06-04T00:00:00"/>
    <s v="Full-Time"/>
    <n v="91065.5"/>
    <n v="4"/>
    <n v="85.16"/>
    <n v="9"/>
    <n v="60"/>
    <n v="16"/>
    <s v="Dylan Miller"/>
    <s v="Active"/>
  </r>
  <r>
    <s v="EMP0883"/>
    <s v="Kristina Pena"/>
    <x v="6"/>
    <s v="HR Officer"/>
    <s v="Female"/>
    <n v="23"/>
    <d v="2020-12-30T00:00:00"/>
    <s v="Part-Time"/>
    <n v="105900.33"/>
    <n v="4"/>
    <n v="88.18"/>
    <n v="5"/>
    <n v="79"/>
    <n v="58"/>
    <s v="Cristian Santos"/>
    <s v="Active"/>
  </r>
  <r>
    <s v="EMP0884"/>
    <s v="Heidi Brown"/>
    <x v="3"/>
    <s v="Operations Manager"/>
    <s v="Male"/>
    <n v="47"/>
    <d v="2023-07-30T00:00:00"/>
    <s v="Contract"/>
    <n v="65009.23"/>
    <n v="1"/>
    <n v="92.41"/>
    <n v="2"/>
    <n v="7"/>
    <n v="47"/>
    <s v="Gina Moore"/>
    <s v="Active"/>
  </r>
  <r>
    <s v="EMP0885"/>
    <s v="Evelyn Saunders"/>
    <x v="1"/>
    <s v="Sales Rep"/>
    <s v="Male"/>
    <n v="39"/>
    <d v="2019-08-11T00:00:00"/>
    <s v="Part-Time"/>
    <n v="35820.58"/>
    <n v="4"/>
    <n v="97.08"/>
    <n v="6"/>
    <n v="28"/>
    <n v="24"/>
    <s v="Dylan Miller"/>
    <s v="Active"/>
  </r>
  <r>
    <s v="EMP0886"/>
    <s v="Heidi Chavez"/>
    <x v="3"/>
    <s v="Operations Manager"/>
    <s v="Female"/>
    <n v="55"/>
    <d v="2023-11-12T00:00:00"/>
    <s v="Part-Time"/>
    <n v="30911.91"/>
    <n v="2"/>
    <n v="94.64"/>
    <n v="2"/>
    <n v="50"/>
    <n v="49"/>
    <s v="Michele Williams"/>
    <s v="Active"/>
  </r>
  <r>
    <s v="EMP0887"/>
    <s v="Courtney Peterson"/>
    <x v="3"/>
    <s v="Operations Associate"/>
    <s v="Female"/>
    <n v="42"/>
    <d v="2017-06-22T00:00:00"/>
    <s v="Contract"/>
    <n v="68629.5"/>
    <n v="4"/>
    <n v="82.29"/>
    <n v="8"/>
    <n v="58"/>
    <n v="2"/>
    <s v="Derek Zuniga"/>
    <s v="Active"/>
  </r>
  <r>
    <s v="EMP0888"/>
    <s v="Jacqueline Rodriguez"/>
    <x v="4"/>
    <s v="Researcher"/>
    <s v="Male"/>
    <n v="41"/>
    <d v="2020-10-13T00:00:00"/>
    <s v="Contract"/>
    <n v="23132.33"/>
    <n v="5"/>
    <n v="95.48"/>
    <n v="5"/>
    <n v="7"/>
    <n v="59"/>
    <s v="Jamie Arnold"/>
    <s v="Active"/>
  </r>
  <r>
    <s v="EMP0889"/>
    <s v="Rodney Newton MD"/>
    <x v="4"/>
    <s v="Researcher"/>
    <s v="Male"/>
    <n v="34"/>
    <d v="2018-08-11T00:00:00"/>
    <s v="Full-Time"/>
    <n v="115264.5"/>
    <n v="4"/>
    <n v="85.4"/>
    <n v="7"/>
    <n v="22"/>
    <n v="5"/>
    <s v="Cristian Santos"/>
    <s v="Active"/>
  </r>
  <r>
    <s v="EMP0890"/>
    <s v="Chelsea Conrad"/>
    <x v="7"/>
    <s v="Support Agent"/>
    <s v="Female"/>
    <n v="49"/>
    <d v="2020-02-22T00:00:00"/>
    <s v="Part-Time"/>
    <n v="72477.789999999994"/>
    <n v="3"/>
    <n v="83.68"/>
    <n v="5"/>
    <n v="6"/>
    <n v="5"/>
    <s v="Michele Williams"/>
    <s v="Active"/>
  </r>
  <r>
    <s v="EMP0891"/>
    <s v="Roger Lee"/>
    <x v="2"/>
    <s v="Accountant"/>
    <s v="Male"/>
    <n v="43"/>
    <d v="2022-07-02T00:00:00"/>
    <s v="Part-Time"/>
    <n v="68162.53"/>
    <n v="5"/>
    <n v="93.78"/>
    <n v="3"/>
    <n v="20"/>
    <n v="44"/>
    <s v="Michele Williams"/>
    <s v="Active"/>
  </r>
  <r>
    <s v="EMP0892"/>
    <s v="Jason House"/>
    <x v="7"/>
    <s v="Support Agent"/>
    <s v="Male"/>
    <n v="25"/>
    <d v="2021-07-25T00:00:00"/>
    <s v="Contract"/>
    <n v="86796.25"/>
    <n v="5"/>
    <n v="82.89"/>
    <n v="4"/>
    <n v="40"/>
    <n v="0"/>
    <s v="Cristian Santos"/>
    <s v="Resigned"/>
  </r>
  <r>
    <s v="EMP0893"/>
    <s v="Joanna Barrett"/>
    <x v="6"/>
    <s v="Recruiter"/>
    <s v="Female"/>
    <n v="28"/>
    <d v="2017-11-29T00:00:00"/>
    <s v="Contract"/>
    <n v="60638.66"/>
    <n v="5"/>
    <n v="94.45"/>
    <n v="8"/>
    <n v="57"/>
    <n v="60"/>
    <s v="Cristian Santos"/>
    <s v="Active"/>
  </r>
  <r>
    <s v="EMP0894"/>
    <s v="Jonathan Moreno"/>
    <x v="0"/>
    <s v="Marketing Analyst"/>
    <s v="Male"/>
    <n v="33"/>
    <d v="2024-05-23T00:00:00"/>
    <s v="Part-Time"/>
    <n v="89644.61"/>
    <n v="2"/>
    <n v="92.02"/>
    <n v="1"/>
    <n v="27"/>
    <n v="22"/>
    <s v="Abigail Shaffer"/>
    <s v="Resigned"/>
  </r>
  <r>
    <s v="EMP0895"/>
    <s v="Jessica Richards"/>
    <x v="1"/>
    <s v="Sales Manager"/>
    <s v="Female"/>
    <n v="22"/>
    <d v="2016-08-22T00:00:00"/>
    <s v="Part-Time"/>
    <n v="109665.49"/>
    <n v="5"/>
    <n v="96.38"/>
    <n v="9"/>
    <n v="15"/>
    <n v="44"/>
    <s v="Brian Ramirez"/>
    <s v="Active"/>
  </r>
  <r>
    <s v="EMP0896"/>
    <s v="Susan Holt"/>
    <x v="4"/>
    <s v="Product Developer"/>
    <s v="Female"/>
    <n v="43"/>
    <d v="2024-06-18T00:00:00"/>
    <s v="Part-Time"/>
    <n v="102818.59"/>
    <n v="4"/>
    <n v="90.46"/>
    <n v="1"/>
    <n v="42"/>
    <n v="7"/>
    <s v="Connie Lawrence"/>
    <s v="Active"/>
  </r>
  <r>
    <s v="EMP0897"/>
    <s v="Betty Hughes"/>
    <x v="3"/>
    <s v="Operations Associate"/>
    <s v="Male"/>
    <n v="55"/>
    <d v="2018-10-09T00:00:00"/>
    <s v="Part-Time"/>
    <n v="58156.33"/>
    <n v="4"/>
    <n v="92.68"/>
    <n v="7"/>
    <n v="79"/>
    <n v="60"/>
    <s v="Daniel Wagner"/>
    <s v="Resigned"/>
  </r>
  <r>
    <s v="EMP0898"/>
    <s v="Janice Petty"/>
    <x v="0"/>
    <s v="Marketing Analyst"/>
    <s v="Male"/>
    <n v="60"/>
    <d v="2021-04-16T00:00:00"/>
    <s v="Part-Time"/>
    <n v="30367.53"/>
    <n v="5"/>
    <n v="98.54"/>
    <n v="4"/>
    <n v="12"/>
    <n v="40"/>
    <s v="Dylan Miller"/>
    <s v="Active"/>
  </r>
  <r>
    <s v="EMP0899"/>
    <s v="Victor Waller"/>
    <x v="1"/>
    <s v="Account Executive"/>
    <s v="Female"/>
    <n v="47"/>
    <d v="2020-01-15T00:00:00"/>
    <s v="Full-Time"/>
    <n v="42287.94"/>
    <n v="4"/>
    <n v="91.03"/>
    <n v="5"/>
    <n v="14"/>
    <n v="12"/>
    <s v="Brian Ramirez"/>
    <s v="Resigned"/>
  </r>
  <r>
    <s v="EMP0900"/>
    <s v="Brenda Morrison"/>
    <x v="3"/>
    <s v="Operations Manager"/>
    <s v="Female"/>
    <n v="46"/>
    <d v="2023-07-09T00:00:00"/>
    <s v="Full-Time"/>
    <n v="113961.68"/>
    <n v="2"/>
    <n v="90.15"/>
    <n v="2"/>
    <n v="34"/>
    <n v="56"/>
    <s v="Gabrielle Davis"/>
    <s v="Active"/>
  </r>
  <r>
    <s v="EMP0901"/>
    <s v="Michael Valencia"/>
    <x v="7"/>
    <s v="Support Agent"/>
    <s v="Male"/>
    <n v="47"/>
    <d v="2024-07-13T00:00:00"/>
    <s v="Full-Time"/>
    <n v="21553.01"/>
    <n v="2"/>
    <n v="95.81"/>
    <n v="1"/>
    <n v="66"/>
    <n v="52"/>
    <s v="Carla Gray"/>
    <s v="Active"/>
  </r>
  <r>
    <s v="EMP0902"/>
    <s v="Christina Weber"/>
    <x v="6"/>
    <s v="HR Manager"/>
    <s v="Female"/>
    <n v="36"/>
    <d v="2025-03-26T00:00:00"/>
    <s v="Contract"/>
    <n v="117349.03"/>
    <n v="2"/>
    <n v="92.33"/>
    <n v="0"/>
    <n v="50"/>
    <n v="53"/>
    <s v="Noah Rhodes"/>
    <s v="Active"/>
  </r>
  <r>
    <s v="EMP0903"/>
    <s v="Tammy Anderson"/>
    <x v="7"/>
    <s v="Support Agent"/>
    <s v="Female"/>
    <n v="32"/>
    <d v="2020-10-04T00:00:00"/>
    <s v="Part-Time"/>
    <n v="110417.14"/>
    <n v="5"/>
    <n v="83.17"/>
    <n v="5"/>
    <n v="29"/>
    <n v="6"/>
    <s v="Cristian Santos"/>
    <s v="Active"/>
  </r>
  <r>
    <s v="EMP0904"/>
    <s v="Melissa Morris"/>
    <x v="7"/>
    <s v="Team Lead"/>
    <s v="Male"/>
    <n v="41"/>
    <d v="2018-11-03T00:00:00"/>
    <s v="Full-Time"/>
    <n v="29325.439999999999"/>
    <n v="1"/>
    <n v="88.75"/>
    <n v="7"/>
    <n v="80"/>
    <n v="49"/>
    <s v="Lisa Jackson"/>
    <s v="Active"/>
  </r>
  <r>
    <s v="EMP0905"/>
    <s v="Kristina Aguilar"/>
    <x v="0"/>
    <s v="Content Specialist"/>
    <s v="Female"/>
    <n v="22"/>
    <d v="2017-10-12T00:00:00"/>
    <s v="Contract"/>
    <n v="93416.92"/>
    <n v="4"/>
    <n v="92.69"/>
    <n v="8"/>
    <n v="45"/>
    <n v="11"/>
    <s v="Gina Moore"/>
    <s v="Active"/>
  </r>
  <r>
    <s v="EMP0906"/>
    <s v="Stephanie Ferguson"/>
    <x v="5"/>
    <s v="Software Engineer"/>
    <s v="Male"/>
    <n v="55"/>
    <d v="2022-12-02T00:00:00"/>
    <s v="Full-Time"/>
    <n v="92631.26"/>
    <n v="4"/>
    <n v="95.41"/>
    <n v="3"/>
    <n v="6"/>
    <n v="17"/>
    <s v="Angie Henderson"/>
    <s v="Resigned"/>
  </r>
  <r>
    <s v="EMP0907"/>
    <s v="Kelly Johnson"/>
    <x v="1"/>
    <s v="Account Executive"/>
    <s v="Male"/>
    <n v="28"/>
    <d v="2023-01-01T00:00:00"/>
    <s v="Part-Time"/>
    <n v="112719.9"/>
    <n v="1"/>
    <n v="82.14"/>
    <n v="2"/>
    <n v="36"/>
    <n v="16"/>
    <s v="Connie Lawrence"/>
    <s v="Active"/>
  </r>
  <r>
    <s v="EMP0908"/>
    <s v="Anthony Adams"/>
    <x v="4"/>
    <s v="Product Developer"/>
    <s v="Male"/>
    <n v="46"/>
    <d v="2018-04-16T00:00:00"/>
    <s v="Full-Time"/>
    <n v="69103.7"/>
    <n v="1"/>
    <n v="88.27"/>
    <n v="7"/>
    <n v="62"/>
    <n v="40"/>
    <s v="Angie Henderson"/>
    <s v="Active"/>
  </r>
  <r>
    <s v="EMP0909"/>
    <s v="Miss Brianna Brown"/>
    <x v="7"/>
    <s v="Team Lead"/>
    <s v="Female"/>
    <n v="49"/>
    <d v="2018-07-22T00:00:00"/>
    <s v="Full-Time"/>
    <n v="37980.639999999999"/>
    <n v="1"/>
    <n v="98.07"/>
    <n v="7"/>
    <n v="72"/>
    <n v="40"/>
    <s v="Carla Gray"/>
    <s v="Resigned"/>
  </r>
  <r>
    <s v="EMP0910"/>
    <s v="Joshua Howard"/>
    <x v="0"/>
    <s v="Brand Manager"/>
    <s v="Female"/>
    <n v="51"/>
    <d v="2020-11-01T00:00:00"/>
    <s v="Contract"/>
    <n v="79999.289999999994"/>
    <n v="1"/>
    <n v="83.17"/>
    <n v="5"/>
    <n v="32"/>
    <n v="59"/>
    <s v="Daniel Wagner"/>
    <s v="Active"/>
  </r>
  <r>
    <s v="EMP0911"/>
    <s v="Sean Stevenson"/>
    <x v="1"/>
    <s v="Account Executive"/>
    <s v="Male"/>
    <n v="54"/>
    <d v="2023-07-08T00:00:00"/>
    <s v="Contract"/>
    <n v="96096.1"/>
    <n v="2"/>
    <n v="97.34"/>
    <n v="2"/>
    <n v="14"/>
    <n v="57"/>
    <s v="Abigail Shaffer"/>
    <s v="Active"/>
  </r>
  <r>
    <s v="EMP0912"/>
    <s v="Kristina Young"/>
    <x v="6"/>
    <s v="HR Officer"/>
    <s v="Male"/>
    <n v="29"/>
    <d v="2019-08-19T00:00:00"/>
    <s v="Part-Time"/>
    <n v="47366.65"/>
    <n v="2"/>
    <n v="99.06"/>
    <n v="6"/>
    <n v="44"/>
    <n v="45"/>
    <s v="Derek Zuniga"/>
    <s v="Active"/>
  </r>
  <r>
    <s v="EMP0913"/>
    <s v="Amber James"/>
    <x v="4"/>
    <s v="Product Developer"/>
    <s v="Female"/>
    <n v="53"/>
    <d v="2020-09-16T00:00:00"/>
    <s v="Part-Time"/>
    <n v="112234.81"/>
    <n v="3"/>
    <n v="83.46"/>
    <n v="5"/>
    <n v="35"/>
    <n v="25"/>
    <s v="Daniel Wagner"/>
    <s v="Active"/>
  </r>
  <r>
    <s v="EMP0914"/>
    <s v="Vanessa Edwards"/>
    <x v="2"/>
    <s v="Accountant"/>
    <s v="Male"/>
    <n v="52"/>
    <d v="2022-11-26T00:00:00"/>
    <s v="Part-Time"/>
    <n v="108285.73"/>
    <n v="4"/>
    <n v="91.93"/>
    <n v="3"/>
    <n v="34"/>
    <n v="52"/>
    <s v="Monica Herrera"/>
    <s v="Active"/>
  </r>
  <r>
    <s v="EMP0915"/>
    <s v="Patrick Harris"/>
    <x v="7"/>
    <s v="Team Lead"/>
    <s v="Male"/>
    <n v="57"/>
    <d v="2025-03-17T00:00:00"/>
    <s v="Part-Time"/>
    <n v="57396.05"/>
    <n v="1"/>
    <n v="88.99"/>
    <n v="0"/>
    <n v="4"/>
    <n v="32"/>
    <s v="Gabrielle Davis"/>
    <s v="Active"/>
  </r>
  <r>
    <s v="EMP0916"/>
    <s v="Susan Bush"/>
    <x v="2"/>
    <s v="Finance Manager"/>
    <s v="Female"/>
    <n v="46"/>
    <d v="2023-05-10T00:00:00"/>
    <s v="Full-Time"/>
    <n v="31465"/>
    <n v="3"/>
    <n v="88.59"/>
    <n v="2"/>
    <n v="23"/>
    <n v="22"/>
    <s v="Gina Moore"/>
    <s v="Active"/>
  </r>
  <r>
    <s v="EMP0917"/>
    <s v="Kimberly Morrison"/>
    <x v="3"/>
    <s v="Operations Manager"/>
    <s v="Male"/>
    <n v="41"/>
    <d v="2022-01-27T00:00:00"/>
    <s v="Full-Time"/>
    <n v="20963.3"/>
    <n v="1"/>
    <n v="94.34"/>
    <n v="3"/>
    <n v="27"/>
    <n v="29"/>
    <s v="Lisa Jackson"/>
    <s v="Active"/>
  </r>
  <r>
    <s v="EMP0918"/>
    <s v="Christopher Fleming"/>
    <x v="5"/>
    <s v="Data Analyst"/>
    <s v="Male"/>
    <n v="45"/>
    <d v="2019-02-09T00:00:00"/>
    <s v="Part-Time"/>
    <n v="80180.19"/>
    <n v="5"/>
    <n v="84.35"/>
    <n v="6"/>
    <n v="71"/>
    <n v="17"/>
    <s v="Carla Gray"/>
    <s v="Resigned"/>
  </r>
  <r>
    <s v="EMP0919"/>
    <s v="Nancy Wilson"/>
    <x v="0"/>
    <s v="Content Specialist"/>
    <s v="Female"/>
    <n v="48"/>
    <d v="2018-12-30T00:00:00"/>
    <s v="Part-Time"/>
    <n v="101339.45"/>
    <n v="2"/>
    <n v="83.94"/>
    <n v="7"/>
    <n v="63"/>
    <n v="31"/>
    <s v="Noah Rhodes"/>
    <s v="Resigned"/>
  </r>
  <r>
    <s v="EMP0920"/>
    <s v="Justin Anderson"/>
    <x v="7"/>
    <s v="Support Agent"/>
    <s v="Male"/>
    <n v="49"/>
    <d v="2016-07-04T00:00:00"/>
    <s v="Full-Time"/>
    <n v="80143.070000000007"/>
    <n v="5"/>
    <n v="87.66"/>
    <n v="9"/>
    <n v="73"/>
    <n v="1"/>
    <s v="Ryan Munoz"/>
    <s v="Active"/>
  </r>
  <r>
    <s v="EMP0921"/>
    <s v="Abigail Owens"/>
    <x v="1"/>
    <s v="Sales Manager"/>
    <s v="Female"/>
    <n v="29"/>
    <d v="2025-10-01T00:00:00"/>
    <s v="Part-Time"/>
    <n v="23700.82"/>
    <n v="5"/>
    <n v="98.36"/>
    <n v="0"/>
    <n v="5"/>
    <n v="21"/>
    <s v="Allison Hill"/>
    <s v="Active"/>
  </r>
  <r>
    <s v="EMP0922"/>
    <s v="Timothy Carlson"/>
    <x v="0"/>
    <s v="Brand Manager"/>
    <s v="Female"/>
    <n v="38"/>
    <d v="2018-06-13T00:00:00"/>
    <s v="Part-Time"/>
    <n v="95369.23"/>
    <n v="4"/>
    <n v="81.599999999999994"/>
    <n v="7"/>
    <n v="40"/>
    <n v="31"/>
    <s v="Carla Gray"/>
    <s v="Active"/>
  </r>
  <r>
    <s v="EMP0923"/>
    <s v="Kenneth Howard DDS"/>
    <x v="2"/>
    <s v="Finance Manager"/>
    <s v="Female"/>
    <n v="52"/>
    <d v="2020-12-09T00:00:00"/>
    <s v="Contract"/>
    <n v="116715.25"/>
    <n v="1"/>
    <n v="96.86"/>
    <n v="5"/>
    <n v="79"/>
    <n v="6"/>
    <s v="Allison Hill"/>
    <s v="Active"/>
  </r>
  <r>
    <s v="EMP0924"/>
    <s v="Tina Meyer"/>
    <x v="1"/>
    <s v="Sales Rep"/>
    <s v="Male"/>
    <n v="41"/>
    <d v="2021-03-23T00:00:00"/>
    <s v="Contract"/>
    <n v="92425.34"/>
    <n v="2"/>
    <n v="83.4"/>
    <n v="4"/>
    <n v="24"/>
    <n v="46"/>
    <s v="Jamie Arnold"/>
    <s v="Active"/>
  </r>
  <r>
    <s v="EMP0925"/>
    <s v="Joshua Powell"/>
    <x v="1"/>
    <s v="Account Executive"/>
    <s v="Male"/>
    <n v="37"/>
    <d v="2024-05-29T00:00:00"/>
    <s v="Full-Time"/>
    <n v="31080.36"/>
    <n v="3"/>
    <n v="81.5"/>
    <n v="1"/>
    <n v="42"/>
    <n v="44"/>
    <s v="Carla Gray"/>
    <s v="Active"/>
  </r>
  <r>
    <s v="EMP0926"/>
    <s v="Daniel Rivera"/>
    <x v="7"/>
    <s v="Team Lead"/>
    <s v="Male"/>
    <n v="29"/>
    <d v="2021-10-05T00:00:00"/>
    <s v="Contract"/>
    <n v="66069.38"/>
    <n v="2"/>
    <n v="86.39"/>
    <n v="4"/>
    <n v="18"/>
    <n v="48"/>
    <s v="Lisa Jackson"/>
    <s v="Resigned"/>
  </r>
  <r>
    <s v="EMP0927"/>
    <s v="Travis Montgomery"/>
    <x v="7"/>
    <s v="Team Lead"/>
    <s v="Male"/>
    <n v="54"/>
    <d v="2021-12-14T00:00:00"/>
    <s v="Contract"/>
    <n v="44052.34"/>
    <n v="4"/>
    <n v="93.23"/>
    <n v="4"/>
    <n v="35"/>
    <n v="20"/>
    <s v="Brian Ramirez"/>
    <s v="Active"/>
  </r>
  <r>
    <s v="EMP0928"/>
    <s v="Samantha Zavala MD"/>
    <x v="2"/>
    <s v="Financial Analyst"/>
    <s v="Male"/>
    <n v="43"/>
    <d v="2023-11-23T00:00:00"/>
    <s v="Contract"/>
    <n v="103554.21"/>
    <n v="2"/>
    <n v="93.19"/>
    <n v="2"/>
    <n v="26"/>
    <n v="44"/>
    <s v="Angie Henderson"/>
    <s v="Active"/>
  </r>
  <r>
    <s v="EMP0929"/>
    <s v="Tanner Austin"/>
    <x v="4"/>
    <s v="Researcher"/>
    <s v="Male"/>
    <n v="21"/>
    <d v="2021-09-14T00:00:00"/>
    <s v="Contract"/>
    <n v="41613.550000000003"/>
    <n v="4"/>
    <n v="83.76"/>
    <n v="4"/>
    <n v="13"/>
    <n v="21"/>
    <s v="Abigail Shaffer"/>
    <s v="Active"/>
  </r>
  <r>
    <s v="EMP0930"/>
    <s v="Melanie Flores"/>
    <x v="3"/>
    <s v="Operations Manager"/>
    <s v="Female"/>
    <n v="30"/>
    <d v="2019-12-19T00:00:00"/>
    <s v="Contract"/>
    <n v="30566.05"/>
    <n v="2"/>
    <n v="84.38"/>
    <n v="6"/>
    <n v="46"/>
    <n v="24"/>
    <s v="Dylan Miller"/>
    <s v="Resigned"/>
  </r>
  <r>
    <s v="EMP0931"/>
    <s v="Joshua Campbell"/>
    <x v="5"/>
    <s v="Software Engineer"/>
    <s v="Male"/>
    <n v="25"/>
    <d v="2017-09-29T00:00:00"/>
    <s v="Part-Time"/>
    <n v="62309.4"/>
    <n v="3"/>
    <n v="99.03"/>
    <n v="8"/>
    <n v="73"/>
    <n v="41"/>
    <s v="Daniel Wagner"/>
    <s v="Active"/>
  </r>
  <r>
    <s v="EMP0932"/>
    <s v="Jaime Lang"/>
    <x v="0"/>
    <s v="Content Specialist"/>
    <s v="Male"/>
    <n v="36"/>
    <d v="2024-08-10T00:00:00"/>
    <s v="Full-Time"/>
    <n v="109409.81"/>
    <n v="2"/>
    <n v="85.34"/>
    <n v="1"/>
    <n v="60"/>
    <n v="42"/>
    <s v="Holly Wood"/>
    <s v="Active"/>
  </r>
  <r>
    <s v="EMP0933"/>
    <s v="Mr. Matthew Flores"/>
    <x v="2"/>
    <s v="Accountant"/>
    <s v="Male"/>
    <n v="43"/>
    <d v="2023-05-25T00:00:00"/>
    <s v="Part-Time"/>
    <n v="41206.6"/>
    <n v="4"/>
    <n v="90.04"/>
    <n v="2"/>
    <n v="65"/>
    <n v="21"/>
    <s v="Noah Rhodes"/>
    <s v="Active"/>
  </r>
  <r>
    <s v="EMP0934"/>
    <s v="Carol Huber"/>
    <x v="3"/>
    <s v="Operations Associate"/>
    <s v="Male"/>
    <n v="45"/>
    <d v="2017-03-20T00:00:00"/>
    <s v="Contract"/>
    <n v="112802"/>
    <n v="2"/>
    <n v="85.88"/>
    <n v="8"/>
    <n v="51"/>
    <n v="11"/>
    <s v="Carla Gray"/>
    <s v="Active"/>
  </r>
  <r>
    <s v="EMP0935"/>
    <s v="Lori Clark"/>
    <x v="4"/>
    <s v="Product Developer"/>
    <s v="Male"/>
    <n v="24"/>
    <d v="2024-12-19T00:00:00"/>
    <s v="Contract"/>
    <n v="44894.42"/>
    <n v="1"/>
    <n v="84.39"/>
    <n v="1"/>
    <n v="6"/>
    <n v="57"/>
    <s v="Noah Rhodes"/>
    <s v="Active"/>
  </r>
  <r>
    <s v="EMP0936"/>
    <s v="Jessica Garcia"/>
    <x v="5"/>
    <s v="IT Support"/>
    <s v="Male"/>
    <n v="38"/>
    <d v="2019-06-11T00:00:00"/>
    <s v="Full-Time"/>
    <n v="108260.03"/>
    <n v="4"/>
    <n v="87.84"/>
    <n v="6"/>
    <n v="12"/>
    <n v="14"/>
    <s v="Gabrielle Davis"/>
    <s v="Active"/>
  </r>
  <r>
    <s v="EMP0937"/>
    <s v="Sherry Figueroa"/>
    <x v="6"/>
    <s v="HR Officer"/>
    <s v="Female"/>
    <n v="39"/>
    <d v="2024-12-18T00:00:00"/>
    <s v="Contract"/>
    <n v="79631.34"/>
    <n v="1"/>
    <n v="81.88"/>
    <n v="1"/>
    <n v="64"/>
    <n v="58"/>
    <s v="Carla Gray"/>
    <s v="Active"/>
  </r>
  <r>
    <s v="EMP0938"/>
    <s v="Teresa Burgess"/>
    <x v="2"/>
    <s v="Finance Manager"/>
    <s v="Male"/>
    <n v="31"/>
    <d v="2023-03-22T00:00:00"/>
    <s v="Part-Time"/>
    <n v="88144.25"/>
    <n v="2"/>
    <n v="83.75"/>
    <n v="2"/>
    <n v="58"/>
    <n v="9"/>
    <s v="Allison Hill"/>
    <s v="Active"/>
  </r>
  <r>
    <s v="EMP0939"/>
    <s v="Mitchell Johnson"/>
    <x v="7"/>
    <s v="Team Lead"/>
    <s v="Male"/>
    <n v="32"/>
    <d v="2018-06-07T00:00:00"/>
    <s v="Part-Time"/>
    <n v="108125.75"/>
    <n v="2"/>
    <n v="93.58"/>
    <n v="7"/>
    <n v="1"/>
    <n v="38"/>
    <s v="Jamie Arnold"/>
    <s v="Resigned"/>
  </r>
  <r>
    <s v="EMP0940"/>
    <s v="Robert Grant"/>
    <x v="1"/>
    <s v="Sales Manager"/>
    <s v="Male"/>
    <n v="51"/>
    <d v="2017-01-23T00:00:00"/>
    <s v="Full-Time"/>
    <n v="24517.65"/>
    <n v="1"/>
    <n v="91.35"/>
    <n v="8"/>
    <n v="37"/>
    <n v="53"/>
    <s v="Gina Moore"/>
    <s v="Active"/>
  </r>
  <r>
    <s v="EMP0941"/>
    <s v="Susan Russell"/>
    <x v="6"/>
    <s v="HR Officer"/>
    <s v="Male"/>
    <n v="27"/>
    <d v="2025-08-06T00:00:00"/>
    <s v="Part-Time"/>
    <n v="100389.26"/>
    <n v="3"/>
    <n v="89.05"/>
    <n v="0"/>
    <n v="44"/>
    <n v="34"/>
    <s v="Gabrielle Davis"/>
    <s v="Active"/>
  </r>
  <r>
    <s v="EMP0942"/>
    <s v="Jessica Smith"/>
    <x v="2"/>
    <s v="Financial Analyst"/>
    <s v="Female"/>
    <n v="21"/>
    <d v="2023-06-29T00:00:00"/>
    <s v="Part-Time"/>
    <n v="50113.4"/>
    <n v="3"/>
    <n v="97.83"/>
    <n v="2"/>
    <n v="76"/>
    <n v="30"/>
    <s v="Daniel Wagner"/>
    <s v="Active"/>
  </r>
  <r>
    <s v="EMP0943"/>
    <s v="Margaret Montgomery"/>
    <x v="1"/>
    <s v="Sales Rep"/>
    <s v="Female"/>
    <n v="35"/>
    <d v="2017-10-30T00:00:00"/>
    <s v="Contract"/>
    <n v="119408.71"/>
    <n v="3"/>
    <n v="89.96"/>
    <n v="8"/>
    <n v="31"/>
    <n v="36"/>
    <s v="Michele Williams"/>
    <s v="Active"/>
  </r>
  <r>
    <s v="EMP0944"/>
    <s v="Ryan Howard"/>
    <x v="0"/>
    <s v="Marketing Analyst"/>
    <s v="Female"/>
    <n v="27"/>
    <d v="2025-10-11T00:00:00"/>
    <s v="Part-Time"/>
    <n v="107714.4"/>
    <n v="5"/>
    <n v="97.98"/>
    <n v="0"/>
    <n v="57"/>
    <n v="56"/>
    <s v="Holly Wood"/>
    <s v="Active"/>
  </r>
  <r>
    <s v="EMP0945"/>
    <s v="Richard Turner"/>
    <x v="3"/>
    <s v="Operations Manager"/>
    <s v="Female"/>
    <n v="58"/>
    <d v="2024-05-15T00:00:00"/>
    <s v="Part-Time"/>
    <n v="114526.65"/>
    <n v="3"/>
    <n v="86.19"/>
    <n v="1"/>
    <n v="5"/>
    <n v="37"/>
    <s v="Holly Wood"/>
    <s v="Active"/>
  </r>
  <r>
    <s v="EMP0946"/>
    <s v="Timothy James"/>
    <x v="0"/>
    <s v="Brand Manager"/>
    <s v="Female"/>
    <n v="57"/>
    <d v="2017-04-15T00:00:00"/>
    <s v="Part-Time"/>
    <n v="48840.85"/>
    <n v="1"/>
    <n v="89.98"/>
    <n v="8"/>
    <n v="18"/>
    <n v="29"/>
    <s v="Cristian Santos"/>
    <s v="Active"/>
  </r>
  <r>
    <s v="EMP0947"/>
    <s v="Joseph Taylor"/>
    <x v="2"/>
    <s v="Finance Manager"/>
    <s v="Male"/>
    <n v="40"/>
    <d v="2016-05-04T00:00:00"/>
    <s v="Part-Time"/>
    <n v="48826"/>
    <n v="3"/>
    <n v="80.31"/>
    <n v="9"/>
    <n v="5"/>
    <n v="13"/>
    <s v="Ryan Munoz"/>
    <s v="Active"/>
  </r>
  <r>
    <s v="EMP0948"/>
    <s v="Sarah Phillips"/>
    <x v="0"/>
    <s v="Marketing Analyst"/>
    <s v="Female"/>
    <n v="40"/>
    <d v="2022-06-20T00:00:00"/>
    <s v="Full-Time"/>
    <n v="63032.28"/>
    <n v="1"/>
    <n v="81"/>
    <n v="3"/>
    <n v="17"/>
    <n v="22"/>
    <s v="Ryan Munoz"/>
    <s v="Active"/>
  </r>
  <r>
    <s v="EMP0949"/>
    <s v="Stephen Sanford"/>
    <x v="6"/>
    <s v="HR Officer"/>
    <s v="Female"/>
    <n v="30"/>
    <d v="2018-04-08T00:00:00"/>
    <s v="Contract"/>
    <n v="39672.74"/>
    <n v="5"/>
    <n v="98.37"/>
    <n v="7"/>
    <n v="37"/>
    <n v="14"/>
    <s v="Noah Rhodes"/>
    <s v="Active"/>
  </r>
  <r>
    <s v="EMP0950"/>
    <s v="Alexandra Baxter"/>
    <x v="3"/>
    <s v="Operations Associate"/>
    <s v="Female"/>
    <n v="48"/>
    <d v="2022-03-01T00:00:00"/>
    <s v="Part-Time"/>
    <n v="116690.68"/>
    <n v="1"/>
    <n v="97.86"/>
    <n v="3"/>
    <n v="38"/>
    <n v="38"/>
    <s v="Ryan Munoz"/>
    <s v="Active"/>
  </r>
  <r>
    <s v="EMP0951"/>
    <s v="Aaron Carlson"/>
    <x v="7"/>
    <s v="Team Lead"/>
    <s v="Male"/>
    <n v="33"/>
    <d v="2018-03-22T00:00:00"/>
    <s v="Part-Time"/>
    <n v="33569.08"/>
    <n v="5"/>
    <n v="83.99"/>
    <n v="7"/>
    <n v="39"/>
    <n v="5"/>
    <s v="Ryan Munoz"/>
    <s v="Active"/>
  </r>
  <r>
    <s v="EMP0952"/>
    <s v="Angela Clark"/>
    <x v="4"/>
    <s v="Researcher"/>
    <s v="Female"/>
    <n v="48"/>
    <d v="2024-12-14T00:00:00"/>
    <s v="Full-Time"/>
    <n v="33860.99"/>
    <n v="4"/>
    <n v="93.88"/>
    <n v="1"/>
    <n v="64"/>
    <n v="59"/>
    <s v="Jamie Arnold"/>
    <s v="Active"/>
  </r>
  <r>
    <s v="EMP0953"/>
    <s v="Taylor York"/>
    <x v="7"/>
    <s v="Team Lead"/>
    <s v="Female"/>
    <n v="47"/>
    <d v="2021-08-31T00:00:00"/>
    <s v="Part-Time"/>
    <n v="22767.29"/>
    <n v="5"/>
    <n v="80.53"/>
    <n v="4"/>
    <n v="53"/>
    <n v="5"/>
    <s v="Cristian Santos"/>
    <s v="Active"/>
  </r>
  <r>
    <s v="EMP0954"/>
    <s v="Daniel Davenport"/>
    <x v="2"/>
    <s v="Accountant"/>
    <s v="Female"/>
    <n v="29"/>
    <d v="2018-03-29T00:00:00"/>
    <s v="Contract"/>
    <n v="74326.960000000006"/>
    <n v="5"/>
    <n v="97.56"/>
    <n v="7"/>
    <n v="6"/>
    <n v="48"/>
    <s v="Lisa Hensley"/>
    <s v="Active"/>
  </r>
  <r>
    <s v="EMP0955"/>
    <s v="Michael Bradley"/>
    <x v="1"/>
    <s v="Sales Manager"/>
    <s v="Female"/>
    <n v="24"/>
    <d v="2019-02-14T00:00:00"/>
    <s v="Full-Time"/>
    <n v="25469.279999999999"/>
    <n v="1"/>
    <n v="86.67"/>
    <n v="6"/>
    <n v="12"/>
    <n v="52"/>
    <s v="Ryan Munoz"/>
    <s v="Active"/>
  </r>
  <r>
    <s v="EMP0956"/>
    <s v="Tara Gamble"/>
    <x v="3"/>
    <s v="Operations Associate"/>
    <s v="Male"/>
    <n v="58"/>
    <d v="2016-09-27T00:00:00"/>
    <s v="Contract"/>
    <n v="71082.09"/>
    <n v="1"/>
    <n v="94.03"/>
    <n v="9"/>
    <n v="66"/>
    <n v="9"/>
    <s v="Derek Zuniga"/>
    <s v="Active"/>
  </r>
  <r>
    <s v="EMP0957"/>
    <s v="Angel Powers"/>
    <x v="4"/>
    <s v="Researcher"/>
    <s v="Male"/>
    <n v="30"/>
    <d v="2023-08-31T00:00:00"/>
    <s v="Part-Time"/>
    <n v="82823.95"/>
    <n v="1"/>
    <n v="96.11"/>
    <n v="2"/>
    <n v="79"/>
    <n v="44"/>
    <s v="Abigail Shaffer"/>
    <s v="Active"/>
  </r>
  <r>
    <s v="EMP0958"/>
    <s v="Nicholas Freeman"/>
    <x v="1"/>
    <s v="Sales Rep"/>
    <s v="Male"/>
    <n v="54"/>
    <d v="2020-01-30T00:00:00"/>
    <s v="Full-Time"/>
    <n v="44720.61"/>
    <n v="1"/>
    <n v="89.47"/>
    <n v="5"/>
    <n v="64"/>
    <n v="28"/>
    <s v="Lisa Hensley"/>
    <s v="Active"/>
  </r>
  <r>
    <s v="EMP0959"/>
    <s v="Michael Young"/>
    <x v="0"/>
    <s v="Brand Manager"/>
    <s v="Female"/>
    <n v="51"/>
    <d v="2021-06-11T00:00:00"/>
    <s v="Full-Time"/>
    <n v="102027.1"/>
    <n v="5"/>
    <n v="85.21"/>
    <n v="4"/>
    <n v="78"/>
    <n v="43"/>
    <s v="Dylan Miller"/>
    <s v="Resigned"/>
  </r>
  <r>
    <s v="EMP0960"/>
    <s v="Stephanie Stewart"/>
    <x v="0"/>
    <s v="Brand Manager"/>
    <s v="Male"/>
    <n v="22"/>
    <d v="2020-08-31T00:00:00"/>
    <s v="Full-Time"/>
    <n v="34168.620000000003"/>
    <n v="2"/>
    <n v="83.42"/>
    <n v="5"/>
    <n v="69"/>
    <n v="12"/>
    <s v="Brian Ramirez"/>
    <s v="Active"/>
  </r>
  <r>
    <s v="EMP0961"/>
    <s v="Matthew Steele"/>
    <x v="2"/>
    <s v="Finance Manager"/>
    <s v="Male"/>
    <n v="58"/>
    <d v="2023-06-26T00:00:00"/>
    <s v="Part-Time"/>
    <n v="56733.94"/>
    <n v="3"/>
    <n v="87.82"/>
    <n v="2"/>
    <n v="13"/>
    <n v="29"/>
    <s v="Michele Williams"/>
    <s v="Active"/>
  </r>
  <r>
    <s v="EMP0962"/>
    <s v="Holly Stewart"/>
    <x v="6"/>
    <s v="HR Officer"/>
    <s v="Female"/>
    <n v="50"/>
    <d v="2018-05-29T00:00:00"/>
    <s v="Full-Time"/>
    <n v="76420.91"/>
    <n v="1"/>
    <n v="91.61"/>
    <n v="7"/>
    <n v="4"/>
    <n v="41"/>
    <s v="Carla Gray"/>
    <s v="Active"/>
  </r>
  <r>
    <s v="EMP0963"/>
    <s v="Erik Floyd"/>
    <x v="3"/>
    <s v="Operations Associate"/>
    <s v="Female"/>
    <n v="50"/>
    <d v="2023-02-07T00:00:00"/>
    <s v="Part-Time"/>
    <n v="20912.009999999998"/>
    <n v="2"/>
    <n v="87.15"/>
    <n v="2"/>
    <n v="64"/>
    <n v="13"/>
    <s v="Jamie Arnold"/>
    <s v="Resigned"/>
  </r>
  <r>
    <s v="EMP0964"/>
    <s v="Ian Frazier"/>
    <x v="7"/>
    <s v="Support Agent"/>
    <s v="Male"/>
    <n v="30"/>
    <d v="2023-03-27T00:00:00"/>
    <s v="Part-Time"/>
    <n v="85593.34"/>
    <n v="5"/>
    <n v="86.79"/>
    <n v="2"/>
    <n v="17"/>
    <n v="17"/>
    <s v="Ryan Munoz"/>
    <s v="Resigned"/>
  </r>
  <r>
    <s v="EMP0965"/>
    <s v="Julie Howard"/>
    <x v="0"/>
    <s v="Content Specialist"/>
    <s v="Female"/>
    <n v="45"/>
    <d v="2021-06-16T00:00:00"/>
    <s v="Part-Time"/>
    <n v="80584.179999999993"/>
    <n v="2"/>
    <n v="91.52"/>
    <n v="4"/>
    <n v="64"/>
    <n v="49"/>
    <s v="Holly Wood"/>
    <s v="Active"/>
  </r>
  <r>
    <s v="EMP0966"/>
    <s v="Mr. Matthew Miller"/>
    <x v="3"/>
    <s v="Operations Manager"/>
    <s v="Female"/>
    <n v="25"/>
    <d v="2021-01-05T00:00:00"/>
    <s v="Full-Time"/>
    <n v="22952.18"/>
    <n v="2"/>
    <n v="84.63"/>
    <n v="4"/>
    <n v="13"/>
    <n v="31"/>
    <s v="Brian Ramirez"/>
    <s v="Active"/>
  </r>
  <r>
    <s v="EMP0967"/>
    <s v="Brenda Ryan"/>
    <x v="5"/>
    <s v="Data Analyst"/>
    <s v="Male"/>
    <n v="27"/>
    <d v="2020-08-03T00:00:00"/>
    <s v="Full-Time"/>
    <n v="92816.320000000007"/>
    <n v="4"/>
    <n v="95.12"/>
    <n v="5"/>
    <n v="53"/>
    <n v="59"/>
    <s v="Angie Henderson"/>
    <s v="Active"/>
  </r>
  <r>
    <s v="EMP0968"/>
    <s v="Lori Luna"/>
    <x v="2"/>
    <s v="Accountant"/>
    <s v="Male"/>
    <n v="25"/>
    <d v="2020-04-17T00:00:00"/>
    <s v="Part-Time"/>
    <n v="96335.19"/>
    <n v="5"/>
    <n v="92.63"/>
    <n v="5"/>
    <n v="3"/>
    <n v="59"/>
    <s v="Connie Lawrence"/>
    <s v="Active"/>
  </r>
  <r>
    <s v="EMP0969"/>
    <s v="Lynn Hess"/>
    <x v="4"/>
    <s v="Product Developer"/>
    <s v="Male"/>
    <n v="57"/>
    <d v="2016-02-18T00:00:00"/>
    <s v="Contract"/>
    <n v="39973.440000000002"/>
    <n v="3"/>
    <n v="89.82"/>
    <n v="9"/>
    <n v="36"/>
    <n v="14"/>
    <s v="Abigail Shaffer"/>
    <s v="Active"/>
  </r>
  <r>
    <s v="EMP0970"/>
    <s v="Kevin Escobar"/>
    <x v="7"/>
    <s v="Support Agent"/>
    <s v="Male"/>
    <n v="58"/>
    <d v="2025-08-31T00:00:00"/>
    <s v="Full-Time"/>
    <n v="82911.570000000007"/>
    <n v="1"/>
    <n v="84.07"/>
    <n v="0"/>
    <n v="17"/>
    <n v="57"/>
    <s v="Allison Hill"/>
    <s v="Active"/>
  </r>
  <r>
    <s v="EMP0971"/>
    <s v="Steven Fernandez"/>
    <x v="7"/>
    <s v="Support Agent"/>
    <s v="Female"/>
    <n v="32"/>
    <d v="2025-03-14T00:00:00"/>
    <s v="Contract"/>
    <n v="92997.71"/>
    <n v="5"/>
    <n v="89.92"/>
    <n v="0"/>
    <n v="26"/>
    <n v="36"/>
    <s v="Brian Ramirez"/>
    <s v="Active"/>
  </r>
  <r>
    <s v="EMP0972"/>
    <s v="Daniel Barton"/>
    <x v="3"/>
    <s v="Operations Associate"/>
    <s v="Male"/>
    <n v="49"/>
    <d v="2018-05-06T00:00:00"/>
    <s v="Part-Time"/>
    <n v="82547.070000000007"/>
    <n v="1"/>
    <n v="91.38"/>
    <n v="7"/>
    <n v="16"/>
    <n v="50"/>
    <s v="Holly Wood"/>
    <s v="Active"/>
  </r>
  <r>
    <s v="EMP0973"/>
    <s v="Jonathan Davis"/>
    <x v="0"/>
    <s v="Brand Manager"/>
    <s v="Male"/>
    <n v="24"/>
    <d v="2020-10-07T00:00:00"/>
    <s v="Contract"/>
    <n v="74053.8"/>
    <n v="1"/>
    <n v="84.48"/>
    <n v="5"/>
    <n v="37"/>
    <n v="59"/>
    <s v="Gabrielle Davis"/>
    <s v="Active"/>
  </r>
  <r>
    <s v="EMP0974"/>
    <s v="Mary Charles"/>
    <x v="3"/>
    <s v="Operations Associate"/>
    <s v="Male"/>
    <n v="39"/>
    <d v="2022-01-02T00:00:00"/>
    <s v="Full-Time"/>
    <n v="73442.38"/>
    <n v="2"/>
    <n v="97.06"/>
    <n v="3"/>
    <n v="78"/>
    <n v="32"/>
    <s v="Ryan Munoz"/>
    <s v="Active"/>
  </r>
  <r>
    <s v="EMP0975"/>
    <s v="Brenda Moore"/>
    <x v="1"/>
    <s v="Account Executive"/>
    <s v="Male"/>
    <n v="58"/>
    <d v="2018-08-21T00:00:00"/>
    <s v="Part-Time"/>
    <n v="113692.69"/>
    <n v="3"/>
    <n v="93.06"/>
    <n v="7"/>
    <n v="4"/>
    <n v="21"/>
    <s v="Michele Williams"/>
    <s v="Active"/>
  </r>
  <r>
    <s v="EMP0976"/>
    <s v="Mary Faulkner"/>
    <x v="3"/>
    <s v="Operations Associate"/>
    <s v="Male"/>
    <n v="34"/>
    <d v="2025-06-14T00:00:00"/>
    <s v="Contract"/>
    <n v="101676.24"/>
    <n v="3"/>
    <n v="98.48"/>
    <n v="0"/>
    <n v="7"/>
    <n v="15"/>
    <s v="Brian Ramirez"/>
    <s v="Active"/>
  </r>
  <r>
    <s v="EMP0977"/>
    <s v="Amanda Juarez"/>
    <x v="1"/>
    <s v="Sales Manager"/>
    <s v="Male"/>
    <n v="47"/>
    <d v="2024-01-16T00:00:00"/>
    <s v="Contract"/>
    <n v="93928.94"/>
    <n v="1"/>
    <n v="97.75"/>
    <n v="1"/>
    <n v="61"/>
    <n v="60"/>
    <s v="Cristian Santos"/>
    <s v="Active"/>
  </r>
  <r>
    <s v="EMP0978"/>
    <s v="Jacob Williams"/>
    <x v="1"/>
    <s v="Sales Rep"/>
    <s v="Male"/>
    <n v="52"/>
    <d v="2019-10-05T00:00:00"/>
    <s v="Contract"/>
    <n v="42524.5"/>
    <n v="3"/>
    <n v="88.63"/>
    <n v="6"/>
    <n v="38"/>
    <n v="50"/>
    <s v="Gina Moore"/>
    <s v="Active"/>
  </r>
  <r>
    <s v="EMP0979"/>
    <s v="Rebecca Hughes"/>
    <x v="1"/>
    <s v="Sales Rep"/>
    <s v="Male"/>
    <n v="55"/>
    <d v="2019-05-02T00:00:00"/>
    <s v="Contract"/>
    <n v="106029.45"/>
    <n v="1"/>
    <n v="91.05"/>
    <n v="6"/>
    <n v="6"/>
    <n v="24"/>
    <s v="Lisa Hensley"/>
    <s v="Active"/>
  </r>
  <r>
    <s v="EMP0980"/>
    <s v="Amanda Wong"/>
    <x v="7"/>
    <s v="Team Lead"/>
    <s v="Male"/>
    <n v="28"/>
    <d v="2023-07-21T00:00:00"/>
    <s v="Part-Time"/>
    <n v="31799.26"/>
    <n v="5"/>
    <n v="99.65"/>
    <n v="2"/>
    <n v="47"/>
    <n v="22"/>
    <s v="Abigail Shaffer"/>
    <s v="Active"/>
  </r>
  <r>
    <s v="EMP0981"/>
    <s v="Kelly Gallegos"/>
    <x v="1"/>
    <s v="Sales Rep"/>
    <s v="Male"/>
    <n v="26"/>
    <d v="2017-07-28T00:00:00"/>
    <s v="Contract"/>
    <n v="21004.97"/>
    <n v="4"/>
    <n v="94.95"/>
    <n v="8"/>
    <n v="68"/>
    <n v="36"/>
    <s v="Noah Rhodes"/>
    <s v="Resigned"/>
  </r>
  <r>
    <s v="EMP0982"/>
    <s v="Laura Bennett"/>
    <x v="1"/>
    <s v="Account Executive"/>
    <s v="Male"/>
    <n v="24"/>
    <d v="2020-04-18T00:00:00"/>
    <s v="Full-Time"/>
    <n v="25665.46"/>
    <n v="4"/>
    <n v="83.61"/>
    <n v="5"/>
    <n v="5"/>
    <n v="20"/>
    <s v="Jamie Arnold"/>
    <s v="Active"/>
  </r>
  <r>
    <s v="EMP0983"/>
    <s v="Matthew Houston"/>
    <x v="5"/>
    <s v="Software Engineer"/>
    <s v="Male"/>
    <n v="59"/>
    <d v="2022-04-04T00:00:00"/>
    <s v="Part-Time"/>
    <n v="67870.14"/>
    <n v="1"/>
    <n v="93.13"/>
    <n v="3"/>
    <n v="9"/>
    <n v="16"/>
    <s v="Derek Zuniga"/>
    <s v="Active"/>
  </r>
  <r>
    <s v="EMP0984"/>
    <s v="William Walker"/>
    <x v="3"/>
    <s v="Operations Associate"/>
    <s v="Female"/>
    <n v="40"/>
    <d v="2024-08-09T00:00:00"/>
    <s v="Part-Time"/>
    <n v="98020.84"/>
    <n v="3"/>
    <n v="97.38"/>
    <n v="1"/>
    <n v="31"/>
    <n v="33"/>
    <s v="Gabrielle Davis"/>
    <s v="Active"/>
  </r>
  <r>
    <s v="EMP0985"/>
    <s v="Sean Tucker"/>
    <x v="0"/>
    <s v="Marketing Analyst"/>
    <s v="Female"/>
    <n v="47"/>
    <d v="2022-09-20T00:00:00"/>
    <s v="Contract"/>
    <n v="115056.35"/>
    <n v="4"/>
    <n v="85.6"/>
    <n v="3"/>
    <n v="26"/>
    <n v="58"/>
    <s v="Cristian Santos"/>
    <s v="Active"/>
  </r>
  <r>
    <s v="EMP0986"/>
    <s v="Adriana Macias"/>
    <x v="5"/>
    <s v="Software Engineer"/>
    <s v="Male"/>
    <n v="28"/>
    <d v="2024-01-07T00:00:00"/>
    <s v="Part-Time"/>
    <n v="92491.08"/>
    <n v="2"/>
    <n v="80.72"/>
    <n v="1"/>
    <n v="30"/>
    <n v="44"/>
    <s v="Dylan Miller"/>
    <s v="Active"/>
  </r>
  <r>
    <s v="EMP0987"/>
    <s v="Billy Schneider"/>
    <x v="4"/>
    <s v="Researcher"/>
    <s v="Male"/>
    <n v="52"/>
    <d v="2023-04-20T00:00:00"/>
    <s v="Full-Time"/>
    <n v="47029.86"/>
    <n v="5"/>
    <n v="87.68"/>
    <n v="2"/>
    <n v="10"/>
    <n v="3"/>
    <s v="Gabrielle Davis"/>
    <s v="Resigned"/>
  </r>
  <r>
    <s v="EMP0988"/>
    <s v="Christopher Guzman"/>
    <x v="7"/>
    <s v="Team Lead"/>
    <s v="Male"/>
    <n v="45"/>
    <d v="2019-06-01T00:00:00"/>
    <s v="Part-Time"/>
    <n v="64401.97"/>
    <n v="2"/>
    <n v="84.11"/>
    <n v="6"/>
    <n v="23"/>
    <n v="42"/>
    <s v="Michele Williams"/>
    <s v="Active"/>
  </r>
  <r>
    <s v="EMP0989"/>
    <s v="Jennifer Rivera"/>
    <x v="2"/>
    <s v="Accountant"/>
    <s v="Female"/>
    <n v="22"/>
    <d v="2017-10-30T00:00:00"/>
    <s v="Contract"/>
    <n v="95447.81"/>
    <n v="3"/>
    <n v="98.45"/>
    <n v="8"/>
    <n v="33"/>
    <n v="51"/>
    <s v="Lisa Jackson"/>
    <s v="Active"/>
  </r>
  <r>
    <s v="EMP0990"/>
    <s v="Mr. Daniel Martin"/>
    <x v="1"/>
    <s v="Sales Manager"/>
    <s v="Female"/>
    <n v="48"/>
    <d v="2017-09-29T00:00:00"/>
    <s v="Contract"/>
    <n v="112856.65"/>
    <n v="1"/>
    <n v="96.15"/>
    <n v="8"/>
    <n v="70"/>
    <n v="24"/>
    <s v="Ryan Munoz"/>
    <s v="Resigned"/>
  </r>
  <r>
    <s v="EMP0991"/>
    <s v="Andrew Berry"/>
    <x v="4"/>
    <s v="Product Developer"/>
    <s v="Female"/>
    <n v="31"/>
    <d v="2022-10-22T00:00:00"/>
    <s v="Part-Time"/>
    <n v="66733.25"/>
    <n v="2"/>
    <n v="82.64"/>
    <n v="3"/>
    <n v="1"/>
    <n v="17"/>
    <s v="Gabrielle Davis"/>
    <s v="Active"/>
  </r>
  <r>
    <s v="EMP0992"/>
    <s v="Jose Macdonald"/>
    <x v="5"/>
    <s v="Data Analyst"/>
    <s v="Female"/>
    <n v="42"/>
    <d v="2018-07-23T00:00:00"/>
    <s v="Contract"/>
    <n v="59460.12"/>
    <n v="5"/>
    <n v="85.49"/>
    <n v="7"/>
    <n v="34"/>
    <n v="42"/>
    <s v="Gabrielle Davis"/>
    <s v="Active"/>
  </r>
  <r>
    <s v="EMP0993"/>
    <s v="David White"/>
    <x v="1"/>
    <s v="Sales Rep"/>
    <s v="Female"/>
    <n v="57"/>
    <d v="2018-04-25T00:00:00"/>
    <s v="Contract"/>
    <n v="52098.94"/>
    <n v="3"/>
    <n v="96.95"/>
    <n v="7"/>
    <n v="56"/>
    <n v="29"/>
    <s v="Allison Hill"/>
    <s v="Active"/>
  </r>
  <r>
    <s v="EMP0994"/>
    <s v="Kristy Smith"/>
    <x v="4"/>
    <s v="Researcher"/>
    <s v="Female"/>
    <n v="51"/>
    <d v="2022-09-18T00:00:00"/>
    <s v="Contract"/>
    <n v="104432.53"/>
    <n v="2"/>
    <n v="88.17"/>
    <n v="3"/>
    <n v="74"/>
    <n v="60"/>
    <s v="Angie Henderson"/>
    <s v="Active"/>
  </r>
  <r>
    <s v="EMP0995"/>
    <s v="Claire Obrien"/>
    <x v="3"/>
    <s v="Operations Associate"/>
    <s v="Female"/>
    <n v="32"/>
    <d v="2020-08-21T00:00:00"/>
    <s v="Part-Time"/>
    <n v="96597.68"/>
    <n v="3"/>
    <n v="85.19"/>
    <n v="5"/>
    <n v="63"/>
    <n v="8"/>
    <s v="Gina Moore"/>
    <s v="Active"/>
  </r>
  <r>
    <s v="EMP0996"/>
    <s v="Carolyn Greer"/>
    <x v="6"/>
    <s v="HR Manager"/>
    <s v="Male"/>
    <n v="35"/>
    <d v="2023-11-02T00:00:00"/>
    <s v="Full-Time"/>
    <n v="85460.08"/>
    <n v="2"/>
    <n v="93.69"/>
    <n v="2"/>
    <n v="56"/>
    <n v="37"/>
    <s v="Monica Herrera"/>
    <s v="Active"/>
  </r>
  <r>
    <s v="EMP0997"/>
    <s v="Samantha White"/>
    <x v="5"/>
    <s v="IT Support"/>
    <s v="Female"/>
    <n v="37"/>
    <d v="2018-03-30T00:00:00"/>
    <s v="Full-Time"/>
    <n v="87838.78"/>
    <n v="3"/>
    <n v="90.81"/>
    <n v="7"/>
    <n v="5"/>
    <n v="38"/>
    <s v="Gina Moore"/>
    <s v="Active"/>
  </r>
  <r>
    <s v="EMP0998"/>
    <s v="Nathaniel Cooper"/>
    <x v="0"/>
    <s v="Content Specialist"/>
    <s v="Female"/>
    <n v="28"/>
    <d v="2024-07-04T00:00:00"/>
    <s v="Contract"/>
    <n v="27745.02"/>
    <n v="2"/>
    <n v="86.52"/>
    <n v="1"/>
    <n v="47"/>
    <n v="53"/>
    <s v="Michele Williams"/>
    <s v="Active"/>
  </r>
  <r>
    <s v="EMP0999"/>
    <s v="Andrea Gray"/>
    <x v="7"/>
    <s v="Team Lead"/>
    <s v="Male"/>
    <n v="22"/>
    <d v="2023-07-13T00:00:00"/>
    <s v="Part-Time"/>
    <n v="80696.67"/>
    <n v="3"/>
    <n v="86.7"/>
    <n v="2"/>
    <n v="52"/>
    <n v="57"/>
    <s v="Jamie Arnold"/>
    <s v="Active"/>
  </r>
  <r>
    <s v="EMP1000"/>
    <s v="Dale Heath"/>
    <x v="2"/>
    <s v="Finance Manager"/>
    <s v="Male"/>
    <n v="31"/>
    <d v="2018-01-24T00:00:00"/>
    <s v="Part-Time"/>
    <n v="24461.06"/>
    <n v="2"/>
    <n v="98.24"/>
    <n v="7"/>
    <n v="3"/>
    <n v="6"/>
    <s v="Carla Gray"/>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14CED5-37B3-4E56-80AE-91EF2BC0494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29:C38" firstHeaderRow="0" firstDataRow="1" firstDataCol="1"/>
  <pivotFields count="16">
    <pivotField showAll="0"/>
    <pivotField showAll="0"/>
    <pivotField axis="axisRow" showAll="0">
      <items count="9">
        <item x="7"/>
        <item x="2"/>
        <item x="6"/>
        <item x="5"/>
        <item x="0"/>
        <item x="3"/>
        <item x="4"/>
        <item x="1"/>
        <item t="default"/>
      </items>
    </pivotField>
    <pivotField showAll="0"/>
    <pivotField showAll="0"/>
    <pivotField showAll="0"/>
    <pivotField numFmtId="164" showAll="0"/>
    <pivotField showAll="0"/>
    <pivotField dataField="1" numFmtId="165" showAll="0"/>
    <pivotField showAll="0"/>
    <pivotField dataField="1" showAll="0"/>
    <pivotField showAll="0"/>
    <pivotField showAll="0"/>
    <pivotField showAll="0"/>
    <pivotField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Average of Monthly Salary" fld="8" subtotal="average" baseField="2" baseItem="0" numFmtId="165"/>
    <dataField name="Average of Attendance Rate (%)" fld="10" subtotal="average" baseField="2" baseItem="0"/>
  </dataFields>
  <formats count="1">
    <format dxfId="1">
      <pivotArea collapsedLevelsAreSubtotals="1" fieldPosition="0">
        <references count="2">
          <reference field="4294967294" count="1" selected="0">
            <x v="1"/>
          </reference>
          <reference field="2" count="0"/>
        </references>
      </pivotArea>
    </format>
  </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2BE45A-9DF1-466E-9599-DEE56023D39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partment">
  <location ref="A17:B26" firstHeaderRow="1" firstDataRow="1" firstDataCol="1"/>
  <pivotFields count="16">
    <pivotField dataField="1" showAll="0"/>
    <pivotField showAll="0"/>
    <pivotField axis="axisRow" showAll="0" sortType="descending">
      <items count="9">
        <item x="7"/>
        <item x="2"/>
        <item x="6"/>
        <item x="5"/>
        <item x="0"/>
        <item x="3"/>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numFmtId="165" showAll="0"/>
    <pivotField showAll="0"/>
    <pivotField showAll="0"/>
    <pivotField showAll="0"/>
    <pivotField showAll="0"/>
    <pivotField showAll="0"/>
    <pivotField showAll="0"/>
    <pivotField showAll="0"/>
  </pivotFields>
  <rowFields count="1">
    <field x="2"/>
  </rowFields>
  <rowItems count="9">
    <i>
      <x v="2"/>
    </i>
    <i>
      <x v="6"/>
    </i>
    <i>
      <x/>
    </i>
    <i>
      <x v="4"/>
    </i>
    <i>
      <x v="5"/>
    </i>
    <i>
      <x v="7"/>
    </i>
    <i>
      <x v="3"/>
    </i>
    <i>
      <x v="1"/>
    </i>
    <i t="grand">
      <x/>
    </i>
  </rowItems>
  <colItems count="1">
    <i/>
  </colItems>
  <dataFields count="1">
    <dataField name="Count of Employees" fld="0" subtotal="count" baseField="2" baseItem="0"/>
  </dataFields>
  <chartFormats count="1">
    <chartFormat chart="5" format="0"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5E6EE7-3A96-4743-AC0A-060FA9FA01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location ref="A2:B11" firstHeaderRow="1" firstDataRow="1" firstDataCol="1"/>
  <pivotFields count="16">
    <pivotField showAll="0"/>
    <pivotField showAll="0"/>
    <pivotField axis="axisRow" showAll="0" sortType="descending">
      <items count="9">
        <item x="7"/>
        <item x="2"/>
        <item x="6"/>
        <item x="5"/>
        <item x="0"/>
        <item x="3"/>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dataField="1" numFmtId="165" showAll="0"/>
    <pivotField showAll="0"/>
    <pivotField showAll="0"/>
    <pivotField showAll="0"/>
    <pivotField showAll="0"/>
    <pivotField showAll="0"/>
    <pivotField showAll="0"/>
    <pivotField showAll="0"/>
  </pivotFields>
  <rowFields count="1">
    <field x="2"/>
  </rowFields>
  <rowItems count="9">
    <i>
      <x v="3"/>
    </i>
    <i>
      <x v="1"/>
    </i>
    <i>
      <x/>
    </i>
    <i>
      <x v="2"/>
    </i>
    <i>
      <x v="6"/>
    </i>
    <i>
      <x v="5"/>
    </i>
    <i>
      <x v="7"/>
    </i>
    <i>
      <x v="4"/>
    </i>
    <i t="grand">
      <x/>
    </i>
  </rowItems>
  <colItems count="1">
    <i/>
  </colItems>
  <dataFields count="1">
    <dataField name="Average of Monthly Salary" fld="8" subtotal="average" baseField="2" baseItem="0" numFmtId="165"/>
  </dataFields>
  <chartFormats count="1">
    <chartFormat chart="1" format="0"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97DC75-8ABF-43C2-8CEF-69513CA9E0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C50" firstHeaderRow="0" firstDataRow="1" firstDataCol="1"/>
  <pivotFields count="16">
    <pivotField showAll="0"/>
    <pivotField showAll="0"/>
    <pivotField axis="axisRow" showAll="0">
      <items count="9">
        <item x="7"/>
        <item x="2"/>
        <item x="6"/>
        <item x="5"/>
        <item x="0"/>
        <item x="3"/>
        <item x="4"/>
        <item x="1"/>
        <item t="default"/>
      </items>
    </pivotField>
    <pivotField showAll="0"/>
    <pivotField showAll="0"/>
    <pivotField showAll="0"/>
    <pivotField numFmtId="164" showAll="0"/>
    <pivotField showAll="0"/>
    <pivotField numFmtId="165" showAll="0"/>
    <pivotField dataField="1" showAll="0"/>
    <pivotField showAll="0"/>
    <pivotField showAll="0"/>
    <pivotField dataField="1" showAll="0"/>
    <pivotField showAll="0"/>
    <pivotField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Sum of Training Hours" fld="12" baseField="0" baseItem="0"/>
    <dataField name="Sum of Performance Rating" fld="9" baseField="0" baseItem="0"/>
  </dataField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39EE307-D7CA-49F7-8520-07A946DB26E9}" sourceName="Department">
  <pivotTables>
    <pivotTable tabId="2" name="PivotTable1"/>
    <pivotTable tabId="2" name="PivotTable2"/>
  </pivotTables>
  <data>
    <tabular pivotCacheId="1273096603">
      <items count="8">
        <i x="7" s="1"/>
        <i x="2" s="1"/>
        <i x="6" s="1"/>
        <i x="5" s="1"/>
        <i x="0" s="1"/>
        <i x="3"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67E4AA5-B73B-46A3-BCCB-9C89BE19DB70}"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49F3B8-3262-454D-A2AF-DE6C4004A05F}" name="Employee_Data" displayName="Employee_Data" ref="A1:Q1001" totalsRowShown="0" headerRowDxfId="7" headerRowBorderDxfId="6" tableBorderDxfId="5">
  <autoFilter ref="A1:Q1001" xr:uid="{AA49F3B8-3262-454D-A2AF-DE6C4004A05F}"/>
  <tableColumns count="17">
    <tableColumn id="1" xr3:uid="{F93CC771-A9F9-4366-8E59-24EAD52E12A7}" name="Employee ID"/>
    <tableColumn id="2" xr3:uid="{1BAAA14B-5894-467B-896A-8661FD839CEF}" name="Full Name"/>
    <tableColumn id="3" xr3:uid="{A55CCA18-BA4C-4C98-9D29-D1F9E212457E}" name="Department"/>
    <tableColumn id="4" xr3:uid="{09F47A6F-C6AD-459F-9359-8B4ABCA367B6}" name="Position"/>
    <tableColumn id="5" xr3:uid="{71C1F6AF-E490-476B-BCE7-AF786B019B07}" name="Gender"/>
    <tableColumn id="6" xr3:uid="{E3D4B776-D4A4-4345-A657-05EB9D2400CA}" name="Age"/>
    <tableColumn id="7" xr3:uid="{42793EF0-4935-4FA7-B2FE-D2AFE2828DB8}" name="Hire Date" dataDxfId="4"/>
    <tableColumn id="8" xr3:uid="{73D22897-70C8-442C-9772-1C0493715228}" name="Employment Type"/>
    <tableColumn id="9" xr3:uid="{931B73C9-A2ED-4290-9AF5-367DA24E5467}" name="Monthly Salary" dataDxfId="3"/>
    <tableColumn id="10" xr3:uid="{7A8D34CA-950E-456E-82D9-0917D23CE93A}" name="Performance Rating"/>
    <tableColumn id="11" xr3:uid="{3A1E750D-6579-49F0-A17A-B2ECB9E7FA5C}" name="Attendance Rate (%)"/>
    <tableColumn id="12" xr3:uid="{E207F0B0-4CE5-4074-AEF9-162395B27B18}" name="Years in Company"/>
    <tableColumn id="13" xr3:uid="{84004A16-82D6-4D10-8F7C-830DA3BA1963}" name="Training Hours"/>
    <tableColumn id="14" xr3:uid="{6F760FED-4AE6-4B2E-99DC-D6D585E31CFF}" name="Overtime Hours"/>
    <tableColumn id="15" xr3:uid="{564FE0D9-1FA8-4D56-AEDF-EFC58E350731}" name="Manager"/>
    <tableColumn id="16" xr3:uid="{547A721A-5DF9-4A0C-8BB7-541FE29D44ED}" name="Status"/>
    <tableColumn id="17" xr3:uid="{14578693-D4FF-46A2-939C-884D320F5B0D}" name="Annual Salary" dataDxfId="2">
      <calculatedColumnFormula>Employee_Data[[#This Row],[Monthly Salary]]*12</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pivotTable" Target="../pivotTables/pivotTable3.xml"/><Relationship Id="rId7" Type="http://schemas.openxmlformats.org/officeDocument/2006/relationships/control" Target="../activeX/activeX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Q1001"/>
  <sheetViews>
    <sheetView tabSelected="1" zoomScale="85" zoomScaleNormal="85" workbookViewId="0">
      <selection activeCell="I31" sqref="I31"/>
    </sheetView>
  </sheetViews>
  <sheetFormatPr defaultRowHeight="15" x14ac:dyDescent="0.25"/>
  <cols>
    <col min="1" max="1" width="13.85546875" customWidth="1"/>
    <col min="2" max="2" width="24.5703125" bestFit="1" customWidth="1"/>
    <col min="3" max="3" width="17.28515625" bestFit="1" customWidth="1"/>
    <col min="4" max="4" width="20" bestFit="1" customWidth="1"/>
    <col min="5" max="5" width="9.28515625" customWidth="1"/>
    <col min="6" max="6" width="6.140625" customWidth="1"/>
    <col min="7" max="7" width="11.140625" customWidth="1"/>
    <col min="8" max="8" width="18.5703125" customWidth="1"/>
    <col min="9" max="9" width="15.85546875" customWidth="1"/>
    <col min="10" max="10" width="20.140625" customWidth="1"/>
    <col min="11" max="11" width="20.7109375" customWidth="1"/>
    <col min="12" max="12" width="18.42578125" customWidth="1"/>
    <col min="13" max="13" width="15.42578125" customWidth="1"/>
    <col min="14" max="14" width="16.85546875" customWidth="1"/>
    <col min="15" max="15" width="22.28515625" customWidth="1"/>
    <col min="17" max="17" width="17.7109375" customWidth="1"/>
  </cols>
  <sheetData>
    <row r="1" spans="1:17"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2068</v>
      </c>
    </row>
    <row r="2" spans="1:17" x14ac:dyDescent="0.25">
      <c r="A2" t="s">
        <v>16</v>
      </c>
      <c r="B2" t="s">
        <v>1016</v>
      </c>
      <c r="C2" t="s">
        <v>2009</v>
      </c>
      <c r="D2" t="s">
        <v>2017</v>
      </c>
      <c r="E2" t="s">
        <v>2038</v>
      </c>
      <c r="F2">
        <v>36</v>
      </c>
      <c r="G2" s="1">
        <v>45763</v>
      </c>
      <c r="H2" t="s">
        <v>2040</v>
      </c>
      <c r="I2" s="2">
        <v>33953.79</v>
      </c>
      <c r="J2">
        <v>1</v>
      </c>
      <c r="K2">
        <v>93.53</v>
      </c>
      <c r="L2">
        <v>0</v>
      </c>
      <c r="M2">
        <v>69</v>
      </c>
      <c r="N2">
        <v>5</v>
      </c>
      <c r="O2" t="s">
        <v>2043</v>
      </c>
      <c r="P2" t="s">
        <v>2062</v>
      </c>
      <c r="Q2" s="2">
        <f>Employee_Data[[#This Row],[Monthly Salary]]*12</f>
        <v>407445.48</v>
      </c>
    </row>
    <row r="3" spans="1:17" x14ac:dyDescent="0.25">
      <c r="A3" t="s">
        <v>17</v>
      </c>
      <c r="B3" t="s">
        <v>1017</v>
      </c>
      <c r="C3" t="s">
        <v>2010</v>
      </c>
      <c r="D3" t="s">
        <v>2018</v>
      </c>
      <c r="E3" t="s">
        <v>2039</v>
      </c>
      <c r="F3">
        <v>35</v>
      </c>
      <c r="G3" s="1">
        <v>42650</v>
      </c>
      <c r="H3" t="s">
        <v>2041</v>
      </c>
      <c r="I3" s="2">
        <v>80201.87</v>
      </c>
      <c r="J3">
        <v>5</v>
      </c>
      <c r="K3">
        <v>83.98</v>
      </c>
      <c r="L3">
        <v>9</v>
      </c>
      <c r="M3">
        <v>69</v>
      </c>
      <c r="N3">
        <v>26</v>
      </c>
      <c r="O3" t="s">
        <v>2044</v>
      </c>
      <c r="P3" t="s">
        <v>2062</v>
      </c>
      <c r="Q3" s="2">
        <f>Employee_Data[[#This Row],[Monthly Salary]]*12</f>
        <v>962422.44</v>
      </c>
    </row>
    <row r="4" spans="1:17" x14ac:dyDescent="0.25">
      <c r="A4" t="s">
        <v>18</v>
      </c>
      <c r="B4" t="s">
        <v>1018</v>
      </c>
      <c r="C4" t="s">
        <v>2011</v>
      </c>
      <c r="D4" t="s">
        <v>2019</v>
      </c>
      <c r="E4" t="s">
        <v>2039</v>
      </c>
      <c r="F4">
        <v>48</v>
      </c>
      <c r="G4" s="1">
        <v>43966</v>
      </c>
      <c r="H4" t="s">
        <v>2042</v>
      </c>
      <c r="I4" s="2">
        <v>47787.13</v>
      </c>
      <c r="J4">
        <v>2</v>
      </c>
      <c r="K4">
        <v>99.14</v>
      </c>
      <c r="L4">
        <v>5</v>
      </c>
      <c r="M4">
        <v>43</v>
      </c>
      <c r="N4">
        <v>6</v>
      </c>
      <c r="O4" t="s">
        <v>2045</v>
      </c>
      <c r="P4" t="s">
        <v>2062</v>
      </c>
      <c r="Q4" s="2">
        <f>Employee_Data[[#This Row],[Monthly Salary]]*12</f>
        <v>573445.55999999994</v>
      </c>
    </row>
    <row r="5" spans="1:17" x14ac:dyDescent="0.25">
      <c r="A5" t="s">
        <v>19</v>
      </c>
      <c r="B5" t="s">
        <v>1019</v>
      </c>
      <c r="C5" t="s">
        <v>2012</v>
      </c>
      <c r="D5" t="s">
        <v>2020</v>
      </c>
      <c r="E5" t="s">
        <v>2038</v>
      </c>
      <c r="F5">
        <v>23</v>
      </c>
      <c r="G5" s="1">
        <v>44258</v>
      </c>
      <c r="H5" t="s">
        <v>2041</v>
      </c>
      <c r="I5" s="2">
        <v>65942.490000000005</v>
      </c>
      <c r="J5">
        <v>1</v>
      </c>
      <c r="K5">
        <v>99.46</v>
      </c>
      <c r="L5">
        <v>4</v>
      </c>
      <c r="M5">
        <v>48</v>
      </c>
      <c r="N5">
        <v>5</v>
      </c>
      <c r="O5" t="s">
        <v>2046</v>
      </c>
      <c r="P5" t="s">
        <v>2062</v>
      </c>
      <c r="Q5" s="2">
        <f>Employee_Data[[#This Row],[Monthly Salary]]*12</f>
        <v>791309.88000000012</v>
      </c>
    </row>
    <row r="6" spans="1:17" x14ac:dyDescent="0.25">
      <c r="A6" t="s">
        <v>20</v>
      </c>
      <c r="B6" t="s">
        <v>1020</v>
      </c>
      <c r="C6" t="s">
        <v>2012</v>
      </c>
      <c r="D6" t="s">
        <v>2021</v>
      </c>
      <c r="E6" t="s">
        <v>2039</v>
      </c>
      <c r="F6">
        <v>23</v>
      </c>
      <c r="G6" s="1">
        <v>45154</v>
      </c>
      <c r="H6" t="s">
        <v>2041</v>
      </c>
      <c r="I6" s="2">
        <v>42789.83</v>
      </c>
      <c r="J6">
        <v>3</v>
      </c>
      <c r="K6">
        <v>99.7</v>
      </c>
      <c r="L6">
        <v>2</v>
      </c>
      <c r="M6">
        <v>29</v>
      </c>
      <c r="N6">
        <v>55</v>
      </c>
      <c r="O6" t="s">
        <v>2047</v>
      </c>
      <c r="P6" t="s">
        <v>2062</v>
      </c>
      <c r="Q6" s="2">
        <f>Employee_Data[[#This Row],[Monthly Salary]]*12</f>
        <v>513477.96</v>
      </c>
    </row>
    <row r="7" spans="1:17" x14ac:dyDescent="0.25">
      <c r="A7" t="s">
        <v>21</v>
      </c>
      <c r="B7" t="s">
        <v>1021</v>
      </c>
      <c r="C7" t="s">
        <v>2013</v>
      </c>
      <c r="D7" t="s">
        <v>2022</v>
      </c>
      <c r="E7" t="s">
        <v>2039</v>
      </c>
      <c r="F7">
        <v>44</v>
      </c>
      <c r="G7" s="1">
        <v>45652</v>
      </c>
      <c r="H7" t="s">
        <v>2042</v>
      </c>
      <c r="I7" s="2">
        <v>40950.699999999997</v>
      </c>
      <c r="J7">
        <v>3</v>
      </c>
      <c r="K7">
        <v>94.04</v>
      </c>
      <c r="L7">
        <v>1</v>
      </c>
      <c r="M7">
        <v>9</v>
      </c>
      <c r="N7">
        <v>38</v>
      </c>
      <c r="O7" t="s">
        <v>2048</v>
      </c>
      <c r="P7" t="s">
        <v>2062</v>
      </c>
      <c r="Q7" s="2">
        <f>Employee_Data[[#This Row],[Monthly Salary]]*12</f>
        <v>491408.39999999997</v>
      </c>
    </row>
    <row r="8" spans="1:17" x14ac:dyDescent="0.25">
      <c r="A8" t="s">
        <v>22</v>
      </c>
      <c r="B8" t="s">
        <v>1022</v>
      </c>
      <c r="C8" t="s">
        <v>2014</v>
      </c>
      <c r="D8" t="s">
        <v>2023</v>
      </c>
      <c r="E8" t="s">
        <v>2038</v>
      </c>
      <c r="F8">
        <v>45</v>
      </c>
      <c r="G8" s="1">
        <v>44784</v>
      </c>
      <c r="H8" t="s">
        <v>2042</v>
      </c>
      <c r="I8" s="2">
        <v>118952.34</v>
      </c>
      <c r="J8">
        <v>5</v>
      </c>
      <c r="K8">
        <v>84.39</v>
      </c>
      <c r="L8">
        <v>3</v>
      </c>
      <c r="M8">
        <v>41</v>
      </c>
      <c r="N8">
        <v>53</v>
      </c>
      <c r="O8" t="s">
        <v>2049</v>
      </c>
      <c r="P8" t="s">
        <v>2062</v>
      </c>
      <c r="Q8" s="2">
        <f>Employee_Data[[#This Row],[Monthly Salary]]*12</f>
        <v>1427428.08</v>
      </c>
    </row>
    <row r="9" spans="1:17" x14ac:dyDescent="0.25">
      <c r="A9" t="s">
        <v>23</v>
      </c>
      <c r="B9" t="s">
        <v>1023</v>
      </c>
      <c r="C9" t="s">
        <v>2010</v>
      </c>
      <c r="D9" t="s">
        <v>2024</v>
      </c>
      <c r="E9" t="s">
        <v>2038</v>
      </c>
      <c r="F9">
        <v>38</v>
      </c>
      <c r="G9" s="1">
        <v>45369</v>
      </c>
      <c r="H9" t="s">
        <v>2040</v>
      </c>
      <c r="I9" s="2">
        <v>41098.28</v>
      </c>
      <c r="J9">
        <v>5</v>
      </c>
      <c r="K9">
        <v>97.53</v>
      </c>
      <c r="L9">
        <v>1</v>
      </c>
      <c r="M9">
        <v>40</v>
      </c>
      <c r="N9">
        <v>13</v>
      </c>
      <c r="O9" t="s">
        <v>2050</v>
      </c>
      <c r="P9" t="s">
        <v>2062</v>
      </c>
      <c r="Q9" s="2">
        <f>Employee_Data[[#This Row],[Monthly Salary]]*12</f>
        <v>493179.36</v>
      </c>
    </row>
    <row r="10" spans="1:17" x14ac:dyDescent="0.25">
      <c r="A10" t="s">
        <v>24</v>
      </c>
      <c r="B10" t="s">
        <v>1024</v>
      </c>
      <c r="C10" t="s">
        <v>2013</v>
      </c>
      <c r="D10" t="s">
        <v>2025</v>
      </c>
      <c r="E10" t="s">
        <v>2038</v>
      </c>
      <c r="F10">
        <v>29</v>
      </c>
      <c r="G10" s="1">
        <v>43297</v>
      </c>
      <c r="H10" t="s">
        <v>2040</v>
      </c>
      <c r="I10" s="2">
        <v>94498.9</v>
      </c>
      <c r="J10">
        <v>5</v>
      </c>
      <c r="K10">
        <v>85.25</v>
      </c>
      <c r="L10">
        <v>7</v>
      </c>
      <c r="M10">
        <v>74</v>
      </c>
      <c r="N10">
        <v>27</v>
      </c>
      <c r="O10" t="s">
        <v>2043</v>
      </c>
      <c r="P10" t="s">
        <v>2062</v>
      </c>
      <c r="Q10" s="2">
        <f>Employee_Data[[#This Row],[Monthly Salary]]*12</f>
        <v>1133986.7999999998</v>
      </c>
    </row>
    <row r="11" spans="1:17" x14ac:dyDescent="0.25">
      <c r="A11" t="s">
        <v>25</v>
      </c>
      <c r="B11" t="s">
        <v>1025</v>
      </c>
      <c r="C11" t="s">
        <v>2014</v>
      </c>
      <c r="D11" t="s">
        <v>2023</v>
      </c>
      <c r="E11" t="s">
        <v>2038</v>
      </c>
      <c r="F11">
        <v>26</v>
      </c>
      <c r="G11" s="1">
        <v>44674</v>
      </c>
      <c r="H11" t="s">
        <v>2040</v>
      </c>
      <c r="I11" s="2">
        <v>106110.29</v>
      </c>
      <c r="J11">
        <v>2</v>
      </c>
      <c r="K11">
        <v>92.55</v>
      </c>
      <c r="L11">
        <v>3</v>
      </c>
      <c r="M11">
        <v>54</v>
      </c>
      <c r="N11">
        <v>38</v>
      </c>
      <c r="O11" t="s">
        <v>2045</v>
      </c>
      <c r="P11" t="s">
        <v>2062</v>
      </c>
      <c r="Q11" s="2">
        <f>Employee_Data[[#This Row],[Monthly Salary]]*12</f>
        <v>1273323.48</v>
      </c>
    </row>
    <row r="12" spans="1:17" x14ac:dyDescent="0.25">
      <c r="A12" t="s">
        <v>26</v>
      </c>
      <c r="B12" t="s">
        <v>1026</v>
      </c>
      <c r="C12" t="s">
        <v>2013</v>
      </c>
      <c r="D12" t="s">
        <v>2022</v>
      </c>
      <c r="E12" t="s">
        <v>2039</v>
      </c>
      <c r="F12">
        <v>28</v>
      </c>
      <c r="G12" s="1">
        <v>45740</v>
      </c>
      <c r="H12" t="s">
        <v>2041</v>
      </c>
      <c r="I12" s="2">
        <v>108478.85</v>
      </c>
      <c r="J12">
        <v>3</v>
      </c>
      <c r="K12">
        <v>95.37</v>
      </c>
      <c r="L12">
        <v>0</v>
      </c>
      <c r="M12">
        <v>43</v>
      </c>
      <c r="N12">
        <v>7</v>
      </c>
      <c r="O12" t="s">
        <v>2051</v>
      </c>
      <c r="P12" t="s">
        <v>2062</v>
      </c>
      <c r="Q12" s="2">
        <f>Employee_Data[[#This Row],[Monthly Salary]]*12</f>
        <v>1301746.2000000002</v>
      </c>
    </row>
    <row r="13" spans="1:17" x14ac:dyDescent="0.25">
      <c r="A13" t="s">
        <v>27</v>
      </c>
      <c r="B13" t="s">
        <v>1027</v>
      </c>
      <c r="C13" t="s">
        <v>2013</v>
      </c>
      <c r="D13" t="s">
        <v>2025</v>
      </c>
      <c r="E13" t="s">
        <v>2038</v>
      </c>
      <c r="F13">
        <v>53</v>
      </c>
      <c r="G13" s="1">
        <v>45639</v>
      </c>
      <c r="H13" t="s">
        <v>2040</v>
      </c>
      <c r="I13" s="2">
        <v>70768.17</v>
      </c>
      <c r="J13">
        <v>1</v>
      </c>
      <c r="K13">
        <v>97.41</v>
      </c>
      <c r="L13">
        <v>1</v>
      </c>
      <c r="M13">
        <v>38</v>
      </c>
      <c r="N13">
        <v>53</v>
      </c>
      <c r="O13" t="s">
        <v>2052</v>
      </c>
      <c r="P13" t="s">
        <v>2062</v>
      </c>
      <c r="Q13" s="2">
        <f>Employee_Data[[#This Row],[Monthly Salary]]*12</f>
        <v>849218.04</v>
      </c>
    </row>
    <row r="14" spans="1:17" x14ac:dyDescent="0.25">
      <c r="A14" t="s">
        <v>28</v>
      </c>
      <c r="B14" t="s">
        <v>1028</v>
      </c>
      <c r="C14" t="s">
        <v>2015</v>
      </c>
      <c r="D14" t="s">
        <v>2026</v>
      </c>
      <c r="E14" t="s">
        <v>2039</v>
      </c>
      <c r="F14">
        <v>55</v>
      </c>
      <c r="G14" s="1">
        <v>44126</v>
      </c>
      <c r="H14" t="s">
        <v>2041</v>
      </c>
      <c r="I14" s="2">
        <v>111849.35</v>
      </c>
      <c r="J14">
        <v>5</v>
      </c>
      <c r="K14">
        <v>86.48</v>
      </c>
      <c r="L14">
        <v>5</v>
      </c>
      <c r="M14">
        <v>2</v>
      </c>
      <c r="N14">
        <v>7</v>
      </c>
      <c r="O14" t="s">
        <v>2053</v>
      </c>
      <c r="P14" t="s">
        <v>2063</v>
      </c>
      <c r="Q14" s="2">
        <f>Employee_Data[[#This Row],[Monthly Salary]]*12</f>
        <v>1342192.2000000002</v>
      </c>
    </row>
    <row r="15" spans="1:17" x14ac:dyDescent="0.25">
      <c r="A15" t="s">
        <v>29</v>
      </c>
      <c r="B15" t="s">
        <v>1029</v>
      </c>
      <c r="C15" t="s">
        <v>2011</v>
      </c>
      <c r="D15" t="s">
        <v>2019</v>
      </c>
      <c r="E15" t="s">
        <v>2039</v>
      </c>
      <c r="F15">
        <v>36</v>
      </c>
      <c r="G15" s="1">
        <v>43939</v>
      </c>
      <c r="H15" t="s">
        <v>2041</v>
      </c>
      <c r="I15" s="2">
        <v>114694.94</v>
      </c>
      <c r="J15">
        <v>1</v>
      </c>
      <c r="K15">
        <v>94.64</v>
      </c>
      <c r="L15">
        <v>5</v>
      </c>
      <c r="M15">
        <v>8</v>
      </c>
      <c r="N15">
        <v>48</v>
      </c>
      <c r="O15" t="s">
        <v>2046</v>
      </c>
      <c r="P15" t="s">
        <v>2062</v>
      </c>
      <c r="Q15" s="2">
        <f>Employee_Data[[#This Row],[Monthly Salary]]*12</f>
        <v>1376339.28</v>
      </c>
    </row>
    <row r="16" spans="1:17" x14ac:dyDescent="0.25">
      <c r="A16" t="s">
        <v>30</v>
      </c>
      <c r="B16" t="s">
        <v>1030</v>
      </c>
      <c r="C16" t="s">
        <v>2015</v>
      </c>
      <c r="D16" t="s">
        <v>2027</v>
      </c>
      <c r="E16" t="s">
        <v>2038</v>
      </c>
      <c r="F16">
        <v>56</v>
      </c>
      <c r="G16" s="1">
        <v>42964</v>
      </c>
      <c r="H16" t="s">
        <v>2040</v>
      </c>
      <c r="I16" s="2">
        <v>46505.66</v>
      </c>
      <c r="J16">
        <v>5</v>
      </c>
      <c r="K16">
        <v>88.46</v>
      </c>
      <c r="L16">
        <v>8</v>
      </c>
      <c r="M16">
        <v>27</v>
      </c>
      <c r="N16">
        <v>59</v>
      </c>
      <c r="O16" t="s">
        <v>2046</v>
      </c>
      <c r="P16" t="s">
        <v>2062</v>
      </c>
      <c r="Q16" s="2">
        <f>Employee_Data[[#This Row],[Monthly Salary]]*12</f>
        <v>558067.92000000004</v>
      </c>
    </row>
    <row r="17" spans="1:17" x14ac:dyDescent="0.25">
      <c r="A17" t="s">
        <v>31</v>
      </c>
      <c r="B17" t="s">
        <v>1031</v>
      </c>
      <c r="C17" t="s">
        <v>2014</v>
      </c>
      <c r="D17" t="s">
        <v>2028</v>
      </c>
      <c r="E17" t="s">
        <v>2038</v>
      </c>
      <c r="F17">
        <v>46</v>
      </c>
      <c r="G17" s="1">
        <v>43538</v>
      </c>
      <c r="H17" t="s">
        <v>2041</v>
      </c>
      <c r="I17" s="2">
        <v>84987.81</v>
      </c>
      <c r="J17">
        <v>4</v>
      </c>
      <c r="K17">
        <v>97.99</v>
      </c>
      <c r="L17">
        <v>6</v>
      </c>
      <c r="M17">
        <v>57</v>
      </c>
      <c r="N17">
        <v>7</v>
      </c>
      <c r="O17" t="s">
        <v>2044</v>
      </c>
      <c r="P17" t="s">
        <v>2062</v>
      </c>
      <c r="Q17" s="2">
        <f>Employee_Data[[#This Row],[Monthly Salary]]*12</f>
        <v>1019853.72</v>
      </c>
    </row>
    <row r="18" spans="1:17" x14ac:dyDescent="0.25">
      <c r="A18" t="s">
        <v>32</v>
      </c>
      <c r="B18" t="s">
        <v>1032</v>
      </c>
      <c r="C18" t="s">
        <v>2012</v>
      </c>
      <c r="D18" t="s">
        <v>2021</v>
      </c>
      <c r="E18" t="s">
        <v>2039</v>
      </c>
      <c r="F18">
        <v>58</v>
      </c>
      <c r="G18" s="1">
        <v>45598</v>
      </c>
      <c r="H18" t="s">
        <v>2040</v>
      </c>
      <c r="I18" s="2">
        <v>20719.080000000002</v>
      </c>
      <c r="J18">
        <v>1</v>
      </c>
      <c r="K18">
        <v>84.58</v>
      </c>
      <c r="L18">
        <v>1</v>
      </c>
      <c r="M18">
        <v>4</v>
      </c>
      <c r="N18">
        <v>55</v>
      </c>
      <c r="O18" t="s">
        <v>2054</v>
      </c>
      <c r="P18" t="s">
        <v>2062</v>
      </c>
      <c r="Q18" s="2">
        <f>Employee_Data[[#This Row],[Monthly Salary]]*12</f>
        <v>248628.96000000002</v>
      </c>
    </row>
    <row r="19" spans="1:17" x14ac:dyDescent="0.25">
      <c r="A19" t="s">
        <v>33</v>
      </c>
      <c r="B19" t="s">
        <v>1033</v>
      </c>
      <c r="C19" t="s">
        <v>2014</v>
      </c>
      <c r="D19" t="s">
        <v>2029</v>
      </c>
      <c r="E19" t="s">
        <v>2038</v>
      </c>
      <c r="F19">
        <v>34</v>
      </c>
      <c r="G19" s="1">
        <v>42998</v>
      </c>
      <c r="H19" t="s">
        <v>2041</v>
      </c>
      <c r="I19" s="2">
        <v>33231.18</v>
      </c>
      <c r="J19">
        <v>5</v>
      </c>
      <c r="K19">
        <v>91.52</v>
      </c>
      <c r="L19">
        <v>8</v>
      </c>
      <c r="M19">
        <v>31</v>
      </c>
      <c r="N19">
        <v>50</v>
      </c>
      <c r="O19" t="s">
        <v>2050</v>
      </c>
      <c r="P19" t="s">
        <v>2062</v>
      </c>
      <c r="Q19" s="2">
        <f>Employee_Data[[#This Row],[Monthly Salary]]*12</f>
        <v>398774.16000000003</v>
      </c>
    </row>
    <row r="20" spans="1:17" x14ac:dyDescent="0.25">
      <c r="A20" t="s">
        <v>34</v>
      </c>
      <c r="B20" t="s">
        <v>1034</v>
      </c>
      <c r="C20" t="s">
        <v>2014</v>
      </c>
      <c r="D20" t="s">
        <v>2023</v>
      </c>
      <c r="E20" t="s">
        <v>2039</v>
      </c>
      <c r="F20">
        <v>48</v>
      </c>
      <c r="G20" s="1">
        <v>44213</v>
      </c>
      <c r="H20" t="s">
        <v>2042</v>
      </c>
      <c r="I20" s="2">
        <v>62357.86</v>
      </c>
      <c r="J20">
        <v>4</v>
      </c>
      <c r="K20">
        <v>97.28</v>
      </c>
      <c r="L20">
        <v>4</v>
      </c>
      <c r="M20">
        <v>6</v>
      </c>
      <c r="N20">
        <v>43</v>
      </c>
      <c r="O20" t="s">
        <v>2047</v>
      </c>
      <c r="P20" t="s">
        <v>2062</v>
      </c>
      <c r="Q20" s="2">
        <f>Employee_Data[[#This Row],[Monthly Salary]]*12</f>
        <v>748294.32000000007</v>
      </c>
    </row>
    <row r="21" spans="1:17" x14ac:dyDescent="0.25">
      <c r="A21" t="s">
        <v>35</v>
      </c>
      <c r="B21" t="s">
        <v>1035</v>
      </c>
      <c r="C21" t="s">
        <v>2012</v>
      </c>
      <c r="D21" t="s">
        <v>2021</v>
      </c>
      <c r="E21" t="s">
        <v>2039</v>
      </c>
      <c r="F21">
        <v>33</v>
      </c>
      <c r="G21" s="1">
        <v>42792</v>
      </c>
      <c r="H21" t="s">
        <v>2040</v>
      </c>
      <c r="I21" s="2">
        <v>73628.58</v>
      </c>
      <c r="J21">
        <v>2</v>
      </c>
      <c r="K21">
        <v>88.44</v>
      </c>
      <c r="L21">
        <v>8</v>
      </c>
      <c r="M21">
        <v>35</v>
      </c>
      <c r="N21">
        <v>29</v>
      </c>
      <c r="O21" t="s">
        <v>2044</v>
      </c>
      <c r="P21" t="s">
        <v>2063</v>
      </c>
      <c r="Q21" s="2">
        <f>Employee_Data[[#This Row],[Monthly Salary]]*12</f>
        <v>883542.96</v>
      </c>
    </row>
    <row r="22" spans="1:17" x14ac:dyDescent="0.25">
      <c r="A22" t="s">
        <v>36</v>
      </c>
      <c r="B22" t="s">
        <v>1036</v>
      </c>
      <c r="C22" t="s">
        <v>2009</v>
      </c>
      <c r="D22" t="s">
        <v>2030</v>
      </c>
      <c r="E22" t="s">
        <v>2039</v>
      </c>
      <c r="F22">
        <v>24</v>
      </c>
      <c r="G22" s="1">
        <v>45613</v>
      </c>
      <c r="H22" t="s">
        <v>2041</v>
      </c>
      <c r="I22" s="2">
        <v>119928.25</v>
      </c>
      <c r="J22">
        <v>1</v>
      </c>
      <c r="K22">
        <v>99.38</v>
      </c>
      <c r="L22">
        <v>1</v>
      </c>
      <c r="M22">
        <v>30</v>
      </c>
      <c r="N22">
        <v>10</v>
      </c>
      <c r="O22" t="s">
        <v>1505</v>
      </c>
      <c r="P22" t="s">
        <v>2062</v>
      </c>
      <c r="Q22" s="2">
        <f>Employee_Data[[#This Row],[Monthly Salary]]*12</f>
        <v>1439139</v>
      </c>
    </row>
    <row r="23" spans="1:17" x14ac:dyDescent="0.25">
      <c r="A23" t="s">
        <v>37</v>
      </c>
      <c r="B23" t="s">
        <v>1037</v>
      </c>
      <c r="C23" t="s">
        <v>2014</v>
      </c>
      <c r="D23" t="s">
        <v>2029</v>
      </c>
      <c r="E23" t="s">
        <v>2039</v>
      </c>
      <c r="F23">
        <v>31</v>
      </c>
      <c r="G23" s="1">
        <v>45719</v>
      </c>
      <c r="H23" t="s">
        <v>2042</v>
      </c>
      <c r="I23" s="2">
        <v>20215.54</v>
      </c>
      <c r="J23">
        <v>4</v>
      </c>
      <c r="K23">
        <v>85.3</v>
      </c>
      <c r="L23">
        <v>0</v>
      </c>
      <c r="M23">
        <v>58</v>
      </c>
      <c r="N23">
        <v>18</v>
      </c>
      <c r="O23" t="s">
        <v>1505</v>
      </c>
      <c r="P23" t="s">
        <v>2062</v>
      </c>
      <c r="Q23" s="2">
        <f>Employee_Data[[#This Row],[Monthly Salary]]*12</f>
        <v>242586.48</v>
      </c>
    </row>
    <row r="24" spans="1:17" x14ac:dyDescent="0.25">
      <c r="A24" t="s">
        <v>38</v>
      </c>
      <c r="B24" t="s">
        <v>1038</v>
      </c>
      <c r="C24" t="s">
        <v>2013</v>
      </c>
      <c r="D24" t="s">
        <v>2025</v>
      </c>
      <c r="E24" t="s">
        <v>2039</v>
      </c>
      <c r="F24">
        <v>39</v>
      </c>
      <c r="G24" s="1">
        <v>43619</v>
      </c>
      <c r="H24" t="s">
        <v>2040</v>
      </c>
      <c r="I24" s="2">
        <v>116870.94</v>
      </c>
      <c r="J24">
        <v>5</v>
      </c>
      <c r="K24">
        <v>94.71</v>
      </c>
      <c r="L24">
        <v>6</v>
      </c>
      <c r="M24">
        <v>7</v>
      </c>
      <c r="N24">
        <v>47</v>
      </c>
      <c r="O24" t="s">
        <v>2054</v>
      </c>
      <c r="P24" t="s">
        <v>2062</v>
      </c>
      <c r="Q24" s="2">
        <f>Employee_Data[[#This Row],[Monthly Salary]]*12</f>
        <v>1402451.28</v>
      </c>
    </row>
    <row r="25" spans="1:17" x14ac:dyDescent="0.25">
      <c r="A25" t="s">
        <v>39</v>
      </c>
      <c r="B25" t="s">
        <v>1039</v>
      </c>
      <c r="C25" t="s">
        <v>2013</v>
      </c>
      <c r="D25" t="s">
        <v>2025</v>
      </c>
      <c r="E25" t="s">
        <v>2039</v>
      </c>
      <c r="F25">
        <v>53</v>
      </c>
      <c r="G25" s="1">
        <v>44239</v>
      </c>
      <c r="H25" t="s">
        <v>2040</v>
      </c>
      <c r="I25" s="2">
        <v>105134.25</v>
      </c>
      <c r="J25">
        <v>1</v>
      </c>
      <c r="K25">
        <v>91.9</v>
      </c>
      <c r="L25">
        <v>4</v>
      </c>
      <c r="M25">
        <v>30</v>
      </c>
      <c r="N25">
        <v>25</v>
      </c>
      <c r="O25" t="s">
        <v>2047</v>
      </c>
      <c r="P25" t="s">
        <v>2063</v>
      </c>
      <c r="Q25" s="2">
        <f>Employee_Data[[#This Row],[Monthly Salary]]*12</f>
        <v>1261611</v>
      </c>
    </row>
    <row r="26" spans="1:17" x14ac:dyDescent="0.25">
      <c r="A26" t="s">
        <v>40</v>
      </c>
      <c r="B26" t="s">
        <v>1040</v>
      </c>
      <c r="C26" t="s">
        <v>2014</v>
      </c>
      <c r="D26" t="s">
        <v>2028</v>
      </c>
      <c r="E26" t="s">
        <v>2039</v>
      </c>
      <c r="F26">
        <v>60</v>
      </c>
      <c r="G26" s="1">
        <v>45519</v>
      </c>
      <c r="H26" t="s">
        <v>2040</v>
      </c>
      <c r="I26" s="2">
        <v>61922.49</v>
      </c>
      <c r="J26">
        <v>5</v>
      </c>
      <c r="K26">
        <v>91.3</v>
      </c>
      <c r="L26">
        <v>1</v>
      </c>
      <c r="M26">
        <v>40</v>
      </c>
      <c r="N26">
        <v>59</v>
      </c>
      <c r="O26" t="s">
        <v>2055</v>
      </c>
      <c r="P26" t="s">
        <v>2062</v>
      </c>
      <c r="Q26" s="2">
        <f>Employee_Data[[#This Row],[Monthly Salary]]*12</f>
        <v>743069.88</v>
      </c>
    </row>
    <row r="27" spans="1:17" x14ac:dyDescent="0.25">
      <c r="A27" t="s">
        <v>41</v>
      </c>
      <c r="B27" t="s">
        <v>1041</v>
      </c>
      <c r="C27" t="s">
        <v>2012</v>
      </c>
      <c r="D27" t="s">
        <v>2021</v>
      </c>
      <c r="E27" t="s">
        <v>2038</v>
      </c>
      <c r="F27">
        <v>46</v>
      </c>
      <c r="G27" s="1">
        <v>42433</v>
      </c>
      <c r="H27" t="s">
        <v>2040</v>
      </c>
      <c r="I27" s="2">
        <v>87169.02</v>
      </c>
      <c r="J27">
        <v>3</v>
      </c>
      <c r="K27">
        <v>89.14</v>
      </c>
      <c r="L27">
        <v>9</v>
      </c>
      <c r="M27">
        <v>9</v>
      </c>
      <c r="N27">
        <v>0</v>
      </c>
      <c r="O27" t="s">
        <v>2056</v>
      </c>
      <c r="P27" t="s">
        <v>2062</v>
      </c>
      <c r="Q27" s="2">
        <f>Employee_Data[[#This Row],[Monthly Salary]]*12</f>
        <v>1046028.24</v>
      </c>
    </row>
    <row r="28" spans="1:17" x14ac:dyDescent="0.25">
      <c r="A28" t="s">
        <v>42</v>
      </c>
      <c r="B28" t="s">
        <v>1042</v>
      </c>
      <c r="C28" t="s">
        <v>2009</v>
      </c>
      <c r="D28" t="s">
        <v>2017</v>
      </c>
      <c r="E28" t="s">
        <v>2039</v>
      </c>
      <c r="F28">
        <v>53</v>
      </c>
      <c r="G28" s="1">
        <v>42744</v>
      </c>
      <c r="H28" t="s">
        <v>2042</v>
      </c>
      <c r="I28" s="2">
        <v>33245.660000000003</v>
      </c>
      <c r="J28">
        <v>3</v>
      </c>
      <c r="K28">
        <v>97.62</v>
      </c>
      <c r="L28">
        <v>8</v>
      </c>
      <c r="M28">
        <v>31</v>
      </c>
      <c r="N28">
        <v>23</v>
      </c>
      <c r="O28" t="s">
        <v>2051</v>
      </c>
      <c r="P28" t="s">
        <v>2062</v>
      </c>
      <c r="Q28" s="2">
        <f>Employee_Data[[#This Row],[Monthly Salary]]*12</f>
        <v>398947.92000000004</v>
      </c>
    </row>
    <row r="29" spans="1:17" x14ac:dyDescent="0.25">
      <c r="A29" t="s">
        <v>43</v>
      </c>
      <c r="B29" t="s">
        <v>1043</v>
      </c>
      <c r="C29" t="s">
        <v>2011</v>
      </c>
      <c r="D29" t="s">
        <v>2031</v>
      </c>
      <c r="E29" t="s">
        <v>2039</v>
      </c>
      <c r="F29">
        <v>56</v>
      </c>
      <c r="G29" s="1">
        <v>42498</v>
      </c>
      <c r="H29" t="s">
        <v>2042</v>
      </c>
      <c r="I29" s="2">
        <v>113175.6</v>
      </c>
      <c r="J29">
        <v>1</v>
      </c>
      <c r="K29">
        <v>98.78</v>
      </c>
      <c r="L29">
        <v>9</v>
      </c>
      <c r="M29">
        <v>17</v>
      </c>
      <c r="N29">
        <v>16</v>
      </c>
      <c r="O29" t="s">
        <v>2047</v>
      </c>
      <c r="P29" t="s">
        <v>2063</v>
      </c>
      <c r="Q29" s="2">
        <f>Employee_Data[[#This Row],[Monthly Salary]]*12</f>
        <v>1358107.2000000002</v>
      </c>
    </row>
    <row r="30" spans="1:17" x14ac:dyDescent="0.25">
      <c r="A30" t="s">
        <v>44</v>
      </c>
      <c r="B30" t="s">
        <v>1044</v>
      </c>
      <c r="C30" t="s">
        <v>2015</v>
      </c>
      <c r="D30" t="s">
        <v>2026</v>
      </c>
      <c r="E30" t="s">
        <v>2038</v>
      </c>
      <c r="F30">
        <v>59</v>
      </c>
      <c r="G30" s="1">
        <v>45319</v>
      </c>
      <c r="H30" t="s">
        <v>2040</v>
      </c>
      <c r="I30" s="2">
        <v>91761.22</v>
      </c>
      <c r="J30">
        <v>2</v>
      </c>
      <c r="K30">
        <v>93.75</v>
      </c>
      <c r="L30">
        <v>1</v>
      </c>
      <c r="M30">
        <v>33</v>
      </c>
      <c r="N30">
        <v>32</v>
      </c>
      <c r="O30" t="s">
        <v>2050</v>
      </c>
      <c r="P30" t="s">
        <v>2062</v>
      </c>
      <c r="Q30" s="2">
        <f>Employee_Data[[#This Row],[Monthly Salary]]*12</f>
        <v>1101134.6400000001</v>
      </c>
    </row>
    <row r="31" spans="1:17" x14ac:dyDescent="0.25">
      <c r="A31" t="s">
        <v>45</v>
      </c>
      <c r="B31" t="s">
        <v>1045</v>
      </c>
      <c r="C31" t="s">
        <v>2010</v>
      </c>
      <c r="D31" t="s">
        <v>2018</v>
      </c>
      <c r="E31" t="s">
        <v>2038</v>
      </c>
      <c r="F31">
        <v>38</v>
      </c>
      <c r="G31" s="1">
        <v>45851</v>
      </c>
      <c r="H31" t="s">
        <v>2040</v>
      </c>
      <c r="I31" s="2">
        <v>20354.57</v>
      </c>
      <c r="J31">
        <v>2</v>
      </c>
      <c r="K31">
        <v>92.74</v>
      </c>
      <c r="L31">
        <v>0</v>
      </c>
      <c r="M31">
        <v>33</v>
      </c>
      <c r="N31">
        <v>10</v>
      </c>
      <c r="O31" t="s">
        <v>2056</v>
      </c>
      <c r="P31" t="s">
        <v>2062</v>
      </c>
      <c r="Q31" s="2">
        <f>Employee_Data[[#This Row],[Monthly Salary]]*12</f>
        <v>244254.84</v>
      </c>
    </row>
    <row r="32" spans="1:17" x14ac:dyDescent="0.25">
      <c r="A32" t="s">
        <v>46</v>
      </c>
      <c r="B32" t="s">
        <v>1046</v>
      </c>
      <c r="C32" t="s">
        <v>2016</v>
      </c>
      <c r="D32" t="s">
        <v>2032</v>
      </c>
      <c r="E32" t="s">
        <v>2039</v>
      </c>
      <c r="F32">
        <v>25</v>
      </c>
      <c r="G32" s="1">
        <v>44832</v>
      </c>
      <c r="H32" t="s">
        <v>2041</v>
      </c>
      <c r="I32" s="2">
        <v>110392.86</v>
      </c>
      <c r="J32">
        <v>5</v>
      </c>
      <c r="K32">
        <v>80.72</v>
      </c>
      <c r="L32">
        <v>3</v>
      </c>
      <c r="M32">
        <v>47</v>
      </c>
      <c r="N32">
        <v>37</v>
      </c>
      <c r="O32" t="s">
        <v>2046</v>
      </c>
      <c r="P32" t="s">
        <v>2062</v>
      </c>
      <c r="Q32" s="2">
        <f>Employee_Data[[#This Row],[Monthly Salary]]*12</f>
        <v>1324714.32</v>
      </c>
    </row>
    <row r="33" spans="1:17" x14ac:dyDescent="0.25">
      <c r="A33" t="s">
        <v>47</v>
      </c>
      <c r="B33" t="s">
        <v>1047</v>
      </c>
      <c r="C33" t="s">
        <v>2015</v>
      </c>
      <c r="D33" t="s">
        <v>2033</v>
      </c>
      <c r="E33" t="s">
        <v>2038</v>
      </c>
      <c r="F33">
        <v>44</v>
      </c>
      <c r="G33" s="1">
        <v>44935</v>
      </c>
      <c r="H33" t="s">
        <v>2040</v>
      </c>
      <c r="I33" s="2">
        <v>109892.46</v>
      </c>
      <c r="J33">
        <v>2</v>
      </c>
      <c r="K33">
        <v>93.64</v>
      </c>
      <c r="L33">
        <v>2</v>
      </c>
      <c r="M33">
        <v>13</v>
      </c>
      <c r="N33">
        <v>22</v>
      </c>
      <c r="O33" t="s">
        <v>2046</v>
      </c>
      <c r="P33" t="s">
        <v>2063</v>
      </c>
      <c r="Q33" s="2">
        <f>Employee_Data[[#This Row],[Monthly Salary]]*12</f>
        <v>1318709.52</v>
      </c>
    </row>
    <row r="34" spans="1:17" x14ac:dyDescent="0.25">
      <c r="A34" t="s">
        <v>48</v>
      </c>
      <c r="B34" t="s">
        <v>1048</v>
      </c>
      <c r="C34" t="s">
        <v>2016</v>
      </c>
      <c r="D34" t="s">
        <v>2032</v>
      </c>
      <c r="E34" t="s">
        <v>2039</v>
      </c>
      <c r="F34">
        <v>31</v>
      </c>
      <c r="G34" s="1">
        <v>42914</v>
      </c>
      <c r="H34" t="s">
        <v>2040</v>
      </c>
      <c r="I34" s="2">
        <v>108141.62</v>
      </c>
      <c r="J34">
        <v>1</v>
      </c>
      <c r="K34">
        <v>83.59</v>
      </c>
      <c r="L34">
        <v>8</v>
      </c>
      <c r="M34">
        <v>42</v>
      </c>
      <c r="N34">
        <v>50</v>
      </c>
      <c r="O34" t="s">
        <v>1505</v>
      </c>
      <c r="P34" t="s">
        <v>2062</v>
      </c>
      <c r="Q34" s="2">
        <f>Employee_Data[[#This Row],[Monthly Salary]]*12</f>
        <v>1297699.44</v>
      </c>
    </row>
    <row r="35" spans="1:17" x14ac:dyDescent="0.25">
      <c r="A35" t="s">
        <v>49</v>
      </c>
      <c r="B35" t="s">
        <v>1049</v>
      </c>
      <c r="C35" t="s">
        <v>2014</v>
      </c>
      <c r="D35" t="s">
        <v>2029</v>
      </c>
      <c r="E35" t="s">
        <v>2039</v>
      </c>
      <c r="F35">
        <v>27</v>
      </c>
      <c r="G35" s="1">
        <v>42981</v>
      </c>
      <c r="H35" t="s">
        <v>2042</v>
      </c>
      <c r="I35" s="2">
        <v>107216.68</v>
      </c>
      <c r="J35">
        <v>4</v>
      </c>
      <c r="K35">
        <v>84.45</v>
      </c>
      <c r="L35">
        <v>8</v>
      </c>
      <c r="M35">
        <v>58</v>
      </c>
      <c r="N35">
        <v>22</v>
      </c>
      <c r="O35" t="s">
        <v>2051</v>
      </c>
      <c r="P35" t="s">
        <v>2062</v>
      </c>
      <c r="Q35" s="2">
        <f>Employee_Data[[#This Row],[Monthly Salary]]*12</f>
        <v>1286600.1599999999</v>
      </c>
    </row>
    <row r="36" spans="1:17" x14ac:dyDescent="0.25">
      <c r="A36" t="s">
        <v>50</v>
      </c>
      <c r="B36" t="s">
        <v>1050</v>
      </c>
      <c r="C36" t="s">
        <v>2014</v>
      </c>
      <c r="D36" t="s">
        <v>2023</v>
      </c>
      <c r="E36" t="s">
        <v>2039</v>
      </c>
      <c r="F36">
        <v>33</v>
      </c>
      <c r="G36" s="1">
        <v>44924</v>
      </c>
      <c r="H36" t="s">
        <v>2042</v>
      </c>
      <c r="I36" s="2">
        <v>52826.2</v>
      </c>
      <c r="J36">
        <v>1</v>
      </c>
      <c r="K36">
        <v>99.34</v>
      </c>
      <c r="L36">
        <v>3</v>
      </c>
      <c r="M36">
        <v>35</v>
      </c>
      <c r="N36">
        <v>22</v>
      </c>
      <c r="O36" t="s">
        <v>2052</v>
      </c>
      <c r="P36" t="s">
        <v>2062</v>
      </c>
      <c r="Q36" s="2">
        <f>Employee_Data[[#This Row],[Monthly Salary]]*12</f>
        <v>633914.39999999991</v>
      </c>
    </row>
    <row r="37" spans="1:17" x14ac:dyDescent="0.25">
      <c r="A37" t="s">
        <v>51</v>
      </c>
      <c r="B37" t="s">
        <v>1051</v>
      </c>
      <c r="C37" t="s">
        <v>2012</v>
      </c>
      <c r="D37" t="s">
        <v>2021</v>
      </c>
      <c r="E37" t="s">
        <v>2039</v>
      </c>
      <c r="F37">
        <v>37</v>
      </c>
      <c r="G37" s="1">
        <v>42771</v>
      </c>
      <c r="H37" t="s">
        <v>2040</v>
      </c>
      <c r="I37" s="2">
        <v>78058.97</v>
      </c>
      <c r="J37">
        <v>3</v>
      </c>
      <c r="K37">
        <v>80.77</v>
      </c>
      <c r="L37">
        <v>8</v>
      </c>
      <c r="M37">
        <v>76</v>
      </c>
      <c r="N37">
        <v>27</v>
      </c>
      <c r="O37" t="s">
        <v>2053</v>
      </c>
      <c r="P37" t="s">
        <v>2062</v>
      </c>
      <c r="Q37" s="2">
        <f>Employee_Data[[#This Row],[Monthly Salary]]*12</f>
        <v>936707.64</v>
      </c>
    </row>
    <row r="38" spans="1:17" x14ac:dyDescent="0.25">
      <c r="A38" t="s">
        <v>52</v>
      </c>
      <c r="B38" t="s">
        <v>1052</v>
      </c>
      <c r="C38" t="s">
        <v>2012</v>
      </c>
      <c r="D38" t="s">
        <v>2020</v>
      </c>
      <c r="E38" t="s">
        <v>2039</v>
      </c>
      <c r="F38">
        <v>45</v>
      </c>
      <c r="G38" s="1">
        <v>42617</v>
      </c>
      <c r="H38" t="s">
        <v>2041</v>
      </c>
      <c r="I38" s="2">
        <v>39007.879999999997</v>
      </c>
      <c r="J38">
        <v>1</v>
      </c>
      <c r="K38">
        <v>94.18</v>
      </c>
      <c r="L38">
        <v>9</v>
      </c>
      <c r="M38">
        <v>0</v>
      </c>
      <c r="N38">
        <v>33</v>
      </c>
      <c r="O38" t="s">
        <v>2046</v>
      </c>
      <c r="P38" t="s">
        <v>2062</v>
      </c>
      <c r="Q38" s="2">
        <f>Employee_Data[[#This Row],[Monthly Salary]]*12</f>
        <v>468094.55999999994</v>
      </c>
    </row>
    <row r="39" spans="1:17" x14ac:dyDescent="0.25">
      <c r="A39" t="s">
        <v>53</v>
      </c>
      <c r="B39" t="s">
        <v>1053</v>
      </c>
      <c r="C39" t="s">
        <v>2014</v>
      </c>
      <c r="D39" t="s">
        <v>2029</v>
      </c>
      <c r="E39" t="s">
        <v>2038</v>
      </c>
      <c r="F39">
        <v>25</v>
      </c>
      <c r="G39" s="1">
        <v>42882</v>
      </c>
      <c r="H39" t="s">
        <v>2041</v>
      </c>
      <c r="I39" s="2">
        <v>112077.09</v>
      </c>
      <c r="J39">
        <v>5</v>
      </c>
      <c r="K39">
        <v>86.28</v>
      </c>
      <c r="L39">
        <v>8</v>
      </c>
      <c r="M39">
        <v>15</v>
      </c>
      <c r="N39">
        <v>46</v>
      </c>
      <c r="O39" t="s">
        <v>2051</v>
      </c>
      <c r="P39" t="s">
        <v>2062</v>
      </c>
      <c r="Q39" s="2">
        <f>Employee_Data[[#This Row],[Monthly Salary]]*12</f>
        <v>1344925.08</v>
      </c>
    </row>
    <row r="40" spans="1:17" x14ac:dyDescent="0.25">
      <c r="A40" t="s">
        <v>54</v>
      </c>
      <c r="B40" t="s">
        <v>1054</v>
      </c>
      <c r="C40" t="s">
        <v>2016</v>
      </c>
      <c r="D40" t="s">
        <v>2034</v>
      </c>
      <c r="E40" t="s">
        <v>2038</v>
      </c>
      <c r="F40">
        <v>39</v>
      </c>
      <c r="G40" s="1">
        <v>45320</v>
      </c>
      <c r="H40" t="s">
        <v>2041</v>
      </c>
      <c r="I40" s="2">
        <v>32728.78</v>
      </c>
      <c r="J40">
        <v>4</v>
      </c>
      <c r="K40">
        <v>93.3</v>
      </c>
      <c r="L40">
        <v>1</v>
      </c>
      <c r="M40">
        <v>48</v>
      </c>
      <c r="N40">
        <v>43</v>
      </c>
      <c r="O40" t="s">
        <v>2048</v>
      </c>
      <c r="P40" t="s">
        <v>2062</v>
      </c>
      <c r="Q40" s="2">
        <f>Employee_Data[[#This Row],[Monthly Salary]]*12</f>
        <v>392745.36</v>
      </c>
    </row>
    <row r="41" spans="1:17" x14ac:dyDescent="0.25">
      <c r="A41" t="s">
        <v>55</v>
      </c>
      <c r="B41" t="s">
        <v>1055</v>
      </c>
      <c r="C41" t="s">
        <v>2011</v>
      </c>
      <c r="D41" t="s">
        <v>2035</v>
      </c>
      <c r="E41" t="s">
        <v>2039</v>
      </c>
      <c r="F41">
        <v>40</v>
      </c>
      <c r="G41" s="1">
        <v>42316</v>
      </c>
      <c r="H41" t="s">
        <v>2042</v>
      </c>
      <c r="I41" s="2">
        <v>41018.269999999997</v>
      </c>
      <c r="J41">
        <v>5</v>
      </c>
      <c r="K41">
        <v>92.13</v>
      </c>
      <c r="L41">
        <v>10</v>
      </c>
      <c r="M41">
        <v>41</v>
      </c>
      <c r="N41">
        <v>29</v>
      </c>
      <c r="O41" t="s">
        <v>2056</v>
      </c>
      <c r="P41" t="s">
        <v>2062</v>
      </c>
      <c r="Q41" s="2">
        <f>Employee_Data[[#This Row],[Monthly Salary]]*12</f>
        <v>492219.24</v>
      </c>
    </row>
    <row r="42" spans="1:17" x14ac:dyDescent="0.25">
      <c r="A42" t="s">
        <v>56</v>
      </c>
      <c r="B42" t="s">
        <v>1056</v>
      </c>
      <c r="C42" t="s">
        <v>2014</v>
      </c>
      <c r="D42" t="s">
        <v>2028</v>
      </c>
      <c r="E42" t="s">
        <v>2038</v>
      </c>
      <c r="F42">
        <v>31</v>
      </c>
      <c r="G42" s="1">
        <v>44931</v>
      </c>
      <c r="H42" t="s">
        <v>2041</v>
      </c>
      <c r="I42" s="2">
        <v>28479.55</v>
      </c>
      <c r="J42">
        <v>5</v>
      </c>
      <c r="K42">
        <v>93.28</v>
      </c>
      <c r="L42">
        <v>2</v>
      </c>
      <c r="M42">
        <v>79</v>
      </c>
      <c r="N42">
        <v>21</v>
      </c>
      <c r="O42" t="s">
        <v>2045</v>
      </c>
      <c r="P42" t="s">
        <v>2062</v>
      </c>
      <c r="Q42" s="2">
        <f>Employee_Data[[#This Row],[Monthly Salary]]*12</f>
        <v>341754.6</v>
      </c>
    </row>
    <row r="43" spans="1:17" x14ac:dyDescent="0.25">
      <c r="A43" t="s">
        <v>57</v>
      </c>
      <c r="B43" t="s">
        <v>1057</v>
      </c>
      <c r="C43" t="s">
        <v>2014</v>
      </c>
      <c r="D43" t="s">
        <v>2028</v>
      </c>
      <c r="E43" t="s">
        <v>2038</v>
      </c>
      <c r="F43">
        <v>35</v>
      </c>
      <c r="G43" s="1">
        <v>45327</v>
      </c>
      <c r="H43" t="s">
        <v>2040</v>
      </c>
      <c r="I43" s="2">
        <v>34735.4</v>
      </c>
      <c r="J43">
        <v>1</v>
      </c>
      <c r="K43">
        <v>84.9</v>
      </c>
      <c r="L43">
        <v>1</v>
      </c>
      <c r="M43">
        <v>60</v>
      </c>
      <c r="N43">
        <v>39</v>
      </c>
      <c r="O43" t="s">
        <v>2045</v>
      </c>
      <c r="P43" t="s">
        <v>2062</v>
      </c>
      <c r="Q43" s="2">
        <f>Employee_Data[[#This Row],[Monthly Salary]]*12</f>
        <v>416824.80000000005</v>
      </c>
    </row>
    <row r="44" spans="1:17" x14ac:dyDescent="0.25">
      <c r="A44" t="s">
        <v>58</v>
      </c>
      <c r="B44" t="s">
        <v>1058</v>
      </c>
      <c r="C44" t="s">
        <v>2014</v>
      </c>
      <c r="D44" t="s">
        <v>2028</v>
      </c>
      <c r="E44" t="s">
        <v>2038</v>
      </c>
      <c r="F44">
        <v>52</v>
      </c>
      <c r="G44" s="1">
        <v>45901</v>
      </c>
      <c r="H44" t="s">
        <v>2042</v>
      </c>
      <c r="I44" s="2">
        <v>44398.44</v>
      </c>
      <c r="J44">
        <v>1</v>
      </c>
      <c r="K44">
        <v>97.85</v>
      </c>
      <c r="L44">
        <v>0</v>
      </c>
      <c r="M44">
        <v>13</v>
      </c>
      <c r="N44">
        <v>49</v>
      </c>
      <c r="O44" t="s">
        <v>1505</v>
      </c>
      <c r="P44" t="s">
        <v>2062</v>
      </c>
      <c r="Q44" s="2">
        <f>Employee_Data[[#This Row],[Monthly Salary]]*12</f>
        <v>532781.28</v>
      </c>
    </row>
    <row r="45" spans="1:17" x14ac:dyDescent="0.25">
      <c r="A45" t="s">
        <v>59</v>
      </c>
      <c r="B45" t="s">
        <v>1059</v>
      </c>
      <c r="C45" t="s">
        <v>2013</v>
      </c>
      <c r="D45" t="s">
        <v>2025</v>
      </c>
      <c r="E45" t="s">
        <v>2039</v>
      </c>
      <c r="F45">
        <v>28</v>
      </c>
      <c r="G45" s="1">
        <v>42614</v>
      </c>
      <c r="H45" t="s">
        <v>2042</v>
      </c>
      <c r="I45" s="2">
        <v>33333.910000000003</v>
      </c>
      <c r="J45">
        <v>4</v>
      </c>
      <c r="K45">
        <v>93.35</v>
      </c>
      <c r="L45">
        <v>9</v>
      </c>
      <c r="M45">
        <v>71</v>
      </c>
      <c r="N45">
        <v>38</v>
      </c>
      <c r="O45" t="s">
        <v>2054</v>
      </c>
      <c r="P45" t="s">
        <v>2063</v>
      </c>
      <c r="Q45" s="2">
        <f>Employee_Data[[#This Row],[Monthly Salary]]*12</f>
        <v>400006.92000000004</v>
      </c>
    </row>
    <row r="46" spans="1:17" x14ac:dyDescent="0.25">
      <c r="A46" t="s">
        <v>60</v>
      </c>
      <c r="B46" t="s">
        <v>1060</v>
      </c>
      <c r="C46" t="s">
        <v>2013</v>
      </c>
      <c r="D46" t="s">
        <v>2022</v>
      </c>
      <c r="E46" t="s">
        <v>2038</v>
      </c>
      <c r="F46">
        <v>31</v>
      </c>
      <c r="G46" s="1">
        <v>43281</v>
      </c>
      <c r="H46" t="s">
        <v>2041</v>
      </c>
      <c r="I46" s="2">
        <v>106149.49</v>
      </c>
      <c r="J46">
        <v>4</v>
      </c>
      <c r="K46">
        <v>85.18</v>
      </c>
      <c r="L46">
        <v>7</v>
      </c>
      <c r="M46">
        <v>31</v>
      </c>
      <c r="N46">
        <v>53</v>
      </c>
      <c r="O46" t="s">
        <v>2055</v>
      </c>
      <c r="P46" t="s">
        <v>2062</v>
      </c>
      <c r="Q46" s="2">
        <f>Employee_Data[[#This Row],[Monthly Salary]]*12</f>
        <v>1273793.8800000001</v>
      </c>
    </row>
    <row r="47" spans="1:17" x14ac:dyDescent="0.25">
      <c r="A47" t="s">
        <v>61</v>
      </c>
      <c r="B47" t="s">
        <v>1061</v>
      </c>
      <c r="C47" t="s">
        <v>2013</v>
      </c>
      <c r="D47" t="s">
        <v>2025</v>
      </c>
      <c r="E47" t="s">
        <v>2038</v>
      </c>
      <c r="F47">
        <v>49</v>
      </c>
      <c r="G47" s="1">
        <v>42728</v>
      </c>
      <c r="H47" t="s">
        <v>2040</v>
      </c>
      <c r="I47" s="2">
        <v>91354.49</v>
      </c>
      <c r="J47">
        <v>2</v>
      </c>
      <c r="K47">
        <v>85.43</v>
      </c>
      <c r="L47">
        <v>9</v>
      </c>
      <c r="M47">
        <v>40</v>
      </c>
      <c r="N47">
        <v>57</v>
      </c>
      <c r="O47" t="s">
        <v>2046</v>
      </c>
      <c r="P47" t="s">
        <v>2062</v>
      </c>
      <c r="Q47" s="2">
        <f>Employee_Data[[#This Row],[Monthly Salary]]*12</f>
        <v>1096253.8800000001</v>
      </c>
    </row>
    <row r="48" spans="1:17" x14ac:dyDescent="0.25">
      <c r="A48" t="s">
        <v>62</v>
      </c>
      <c r="B48" t="s">
        <v>1062</v>
      </c>
      <c r="C48" t="s">
        <v>2015</v>
      </c>
      <c r="D48" t="s">
        <v>2033</v>
      </c>
      <c r="E48" t="s">
        <v>2038</v>
      </c>
      <c r="F48">
        <v>30</v>
      </c>
      <c r="G48" s="1">
        <v>43047</v>
      </c>
      <c r="H48" t="s">
        <v>2041</v>
      </c>
      <c r="I48" s="2">
        <v>41395.29</v>
      </c>
      <c r="J48">
        <v>4</v>
      </c>
      <c r="K48">
        <v>88.15</v>
      </c>
      <c r="L48">
        <v>8</v>
      </c>
      <c r="M48">
        <v>69</v>
      </c>
      <c r="N48">
        <v>29</v>
      </c>
      <c r="O48" t="s">
        <v>1505</v>
      </c>
      <c r="P48" t="s">
        <v>2062</v>
      </c>
      <c r="Q48" s="2">
        <f>Employee_Data[[#This Row],[Monthly Salary]]*12</f>
        <v>496743.48</v>
      </c>
    </row>
    <row r="49" spans="1:17" x14ac:dyDescent="0.25">
      <c r="A49" t="s">
        <v>63</v>
      </c>
      <c r="B49" t="s">
        <v>1063</v>
      </c>
      <c r="C49" t="s">
        <v>2016</v>
      </c>
      <c r="D49" t="s">
        <v>2034</v>
      </c>
      <c r="E49" t="s">
        <v>2039</v>
      </c>
      <c r="F49">
        <v>57</v>
      </c>
      <c r="G49" s="1">
        <v>42549</v>
      </c>
      <c r="H49" t="s">
        <v>2042</v>
      </c>
      <c r="I49" s="2">
        <v>67697.97</v>
      </c>
      <c r="J49">
        <v>3</v>
      </c>
      <c r="K49">
        <v>85.97</v>
      </c>
      <c r="L49">
        <v>9</v>
      </c>
      <c r="M49">
        <v>49</v>
      </c>
      <c r="N49">
        <v>54</v>
      </c>
      <c r="O49" t="s">
        <v>1505</v>
      </c>
      <c r="P49" t="s">
        <v>2062</v>
      </c>
      <c r="Q49" s="2">
        <f>Employee_Data[[#This Row],[Monthly Salary]]*12</f>
        <v>812375.64</v>
      </c>
    </row>
    <row r="50" spans="1:17" x14ac:dyDescent="0.25">
      <c r="A50" t="s">
        <v>64</v>
      </c>
      <c r="B50" t="s">
        <v>1064</v>
      </c>
      <c r="C50" t="s">
        <v>2014</v>
      </c>
      <c r="D50" t="s">
        <v>2029</v>
      </c>
      <c r="E50" t="s">
        <v>2039</v>
      </c>
      <c r="F50">
        <v>38</v>
      </c>
      <c r="G50" s="1">
        <v>45551</v>
      </c>
      <c r="H50" t="s">
        <v>2042</v>
      </c>
      <c r="I50" s="2">
        <v>68564.2</v>
      </c>
      <c r="J50">
        <v>4</v>
      </c>
      <c r="K50">
        <v>86.72</v>
      </c>
      <c r="L50">
        <v>1</v>
      </c>
      <c r="M50">
        <v>51</v>
      </c>
      <c r="N50">
        <v>46</v>
      </c>
      <c r="O50" t="s">
        <v>2048</v>
      </c>
      <c r="P50" t="s">
        <v>2062</v>
      </c>
      <c r="Q50" s="2">
        <f>Employee_Data[[#This Row],[Monthly Salary]]*12</f>
        <v>822770.39999999991</v>
      </c>
    </row>
    <row r="51" spans="1:17" x14ac:dyDescent="0.25">
      <c r="A51" t="s">
        <v>65</v>
      </c>
      <c r="B51" t="s">
        <v>1065</v>
      </c>
      <c r="C51" t="s">
        <v>2015</v>
      </c>
      <c r="D51" t="s">
        <v>2027</v>
      </c>
      <c r="E51" t="s">
        <v>2039</v>
      </c>
      <c r="F51">
        <v>46</v>
      </c>
      <c r="G51" s="1">
        <v>44255</v>
      </c>
      <c r="H51" t="s">
        <v>2041</v>
      </c>
      <c r="I51" s="2">
        <v>76439.199999999997</v>
      </c>
      <c r="J51">
        <v>1</v>
      </c>
      <c r="K51">
        <v>81.680000000000007</v>
      </c>
      <c r="L51">
        <v>4</v>
      </c>
      <c r="M51">
        <v>54</v>
      </c>
      <c r="N51">
        <v>8</v>
      </c>
      <c r="O51" t="s">
        <v>2056</v>
      </c>
      <c r="P51" t="s">
        <v>2062</v>
      </c>
      <c r="Q51" s="2">
        <f>Employee_Data[[#This Row],[Monthly Salary]]*12</f>
        <v>917270.39999999991</v>
      </c>
    </row>
    <row r="52" spans="1:17" x14ac:dyDescent="0.25">
      <c r="A52" t="s">
        <v>66</v>
      </c>
      <c r="B52" t="s">
        <v>1066</v>
      </c>
      <c r="C52" t="s">
        <v>2011</v>
      </c>
      <c r="D52" t="s">
        <v>2035</v>
      </c>
      <c r="E52" t="s">
        <v>2038</v>
      </c>
      <c r="F52">
        <v>34</v>
      </c>
      <c r="G52" s="1">
        <v>44167</v>
      </c>
      <c r="H52" t="s">
        <v>2042</v>
      </c>
      <c r="I52" s="2">
        <v>52684.58</v>
      </c>
      <c r="J52">
        <v>4</v>
      </c>
      <c r="K52">
        <v>85.57</v>
      </c>
      <c r="L52">
        <v>5</v>
      </c>
      <c r="M52">
        <v>53</v>
      </c>
      <c r="N52">
        <v>16</v>
      </c>
      <c r="O52" t="s">
        <v>2045</v>
      </c>
      <c r="P52" t="s">
        <v>2062</v>
      </c>
      <c r="Q52" s="2">
        <f>Employee_Data[[#This Row],[Monthly Salary]]*12</f>
        <v>632214.96</v>
      </c>
    </row>
    <row r="53" spans="1:17" x14ac:dyDescent="0.25">
      <c r="A53" t="s">
        <v>67</v>
      </c>
      <c r="B53" t="s">
        <v>1067</v>
      </c>
      <c r="C53" t="s">
        <v>2010</v>
      </c>
      <c r="D53" t="s">
        <v>2024</v>
      </c>
      <c r="E53" t="s">
        <v>2039</v>
      </c>
      <c r="F53">
        <v>25</v>
      </c>
      <c r="G53" s="1">
        <v>42360</v>
      </c>
      <c r="H53" t="s">
        <v>2041</v>
      </c>
      <c r="I53" s="2">
        <v>24025.81</v>
      </c>
      <c r="J53">
        <v>1</v>
      </c>
      <c r="K53">
        <v>98.99</v>
      </c>
      <c r="L53">
        <v>10</v>
      </c>
      <c r="M53">
        <v>25</v>
      </c>
      <c r="N53">
        <v>53</v>
      </c>
      <c r="O53" t="s">
        <v>2057</v>
      </c>
      <c r="P53" t="s">
        <v>2062</v>
      </c>
      <c r="Q53" s="2">
        <f>Employee_Data[[#This Row],[Monthly Salary]]*12</f>
        <v>288309.72000000003</v>
      </c>
    </row>
    <row r="54" spans="1:17" x14ac:dyDescent="0.25">
      <c r="A54" t="s">
        <v>68</v>
      </c>
      <c r="B54" t="s">
        <v>1068</v>
      </c>
      <c r="C54" t="s">
        <v>2014</v>
      </c>
      <c r="D54" t="s">
        <v>2023</v>
      </c>
      <c r="E54" t="s">
        <v>2038</v>
      </c>
      <c r="F54">
        <v>28</v>
      </c>
      <c r="G54" s="1">
        <v>42758</v>
      </c>
      <c r="H54" t="s">
        <v>2041</v>
      </c>
      <c r="I54" s="2">
        <v>114775.7</v>
      </c>
      <c r="J54">
        <v>4</v>
      </c>
      <c r="K54">
        <v>93.99</v>
      </c>
      <c r="L54">
        <v>8</v>
      </c>
      <c r="M54">
        <v>47</v>
      </c>
      <c r="N54">
        <v>10</v>
      </c>
      <c r="O54" t="s">
        <v>2058</v>
      </c>
      <c r="P54" t="s">
        <v>2062</v>
      </c>
      <c r="Q54" s="2">
        <f>Employee_Data[[#This Row],[Monthly Salary]]*12</f>
        <v>1377308.4</v>
      </c>
    </row>
    <row r="55" spans="1:17" x14ac:dyDescent="0.25">
      <c r="A55" t="s">
        <v>69</v>
      </c>
      <c r="B55" t="s">
        <v>1069</v>
      </c>
      <c r="C55" t="s">
        <v>2009</v>
      </c>
      <c r="D55" t="s">
        <v>2017</v>
      </c>
      <c r="E55" t="s">
        <v>2038</v>
      </c>
      <c r="F55">
        <v>27</v>
      </c>
      <c r="G55" s="1">
        <v>44471</v>
      </c>
      <c r="H55" t="s">
        <v>2041</v>
      </c>
      <c r="I55" s="2">
        <v>22567.84</v>
      </c>
      <c r="J55">
        <v>3</v>
      </c>
      <c r="K55">
        <v>91.52</v>
      </c>
      <c r="L55">
        <v>4</v>
      </c>
      <c r="M55">
        <v>48</v>
      </c>
      <c r="N55">
        <v>25</v>
      </c>
      <c r="O55" t="s">
        <v>2059</v>
      </c>
      <c r="P55" t="s">
        <v>2062</v>
      </c>
      <c r="Q55" s="2">
        <f>Employee_Data[[#This Row],[Monthly Salary]]*12</f>
        <v>270814.08000000002</v>
      </c>
    </row>
    <row r="56" spans="1:17" x14ac:dyDescent="0.25">
      <c r="A56" t="s">
        <v>70</v>
      </c>
      <c r="B56" t="s">
        <v>1070</v>
      </c>
      <c r="C56" t="s">
        <v>2014</v>
      </c>
      <c r="D56" t="s">
        <v>2023</v>
      </c>
      <c r="E56" t="s">
        <v>2038</v>
      </c>
      <c r="F56">
        <v>59</v>
      </c>
      <c r="G56" s="1">
        <v>43283</v>
      </c>
      <c r="H56" t="s">
        <v>2040</v>
      </c>
      <c r="I56" s="2">
        <v>99622.720000000001</v>
      </c>
      <c r="J56">
        <v>5</v>
      </c>
      <c r="K56">
        <v>95.65</v>
      </c>
      <c r="L56">
        <v>7</v>
      </c>
      <c r="M56">
        <v>44</v>
      </c>
      <c r="N56">
        <v>34</v>
      </c>
      <c r="O56" t="s">
        <v>1505</v>
      </c>
      <c r="P56" t="s">
        <v>2062</v>
      </c>
      <c r="Q56" s="2">
        <f>Employee_Data[[#This Row],[Monthly Salary]]*12</f>
        <v>1195472.6400000001</v>
      </c>
    </row>
    <row r="57" spans="1:17" x14ac:dyDescent="0.25">
      <c r="A57" t="s">
        <v>71</v>
      </c>
      <c r="B57" t="s">
        <v>1071</v>
      </c>
      <c r="C57" t="s">
        <v>2009</v>
      </c>
      <c r="D57" t="s">
        <v>2036</v>
      </c>
      <c r="E57" t="s">
        <v>2038</v>
      </c>
      <c r="F57">
        <v>21</v>
      </c>
      <c r="G57" s="1">
        <v>45589</v>
      </c>
      <c r="H57" t="s">
        <v>2042</v>
      </c>
      <c r="I57" s="2">
        <v>102233.09</v>
      </c>
      <c r="J57">
        <v>1</v>
      </c>
      <c r="K57">
        <v>88.67</v>
      </c>
      <c r="L57">
        <v>1</v>
      </c>
      <c r="M57">
        <v>46</v>
      </c>
      <c r="N57">
        <v>40</v>
      </c>
      <c r="O57" t="s">
        <v>2056</v>
      </c>
      <c r="P57" t="s">
        <v>2062</v>
      </c>
      <c r="Q57" s="2">
        <f>Employee_Data[[#This Row],[Monthly Salary]]*12</f>
        <v>1226797.08</v>
      </c>
    </row>
    <row r="58" spans="1:17" x14ac:dyDescent="0.25">
      <c r="A58" t="s">
        <v>72</v>
      </c>
      <c r="B58" t="s">
        <v>1072</v>
      </c>
      <c r="C58" t="s">
        <v>2016</v>
      </c>
      <c r="D58" t="s">
        <v>2032</v>
      </c>
      <c r="E58" t="s">
        <v>2038</v>
      </c>
      <c r="F58">
        <v>60</v>
      </c>
      <c r="G58" s="1">
        <v>42946</v>
      </c>
      <c r="H58" t="s">
        <v>2041</v>
      </c>
      <c r="I58" s="2">
        <v>97464.15</v>
      </c>
      <c r="J58">
        <v>4</v>
      </c>
      <c r="K58">
        <v>88.71</v>
      </c>
      <c r="L58">
        <v>8</v>
      </c>
      <c r="M58">
        <v>75</v>
      </c>
      <c r="N58">
        <v>17</v>
      </c>
      <c r="O58" t="s">
        <v>2054</v>
      </c>
      <c r="P58" t="s">
        <v>2063</v>
      </c>
      <c r="Q58" s="2">
        <f>Employee_Data[[#This Row],[Monthly Salary]]*12</f>
        <v>1169569.7999999998</v>
      </c>
    </row>
    <row r="59" spans="1:17" x14ac:dyDescent="0.25">
      <c r="A59" t="s">
        <v>73</v>
      </c>
      <c r="B59" t="s">
        <v>1073</v>
      </c>
      <c r="C59" t="s">
        <v>2009</v>
      </c>
      <c r="D59" t="s">
        <v>2030</v>
      </c>
      <c r="E59" t="s">
        <v>2038</v>
      </c>
      <c r="F59">
        <v>36</v>
      </c>
      <c r="G59" s="1">
        <v>42968</v>
      </c>
      <c r="H59" t="s">
        <v>2042</v>
      </c>
      <c r="I59" s="2">
        <v>76984.960000000006</v>
      </c>
      <c r="J59">
        <v>4</v>
      </c>
      <c r="K59">
        <v>86.73</v>
      </c>
      <c r="L59">
        <v>8</v>
      </c>
      <c r="M59">
        <v>63</v>
      </c>
      <c r="N59">
        <v>54</v>
      </c>
      <c r="O59" t="s">
        <v>2054</v>
      </c>
      <c r="P59" t="s">
        <v>2062</v>
      </c>
      <c r="Q59" s="2">
        <f>Employee_Data[[#This Row],[Monthly Salary]]*12</f>
        <v>923819.52000000002</v>
      </c>
    </row>
    <row r="60" spans="1:17" x14ac:dyDescent="0.25">
      <c r="A60" t="s">
        <v>74</v>
      </c>
      <c r="B60" t="s">
        <v>1074</v>
      </c>
      <c r="C60" t="s">
        <v>2014</v>
      </c>
      <c r="D60" t="s">
        <v>2029</v>
      </c>
      <c r="E60" t="s">
        <v>2038</v>
      </c>
      <c r="F60">
        <v>42</v>
      </c>
      <c r="G60" s="1">
        <v>43611</v>
      </c>
      <c r="H60" t="s">
        <v>2042</v>
      </c>
      <c r="I60" s="2">
        <v>108032</v>
      </c>
      <c r="J60">
        <v>3</v>
      </c>
      <c r="K60">
        <v>91.12</v>
      </c>
      <c r="L60">
        <v>6</v>
      </c>
      <c r="M60">
        <v>66</v>
      </c>
      <c r="N60">
        <v>60</v>
      </c>
      <c r="O60" t="s">
        <v>2059</v>
      </c>
      <c r="P60" t="s">
        <v>2062</v>
      </c>
      <c r="Q60" s="2">
        <f>Employee_Data[[#This Row],[Monthly Salary]]*12</f>
        <v>1296384</v>
      </c>
    </row>
    <row r="61" spans="1:17" x14ac:dyDescent="0.25">
      <c r="A61" t="s">
        <v>75</v>
      </c>
      <c r="B61" t="s">
        <v>1075</v>
      </c>
      <c r="C61" t="s">
        <v>2016</v>
      </c>
      <c r="D61" t="s">
        <v>2034</v>
      </c>
      <c r="E61" t="s">
        <v>2039</v>
      </c>
      <c r="F61">
        <v>51</v>
      </c>
      <c r="G61" s="1">
        <v>43943</v>
      </c>
      <c r="H61" t="s">
        <v>2041</v>
      </c>
      <c r="I61" s="2">
        <v>91184.24</v>
      </c>
      <c r="J61">
        <v>4</v>
      </c>
      <c r="K61">
        <v>95.86</v>
      </c>
      <c r="L61">
        <v>5</v>
      </c>
      <c r="M61">
        <v>11</v>
      </c>
      <c r="N61">
        <v>18</v>
      </c>
      <c r="O61" t="s">
        <v>2044</v>
      </c>
      <c r="P61" t="s">
        <v>2062</v>
      </c>
      <c r="Q61" s="2">
        <f>Employee_Data[[#This Row],[Monthly Salary]]*12</f>
        <v>1094210.8800000001</v>
      </c>
    </row>
    <row r="62" spans="1:17" x14ac:dyDescent="0.25">
      <c r="A62" t="s">
        <v>76</v>
      </c>
      <c r="B62" t="s">
        <v>1076</v>
      </c>
      <c r="C62" t="s">
        <v>2014</v>
      </c>
      <c r="D62" t="s">
        <v>2029</v>
      </c>
      <c r="E62" t="s">
        <v>2038</v>
      </c>
      <c r="F62">
        <v>51</v>
      </c>
      <c r="G62" s="1">
        <v>42618</v>
      </c>
      <c r="H62" t="s">
        <v>2041</v>
      </c>
      <c r="I62" s="2">
        <v>73092.19</v>
      </c>
      <c r="J62">
        <v>4</v>
      </c>
      <c r="K62">
        <v>99.93</v>
      </c>
      <c r="L62">
        <v>9</v>
      </c>
      <c r="M62">
        <v>70</v>
      </c>
      <c r="N62">
        <v>21</v>
      </c>
      <c r="O62" t="s">
        <v>2053</v>
      </c>
      <c r="P62" t="s">
        <v>2062</v>
      </c>
      <c r="Q62" s="2">
        <f>Employee_Data[[#This Row],[Monthly Salary]]*12</f>
        <v>877106.28</v>
      </c>
    </row>
    <row r="63" spans="1:17" x14ac:dyDescent="0.25">
      <c r="A63" t="s">
        <v>77</v>
      </c>
      <c r="B63" t="s">
        <v>1077</v>
      </c>
      <c r="C63" t="s">
        <v>2011</v>
      </c>
      <c r="D63" t="s">
        <v>2035</v>
      </c>
      <c r="E63" t="s">
        <v>2038</v>
      </c>
      <c r="F63">
        <v>35</v>
      </c>
      <c r="G63" s="1">
        <v>42325</v>
      </c>
      <c r="H63" t="s">
        <v>2040</v>
      </c>
      <c r="I63" s="2">
        <v>92128.43</v>
      </c>
      <c r="J63">
        <v>3</v>
      </c>
      <c r="K63">
        <v>82.39</v>
      </c>
      <c r="L63">
        <v>10</v>
      </c>
      <c r="M63">
        <v>68</v>
      </c>
      <c r="N63">
        <v>60</v>
      </c>
      <c r="O63" t="s">
        <v>2048</v>
      </c>
      <c r="P63" t="s">
        <v>2062</v>
      </c>
      <c r="Q63" s="2">
        <f>Employee_Data[[#This Row],[Monthly Salary]]*12</f>
        <v>1105541.1599999999</v>
      </c>
    </row>
    <row r="64" spans="1:17" x14ac:dyDescent="0.25">
      <c r="A64" t="s">
        <v>78</v>
      </c>
      <c r="B64" t="s">
        <v>1078</v>
      </c>
      <c r="C64" t="s">
        <v>2013</v>
      </c>
      <c r="D64" t="s">
        <v>2022</v>
      </c>
      <c r="E64" t="s">
        <v>2038</v>
      </c>
      <c r="F64">
        <v>27</v>
      </c>
      <c r="G64" s="1">
        <v>43307</v>
      </c>
      <c r="H64" t="s">
        <v>2040</v>
      </c>
      <c r="I64" s="2">
        <v>49624.65</v>
      </c>
      <c r="J64">
        <v>3</v>
      </c>
      <c r="K64">
        <v>83.59</v>
      </c>
      <c r="L64">
        <v>7</v>
      </c>
      <c r="M64">
        <v>1</v>
      </c>
      <c r="N64">
        <v>45</v>
      </c>
      <c r="O64" t="s">
        <v>2046</v>
      </c>
      <c r="P64" t="s">
        <v>2062</v>
      </c>
      <c r="Q64" s="2">
        <f>Employee_Data[[#This Row],[Monthly Salary]]*12</f>
        <v>595495.80000000005</v>
      </c>
    </row>
    <row r="65" spans="1:17" x14ac:dyDescent="0.25">
      <c r="A65" t="s">
        <v>79</v>
      </c>
      <c r="B65" t="s">
        <v>1079</v>
      </c>
      <c r="C65" t="s">
        <v>2010</v>
      </c>
      <c r="D65" t="s">
        <v>2018</v>
      </c>
      <c r="E65" t="s">
        <v>2038</v>
      </c>
      <c r="F65">
        <v>29</v>
      </c>
      <c r="G65" s="1">
        <v>42363</v>
      </c>
      <c r="H65" t="s">
        <v>2041</v>
      </c>
      <c r="I65" s="2">
        <v>106846.12</v>
      </c>
      <c r="J65">
        <v>4</v>
      </c>
      <c r="K65">
        <v>82.05</v>
      </c>
      <c r="L65">
        <v>10</v>
      </c>
      <c r="M65">
        <v>1</v>
      </c>
      <c r="N65">
        <v>36</v>
      </c>
      <c r="O65" t="s">
        <v>2051</v>
      </c>
      <c r="P65" t="s">
        <v>2062</v>
      </c>
      <c r="Q65" s="2">
        <f>Employee_Data[[#This Row],[Monthly Salary]]*12</f>
        <v>1282153.44</v>
      </c>
    </row>
    <row r="66" spans="1:17" x14ac:dyDescent="0.25">
      <c r="A66" t="s">
        <v>80</v>
      </c>
      <c r="B66" t="s">
        <v>1080</v>
      </c>
      <c r="C66" t="s">
        <v>2013</v>
      </c>
      <c r="D66" t="s">
        <v>2022</v>
      </c>
      <c r="E66" t="s">
        <v>2039</v>
      </c>
      <c r="F66">
        <v>24</v>
      </c>
      <c r="G66" s="1">
        <v>43229</v>
      </c>
      <c r="H66" t="s">
        <v>2042</v>
      </c>
      <c r="I66" s="2">
        <v>114106.36</v>
      </c>
      <c r="J66">
        <v>4</v>
      </c>
      <c r="K66">
        <v>82.28</v>
      </c>
      <c r="L66">
        <v>7</v>
      </c>
      <c r="M66">
        <v>8</v>
      </c>
      <c r="N66">
        <v>25</v>
      </c>
      <c r="O66" t="s">
        <v>2050</v>
      </c>
      <c r="P66" t="s">
        <v>2062</v>
      </c>
      <c r="Q66" s="2">
        <f>Employee_Data[[#This Row],[Monthly Salary]]*12</f>
        <v>1369276.32</v>
      </c>
    </row>
    <row r="67" spans="1:17" x14ac:dyDescent="0.25">
      <c r="A67" t="s">
        <v>81</v>
      </c>
      <c r="B67" t="s">
        <v>1081</v>
      </c>
      <c r="C67" t="s">
        <v>2010</v>
      </c>
      <c r="D67" t="s">
        <v>2018</v>
      </c>
      <c r="E67" t="s">
        <v>2039</v>
      </c>
      <c r="F67">
        <v>57</v>
      </c>
      <c r="G67" s="1">
        <v>43223</v>
      </c>
      <c r="H67" t="s">
        <v>2042</v>
      </c>
      <c r="I67" s="2">
        <v>28518.09</v>
      </c>
      <c r="J67">
        <v>2</v>
      </c>
      <c r="K67">
        <v>82.37</v>
      </c>
      <c r="L67">
        <v>7</v>
      </c>
      <c r="M67">
        <v>53</v>
      </c>
      <c r="N67">
        <v>38</v>
      </c>
      <c r="O67" t="s">
        <v>2058</v>
      </c>
      <c r="P67" t="s">
        <v>2062</v>
      </c>
      <c r="Q67" s="2">
        <f>Employee_Data[[#This Row],[Monthly Salary]]*12</f>
        <v>342217.08</v>
      </c>
    </row>
    <row r="68" spans="1:17" x14ac:dyDescent="0.25">
      <c r="A68" t="s">
        <v>82</v>
      </c>
      <c r="B68" t="s">
        <v>1082</v>
      </c>
      <c r="C68" t="s">
        <v>2014</v>
      </c>
      <c r="D68" t="s">
        <v>2028</v>
      </c>
      <c r="E68" t="s">
        <v>2038</v>
      </c>
      <c r="F68">
        <v>49</v>
      </c>
      <c r="G68" s="1">
        <v>42550</v>
      </c>
      <c r="H68" t="s">
        <v>2042</v>
      </c>
      <c r="I68" s="2">
        <v>49735.31</v>
      </c>
      <c r="J68">
        <v>5</v>
      </c>
      <c r="K68">
        <v>99.8</v>
      </c>
      <c r="L68">
        <v>9</v>
      </c>
      <c r="M68">
        <v>39</v>
      </c>
      <c r="N68">
        <v>36</v>
      </c>
      <c r="O68" t="s">
        <v>2058</v>
      </c>
      <c r="P68" t="s">
        <v>2062</v>
      </c>
      <c r="Q68" s="2">
        <f>Employee_Data[[#This Row],[Monthly Salary]]*12</f>
        <v>596823.72</v>
      </c>
    </row>
    <row r="69" spans="1:17" x14ac:dyDescent="0.25">
      <c r="A69" t="s">
        <v>83</v>
      </c>
      <c r="B69" t="s">
        <v>1083</v>
      </c>
      <c r="C69" t="s">
        <v>2009</v>
      </c>
      <c r="D69" t="s">
        <v>2017</v>
      </c>
      <c r="E69" t="s">
        <v>2039</v>
      </c>
      <c r="F69">
        <v>37</v>
      </c>
      <c r="G69" s="1">
        <v>42941</v>
      </c>
      <c r="H69" t="s">
        <v>2041</v>
      </c>
      <c r="I69" s="2">
        <v>28118.75</v>
      </c>
      <c r="J69">
        <v>2</v>
      </c>
      <c r="K69">
        <v>83.48</v>
      </c>
      <c r="L69">
        <v>8</v>
      </c>
      <c r="M69">
        <v>9</v>
      </c>
      <c r="N69">
        <v>10</v>
      </c>
      <c r="O69" t="s">
        <v>2057</v>
      </c>
      <c r="P69" t="s">
        <v>2062</v>
      </c>
      <c r="Q69" s="2">
        <f>Employee_Data[[#This Row],[Monthly Salary]]*12</f>
        <v>337425</v>
      </c>
    </row>
    <row r="70" spans="1:17" x14ac:dyDescent="0.25">
      <c r="A70" t="s">
        <v>84</v>
      </c>
      <c r="B70" t="s">
        <v>1084</v>
      </c>
      <c r="C70" t="s">
        <v>2013</v>
      </c>
      <c r="D70" t="s">
        <v>2022</v>
      </c>
      <c r="E70" t="s">
        <v>2039</v>
      </c>
      <c r="F70">
        <v>35</v>
      </c>
      <c r="G70" s="1">
        <v>43263</v>
      </c>
      <c r="H70" t="s">
        <v>2042</v>
      </c>
      <c r="I70" s="2">
        <v>90695.58</v>
      </c>
      <c r="J70">
        <v>4</v>
      </c>
      <c r="K70">
        <v>81.42</v>
      </c>
      <c r="L70">
        <v>7</v>
      </c>
      <c r="M70">
        <v>29</v>
      </c>
      <c r="N70">
        <v>59</v>
      </c>
      <c r="O70" t="s">
        <v>2055</v>
      </c>
      <c r="P70" t="s">
        <v>2062</v>
      </c>
      <c r="Q70" s="2">
        <f>Employee_Data[[#This Row],[Monthly Salary]]*12</f>
        <v>1088346.96</v>
      </c>
    </row>
    <row r="71" spans="1:17" x14ac:dyDescent="0.25">
      <c r="A71" t="s">
        <v>85</v>
      </c>
      <c r="B71" t="s">
        <v>1085</v>
      </c>
      <c r="C71" t="s">
        <v>2014</v>
      </c>
      <c r="D71" t="s">
        <v>2029</v>
      </c>
      <c r="E71" t="s">
        <v>2039</v>
      </c>
      <c r="F71">
        <v>55</v>
      </c>
      <c r="G71" s="1">
        <v>43403</v>
      </c>
      <c r="H71" t="s">
        <v>2040</v>
      </c>
      <c r="I71" s="2">
        <v>84763.47</v>
      </c>
      <c r="J71">
        <v>3</v>
      </c>
      <c r="K71">
        <v>96.53</v>
      </c>
      <c r="L71">
        <v>7</v>
      </c>
      <c r="M71">
        <v>9</v>
      </c>
      <c r="N71">
        <v>3</v>
      </c>
      <c r="O71" t="s">
        <v>2048</v>
      </c>
      <c r="P71" t="s">
        <v>2062</v>
      </c>
      <c r="Q71" s="2">
        <f>Employee_Data[[#This Row],[Monthly Salary]]*12</f>
        <v>1017161.64</v>
      </c>
    </row>
    <row r="72" spans="1:17" x14ac:dyDescent="0.25">
      <c r="A72" t="s">
        <v>86</v>
      </c>
      <c r="B72" t="s">
        <v>1086</v>
      </c>
      <c r="C72" t="s">
        <v>2011</v>
      </c>
      <c r="D72" t="s">
        <v>2035</v>
      </c>
      <c r="E72" t="s">
        <v>2039</v>
      </c>
      <c r="F72">
        <v>50</v>
      </c>
      <c r="G72" s="1">
        <v>44367</v>
      </c>
      <c r="H72" t="s">
        <v>2041</v>
      </c>
      <c r="I72" s="2">
        <v>50409.120000000003</v>
      </c>
      <c r="J72">
        <v>4</v>
      </c>
      <c r="K72">
        <v>98.85</v>
      </c>
      <c r="L72">
        <v>4</v>
      </c>
      <c r="M72">
        <v>64</v>
      </c>
      <c r="N72">
        <v>34</v>
      </c>
      <c r="O72" t="s">
        <v>2050</v>
      </c>
      <c r="P72" t="s">
        <v>2062</v>
      </c>
      <c r="Q72" s="2">
        <f>Employee_Data[[#This Row],[Monthly Salary]]*12</f>
        <v>604909.44000000006</v>
      </c>
    </row>
    <row r="73" spans="1:17" x14ac:dyDescent="0.25">
      <c r="A73" t="s">
        <v>87</v>
      </c>
      <c r="B73" t="s">
        <v>1087</v>
      </c>
      <c r="C73" t="s">
        <v>2010</v>
      </c>
      <c r="D73" t="s">
        <v>2024</v>
      </c>
      <c r="E73" t="s">
        <v>2038</v>
      </c>
      <c r="F73">
        <v>59</v>
      </c>
      <c r="G73" s="1">
        <v>43845</v>
      </c>
      <c r="H73" t="s">
        <v>2042</v>
      </c>
      <c r="I73" s="2">
        <v>22586.49</v>
      </c>
      <c r="J73">
        <v>2</v>
      </c>
      <c r="K73">
        <v>99.24</v>
      </c>
      <c r="L73">
        <v>5</v>
      </c>
      <c r="M73">
        <v>73</v>
      </c>
      <c r="N73">
        <v>37</v>
      </c>
      <c r="O73" t="s">
        <v>2057</v>
      </c>
      <c r="P73" t="s">
        <v>2063</v>
      </c>
      <c r="Q73" s="2">
        <f>Employee_Data[[#This Row],[Monthly Salary]]*12</f>
        <v>271037.88</v>
      </c>
    </row>
    <row r="74" spans="1:17" x14ac:dyDescent="0.25">
      <c r="A74" t="s">
        <v>88</v>
      </c>
      <c r="B74" t="s">
        <v>1088</v>
      </c>
      <c r="C74" t="s">
        <v>2011</v>
      </c>
      <c r="D74" t="s">
        <v>2031</v>
      </c>
      <c r="E74" t="s">
        <v>2039</v>
      </c>
      <c r="F74">
        <v>32</v>
      </c>
      <c r="G74" s="1">
        <v>42543</v>
      </c>
      <c r="H74" t="s">
        <v>2042</v>
      </c>
      <c r="I74" s="2">
        <v>71896.38</v>
      </c>
      <c r="J74">
        <v>4</v>
      </c>
      <c r="K74">
        <v>98.32</v>
      </c>
      <c r="L74">
        <v>9</v>
      </c>
      <c r="M74">
        <v>23</v>
      </c>
      <c r="N74">
        <v>37</v>
      </c>
      <c r="O74" t="s">
        <v>1505</v>
      </c>
      <c r="P74" t="s">
        <v>2062</v>
      </c>
      <c r="Q74" s="2">
        <f>Employee_Data[[#This Row],[Monthly Salary]]*12</f>
        <v>862756.56</v>
      </c>
    </row>
    <row r="75" spans="1:17" x14ac:dyDescent="0.25">
      <c r="A75" t="s">
        <v>89</v>
      </c>
      <c r="B75" t="s">
        <v>1089</v>
      </c>
      <c r="C75" t="s">
        <v>2013</v>
      </c>
      <c r="D75" t="s">
        <v>2025</v>
      </c>
      <c r="E75" t="s">
        <v>2038</v>
      </c>
      <c r="F75">
        <v>43</v>
      </c>
      <c r="G75" s="1">
        <v>45163</v>
      </c>
      <c r="H75" t="s">
        <v>2042</v>
      </c>
      <c r="I75" s="2">
        <v>53330.84</v>
      </c>
      <c r="J75">
        <v>1</v>
      </c>
      <c r="K75">
        <v>97.15</v>
      </c>
      <c r="L75">
        <v>2</v>
      </c>
      <c r="M75">
        <v>42</v>
      </c>
      <c r="N75">
        <v>26</v>
      </c>
      <c r="O75" t="s">
        <v>2050</v>
      </c>
      <c r="P75" t="s">
        <v>2062</v>
      </c>
      <c r="Q75" s="2">
        <f>Employee_Data[[#This Row],[Monthly Salary]]*12</f>
        <v>639970.07999999996</v>
      </c>
    </row>
    <row r="76" spans="1:17" x14ac:dyDescent="0.25">
      <c r="A76" t="s">
        <v>90</v>
      </c>
      <c r="B76" t="s">
        <v>1090</v>
      </c>
      <c r="C76" t="s">
        <v>2016</v>
      </c>
      <c r="D76" t="s">
        <v>2032</v>
      </c>
      <c r="E76" t="s">
        <v>2038</v>
      </c>
      <c r="F76">
        <v>26</v>
      </c>
      <c r="G76" s="1">
        <v>43688</v>
      </c>
      <c r="H76" t="s">
        <v>2042</v>
      </c>
      <c r="I76" s="2">
        <v>45239.89</v>
      </c>
      <c r="J76">
        <v>1</v>
      </c>
      <c r="K76">
        <v>99.4</v>
      </c>
      <c r="L76">
        <v>6</v>
      </c>
      <c r="M76">
        <v>51</v>
      </c>
      <c r="N76">
        <v>55</v>
      </c>
      <c r="O76" t="s">
        <v>2052</v>
      </c>
      <c r="P76" t="s">
        <v>2062</v>
      </c>
      <c r="Q76" s="2">
        <f>Employee_Data[[#This Row],[Monthly Salary]]*12</f>
        <v>542878.67999999993</v>
      </c>
    </row>
    <row r="77" spans="1:17" x14ac:dyDescent="0.25">
      <c r="A77" t="s">
        <v>91</v>
      </c>
      <c r="B77" t="s">
        <v>1091</v>
      </c>
      <c r="C77" t="s">
        <v>2010</v>
      </c>
      <c r="D77" t="s">
        <v>2037</v>
      </c>
      <c r="E77" t="s">
        <v>2038</v>
      </c>
      <c r="F77">
        <v>47</v>
      </c>
      <c r="G77" s="1">
        <v>42734</v>
      </c>
      <c r="H77" t="s">
        <v>2040</v>
      </c>
      <c r="I77" s="2">
        <v>38758.25</v>
      </c>
      <c r="J77">
        <v>3</v>
      </c>
      <c r="K77">
        <v>92.45</v>
      </c>
      <c r="L77">
        <v>9</v>
      </c>
      <c r="M77">
        <v>63</v>
      </c>
      <c r="N77">
        <v>40</v>
      </c>
      <c r="O77" t="s">
        <v>2056</v>
      </c>
      <c r="P77" t="s">
        <v>2062</v>
      </c>
      <c r="Q77" s="2">
        <f>Employee_Data[[#This Row],[Monthly Salary]]*12</f>
        <v>465099</v>
      </c>
    </row>
    <row r="78" spans="1:17" x14ac:dyDescent="0.25">
      <c r="A78" t="s">
        <v>92</v>
      </c>
      <c r="B78" t="s">
        <v>1092</v>
      </c>
      <c r="C78" t="s">
        <v>2014</v>
      </c>
      <c r="D78" t="s">
        <v>2029</v>
      </c>
      <c r="E78" t="s">
        <v>2039</v>
      </c>
      <c r="F78">
        <v>39</v>
      </c>
      <c r="G78" s="1">
        <v>44786</v>
      </c>
      <c r="H78" t="s">
        <v>2042</v>
      </c>
      <c r="I78" s="2">
        <v>108084.66</v>
      </c>
      <c r="J78">
        <v>4</v>
      </c>
      <c r="K78">
        <v>82.43</v>
      </c>
      <c r="L78">
        <v>3</v>
      </c>
      <c r="M78">
        <v>80</v>
      </c>
      <c r="N78">
        <v>38</v>
      </c>
      <c r="O78" t="s">
        <v>2044</v>
      </c>
      <c r="P78" t="s">
        <v>2062</v>
      </c>
      <c r="Q78" s="2">
        <f>Employee_Data[[#This Row],[Monthly Salary]]*12</f>
        <v>1297015.92</v>
      </c>
    </row>
    <row r="79" spans="1:17" x14ac:dyDescent="0.25">
      <c r="A79" t="s">
        <v>93</v>
      </c>
      <c r="B79" t="s">
        <v>1093</v>
      </c>
      <c r="C79" t="s">
        <v>2011</v>
      </c>
      <c r="D79" t="s">
        <v>2031</v>
      </c>
      <c r="E79" t="s">
        <v>2039</v>
      </c>
      <c r="F79">
        <v>56</v>
      </c>
      <c r="G79" s="1">
        <v>42474</v>
      </c>
      <c r="H79" t="s">
        <v>2042</v>
      </c>
      <c r="I79" s="2">
        <v>29320.92</v>
      </c>
      <c r="J79">
        <v>1</v>
      </c>
      <c r="K79">
        <v>89.23</v>
      </c>
      <c r="L79">
        <v>9</v>
      </c>
      <c r="M79">
        <v>15</v>
      </c>
      <c r="N79">
        <v>41</v>
      </c>
      <c r="O79" t="s">
        <v>2060</v>
      </c>
      <c r="P79" t="s">
        <v>2062</v>
      </c>
      <c r="Q79" s="2">
        <f>Employee_Data[[#This Row],[Monthly Salary]]*12</f>
        <v>351851.04</v>
      </c>
    </row>
    <row r="80" spans="1:17" x14ac:dyDescent="0.25">
      <c r="A80" t="s">
        <v>94</v>
      </c>
      <c r="B80" t="s">
        <v>1094</v>
      </c>
      <c r="C80" t="s">
        <v>2011</v>
      </c>
      <c r="D80" t="s">
        <v>2031</v>
      </c>
      <c r="E80" t="s">
        <v>2038</v>
      </c>
      <c r="F80">
        <v>47</v>
      </c>
      <c r="G80" s="1">
        <v>43952</v>
      </c>
      <c r="H80" t="s">
        <v>2042</v>
      </c>
      <c r="I80" s="2">
        <v>118024.46</v>
      </c>
      <c r="J80">
        <v>2</v>
      </c>
      <c r="K80">
        <v>89.14</v>
      </c>
      <c r="L80">
        <v>5</v>
      </c>
      <c r="M80">
        <v>18</v>
      </c>
      <c r="N80">
        <v>24</v>
      </c>
      <c r="O80" t="s">
        <v>2059</v>
      </c>
      <c r="P80" t="s">
        <v>2063</v>
      </c>
      <c r="Q80" s="2">
        <f>Employee_Data[[#This Row],[Monthly Salary]]*12</f>
        <v>1416293.52</v>
      </c>
    </row>
    <row r="81" spans="1:17" x14ac:dyDescent="0.25">
      <c r="A81" t="s">
        <v>95</v>
      </c>
      <c r="B81" t="s">
        <v>1095</v>
      </c>
      <c r="C81" t="s">
        <v>2015</v>
      </c>
      <c r="D81" t="s">
        <v>2033</v>
      </c>
      <c r="E81" t="s">
        <v>2038</v>
      </c>
      <c r="F81">
        <v>47</v>
      </c>
      <c r="G81" s="1">
        <v>44252</v>
      </c>
      <c r="H81" t="s">
        <v>2042</v>
      </c>
      <c r="I81" s="2">
        <v>113424.84</v>
      </c>
      <c r="J81">
        <v>5</v>
      </c>
      <c r="K81">
        <v>85.34</v>
      </c>
      <c r="L81">
        <v>4</v>
      </c>
      <c r="M81">
        <v>0</v>
      </c>
      <c r="N81">
        <v>18</v>
      </c>
      <c r="O81" t="s">
        <v>2051</v>
      </c>
      <c r="P81" t="s">
        <v>2062</v>
      </c>
      <c r="Q81" s="2">
        <f>Employee_Data[[#This Row],[Monthly Salary]]*12</f>
        <v>1361098.08</v>
      </c>
    </row>
    <row r="82" spans="1:17" x14ac:dyDescent="0.25">
      <c r="A82" t="s">
        <v>96</v>
      </c>
      <c r="B82" t="s">
        <v>1096</v>
      </c>
      <c r="C82" t="s">
        <v>2013</v>
      </c>
      <c r="D82" t="s">
        <v>2025</v>
      </c>
      <c r="E82" t="s">
        <v>2038</v>
      </c>
      <c r="F82">
        <v>55</v>
      </c>
      <c r="G82" s="1">
        <v>45885</v>
      </c>
      <c r="H82" t="s">
        <v>2042</v>
      </c>
      <c r="I82" s="2">
        <v>54512.39</v>
      </c>
      <c r="J82">
        <v>5</v>
      </c>
      <c r="K82">
        <v>95.26</v>
      </c>
      <c r="L82">
        <v>0</v>
      </c>
      <c r="M82">
        <v>48</v>
      </c>
      <c r="N82">
        <v>29</v>
      </c>
      <c r="O82" t="s">
        <v>2054</v>
      </c>
      <c r="P82" t="s">
        <v>2063</v>
      </c>
      <c r="Q82" s="2">
        <f>Employee_Data[[#This Row],[Monthly Salary]]*12</f>
        <v>654148.67999999993</v>
      </c>
    </row>
    <row r="83" spans="1:17" x14ac:dyDescent="0.25">
      <c r="A83" t="s">
        <v>97</v>
      </c>
      <c r="B83" t="s">
        <v>1097</v>
      </c>
      <c r="C83" t="s">
        <v>2014</v>
      </c>
      <c r="D83" t="s">
        <v>2028</v>
      </c>
      <c r="E83" t="s">
        <v>2038</v>
      </c>
      <c r="F83">
        <v>35</v>
      </c>
      <c r="G83" s="1">
        <v>45533</v>
      </c>
      <c r="H83" t="s">
        <v>2042</v>
      </c>
      <c r="I83" s="2">
        <v>24364.73</v>
      </c>
      <c r="J83">
        <v>4</v>
      </c>
      <c r="K83">
        <v>94.1</v>
      </c>
      <c r="L83">
        <v>1</v>
      </c>
      <c r="M83">
        <v>48</v>
      </c>
      <c r="N83">
        <v>24</v>
      </c>
      <c r="O83" t="s">
        <v>2060</v>
      </c>
      <c r="P83" t="s">
        <v>2062</v>
      </c>
      <c r="Q83" s="2">
        <f>Employee_Data[[#This Row],[Monthly Salary]]*12</f>
        <v>292376.76</v>
      </c>
    </row>
    <row r="84" spans="1:17" x14ac:dyDescent="0.25">
      <c r="A84" t="s">
        <v>98</v>
      </c>
      <c r="B84" t="s">
        <v>1098</v>
      </c>
      <c r="C84" t="s">
        <v>2010</v>
      </c>
      <c r="D84" t="s">
        <v>2018</v>
      </c>
      <c r="E84" t="s">
        <v>2038</v>
      </c>
      <c r="F84">
        <v>27</v>
      </c>
      <c r="G84" s="1">
        <v>43527</v>
      </c>
      <c r="H84" t="s">
        <v>2042</v>
      </c>
      <c r="I84" s="2">
        <v>29971.17</v>
      </c>
      <c r="J84">
        <v>4</v>
      </c>
      <c r="K84">
        <v>80.31</v>
      </c>
      <c r="L84">
        <v>6</v>
      </c>
      <c r="M84">
        <v>18</v>
      </c>
      <c r="N84">
        <v>26</v>
      </c>
      <c r="O84" t="s">
        <v>2060</v>
      </c>
      <c r="P84" t="s">
        <v>2062</v>
      </c>
      <c r="Q84" s="2">
        <f>Employee_Data[[#This Row],[Monthly Salary]]*12</f>
        <v>359654.04</v>
      </c>
    </row>
    <row r="85" spans="1:17" x14ac:dyDescent="0.25">
      <c r="A85" t="s">
        <v>99</v>
      </c>
      <c r="B85" t="s">
        <v>1099</v>
      </c>
      <c r="C85" t="s">
        <v>2011</v>
      </c>
      <c r="D85" t="s">
        <v>2035</v>
      </c>
      <c r="E85" t="s">
        <v>2038</v>
      </c>
      <c r="F85">
        <v>26</v>
      </c>
      <c r="G85" s="1">
        <v>44354</v>
      </c>
      <c r="H85" t="s">
        <v>2042</v>
      </c>
      <c r="I85" s="2">
        <v>105234.13</v>
      </c>
      <c r="J85">
        <v>5</v>
      </c>
      <c r="K85">
        <v>87.6</v>
      </c>
      <c r="L85">
        <v>4</v>
      </c>
      <c r="M85">
        <v>40</v>
      </c>
      <c r="N85">
        <v>40</v>
      </c>
      <c r="O85" t="s">
        <v>2050</v>
      </c>
      <c r="P85" t="s">
        <v>2063</v>
      </c>
      <c r="Q85" s="2">
        <f>Employee_Data[[#This Row],[Monthly Salary]]*12</f>
        <v>1262809.56</v>
      </c>
    </row>
    <row r="86" spans="1:17" x14ac:dyDescent="0.25">
      <c r="A86" t="s">
        <v>100</v>
      </c>
      <c r="B86" t="s">
        <v>1100</v>
      </c>
      <c r="C86" t="s">
        <v>2010</v>
      </c>
      <c r="D86" t="s">
        <v>2037</v>
      </c>
      <c r="E86" t="s">
        <v>2039</v>
      </c>
      <c r="F86">
        <v>36</v>
      </c>
      <c r="G86" s="1">
        <v>44169</v>
      </c>
      <c r="H86" t="s">
        <v>2041</v>
      </c>
      <c r="I86" s="2">
        <v>88439.96</v>
      </c>
      <c r="J86">
        <v>3</v>
      </c>
      <c r="K86">
        <v>99.95</v>
      </c>
      <c r="L86">
        <v>5</v>
      </c>
      <c r="M86">
        <v>11</v>
      </c>
      <c r="N86">
        <v>27</v>
      </c>
      <c r="O86" t="s">
        <v>2047</v>
      </c>
      <c r="P86" t="s">
        <v>2062</v>
      </c>
      <c r="Q86" s="2">
        <f>Employee_Data[[#This Row],[Monthly Salary]]*12</f>
        <v>1061279.52</v>
      </c>
    </row>
    <row r="87" spans="1:17" x14ac:dyDescent="0.25">
      <c r="A87" t="s">
        <v>101</v>
      </c>
      <c r="B87" t="s">
        <v>1101</v>
      </c>
      <c r="C87" t="s">
        <v>2009</v>
      </c>
      <c r="D87" t="s">
        <v>2030</v>
      </c>
      <c r="E87" t="s">
        <v>2039</v>
      </c>
      <c r="F87">
        <v>40</v>
      </c>
      <c r="G87" s="1">
        <v>44140</v>
      </c>
      <c r="H87" t="s">
        <v>2040</v>
      </c>
      <c r="I87" s="2">
        <v>24599.1</v>
      </c>
      <c r="J87">
        <v>1</v>
      </c>
      <c r="K87">
        <v>85.87</v>
      </c>
      <c r="L87">
        <v>5</v>
      </c>
      <c r="M87">
        <v>47</v>
      </c>
      <c r="N87">
        <v>27</v>
      </c>
      <c r="O87" t="s">
        <v>2060</v>
      </c>
      <c r="P87" t="s">
        <v>2062</v>
      </c>
      <c r="Q87" s="2">
        <f>Employee_Data[[#This Row],[Monthly Salary]]*12</f>
        <v>295189.19999999995</v>
      </c>
    </row>
    <row r="88" spans="1:17" x14ac:dyDescent="0.25">
      <c r="A88" t="s">
        <v>102</v>
      </c>
      <c r="B88" t="s">
        <v>1102</v>
      </c>
      <c r="C88" t="s">
        <v>2016</v>
      </c>
      <c r="D88" t="s">
        <v>2032</v>
      </c>
      <c r="E88" t="s">
        <v>2039</v>
      </c>
      <c r="F88">
        <v>32</v>
      </c>
      <c r="G88" s="1">
        <v>44658</v>
      </c>
      <c r="H88" t="s">
        <v>2040</v>
      </c>
      <c r="I88" s="2">
        <v>80949.179999999993</v>
      </c>
      <c r="J88">
        <v>4</v>
      </c>
      <c r="K88">
        <v>92.39</v>
      </c>
      <c r="L88">
        <v>3</v>
      </c>
      <c r="M88">
        <v>30</v>
      </c>
      <c r="N88">
        <v>31</v>
      </c>
      <c r="O88" t="s">
        <v>2043</v>
      </c>
      <c r="P88" t="s">
        <v>2062</v>
      </c>
      <c r="Q88" s="2">
        <f>Employee_Data[[#This Row],[Monthly Salary]]*12</f>
        <v>971390.15999999992</v>
      </c>
    </row>
    <row r="89" spans="1:17" x14ac:dyDescent="0.25">
      <c r="A89" t="s">
        <v>103</v>
      </c>
      <c r="B89" t="s">
        <v>1103</v>
      </c>
      <c r="C89" t="s">
        <v>2013</v>
      </c>
      <c r="D89" t="s">
        <v>2022</v>
      </c>
      <c r="E89" t="s">
        <v>2038</v>
      </c>
      <c r="F89">
        <v>37</v>
      </c>
      <c r="G89" s="1">
        <v>44173</v>
      </c>
      <c r="H89" t="s">
        <v>2041</v>
      </c>
      <c r="I89" s="2">
        <v>20939.740000000002</v>
      </c>
      <c r="J89">
        <v>4</v>
      </c>
      <c r="K89">
        <v>98.02</v>
      </c>
      <c r="L89">
        <v>5</v>
      </c>
      <c r="M89">
        <v>69</v>
      </c>
      <c r="N89">
        <v>10</v>
      </c>
      <c r="O89" t="s">
        <v>2045</v>
      </c>
      <c r="P89" t="s">
        <v>2062</v>
      </c>
      <c r="Q89" s="2">
        <f>Employee_Data[[#This Row],[Monthly Salary]]*12</f>
        <v>251276.88</v>
      </c>
    </row>
    <row r="90" spans="1:17" x14ac:dyDescent="0.25">
      <c r="A90" t="s">
        <v>104</v>
      </c>
      <c r="B90" t="s">
        <v>1104</v>
      </c>
      <c r="C90" t="s">
        <v>2012</v>
      </c>
      <c r="D90" t="s">
        <v>2020</v>
      </c>
      <c r="E90" t="s">
        <v>2038</v>
      </c>
      <c r="F90">
        <v>37</v>
      </c>
      <c r="G90" s="1">
        <v>43609</v>
      </c>
      <c r="H90" t="s">
        <v>2042</v>
      </c>
      <c r="I90" s="2">
        <v>104530.39</v>
      </c>
      <c r="J90">
        <v>2</v>
      </c>
      <c r="K90">
        <v>99.99</v>
      </c>
      <c r="L90">
        <v>6</v>
      </c>
      <c r="M90">
        <v>61</v>
      </c>
      <c r="N90">
        <v>6</v>
      </c>
      <c r="O90" t="s">
        <v>2044</v>
      </c>
      <c r="P90" t="s">
        <v>2062</v>
      </c>
      <c r="Q90" s="2">
        <f>Employee_Data[[#This Row],[Monthly Salary]]*12</f>
        <v>1254364.68</v>
      </c>
    </row>
    <row r="91" spans="1:17" x14ac:dyDescent="0.25">
      <c r="A91" t="s">
        <v>105</v>
      </c>
      <c r="B91" t="s">
        <v>1105</v>
      </c>
      <c r="C91" t="s">
        <v>2012</v>
      </c>
      <c r="D91" t="s">
        <v>2020</v>
      </c>
      <c r="E91" t="s">
        <v>2038</v>
      </c>
      <c r="F91">
        <v>22</v>
      </c>
      <c r="G91" s="1">
        <v>45192</v>
      </c>
      <c r="H91" t="s">
        <v>2041</v>
      </c>
      <c r="I91" s="2">
        <v>59580.57</v>
      </c>
      <c r="J91">
        <v>1</v>
      </c>
      <c r="K91">
        <v>91.32</v>
      </c>
      <c r="L91">
        <v>2</v>
      </c>
      <c r="M91">
        <v>6</v>
      </c>
      <c r="N91">
        <v>58</v>
      </c>
      <c r="O91" t="s">
        <v>2058</v>
      </c>
      <c r="P91" t="s">
        <v>2062</v>
      </c>
      <c r="Q91" s="2">
        <f>Employee_Data[[#This Row],[Monthly Salary]]*12</f>
        <v>714966.84</v>
      </c>
    </row>
    <row r="92" spans="1:17" x14ac:dyDescent="0.25">
      <c r="A92" t="s">
        <v>106</v>
      </c>
      <c r="B92" t="s">
        <v>1106</v>
      </c>
      <c r="C92" t="s">
        <v>2011</v>
      </c>
      <c r="D92" t="s">
        <v>2019</v>
      </c>
      <c r="E92" t="s">
        <v>2038</v>
      </c>
      <c r="F92">
        <v>35</v>
      </c>
      <c r="G92" s="1">
        <v>43357</v>
      </c>
      <c r="H92" t="s">
        <v>2041</v>
      </c>
      <c r="I92" s="2">
        <v>39013.199999999997</v>
      </c>
      <c r="J92">
        <v>3</v>
      </c>
      <c r="K92">
        <v>93.56</v>
      </c>
      <c r="L92">
        <v>7</v>
      </c>
      <c r="M92">
        <v>17</v>
      </c>
      <c r="N92">
        <v>40</v>
      </c>
      <c r="O92" t="s">
        <v>2047</v>
      </c>
      <c r="P92" t="s">
        <v>2063</v>
      </c>
      <c r="Q92" s="2">
        <f>Employee_Data[[#This Row],[Monthly Salary]]*12</f>
        <v>468158.39999999997</v>
      </c>
    </row>
    <row r="93" spans="1:17" x14ac:dyDescent="0.25">
      <c r="A93" t="s">
        <v>107</v>
      </c>
      <c r="B93" t="s">
        <v>1107</v>
      </c>
      <c r="C93" t="s">
        <v>2010</v>
      </c>
      <c r="D93" t="s">
        <v>2024</v>
      </c>
      <c r="E93" t="s">
        <v>2038</v>
      </c>
      <c r="F93">
        <v>23</v>
      </c>
      <c r="G93" s="1">
        <v>44385</v>
      </c>
      <c r="H93" t="s">
        <v>2041</v>
      </c>
      <c r="I93" s="2">
        <v>56486.12</v>
      </c>
      <c r="J93">
        <v>2</v>
      </c>
      <c r="K93">
        <v>81.8</v>
      </c>
      <c r="L93">
        <v>4</v>
      </c>
      <c r="M93">
        <v>37</v>
      </c>
      <c r="N93">
        <v>20</v>
      </c>
      <c r="O93" t="s">
        <v>1505</v>
      </c>
      <c r="P93" t="s">
        <v>2062</v>
      </c>
      <c r="Q93" s="2">
        <f>Employee_Data[[#This Row],[Monthly Salary]]*12</f>
        <v>677833.44000000006</v>
      </c>
    </row>
    <row r="94" spans="1:17" x14ac:dyDescent="0.25">
      <c r="A94" t="s">
        <v>108</v>
      </c>
      <c r="B94" t="s">
        <v>1108</v>
      </c>
      <c r="C94" t="s">
        <v>2015</v>
      </c>
      <c r="D94" t="s">
        <v>2027</v>
      </c>
      <c r="E94" t="s">
        <v>2038</v>
      </c>
      <c r="F94">
        <v>54</v>
      </c>
      <c r="G94" s="1">
        <v>44231</v>
      </c>
      <c r="H94" t="s">
        <v>2041</v>
      </c>
      <c r="I94" s="2">
        <v>111348.7</v>
      </c>
      <c r="J94">
        <v>2</v>
      </c>
      <c r="K94">
        <v>85.14</v>
      </c>
      <c r="L94">
        <v>4</v>
      </c>
      <c r="M94">
        <v>61</v>
      </c>
      <c r="N94">
        <v>51</v>
      </c>
      <c r="O94" t="s">
        <v>2051</v>
      </c>
      <c r="P94" t="s">
        <v>2062</v>
      </c>
      <c r="Q94" s="2">
        <f>Employee_Data[[#This Row],[Monthly Salary]]*12</f>
        <v>1336184.3999999999</v>
      </c>
    </row>
    <row r="95" spans="1:17" x14ac:dyDescent="0.25">
      <c r="A95" t="s">
        <v>109</v>
      </c>
      <c r="B95" t="s">
        <v>1109</v>
      </c>
      <c r="C95" t="s">
        <v>2012</v>
      </c>
      <c r="D95" t="s">
        <v>2021</v>
      </c>
      <c r="E95" t="s">
        <v>2038</v>
      </c>
      <c r="F95">
        <v>25</v>
      </c>
      <c r="G95" s="1">
        <v>43824</v>
      </c>
      <c r="H95" t="s">
        <v>2040</v>
      </c>
      <c r="I95" s="2">
        <v>95415.15</v>
      </c>
      <c r="J95">
        <v>2</v>
      </c>
      <c r="K95">
        <v>97.2</v>
      </c>
      <c r="L95">
        <v>6</v>
      </c>
      <c r="M95">
        <v>50</v>
      </c>
      <c r="N95">
        <v>54</v>
      </c>
      <c r="O95" t="s">
        <v>2046</v>
      </c>
      <c r="P95" t="s">
        <v>2062</v>
      </c>
      <c r="Q95" s="2">
        <f>Employee_Data[[#This Row],[Monthly Salary]]*12</f>
        <v>1144981.7999999998</v>
      </c>
    </row>
    <row r="96" spans="1:17" x14ac:dyDescent="0.25">
      <c r="A96" t="s">
        <v>110</v>
      </c>
      <c r="B96" t="s">
        <v>1110</v>
      </c>
      <c r="C96" t="s">
        <v>2016</v>
      </c>
      <c r="D96" t="s">
        <v>2032</v>
      </c>
      <c r="E96" t="s">
        <v>2038</v>
      </c>
      <c r="F96">
        <v>55</v>
      </c>
      <c r="G96" s="1">
        <v>45880</v>
      </c>
      <c r="H96" t="s">
        <v>2040</v>
      </c>
      <c r="I96" s="2">
        <v>65478.6</v>
      </c>
      <c r="J96">
        <v>3</v>
      </c>
      <c r="K96">
        <v>91.69</v>
      </c>
      <c r="L96">
        <v>0</v>
      </c>
      <c r="M96">
        <v>47</v>
      </c>
      <c r="N96">
        <v>6</v>
      </c>
      <c r="O96" t="s">
        <v>2044</v>
      </c>
      <c r="P96" t="s">
        <v>2062</v>
      </c>
      <c r="Q96" s="2">
        <f>Employee_Data[[#This Row],[Monthly Salary]]*12</f>
        <v>785743.2</v>
      </c>
    </row>
    <row r="97" spans="1:17" x14ac:dyDescent="0.25">
      <c r="A97" t="s">
        <v>111</v>
      </c>
      <c r="B97" t="s">
        <v>1111</v>
      </c>
      <c r="C97" t="s">
        <v>2012</v>
      </c>
      <c r="D97" t="s">
        <v>2021</v>
      </c>
      <c r="E97" t="s">
        <v>2039</v>
      </c>
      <c r="F97">
        <v>50</v>
      </c>
      <c r="G97" s="1">
        <v>43819</v>
      </c>
      <c r="H97" t="s">
        <v>2041</v>
      </c>
      <c r="I97" s="2">
        <v>50219.02</v>
      </c>
      <c r="J97">
        <v>4</v>
      </c>
      <c r="K97">
        <v>82.33</v>
      </c>
      <c r="L97">
        <v>6</v>
      </c>
      <c r="M97">
        <v>5</v>
      </c>
      <c r="N97">
        <v>60</v>
      </c>
      <c r="O97" t="s">
        <v>2049</v>
      </c>
      <c r="P97" t="s">
        <v>2062</v>
      </c>
      <c r="Q97" s="2">
        <f>Employee_Data[[#This Row],[Monthly Salary]]*12</f>
        <v>602628.24</v>
      </c>
    </row>
    <row r="98" spans="1:17" x14ac:dyDescent="0.25">
      <c r="A98" t="s">
        <v>112</v>
      </c>
      <c r="B98" t="s">
        <v>1112</v>
      </c>
      <c r="C98" t="s">
        <v>2013</v>
      </c>
      <c r="D98" t="s">
        <v>2025</v>
      </c>
      <c r="E98" t="s">
        <v>2039</v>
      </c>
      <c r="F98">
        <v>36</v>
      </c>
      <c r="G98" s="1">
        <v>42965</v>
      </c>
      <c r="H98" t="s">
        <v>2041</v>
      </c>
      <c r="I98" s="2">
        <v>33566.400000000001</v>
      </c>
      <c r="J98">
        <v>4</v>
      </c>
      <c r="K98">
        <v>87.42</v>
      </c>
      <c r="L98">
        <v>8</v>
      </c>
      <c r="M98">
        <v>69</v>
      </c>
      <c r="N98">
        <v>26</v>
      </c>
      <c r="O98" t="s">
        <v>2043</v>
      </c>
      <c r="P98" t="s">
        <v>2062</v>
      </c>
      <c r="Q98" s="2">
        <f>Employee_Data[[#This Row],[Monthly Salary]]*12</f>
        <v>402796.80000000005</v>
      </c>
    </row>
    <row r="99" spans="1:17" x14ac:dyDescent="0.25">
      <c r="A99" t="s">
        <v>113</v>
      </c>
      <c r="B99" t="s">
        <v>1113</v>
      </c>
      <c r="C99" t="s">
        <v>2015</v>
      </c>
      <c r="D99" t="s">
        <v>2026</v>
      </c>
      <c r="E99" t="s">
        <v>2039</v>
      </c>
      <c r="F99">
        <v>52</v>
      </c>
      <c r="G99" s="1">
        <v>45521</v>
      </c>
      <c r="H99" t="s">
        <v>2041</v>
      </c>
      <c r="I99" s="2">
        <v>60811.59</v>
      </c>
      <c r="J99">
        <v>3</v>
      </c>
      <c r="K99">
        <v>80.650000000000006</v>
      </c>
      <c r="L99">
        <v>1</v>
      </c>
      <c r="M99">
        <v>47</v>
      </c>
      <c r="N99">
        <v>13</v>
      </c>
      <c r="O99" t="s">
        <v>2056</v>
      </c>
      <c r="P99" t="s">
        <v>2062</v>
      </c>
      <c r="Q99" s="2">
        <f>Employee_Data[[#This Row],[Monthly Salary]]*12</f>
        <v>729739.08</v>
      </c>
    </row>
    <row r="100" spans="1:17" x14ac:dyDescent="0.25">
      <c r="A100" t="s">
        <v>114</v>
      </c>
      <c r="B100" t="s">
        <v>1114</v>
      </c>
      <c r="C100" t="s">
        <v>2014</v>
      </c>
      <c r="D100" t="s">
        <v>2029</v>
      </c>
      <c r="E100" t="s">
        <v>2039</v>
      </c>
      <c r="F100">
        <v>44</v>
      </c>
      <c r="G100" s="1">
        <v>43057</v>
      </c>
      <c r="H100" t="s">
        <v>2041</v>
      </c>
      <c r="I100" s="2">
        <v>110169.62</v>
      </c>
      <c r="J100">
        <v>3</v>
      </c>
      <c r="K100">
        <v>81.209999999999994</v>
      </c>
      <c r="L100">
        <v>8</v>
      </c>
      <c r="M100">
        <v>35</v>
      </c>
      <c r="N100">
        <v>12</v>
      </c>
      <c r="O100" t="s">
        <v>2047</v>
      </c>
      <c r="P100" t="s">
        <v>2063</v>
      </c>
      <c r="Q100" s="2">
        <f>Employee_Data[[#This Row],[Monthly Salary]]*12</f>
        <v>1322035.44</v>
      </c>
    </row>
    <row r="101" spans="1:17" x14ac:dyDescent="0.25">
      <c r="A101" t="s">
        <v>115</v>
      </c>
      <c r="B101" t="s">
        <v>1115</v>
      </c>
      <c r="C101" t="s">
        <v>2013</v>
      </c>
      <c r="D101" t="s">
        <v>2025</v>
      </c>
      <c r="E101" t="s">
        <v>2039</v>
      </c>
      <c r="F101">
        <v>59</v>
      </c>
      <c r="G101" s="1">
        <v>45776</v>
      </c>
      <c r="H101" t="s">
        <v>2040</v>
      </c>
      <c r="I101" s="2">
        <v>25057.85</v>
      </c>
      <c r="J101">
        <v>3</v>
      </c>
      <c r="K101">
        <v>84.87</v>
      </c>
      <c r="L101">
        <v>0</v>
      </c>
      <c r="M101">
        <v>16</v>
      </c>
      <c r="N101">
        <v>50</v>
      </c>
      <c r="O101" t="s">
        <v>2043</v>
      </c>
      <c r="P101" t="s">
        <v>2062</v>
      </c>
      <c r="Q101" s="2">
        <f>Employee_Data[[#This Row],[Monthly Salary]]*12</f>
        <v>300694.19999999995</v>
      </c>
    </row>
    <row r="102" spans="1:17" x14ac:dyDescent="0.25">
      <c r="A102" t="s">
        <v>116</v>
      </c>
      <c r="B102" t="s">
        <v>1116</v>
      </c>
      <c r="C102" t="s">
        <v>2014</v>
      </c>
      <c r="D102" t="s">
        <v>2028</v>
      </c>
      <c r="E102" t="s">
        <v>2039</v>
      </c>
      <c r="F102">
        <v>35</v>
      </c>
      <c r="G102" s="1">
        <v>45439</v>
      </c>
      <c r="H102" t="s">
        <v>2042</v>
      </c>
      <c r="I102" s="2">
        <v>97436.86</v>
      </c>
      <c r="J102">
        <v>5</v>
      </c>
      <c r="K102">
        <v>80.06</v>
      </c>
      <c r="L102">
        <v>1</v>
      </c>
      <c r="M102">
        <v>18</v>
      </c>
      <c r="N102">
        <v>8</v>
      </c>
      <c r="O102" t="s">
        <v>2046</v>
      </c>
      <c r="P102" t="s">
        <v>2062</v>
      </c>
      <c r="Q102" s="2">
        <f>Employee_Data[[#This Row],[Monthly Salary]]*12</f>
        <v>1169242.32</v>
      </c>
    </row>
    <row r="103" spans="1:17" x14ac:dyDescent="0.25">
      <c r="A103" t="s">
        <v>117</v>
      </c>
      <c r="B103" t="s">
        <v>1117</v>
      </c>
      <c r="C103" t="s">
        <v>2015</v>
      </c>
      <c r="D103" t="s">
        <v>2033</v>
      </c>
      <c r="E103" t="s">
        <v>2039</v>
      </c>
      <c r="F103">
        <v>29</v>
      </c>
      <c r="G103" s="1">
        <v>43291</v>
      </c>
      <c r="H103" t="s">
        <v>2040</v>
      </c>
      <c r="I103" s="2">
        <v>55824.23</v>
      </c>
      <c r="J103">
        <v>2</v>
      </c>
      <c r="K103">
        <v>91.78</v>
      </c>
      <c r="L103">
        <v>7</v>
      </c>
      <c r="M103">
        <v>2</v>
      </c>
      <c r="N103">
        <v>11</v>
      </c>
      <c r="O103" t="s">
        <v>2055</v>
      </c>
      <c r="P103" t="s">
        <v>2062</v>
      </c>
      <c r="Q103" s="2">
        <f>Employee_Data[[#This Row],[Monthly Salary]]*12</f>
        <v>669890.76</v>
      </c>
    </row>
    <row r="104" spans="1:17" x14ac:dyDescent="0.25">
      <c r="A104" t="s">
        <v>118</v>
      </c>
      <c r="B104" t="s">
        <v>1118</v>
      </c>
      <c r="C104" t="s">
        <v>2016</v>
      </c>
      <c r="D104" t="s">
        <v>2032</v>
      </c>
      <c r="E104" t="s">
        <v>2039</v>
      </c>
      <c r="F104">
        <v>51</v>
      </c>
      <c r="G104" s="1">
        <v>43839</v>
      </c>
      <c r="H104" t="s">
        <v>2042</v>
      </c>
      <c r="I104" s="2">
        <v>97801.7</v>
      </c>
      <c r="J104">
        <v>5</v>
      </c>
      <c r="K104">
        <v>91.87</v>
      </c>
      <c r="L104">
        <v>5</v>
      </c>
      <c r="M104">
        <v>57</v>
      </c>
      <c r="N104">
        <v>32</v>
      </c>
      <c r="O104" t="s">
        <v>2044</v>
      </c>
      <c r="P104" t="s">
        <v>2063</v>
      </c>
      <c r="Q104" s="2">
        <f>Employee_Data[[#This Row],[Monthly Salary]]*12</f>
        <v>1173620.3999999999</v>
      </c>
    </row>
    <row r="105" spans="1:17" x14ac:dyDescent="0.25">
      <c r="A105" t="s">
        <v>119</v>
      </c>
      <c r="B105" t="s">
        <v>1119</v>
      </c>
      <c r="C105" t="s">
        <v>2010</v>
      </c>
      <c r="D105" t="s">
        <v>2037</v>
      </c>
      <c r="E105" t="s">
        <v>2038</v>
      </c>
      <c r="F105">
        <v>50</v>
      </c>
      <c r="G105" s="1">
        <v>45314</v>
      </c>
      <c r="H105" t="s">
        <v>2041</v>
      </c>
      <c r="I105" s="2">
        <v>116402.62</v>
      </c>
      <c r="J105">
        <v>1</v>
      </c>
      <c r="K105">
        <v>99.97</v>
      </c>
      <c r="L105">
        <v>1</v>
      </c>
      <c r="M105">
        <v>51</v>
      </c>
      <c r="N105">
        <v>27</v>
      </c>
      <c r="O105" t="s">
        <v>2047</v>
      </c>
      <c r="P105" t="s">
        <v>2062</v>
      </c>
      <c r="Q105" s="2">
        <f>Employee_Data[[#This Row],[Monthly Salary]]*12</f>
        <v>1396831.44</v>
      </c>
    </row>
    <row r="106" spans="1:17" x14ac:dyDescent="0.25">
      <c r="A106" t="s">
        <v>120</v>
      </c>
      <c r="B106" t="s">
        <v>1120</v>
      </c>
      <c r="C106" t="s">
        <v>2013</v>
      </c>
      <c r="D106" t="s">
        <v>2025</v>
      </c>
      <c r="E106" t="s">
        <v>2039</v>
      </c>
      <c r="F106">
        <v>41</v>
      </c>
      <c r="G106" s="1">
        <v>44078</v>
      </c>
      <c r="H106" t="s">
        <v>2041</v>
      </c>
      <c r="I106" s="2">
        <v>34833.379999999997</v>
      </c>
      <c r="J106">
        <v>2</v>
      </c>
      <c r="K106">
        <v>85.5</v>
      </c>
      <c r="L106">
        <v>5</v>
      </c>
      <c r="M106">
        <v>74</v>
      </c>
      <c r="N106">
        <v>35</v>
      </c>
      <c r="O106" t="s">
        <v>2054</v>
      </c>
      <c r="P106" t="s">
        <v>2062</v>
      </c>
      <c r="Q106" s="2">
        <f>Employee_Data[[#This Row],[Monthly Salary]]*12</f>
        <v>418000.55999999994</v>
      </c>
    </row>
    <row r="107" spans="1:17" x14ac:dyDescent="0.25">
      <c r="A107" t="s">
        <v>121</v>
      </c>
      <c r="B107" t="s">
        <v>1121</v>
      </c>
      <c r="C107" t="s">
        <v>2011</v>
      </c>
      <c r="D107" t="s">
        <v>2035</v>
      </c>
      <c r="E107" t="s">
        <v>2038</v>
      </c>
      <c r="F107">
        <v>27</v>
      </c>
      <c r="G107" s="1">
        <v>42803</v>
      </c>
      <c r="H107" t="s">
        <v>2041</v>
      </c>
      <c r="I107" s="2">
        <v>31441.41</v>
      </c>
      <c r="J107">
        <v>5</v>
      </c>
      <c r="K107">
        <v>94.42</v>
      </c>
      <c r="L107">
        <v>8</v>
      </c>
      <c r="M107">
        <v>27</v>
      </c>
      <c r="N107">
        <v>27</v>
      </c>
      <c r="O107" t="s">
        <v>2056</v>
      </c>
      <c r="P107" t="s">
        <v>2063</v>
      </c>
      <c r="Q107" s="2">
        <f>Employee_Data[[#This Row],[Monthly Salary]]*12</f>
        <v>377296.92</v>
      </c>
    </row>
    <row r="108" spans="1:17" x14ac:dyDescent="0.25">
      <c r="A108" t="s">
        <v>122</v>
      </c>
      <c r="B108" t="s">
        <v>1122</v>
      </c>
      <c r="C108" t="s">
        <v>2016</v>
      </c>
      <c r="D108" t="s">
        <v>2034</v>
      </c>
      <c r="E108" t="s">
        <v>2038</v>
      </c>
      <c r="F108">
        <v>46</v>
      </c>
      <c r="G108" s="1">
        <v>43632</v>
      </c>
      <c r="H108" t="s">
        <v>2042</v>
      </c>
      <c r="I108" s="2">
        <v>92961.25</v>
      </c>
      <c r="J108">
        <v>3</v>
      </c>
      <c r="K108">
        <v>88.54</v>
      </c>
      <c r="L108">
        <v>6</v>
      </c>
      <c r="M108">
        <v>32</v>
      </c>
      <c r="N108">
        <v>23</v>
      </c>
      <c r="O108" t="s">
        <v>2060</v>
      </c>
      <c r="P108" t="s">
        <v>2062</v>
      </c>
      <c r="Q108" s="2">
        <f>Employee_Data[[#This Row],[Monthly Salary]]*12</f>
        <v>1115535</v>
      </c>
    </row>
    <row r="109" spans="1:17" x14ac:dyDescent="0.25">
      <c r="A109" t="s">
        <v>123</v>
      </c>
      <c r="B109" t="s">
        <v>1123</v>
      </c>
      <c r="C109" t="s">
        <v>2013</v>
      </c>
      <c r="D109" t="s">
        <v>2025</v>
      </c>
      <c r="E109" t="s">
        <v>2039</v>
      </c>
      <c r="F109">
        <v>26</v>
      </c>
      <c r="G109" s="1">
        <v>44886</v>
      </c>
      <c r="H109" t="s">
        <v>2040</v>
      </c>
      <c r="I109" s="2">
        <v>63187.65</v>
      </c>
      <c r="J109">
        <v>3</v>
      </c>
      <c r="K109">
        <v>96.24</v>
      </c>
      <c r="L109">
        <v>3</v>
      </c>
      <c r="M109">
        <v>71</v>
      </c>
      <c r="N109">
        <v>3</v>
      </c>
      <c r="O109" t="s">
        <v>2043</v>
      </c>
      <c r="P109" t="s">
        <v>2063</v>
      </c>
      <c r="Q109" s="2">
        <f>Employee_Data[[#This Row],[Monthly Salary]]*12</f>
        <v>758251.8</v>
      </c>
    </row>
    <row r="110" spans="1:17" x14ac:dyDescent="0.25">
      <c r="A110" t="s">
        <v>124</v>
      </c>
      <c r="B110" t="s">
        <v>1124</v>
      </c>
      <c r="C110" t="s">
        <v>2012</v>
      </c>
      <c r="D110" t="s">
        <v>2021</v>
      </c>
      <c r="E110" t="s">
        <v>2038</v>
      </c>
      <c r="F110">
        <v>43</v>
      </c>
      <c r="G110" s="1">
        <v>45932</v>
      </c>
      <c r="H110" t="s">
        <v>2041</v>
      </c>
      <c r="I110" s="2">
        <v>114112.99</v>
      </c>
      <c r="J110">
        <v>4</v>
      </c>
      <c r="K110">
        <v>97.36</v>
      </c>
      <c r="L110">
        <v>0</v>
      </c>
      <c r="M110">
        <v>6</v>
      </c>
      <c r="N110">
        <v>18</v>
      </c>
      <c r="O110" t="s">
        <v>2058</v>
      </c>
      <c r="P110" t="s">
        <v>2062</v>
      </c>
      <c r="Q110" s="2">
        <f>Employee_Data[[#This Row],[Monthly Salary]]*12</f>
        <v>1369355.8800000001</v>
      </c>
    </row>
    <row r="111" spans="1:17" x14ac:dyDescent="0.25">
      <c r="A111" t="s">
        <v>125</v>
      </c>
      <c r="B111" t="s">
        <v>1125</v>
      </c>
      <c r="C111" t="s">
        <v>2009</v>
      </c>
      <c r="D111" t="s">
        <v>2036</v>
      </c>
      <c r="E111" t="s">
        <v>2039</v>
      </c>
      <c r="F111">
        <v>30</v>
      </c>
      <c r="G111" s="1">
        <v>45880</v>
      </c>
      <c r="H111" t="s">
        <v>2041</v>
      </c>
      <c r="I111" s="2">
        <v>68218.94</v>
      </c>
      <c r="J111">
        <v>1</v>
      </c>
      <c r="K111">
        <v>87</v>
      </c>
      <c r="L111">
        <v>0</v>
      </c>
      <c r="M111">
        <v>71</v>
      </c>
      <c r="N111">
        <v>23</v>
      </c>
      <c r="O111" t="s">
        <v>2047</v>
      </c>
      <c r="P111" t="s">
        <v>2062</v>
      </c>
      <c r="Q111" s="2">
        <f>Employee_Data[[#This Row],[Monthly Salary]]*12</f>
        <v>818627.28</v>
      </c>
    </row>
    <row r="112" spans="1:17" x14ac:dyDescent="0.25">
      <c r="A112" t="s">
        <v>126</v>
      </c>
      <c r="B112" t="s">
        <v>1126</v>
      </c>
      <c r="C112" t="s">
        <v>2014</v>
      </c>
      <c r="D112" t="s">
        <v>2029</v>
      </c>
      <c r="E112" t="s">
        <v>2039</v>
      </c>
      <c r="F112">
        <v>59</v>
      </c>
      <c r="G112" s="1">
        <v>44726</v>
      </c>
      <c r="H112" t="s">
        <v>2041</v>
      </c>
      <c r="I112" s="2">
        <v>102946.08</v>
      </c>
      <c r="J112">
        <v>3</v>
      </c>
      <c r="K112">
        <v>80.58</v>
      </c>
      <c r="L112">
        <v>3</v>
      </c>
      <c r="M112">
        <v>34</v>
      </c>
      <c r="N112">
        <v>44</v>
      </c>
      <c r="O112" t="s">
        <v>2051</v>
      </c>
      <c r="P112" t="s">
        <v>2063</v>
      </c>
      <c r="Q112" s="2">
        <f>Employee_Data[[#This Row],[Monthly Salary]]*12</f>
        <v>1235352.96</v>
      </c>
    </row>
    <row r="113" spans="1:17" x14ac:dyDescent="0.25">
      <c r="A113" t="s">
        <v>127</v>
      </c>
      <c r="B113" t="s">
        <v>1127</v>
      </c>
      <c r="C113" t="s">
        <v>2012</v>
      </c>
      <c r="D113" t="s">
        <v>2021</v>
      </c>
      <c r="E113" t="s">
        <v>2039</v>
      </c>
      <c r="F113">
        <v>30</v>
      </c>
      <c r="G113" s="1">
        <v>45696</v>
      </c>
      <c r="H113" t="s">
        <v>2041</v>
      </c>
      <c r="I113" s="2">
        <v>85734.46</v>
      </c>
      <c r="J113">
        <v>1</v>
      </c>
      <c r="K113">
        <v>82.84</v>
      </c>
      <c r="L113">
        <v>0</v>
      </c>
      <c r="M113">
        <v>3</v>
      </c>
      <c r="N113">
        <v>5</v>
      </c>
      <c r="O113" t="s">
        <v>2052</v>
      </c>
      <c r="P113" t="s">
        <v>2062</v>
      </c>
      <c r="Q113" s="2">
        <f>Employee_Data[[#This Row],[Monthly Salary]]*12</f>
        <v>1028813.52</v>
      </c>
    </row>
    <row r="114" spans="1:17" x14ac:dyDescent="0.25">
      <c r="A114" t="s">
        <v>128</v>
      </c>
      <c r="B114" t="s">
        <v>1128</v>
      </c>
      <c r="C114" t="s">
        <v>2016</v>
      </c>
      <c r="D114" t="s">
        <v>2034</v>
      </c>
      <c r="E114" t="s">
        <v>2038</v>
      </c>
      <c r="F114">
        <v>31</v>
      </c>
      <c r="G114" s="1">
        <v>43998</v>
      </c>
      <c r="H114" t="s">
        <v>2042</v>
      </c>
      <c r="I114" s="2">
        <v>51163.74</v>
      </c>
      <c r="J114">
        <v>3</v>
      </c>
      <c r="K114">
        <v>95.54</v>
      </c>
      <c r="L114">
        <v>5</v>
      </c>
      <c r="M114">
        <v>72</v>
      </c>
      <c r="N114">
        <v>38</v>
      </c>
      <c r="O114" t="s">
        <v>2045</v>
      </c>
      <c r="P114" t="s">
        <v>2063</v>
      </c>
      <c r="Q114" s="2">
        <f>Employee_Data[[#This Row],[Monthly Salary]]*12</f>
        <v>613964.88</v>
      </c>
    </row>
    <row r="115" spans="1:17" x14ac:dyDescent="0.25">
      <c r="A115" t="s">
        <v>129</v>
      </c>
      <c r="B115" t="s">
        <v>1129</v>
      </c>
      <c r="C115" t="s">
        <v>2015</v>
      </c>
      <c r="D115" t="s">
        <v>2033</v>
      </c>
      <c r="E115" t="s">
        <v>2039</v>
      </c>
      <c r="F115">
        <v>26</v>
      </c>
      <c r="G115" s="1">
        <v>44815</v>
      </c>
      <c r="H115" t="s">
        <v>2042</v>
      </c>
      <c r="I115" s="2">
        <v>64311.3</v>
      </c>
      <c r="J115">
        <v>4</v>
      </c>
      <c r="K115">
        <v>89.71</v>
      </c>
      <c r="L115">
        <v>3</v>
      </c>
      <c r="M115">
        <v>56</v>
      </c>
      <c r="N115">
        <v>26</v>
      </c>
      <c r="O115" t="s">
        <v>2055</v>
      </c>
      <c r="P115" t="s">
        <v>2062</v>
      </c>
      <c r="Q115" s="2">
        <f>Employee_Data[[#This Row],[Monthly Salary]]*12</f>
        <v>771735.60000000009</v>
      </c>
    </row>
    <row r="116" spans="1:17" x14ac:dyDescent="0.25">
      <c r="A116" t="s">
        <v>130</v>
      </c>
      <c r="B116" t="s">
        <v>1130</v>
      </c>
      <c r="C116" t="s">
        <v>2009</v>
      </c>
      <c r="D116" t="s">
        <v>2030</v>
      </c>
      <c r="E116" t="s">
        <v>2038</v>
      </c>
      <c r="F116">
        <v>28</v>
      </c>
      <c r="G116" s="1">
        <v>45621</v>
      </c>
      <c r="H116" t="s">
        <v>2042</v>
      </c>
      <c r="I116" s="2">
        <v>87821.79</v>
      </c>
      <c r="J116">
        <v>5</v>
      </c>
      <c r="K116">
        <v>89.73</v>
      </c>
      <c r="L116">
        <v>1</v>
      </c>
      <c r="M116">
        <v>39</v>
      </c>
      <c r="N116">
        <v>2</v>
      </c>
      <c r="O116" t="s">
        <v>2044</v>
      </c>
      <c r="P116" t="s">
        <v>2062</v>
      </c>
      <c r="Q116" s="2">
        <f>Employee_Data[[#This Row],[Monthly Salary]]*12</f>
        <v>1053861.48</v>
      </c>
    </row>
    <row r="117" spans="1:17" x14ac:dyDescent="0.25">
      <c r="A117" t="s">
        <v>131</v>
      </c>
      <c r="B117" t="s">
        <v>1131</v>
      </c>
      <c r="C117" t="s">
        <v>2010</v>
      </c>
      <c r="D117" t="s">
        <v>2018</v>
      </c>
      <c r="E117" t="s">
        <v>2039</v>
      </c>
      <c r="F117">
        <v>40</v>
      </c>
      <c r="G117" s="1">
        <v>42471</v>
      </c>
      <c r="H117" t="s">
        <v>2040</v>
      </c>
      <c r="I117" s="2">
        <v>96734.95</v>
      </c>
      <c r="J117">
        <v>3</v>
      </c>
      <c r="K117">
        <v>85.79</v>
      </c>
      <c r="L117">
        <v>9</v>
      </c>
      <c r="M117">
        <v>15</v>
      </c>
      <c r="N117">
        <v>0</v>
      </c>
      <c r="O117" t="s">
        <v>2050</v>
      </c>
      <c r="P117" t="s">
        <v>2062</v>
      </c>
      <c r="Q117" s="2">
        <f>Employee_Data[[#This Row],[Monthly Salary]]*12</f>
        <v>1160819.3999999999</v>
      </c>
    </row>
    <row r="118" spans="1:17" x14ac:dyDescent="0.25">
      <c r="A118" t="s">
        <v>132</v>
      </c>
      <c r="B118" t="s">
        <v>1132</v>
      </c>
      <c r="C118" t="s">
        <v>2015</v>
      </c>
      <c r="D118" t="s">
        <v>2033</v>
      </c>
      <c r="E118" t="s">
        <v>2038</v>
      </c>
      <c r="F118">
        <v>55</v>
      </c>
      <c r="G118" s="1">
        <v>43432</v>
      </c>
      <c r="H118" t="s">
        <v>2041</v>
      </c>
      <c r="I118" s="2">
        <v>43011.07</v>
      </c>
      <c r="J118">
        <v>5</v>
      </c>
      <c r="K118">
        <v>96.67</v>
      </c>
      <c r="L118">
        <v>7</v>
      </c>
      <c r="M118">
        <v>45</v>
      </c>
      <c r="N118">
        <v>4</v>
      </c>
      <c r="O118" t="s">
        <v>2061</v>
      </c>
      <c r="P118" t="s">
        <v>2063</v>
      </c>
      <c r="Q118" s="2">
        <f>Employee_Data[[#This Row],[Monthly Salary]]*12</f>
        <v>516132.83999999997</v>
      </c>
    </row>
    <row r="119" spans="1:17" x14ac:dyDescent="0.25">
      <c r="A119" t="s">
        <v>133</v>
      </c>
      <c r="B119" t="s">
        <v>1133</v>
      </c>
      <c r="C119" t="s">
        <v>2010</v>
      </c>
      <c r="D119" t="s">
        <v>2024</v>
      </c>
      <c r="E119" t="s">
        <v>2039</v>
      </c>
      <c r="F119">
        <v>50</v>
      </c>
      <c r="G119" s="1">
        <v>44333</v>
      </c>
      <c r="H119" t="s">
        <v>2040</v>
      </c>
      <c r="I119" s="2">
        <v>106211</v>
      </c>
      <c r="J119">
        <v>5</v>
      </c>
      <c r="K119">
        <v>88.59</v>
      </c>
      <c r="L119">
        <v>4</v>
      </c>
      <c r="M119">
        <v>51</v>
      </c>
      <c r="N119">
        <v>45</v>
      </c>
      <c r="O119" t="s">
        <v>1505</v>
      </c>
      <c r="P119" t="s">
        <v>2062</v>
      </c>
      <c r="Q119" s="2">
        <f>Employee_Data[[#This Row],[Monthly Salary]]*12</f>
        <v>1274532</v>
      </c>
    </row>
    <row r="120" spans="1:17" x14ac:dyDescent="0.25">
      <c r="A120" t="s">
        <v>134</v>
      </c>
      <c r="B120" t="s">
        <v>1134</v>
      </c>
      <c r="C120" t="s">
        <v>2016</v>
      </c>
      <c r="D120" t="s">
        <v>2032</v>
      </c>
      <c r="E120" t="s">
        <v>2038</v>
      </c>
      <c r="F120">
        <v>31</v>
      </c>
      <c r="G120" s="1">
        <v>44922</v>
      </c>
      <c r="H120" t="s">
        <v>2041</v>
      </c>
      <c r="I120" s="2">
        <v>66009.69</v>
      </c>
      <c r="J120">
        <v>3</v>
      </c>
      <c r="K120">
        <v>81.760000000000005</v>
      </c>
      <c r="L120">
        <v>3</v>
      </c>
      <c r="M120">
        <v>13</v>
      </c>
      <c r="N120">
        <v>15</v>
      </c>
      <c r="O120" t="s">
        <v>1505</v>
      </c>
      <c r="P120" t="s">
        <v>2062</v>
      </c>
      <c r="Q120" s="2">
        <f>Employee_Data[[#This Row],[Monthly Salary]]*12</f>
        <v>792116.28</v>
      </c>
    </row>
    <row r="121" spans="1:17" x14ac:dyDescent="0.25">
      <c r="A121" t="s">
        <v>135</v>
      </c>
      <c r="B121" t="s">
        <v>1135</v>
      </c>
      <c r="C121" t="s">
        <v>2009</v>
      </c>
      <c r="D121" t="s">
        <v>2030</v>
      </c>
      <c r="E121" t="s">
        <v>2038</v>
      </c>
      <c r="F121">
        <v>42</v>
      </c>
      <c r="G121" s="1">
        <v>45654</v>
      </c>
      <c r="H121" t="s">
        <v>2040</v>
      </c>
      <c r="I121" s="2">
        <v>53306.86</v>
      </c>
      <c r="J121">
        <v>2</v>
      </c>
      <c r="K121">
        <v>81.53</v>
      </c>
      <c r="L121">
        <v>1</v>
      </c>
      <c r="M121">
        <v>14</v>
      </c>
      <c r="N121">
        <v>33</v>
      </c>
      <c r="O121" t="s">
        <v>2052</v>
      </c>
      <c r="P121" t="s">
        <v>2062</v>
      </c>
      <c r="Q121" s="2">
        <f>Employee_Data[[#This Row],[Monthly Salary]]*12</f>
        <v>639682.32000000007</v>
      </c>
    </row>
    <row r="122" spans="1:17" x14ac:dyDescent="0.25">
      <c r="A122" t="s">
        <v>136</v>
      </c>
      <c r="B122" t="s">
        <v>1136</v>
      </c>
      <c r="C122" t="s">
        <v>2012</v>
      </c>
      <c r="D122" t="s">
        <v>2020</v>
      </c>
      <c r="E122" t="s">
        <v>2039</v>
      </c>
      <c r="F122">
        <v>36</v>
      </c>
      <c r="G122" s="1">
        <v>42729</v>
      </c>
      <c r="H122" t="s">
        <v>2040</v>
      </c>
      <c r="I122" s="2">
        <v>34644.42</v>
      </c>
      <c r="J122">
        <v>2</v>
      </c>
      <c r="K122">
        <v>83.47</v>
      </c>
      <c r="L122">
        <v>9</v>
      </c>
      <c r="M122">
        <v>19</v>
      </c>
      <c r="N122">
        <v>48</v>
      </c>
      <c r="O122" t="s">
        <v>2045</v>
      </c>
      <c r="P122" t="s">
        <v>2062</v>
      </c>
      <c r="Q122" s="2">
        <f>Employee_Data[[#This Row],[Monthly Salary]]*12</f>
        <v>415733.04</v>
      </c>
    </row>
    <row r="123" spans="1:17" x14ac:dyDescent="0.25">
      <c r="A123" t="s">
        <v>137</v>
      </c>
      <c r="B123" t="s">
        <v>1137</v>
      </c>
      <c r="C123" t="s">
        <v>2013</v>
      </c>
      <c r="D123" t="s">
        <v>2022</v>
      </c>
      <c r="E123" t="s">
        <v>2038</v>
      </c>
      <c r="F123">
        <v>57</v>
      </c>
      <c r="G123" s="1">
        <v>43839</v>
      </c>
      <c r="H123" t="s">
        <v>2041</v>
      </c>
      <c r="I123" s="2">
        <v>83529.83</v>
      </c>
      <c r="J123">
        <v>5</v>
      </c>
      <c r="K123">
        <v>86.46</v>
      </c>
      <c r="L123">
        <v>5</v>
      </c>
      <c r="M123">
        <v>80</v>
      </c>
      <c r="N123">
        <v>20</v>
      </c>
      <c r="O123" t="s">
        <v>2060</v>
      </c>
      <c r="P123" t="s">
        <v>2062</v>
      </c>
      <c r="Q123" s="2">
        <f>Employee_Data[[#This Row],[Monthly Salary]]*12</f>
        <v>1002357.96</v>
      </c>
    </row>
    <row r="124" spans="1:17" x14ac:dyDescent="0.25">
      <c r="A124" t="s">
        <v>138</v>
      </c>
      <c r="B124" t="s">
        <v>1138</v>
      </c>
      <c r="C124" t="s">
        <v>2013</v>
      </c>
      <c r="D124" t="s">
        <v>2022</v>
      </c>
      <c r="E124" t="s">
        <v>2038</v>
      </c>
      <c r="F124">
        <v>38</v>
      </c>
      <c r="G124" s="1">
        <v>43087</v>
      </c>
      <c r="H124" t="s">
        <v>2041</v>
      </c>
      <c r="I124" s="2">
        <v>25617.21</v>
      </c>
      <c r="J124">
        <v>5</v>
      </c>
      <c r="K124">
        <v>81.48</v>
      </c>
      <c r="L124">
        <v>8</v>
      </c>
      <c r="M124">
        <v>59</v>
      </c>
      <c r="N124">
        <v>28</v>
      </c>
      <c r="O124" t="s">
        <v>2049</v>
      </c>
      <c r="P124" t="s">
        <v>2062</v>
      </c>
      <c r="Q124" s="2">
        <f>Employee_Data[[#This Row],[Monthly Salary]]*12</f>
        <v>307406.52</v>
      </c>
    </row>
    <row r="125" spans="1:17" x14ac:dyDescent="0.25">
      <c r="A125" t="s">
        <v>139</v>
      </c>
      <c r="B125" t="s">
        <v>1139</v>
      </c>
      <c r="C125" t="s">
        <v>2011</v>
      </c>
      <c r="D125" t="s">
        <v>2019</v>
      </c>
      <c r="E125" t="s">
        <v>2039</v>
      </c>
      <c r="F125">
        <v>60</v>
      </c>
      <c r="G125" s="1">
        <v>45192</v>
      </c>
      <c r="H125" t="s">
        <v>2041</v>
      </c>
      <c r="I125" s="2">
        <v>70706.78</v>
      </c>
      <c r="J125">
        <v>4</v>
      </c>
      <c r="K125">
        <v>91.61</v>
      </c>
      <c r="L125">
        <v>2</v>
      </c>
      <c r="M125">
        <v>5</v>
      </c>
      <c r="N125">
        <v>28</v>
      </c>
      <c r="O125" t="s">
        <v>2043</v>
      </c>
      <c r="P125" t="s">
        <v>2062</v>
      </c>
      <c r="Q125" s="2">
        <f>Employee_Data[[#This Row],[Monthly Salary]]*12</f>
        <v>848481.36</v>
      </c>
    </row>
    <row r="126" spans="1:17" x14ac:dyDescent="0.25">
      <c r="A126" t="s">
        <v>140</v>
      </c>
      <c r="B126" t="s">
        <v>1140</v>
      </c>
      <c r="C126" t="s">
        <v>2012</v>
      </c>
      <c r="D126" t="s">
        <v>2020</v>
      </c>
      <c r="E126" t="s">
        <v>2039</v>
      </c>
      <c r="F126">
        <v>24</v>
      </c>
      <c r="G126" s="1">
        <v>43014</v>
      </c>
      <c r="H126" t="s">
        <v>2042</v>
      </c>
      <c r="I126" s="2">
        <v>30350.19</v>
      </c>
      <c r="J126">
        <v>3</v>
      </c>
      <c r="K126">
        <v>99.65</v>
      </c>
      <c r="L126">
        <v>8</v>
      </c>
      <c r="M126">
        <v>10</v>
      </c>
      <c r="N126">
        <v>32</v>
      </c>
      <c r="O126" t="s">
        <v>2048</v>
      </c>
      <c r="P126" t="s">
        <v>2062</v>
      </c>
      <c r="Q126" s="2">
        <f>Employee_Data[[#This Row],[Monthly Salary]]*12</f>
        <v>364202.27999999997</v>
      </c>
    </row>
    <row r="127" spans="1:17" x14ac:dyDescent="0.25">
      <c r="A127" t="s">
        <v>141</v>
      </c>
      <c r="B127" t="s">
        <v>1141</v>
      </c>
      <c r="C127" t="s">
        <v>2013</v>
      </c>
      <c r="D127" t="s">
        <v>2022</v>
      </c>
      <c r="E127" t="s">
        <v>2039</v>
      </c>
      <c r="F127">
        <v>44</v>
      </c>
      <c r="G127" s="1">
        <v>45898</v>
      </c>
      <c r="H127" t="s">
        <v>2042</v>
      </c>
      <c r="I127" s="2">
        <v>111793.68</v>
      </c>
      <c r="J127">
        <v>4</v>
      </c>
      <c r="K127">
        <v>88.18</v>
      </c>
      <c r="L127">
        <v>0</v>
      </c>
      <c r="M127">
        <v>43</v>
      </c>
      <c r="N127">
        <v>43</v>
      </c>
      <c r="O127" t="s">
        <v>2058</v>
      </c>
      <c r="P127" t="s">
        <v>2062</v>
      </c>
      <c r="Q127" s="2">
        <f>Employee_Data[[#This Row],[Monthly Salary]]*12</f>
        <v>1341524.1599999999</v>
      </c>
    </row>
    <row r="128" spans="1:17" x14ac:dyDescent="0.25">
      <c r="A128" t="s">
        <v>142</v>
      </c>
      <c r="B128" t="s">
        <v>1142</v>
      </c>
      <c r="C128" t="s">
        <v>2012</v>
      </c>
      <c r="D128" t="s">
        <v>2021</v>
      </c>
      <c r="E128" t="s">
        <v>2038</v>
      </c>
      <c r="F128">
        <v>27</v>
      </c>
      <c r="G128" s="1">
        <v>44635</v>
      </c>
      <c r="H128" t="s">
        <v>2041</v>
      </c>
      <c r="I128" s="2">
        <v>87837.93</v>
      </c>
      <c r="J128">
        <v>3</v>
      </c>
      <c r="K128">
        <v>85.04</v>
      </c>
      <c r="L128">
        <v>3</v>
      </c>
      <c r="M128">
        <v>77</v>
      </c>
      <c r="N128">
        <v>55</v>
      </c>
      <c r="O128" t="s">
        <v>2060</v>
      </c>
      <c r="P128" t="s">
        <v>2062</v>
      </c>
      <c r="Q128" s="2">
        <f>Employee_Data[[#This Row],[Monthly Salary]]*12</f>
        <v>1054055.1599999999</v>
      </c>
    </row>
    <row r="129" spans="1:17" x14ac:dyDescent="0.25">
      <c r="A129" t="s">
        <v>143</v>
      </c>
      <c r="B129" t="s">
        <v>1143</v>
      </c>
      <c r="C129" t="s">
        <v>2015</v>
      </c>
      <c r="D129" t="s">
        <v>2026</v>
      </c>
      <c r="E129" t="s">
        <v>2038</v>
      </c>
      <c r="F129">
        <v>46</v>
      </c>
      <c r="G129" s="1">
        <v>43812</v>
      </c>
      <c r="H129" t="s">
        <v>2040</v>
      </c>
      <c r="I129" s="2">
        <v>79504.12</v>
      </c>
      <c r="J129">
        <v>1</v>
      </c>
      <c r="K129">
        <v>86.19</v>
      </c>
      <c r="L129">
        <v>6</v>
      </c>
      <c r="M129">
        <v>48</v>
      </c>
      <c r="N129">
        <v>41</v>
      </c>
      <c r="O129" t="s">
        <v>2054</v>
      </c>
      <c r="P129" t="s">
        <v>2062</v>
      </c>
      <c r="Q129" s="2">
        <f>Employee_Data[[#This Row],[Monthly Salary]]*12</f>
        <v>954049.44</v>
      </c>
    </row>
    <row r="130" spans="1:17" x14ac:dyDescent="0.25">
      <c r="A130" t="s">
        <v>144</v>
      </c>
      <c r="B130" t="s">
        <v>1144</v>
      </c>
      <c r="C130" t="s">
        <v>2009</v>
      </c>
      <c r="D130" t="s">
        <v>2036</v>
      </c>
      <c r="E130" t="s">
        <v>2038</v>
      </c>
      <c r="F130">
        <v>53</v>
      </c>
      <c r="G130" s="1">
        <v>43055</v>
      </c>
      <c r="H130" t="s">
        <v>2042</v>
      </c>
      <c r="I130" s="2">
        <v>21823.05</v>
      </c>
      <c r="J130">
        <v>3</v>
      </c>
      <c r="K130">
        <v>83.61</v>
      </c>
      <c r="L130">
        <v>8</v>
      </c>
      <c r="M130">
        <v>27</v>
      </c>
      <c r="N130">
        <v>21</v>
      </c>
      <c r="O130" t="s">
        <v>2050</v>
      </c>
      <c r="P130" t="s">
        <v>2062</v>
      </c>
      <c r="Q130" s="2">
        <f>Employee_Data[[#This Row],[Monthly Salary]]*12</f>
        <v>261876.59999999998</v>
      </c>
    </row>
    <row r="131" spans="1:17" x14ac:dyDescent="0.25">
      <c r="A131" t="s">
        <v>145</v>
      </c>
      <c r="B131" t="s">
        <v>1145</v>
      </c>
      <c r="C131" t="s">
        <v>2015</v>
      </c>
      <c r="D131" t="s">
        <v>2033</v>
      </c>
      <c r="E131" t="s">
        <v>2039</v>
      </c>
      <c r="F131">
        <v>39</v>
      </c>
      <c r="G131" s="1">
        <v>45613</v>
      </c>
      <c r="H131" t="s">
        <v>2040</v>
      </c>
      <c r="I131" s="2">
        <v>70768.97</v>
      </c>
      <c r="J131">
        <v>5</v>
      </c>
      <c r="K131">
        <v>96.7</v>
      </c>
      <c r="L131">
        <v>1</v>
      </c>
      <c r="M131">
        <v>67</v>
      </c>
      <c r="N131">
        <v>2</v>
      </c>
      <c r="O131" t="s">
        <v>2054</v>
      </c>
      <c r="P131" t="s">
        <v>2063</v>
      </c>
      <c r="Q131" s="2">
        <f>Employee_Data[[#This Row],[Monthly Salary]]*12</f>
        <v>849227.64</v>
      </c>
    </row>
    <row r="132" spans="1:17" x14ac:dyDescent="0.25">
      <c r="A132" t="s">
        <v>146</v>
      </c>
      <c r="B132" t="s">
        <v>1146</v>
      </c>
      <c r="C132" t="s">
        <v>2015</v>
      </c>
      <c r="D132" t="s">
        <v>2027</v>
      </c>
      <c r="E132" t="s">
        <v>2038</v>
      </c>
      <c r="F132">
        <v>30</v>
      </c>
      <c r="G132" s="1">
        <v>44423</v>
      </c>
      <c r="H132" t="s">
        <v>2040</v>
      </c>
      <c r="I132" s="2">
        <v>38084.6</v>
      </c>
      <c r="J132">
        <v>5</v>
      </c>
      <c r="K132">
        <v>96.18</v>
      </c>
      <c r="L132">
        <v>4</v>
      </c>
      <c r="M132">
        <v>21</v>
      </c>
      <c r="N132">
        <v>46</v>
      </c>
      <c r="O132" t="s">
        <v>2056</v>
      </c>
      <c r="P132" t="s">
        <v>2062</v>
      </c>
      <c r="Q132" s="2">
        <f>Employee_Data[[#This Row],[Monthly Salary]]*12</f>
        <v>457015.19999999995</v>
      </c>
    </row>
    <row r="133" spans="1:17" x14ac:dyDescent="0.25">
      <c r="A133" t="s">
        <v>147</v>
      </c>
      <c r="B133" t="s">
        <v>1147</v>
      </c>
      <c r="C133" t="s">
        <v>2012</v>
      </c>
      <c r="D133" t="s">
        <v>2021</v>
      </c>
      <c r="E133" t="s">
        <v>2038</v>
      </c>
      <c r="F133">
        <v>60</v>
      </c>
      <c r="G133" s="1">
        <v>44996</v>
      </c>
      <c r="H133" t="s">
        <v>2042</v>
      </c>
      <c r="I133" s="2">
        <v>95239.12</v>
      </c>
      <c r="J133">
        <v>4</v>
      </c>
      <c r="K133">
        <v>84.68</v>
      </c>
      <c r="L133">
        <v>2</v>
      </c>
      <c r="M133">
        <v>30</v>
      </c>
      <c r="N133">
        <v>19</v>
      </c>
      <c r="O133" t="s">
        <v>2050</v>
      </c>
      <c r="P133" t="s">
        <v>2063</v>
      </c>
      <c r="Q133" s="2">
        <f>Employee_Data[[#This Row],[Monthly Salary]]*12</f>
        <v>1142869.44</v>
      </c>
    </row>
    <row r="134" spans="1:17" x14ac:dyDescent="0.25">
      <c r="A134" t="s">
        <v>148</v>
      </c>
      <c r="B134" t="s">
        <v>1148</v>
      </c>
      <c r="C134" t="s">
        <v>2014</v>
      </c>
      <c r="D134" t="s">
        <v>2029</v>
      </c>
      <c r="E134" t="s">
        <v>2038</v>
      </c>
      <c r="F134">
        <v>50</v>
      </c>
      <c r="G134" s="1">
        <v>43253</v>
      </c>
      <c r="H134" t="s">
        <v>2042</v>
      </c>
      <c r="I134" s="2">
        <v>97812.4</v>
      </c>
      <c r="J134">
        <v>5</v>
      </c>
      <c r="K134">
        <v>90.55</v>
      </c>
      <c r="L134">
        <v>7</v>
      </c>
      <c r="M134">
        <v>20</v>
      </c>
      <c r="N134">
        <v>52</v>
      </c>
      <c r="O134" t="s">
        <v>2059</v>
      </c>
      <c r="P134" t="s">
        <v>2062</v>
      </c>
      <c r="Q134" s="2">
        <f>Employee_Data[[#This Row],[Monthly Salary]]*12</f>
        <v>1173748.7999999998</v>
      </c>
    </row>
    <row r="135" spans="1:17" x14ac:dyDescent="0.25">
      <c r="A135" t="s">
        <v>149</v>
      </c>
      <c r="B135" t="s">
        <v>1149</v>
      </c>
      <c r="C135" t="s">
        <v>2015</v>
      </c>
      <c r="D135" t="s">
        <v>2026</v>
      </c>
      <c r="E135" t="s">
        <v>2039</v>
      </c>
      <c r="F135">
        <v>51</v>
      </c>
      <c r="G135" s="1">
        <v>43981</v>
      </c>
      <c r="H135" t="s">
        <v>2042</v>
      </c>
      <c r="I135" s="2">
        <v>75454.070000000007</v>
      </c>
      <c r="J135">
        <v>1</v>
      </c>
      <c r="K135">
        <v>94.23</v>
      </c>
      <c r="L135">
        <v>5</v>
      </c>
      <c r="M135">
        <v>66</v>
      </c>
      <c r="N135">
        <v>54</v>
      </c>
      <c r="O135" t="s">
        <v>2047</v>
      </c>
      <c r="P135" t="s">
        <v>2062</v>
      </c>
      <c r="Q135" s="2">
        <f>Employee_Data[[#This Row],[Monthly Salary]]*12</f>
        <v>905448.84000000008</v>
      </c>
    </row>
    <row r="136" spans="1:17" x14ac:dyDescent="0.25">
      <c r="A136" t="s">
        <v>150</v>
      </c>
      <c r="B136" t="s">
        <v>1150</v>
      </c>
      <c r="C136" t="s">
        <v>2015</v>
      </c>
      <c r="D136" t="s">
        <v>2026</v>
      </c>
      <c r="E136" t="s">
        <v>2038</v>
      </c>
      <c r="F136">
        <v>53</v>
      </c>
      <c r="G136" s="1">
        <v>45191</v>
      </c>
      <c r="H136" t="s">
        <v>2040</v>
      </c>
      <c r="I136" s="2">
        <v>103104.67</v>
      </c>
      <c r="J136">
        <v>1</v>
      </c>
      <c r="K136">
        <v>98.93</v>
      </c>
      <c r="L136">
        <v>2</v>
      </c>
      <c r="M136">
        <v>28</v>
      </c>
      <c r="N136">
        <v>52</v>
      </c>
      <c r="O136" t="s">
        <v>2056</v>
      </c>
      <c r="P136" t="s">
        <v>2063</v>
      </c>
      <c r="Q136" s="2">
        <f>Employee_Data[[#This Row],[Monthly Salary]]*12</f>
        <v>1237256.04</v>
      </c>
    </row>
    <row r="137" spans="1:17" x14ac:dyDescent="0.25">
      <c r="A137" t="s">
        <v>151</v>
      </c>
      <c r="B137" t="s">
        <v>1151</v>
      </c>
      <c r="C137" t="s">
        <v>2010</v>
      </c>
      <c r="D137" t="s">
        <v>2024</v>
      </c>
      <c r="E137" t="s">
        <v>2039</v>
      </c>
      <c r="F137">
        <v>46</v>
      </c>
      <c r="G137" s="1">
        <v>43828</v>
      </c>
      <c r="H137" t="s">
        <v>2041</v>
      </c>
      <c r="I137" s="2">
        <v>57396.15</v>
      </c>
      <c r="J137">
        <v>4</v>
      </c>
      <c r="K137">
        <v>99.89</v>
      </c>
      <c r="L137">
        <v>6</v>
      </c>
      <c r="M137">
        <v>47</v>
      </c>
      <c r="N137">
        <v>14</v>
      </c>
      <c r="O137" t="s">
        <v>2057</v>
      </c>
      <c r="P137" t="s">
        <v>2062</v>
      </c>
      <c r="Q137" s="2">
        <f>Employee_Data[[#This Row],[Monthly Salary]]*12</f>
        <v>688753.8</v>
      </c>
    </row>
    <row r="138" spans="1:17" x14ac:dyDescent="0.25">
      <c r="A138" t="s">
        <v>152</v>
      </c>
      <c r="B138" t="s">
        <v>1152</v>
      </c>
      <c r="C138" t="s">
        <v>2009</v>
      </c>
      <c r="D138" t="s">
        <v>2036</v>
      </c>
      <c r="E138" t="s">
        <v>2038</v>
      </c>
      <c r="F138">
        <v>30</v>
      </c>
      <c r="G138" s="1">
        <v>43818</v>
      </c>
      <c r="H138" t="s">
        <v>2040</v>
      </c>
      <c r="I138" s="2">
        <v>23830.32</v>
      </c>
      <c r="J138">
        <v>4</v>
      </c>
      <c r="K138">
        <v>93.92</v>
      </c>
      <c r="L138">
        <v>6</v>
      </c>
      <c r="M138">
        <v>17</v>
      </c>
      <c r="N138">
        <v>48</v>
      </c>
      <c r="O138" t="s">
        <v>2050</v>
      </c>
      <c r="P138" t="s">
        <v>2062</v>
      </c>
      <c r="Q138" s="2">
        <f>Employee_Data[[#This Row],[Monthly Salary]]*12</f>
        <v>285963.83999999997</v>
      </c>
    </row>
    <row r="139" spans="1:17" x14ac:dyDescent="0.25">
      <c r="A139" t="s">
        <v>153</v>
      </c>
      <c r="B139" t="s">
        <v>1153</v>
      </c>
      <c r="C139" t="s">
        <v>2010</v>
      </c>
      <c r="D139" t="s">
        <v>2018</v>
      </c>
      <c r="E139" t="s">
        <v>2039</v>
      </c>
      <c r="F139">
        <v>37</v>
      </c>
      <c r="G139" s="1">
        <v>44393</v>
      </c>
      <c r="H139" t="s">
        <v>2040</v>
      </c>
      <c r="I139" s="2">
        <v>103496.31</v>
      </c>
      <c r="J139">
        <v>5</v>
      </c>
      <c r="K139">
        <v>98.8</v>
      </c>
      <c r="L139">
        <v>4</v>
      </c>
      <c r="M139">
        <v>77</v>
      </c>
      <c r="N139">
        <v>33</v>
      </c>
      <c r="O139" t="s">
        <v>1505</v>
      </c>
      <c r="P139" t="s">
        <v>2062</v>
      </c>
      <c r="Q139" s="2">
        <f>Employee_Data[[#This Row],[Monthly Salary]]*12</f>
        <v>1241955.72</v>
      </c>
    </row>
    <row r="140" spans="1:17" x14ac:dyDescent="0.25">
      <c r="A140" t="s">
        <v>154</v>
      </c>
      <c r="B140" t="s">
        <v>1154</v>
      </c>
      <c r="C140" t="s">
        <v>2011</v>
      </c>
      <c r="D140" t="s">
        <v>2019</v>
      </c>
      <c r="E140" t="s">
        <v>2038</v>
      </c>
      <c r="F140">
        <v>28</v>
      </c>
      <c r="G140" s="1">
        <v>43621</v>
      </c>
      <c r="H140" t="s">
        <v>2040</v>
      </c>
      <c r="I140" s="2">
        <v>43843.95</v>
      </c>
      <c r="J140">
        <v>5</v>
      </c>
      <c r="K140">
        <v>89.14</v>
      </c>
      <c r="L140">
        <v>6</v>
      </c>
      <c r="M140">
        <v>14</v>
      </c>
      <c r="N140">
        <v>53</v>
      </c>
      <c r="O140" t="s">
        <v>2050</v>
      </c>
      <c r="P140" t="s">
        <v>2062</v>
      </c>
      <c r="Q140" s="2">
        <f>Employee_Data[[#This Row],[Monthly Salary]]*12</f>
        <v>526127.39999999991</v>
      </c>
    </row>
    <row r="141" spans="1:17" x14ac:dyDescent="0.25">
      <c r="A141" t="s">
        <v>155</v>
      </c>
      <c r="B141" t="s">
        <v>1155</v>
      </c>
      <c r="C141" t="s">
        <v>2010</v>
      </c>
      <c r="D141" t="s">
        <v>2037</v>
      </c>
      <c r="E141" t="s">
        <v>2039</v>
      </c>
      <c r="F141">
        <v>30</v>
      </c>
      <c r="G141" s="1">
        <v>44019</v>
      </c>
      <c r="H141" t="s">
        <v>2042</v>
      </c>
      <c r="I141" s="2">
        <v>62923.89</v>
      </c>
      <c r="J141">
        <v>5</v>
      </c>
      <c r="K141">
        <v>87.06</v>
      </c>
      <c r="L141">
        <v>5</v>
      </c>
      <c r="M141">
        <v>73</v>
      </c>
      <c r="N141">
        <v>26</v>
      </c>
      <c r="O141" t="s">
        <v>2048</v>
      </c>
      <c r="P141" t="s">
        <v>2062</v>
      </c>
      <c r="Q141" s="2">
        <f>Employee_Data[[#This Row],[Monthly Salary]]*12</f>
        <v>755086.67999999993</v>
      </c>
    </row>
    <row r="142" spans="1:17" x14ac:dyDescent="0.25">
      <c r="A142" t="s">
        <v>156</v>
      </c>
      <c r="B142" t="s">
        <v>1156</v>
      </c>
      <c r="C142" t="s">
        <v>2009</v>
      </c>
      <c r="D142" t="s">
        <v>2036</v>
      </c>
      <c r="E142" t="s">
        <v>2038</v>
      </c>
      <c r="F142">
        <v>25</v>
      </c>
      <c r="G142" s="1">
        <v>43802</v>
      </c>
      <c r="H142" t="s">
        <v>2041</v>
      </c>
      <c r="I142" s="2">
        <v>74408.2</v>
      </c>
      <c r="J142">
        <v>5</v>
      </c>
      <c r="K142">
        <v>91.08</v>
      </c>
      <c r="L142">
        <v>6</v>
      </c>
      <c r="M142">
        <v>49</v>
      </c>
      <c r="N142">
        <v>55</v>
      </c>
      <c r="O142" t="s">
        <v>2050</v>
      </c>
      <c r="P142" t="s">
        <v>2062</v>
      </c>
      <c r="Q142" s="2">
        <f>Employee_Data[[#This Row],[Monthly Salary]]*12</f>
        <v>892898.39999999991</v>
      </c>
    </row>
    <row r="143" spans="1:17" x14ac:dyDescent="0.25">
      <c r="A143" t="s">
        <v>157</v>
      </c>
      <c r="B143" t="s">
        <v>1157</v>
      </c>
      <c r="C143" t="s">
        <v>2016</v>
      </c>
      <c r="D143" t="s">
        <v>2034</v>
      </c>
      <c r="E143" t="s">
        <v>2038</v>
      </c>
      <c r="F143">
        <v>22</v>
      </c>
      <c r="G143" s="1">
        <v>45261</v>
      </c>
      <c r="H143" t="s">
        <v>2042</v>
      </c>
      <c r="I143" s="2">
        <v>98852</v>
      </c>
      <c r="J143">
        <v>3</v>
      </c>
      <c r="K143">
        <v>84.82</v>
      </c>
      <c r="L143">
        <v>2</v>
      </c>
      <c r="M143">
        <v>80</v>
      </c>
      <c r="N143">
        <v>6</v>
      </c>
      <c r="O143" t="s">
        <v>2043</v>
      </c>
      <c r="P143" t="s">
        <v>2062</v>
      </c>
      <c r="Q143" s="2">
        <f>Employee_Data[[#This Row],[Monthly Salary]]*12</f>
        <v>1186224</v>
      </c>
    </row>
    <row r="144" spans="1:17" x14ac:dyDescent="0.25">
      <c r="A144" t="s">
        <v>158</v>
      </c>
      <c r="B144" t="s">
        <v>1158</v>
      </c>
      <c r="C144" t="s">
        <v>2012</v>
      </c>
      <c r="D144" t="s">
        <v>2021</v>
      </c>
      <c r="E144" t="s">
        <v>2039</v>
      </c>
      <c r="F144">
        <v>43</v>
      </c>
      <c r="G144" s="1">
        <v>42881</v>
      </c>
      <c r="H144" t="s">
        <v>2041</v>
      </c>
      <c r="I144" s="2">
        <v>53854.73</v>
      </c>
      <c r="J144">
        <v>2</v>
      </c>
      <c r="K144">
        <v>96.61</v>
      </c>
      <c r="L144">
        <v>8</v>
      </c>
      <c r="M144">
        <v>59</v>
      </c>
      <c r="N144">
        <v>44</v>
      </c>
      <c r="O144" t="s">
        <v>2050</v>
      </c>
      <c r="P144" t="s">
        <v>2062</v>
      </c>
      <c r="Q144" s="2">
        <f>Employee_Data[[#This Row],[Monthly Salary]]*12</f>
        <v>646256.76</v>
      </c>
    </row>
    <row r="145" spans="1:17" x14ac:dyDescent="0.25">
      <c r="A145" t="s">
        <v>159</v>
      </c>
      <c r="B145" t="s">
        <v>1159</v>
      </c>
      <c r="C145" t="s">
        <v>2015</v>
      </c>
      <c r="D145" t="s">
        <v>2033</v>
      </c>
      <c r="E145" t="s">
        <v>2038</v>
      </c>
      <c r="F145">
        <v>23</v>
      </c>
      <c r="G145" s="1">
        <v>45916</v>
      </c>
      <c r="H145" t="s">
        <v>2042</v>
      </c>
      <c r="I145" s="2">
        <v>40159.1</v>
      </c>
      <c r="J145">
        <v>2</v>
      </c>
      <c r="K145">
        <v>97.72</v>
      </c>
      <c r="L145">
        <v>0</v>
      </c>
      <c r="M145">
        <v>40</v>
      </c>
      <c r="N145">
        <v>59</v>
      </c>
      <c r="O145" t="s">
        <v>2051</v>
      </c>
      <c r="P145" t="s">
        <v>2062</v>
      </c>
      <c r="Q145" s="2">
        <f>Employee_Data[[#This Row],[Monthly Salary]]*12</f>
        <v>481909.19999999995</v>
      </c>
    </row>
    <row r="146" spans="1:17" x14ac:dyDescent="0.25">
      <c r="A146" t="s">
        <v>160</v>
      </c>
      <c r="B146" t="s">
        <v>1160</v>
      </c>
      <c r="C146" t="s">
        <v>2013</v>
      </c>
      <c r="D146" t="s">
        <v>2022</v>
      </c>
      <c r="E146" t="s">
        <v>2039</v>
      </c>
      <c r="F146">
        <v>33</v>
      </c>
      <c r="G146" s="1">
        <v>45722</v>
      </c>
      <c r="H146" t="s">
        <v>2042</v>
      </c>
      <c r="I146" s="2">
        <v>55697.42</v>
      </c>
      <c r="J146">
        <v>1</v>
      </c>
      <c r="K146">
        <v>97.32</v>
      </c>
      <c r="L146">
        <v>0</v>
      </c>
      <c r="M146">
        <v>42</v>
      </c>
      <c r="N146">
        <v>17</v>
      </c>
      <c r="O146" t="s">
        <v>2047</v>
      </c>
      <c r="P146" t="s">
        <v>2062</v>
      </c>
      <c r="Q146" s="2">
        <f>Employee_Data[[#This Row],[Monthly Salary]]*12</f>
        <v>668369.04</v>
      </c>
    </row>
    <row r="147" spans="1:17" x14ac:dyDescent="0.25">
      <c r="A147" t="s">
        <v>161</v>
      </c>
      <c r="B147" t="s">
        <v>1161</v>
      </c>
      <c r="C147" t="s">
        <v>2016</v>
      </c>
      <c r="D147" t="s">
        <v>2034</v>
      </c>
      <c r="E147" t="s">
        <v>2038</v>
      </c>
      <c r="F147">
        <v>45</v>
      </c>
      <c r="G147" s="1">
        <v>43865</v>
      </c>
      <c r="H147" t="s">
        <v>2042</v>
      </c>
      <c r="I147" s="2">
        <v>117372.36</v>
      </c>
      <c r="J147">
        <v>4</v>
      </c>
      <c r="K147">
        <v>93.84</v>
      </c>
      <c r="L147">
        <v>5</v>
      </c>
      <c r="M147">
        <v>47</v>
      </c>
      <c r="N147">
        <v>59</v>
      </c>
      <c r="O147" t="s">
        <v>2052</v>
      </c>
      <c r="P147" t="s">
        <v>2062</v>
      </c>
      <c r="Q147" s="2">
        <f>Employee_Data[[#This Row],[Monthly Salary]]*12</f>
        <v>1408468.32</v>
      </c>
    </row>
    <row r="148" spans="1:17" x14ac:dyDescent="0.25">
      <c r="A148" t="s">
        <v>162</v>
      </c>
      <c r="B148" t="s">
        <v>1162</v>
      </c>
      <c r="C148" t="s">
        <v>2009</v>
      </c>
      <c r="D148" t="s">
        <v>2036</v>
      </c>
      <c r="E148" t="s">
        <v>2038</v>
      </c>
      <c r="F148">
        <v>26</v>
      </c>
      <c r="G148" s="1">
        <v>45632</v>
      </c>
      <c r="H148" t="s">
        <v>2042</v>
      </c>
      <c r="I148" s="2">
        <v>80245.33</v>
      </c>
      <c r="J148">
        <v>2</v>
      </c>
      <c r="K148">
        <v>90.91</v>
      </c>
      <c r="L148">
        <v>1</v>
      </c>
      <c r="M148">
        <v>41</v>
      </c>
      <c r="N148">
        <v>6</v>
      </c>
      <c r="O148" t="s">
        <v>2045</v>
      </c>
      <c r="P148" t="s">
        <v>2062</v>
      </c>
      <c r="Q148" s="2">
        <f>Employee_Data[[#This Row],[Monthly Salary]]*12</f>
        <v>962943.96</v>
      </c>
    </row>
    <row r="149" spans="1:17" x14ac:dyDescent="0.25">
      <c r="A149" t="s">
        <v>163</v>
      </c>
      <c r="B149" t="s">
        <v>1163</v>
      </c>
      <c r="C149" t="s">
        <v>2011</v>
      </c>
      <c r="D149" t="s">
        <v>2035</v>
      </c>
      <c r="E149" t="s">
        <v>2038</v>
      </c>
      <c r="F149">
        <v>59</v>
      </c>
      <c r="G149" s="1">
        <v>45311</v>
      </c>
      <c r="H149" t="s">
        <v>2041</v>
      </c>
      <c r="I149" s="2">
        <v>62611.61</v>
      </c>
      <c r="J149">
        <v>4</v>
      </c>
      <c r="K149">
        <v>87.03</v>
      </c>
      <c r="L149">
        <v>1</v>
      </c>
      <c r="M149">
        <v>5</v>
      </c>
      <c r="N149">
        <v>46</v>
      </c>
      <c r="O149" t="s">
        <v>2053</v>
      </c>
      <c r="P149" t="s">
        <v>2062</v>
      </c>
      <c r="Q149" s="2">
        <f>Employee_Data[[#This Row],[Monthly Salary]]*12</f>
        <v>751339.32000000007</v>
      </c>
    </row>
    <row r="150" spans="1:17" x14ac:dyDescent="0.25">
      <c r="A150" t="s">
        <v>164</v>
      </c>
      <c r="B150" t="s">
        <v>1164</v>
      </c>
      <c r="C150" t="s">
        <v>2016</v>
      </c>
      <c r="D150" t="s">
        <v>2034</v>
      </c>
      <c r="E150" t="s">
        <v>2039</v>
      </c>
      <c r="F150">
        <v>25</v>
      </c>
      <c r="G150" s="1">
        <v>44061</v>
      </c>
      <c r="H150" t="s">
        <v>2041</v>
      </c>
      <c r="I150" s="2">
        <v>83751.25</v>
      </c>
      <c r="J150">
        <v>3</v>
      </c>
      <c r="K150">
        <v>90.26</v>
      </c>
      <c r="L150">
        <v>5</v>
      </c>
      <c r="M150">
        <v>20</v>
      </c>
      <c r="N150">
        <v>60</v>
      </c>
      <c r="O150" t="s">
        <v>2057</v>
      </c>
      <c r="P150" t="s">
        <v>2062</v>
      </c>
      <c r="Q150" s="2">
        <f>Employee_Data[[#This Row],[Monthly Salary]]*12</f>
        <v>1005015</v>
      </c>
    </row>
    <row r="151" spans="1:17" x14ac:dyDescent="0.25">
      <c r="A151" t="s">
        <v>165</v>
      </c>
      <c r="B151" t="s">
        <v>1165</v>
      </c>
      <c r="C151" t="s">
        <v>2013</v>
      </c>
      <c r="D151" t="s">
        <v>2025</v>
      </c>
      <c r="E151" t="s">
        <v>2039</v>
      </c>
      <c r="F151">
        <v>25</v>
      </c>
      <c r="G151" s="1">
        <v>44181</v>
      </c>
      <c r="H151" t="s">
        <v>2040</v>
      </c>
      <c r="I151" s="2">
        <v>97851.54</v>
      </c>
      <c r="J151">
        <v>3</v>
      </c>
      <c r="K151">
        <v>87.24</v>
      </c>
      <c r="L151">
        <v>5</v>
      </c>
      <c r="M151">
        <v>72</v>
      </c>
      <c r="N151">
        <v>2</v>
      </c>
      <c r="O151" t="s">
        <v>2058</v>
      </c>
      <c r="P151" t="s">
        <v>2062</v>
      </c>
      <c r="Q151" s="2">
        <f>Employee_Data[[#This Row],[Monthly Salary]]*12</f>
        <v>1174218.48</v>
      </c>
    </row>
    <row r="152" spans="1:17" x14ac:dyDescent="0.25">
      <c r="A152" t="s">
        <v>166</v>
      </c>
      <c r="B152" t="s">
        <v>1166</v>
      </c>
      <c r="C152" t="s">
        <v>2013</v>
      </c>
      <c r="D152" t="s">
        <v>2022</v>
      </c>
      <c r="E152" t="s">
        <v>2038</v>
      </c>
      <c r="F152">
        <v>49</v>
      </c>
      <c r="G152" s="1">
        <v>42641</v>
      </c>
      <c r="H152" t="s">
        <v>2040</v>
      </c>
      <c r="I152" s="2">
        <v>77392.179999999993</v>
      </c>
      <c r="J152">
        <v>5</v>
      </c>
      <c r="K152">
        <v>87.34</v>
      </c>
      <c r="L152">
        <v>9</v>
      </c>
      <c r="M152">
        <v>40</v>
      </c>
      <c r="N152">
        <v>41</v>
      </c>
      <c r="O152" t="s">
        <v>2055</v>
      </c>
      <c r="P152" t="s">
        <v>2062</v>
      </c>
      <c r="Q152" s="2">
        <f>Employee_Data[[#This Row],[Monthly Salary]]*12</f>
        <v>928706.15999999992</v>
      </c>
    </row>
    <row r="153" spans="1:17" x14ac:dyDescent="0.25">
      <c r="A153" t="s">
        <v>167</v>
      </c>
      <c r="B153" t="s">
        <v>1167</v>
      </c>
      <c r="C153" t="s">
        <v>2009</v>
      </c>
      <c r="D153" t="s">
        <v>2017</v>
      </c>
      <c r="E153" t="s">
        <v>2039</v>
      </c>
      <c r="F153">
        <v>52</v>
      </c>
      <c r="G153" s="1">
        <v>45353</v>
      </c>
      <c r="H153" t="s">
        <v>2041</v>
      </c>
      <c r="I153" s="2">
        <v>58698.74</v>
      </c>
      <c r="J153">
        <v>5</v>
      </c>
      <c r="K153">
        <v>82.36</v>
      </c>
      <c r="L153">
        <v>1</v>
      </c>
      <c r="M153">
        <v>33</v>
      </c>
      <c r="N153">
        <v>45</v>
      </c>
      <c r="O153" t="s">
        <v>2056</v>
      </c>
      <c r="P153" t="s">
        <v>2062</v>
      </c>
      <c r="Q153" s="2">
        <f>Employee_Data[[#This Row],[Monthly Salary]]*12</f>
        <v>704384.88</v>
      </c>
    </row>
    <row r="154" spans="1:17" x14ac:dyDescent="0.25">
      <c r="A154" t="s">
        <v>168</v>
      </c>
      <c r="B154" t="s">
        <v>1168</v>
      </c>
      <c r="C154" t="s">
        <v>2011</v>
      </c>
      <c r="D154" t="s">
        <v>2031</v>
      </c>
      <c r="E154" t="s">
        <v>2038</v>
      </c>
      <c r="F154">
        <v>33</v>
      </c>
      <c r="G154" s="1">
        <v>45277</v>
      </c>
      <c r="H154" t="s">
        <v>2040</v>
      </c>
      <c r="I154" s="2">
        <v>33572.839999999997</v>
      </c>
      <c r="J154">
        <v>1</v>
      </c>
      <c r="K154">
        <v>89.04</v>
      </c>
      <c r="L154">
        <v>2</v>
      </c>
      <c r="M154">
        <v>56</v>
      </c>
      <c r="N154">
        <v>5</v>
      </c>
      <c r="O154" t="s">
        <v>2054</v>
      </c>
      <c r="P154" t="s">
        <v>2062</v>
      </c>
      <c r="Q154" s="2">
        <f>Employee_Data[[#This Row],[Monthly Salary]]*12</f>
        <v>402874.07999999996</v>
      </c>
    </row>
    <row r="155" spans="1:17" x14ac:dyDescent="0.25">
      <c r="A155" t="s">
        <v>169</v>
      </c>
      <c r="B155" t="s">
        <v>1169</v>
      </c>
      <c r="C155" t="s">
        <v>2009</v>
      </c>
      <c r="D155" t="s">
        <v>2036</v>
      </c>
      <c r="E155" t="s">
        <v>2038</v>
      </c>
      <c r="F155">
        <v>40</v>
      </c>
      <c r="G155" s="1">
        <v>45271</v>
      </c>
      <c r="H155" t="s">
        <v>2040</v>
      </c>
      <c r="I155" s="2">
        <v>91180.91</v>
      </c>
      <c r="J155">
        <v>2</v>
      </c>
      <c r="K155">
        <v>95.87</v>
      </c>
      <c r="L155">
        <v>2</v>
      </c>
      <c r="M155">
        <v>65</v>
      </c>
      <c r="N155">
        <v>14</v>
      </c>
      <c r="O155" t="s">
        <v>2047</v>
      </c>
      <c r="P155" t="s">
        <v>2063</v>
      </c>
      <c r="Q155" s="2">
        <f>Employee_Data[[#This Row],[Monthly Salary]]*12</f>
        <v>1094170.92</v>
      </c>
    </row>
    <row r="156" spans="1:17" x14ac:dyDescent="0.25">
      <c r="A156" t="s">
        <v>170</v>
      </c>
      <c r="B156" t="s">
        <v>1170</v>
      </c>
      <c r="C156" t="s">
        <v>2015</v>
      </c>
      <c r="D156" t="s">
        <v>2033</v>
      </c>
      <c r="E156" t="s">
        <v>2038</v>
      </c>
      <c r="F156">
        <v>22</v>
      </c>
      <c r="G156" s="1">
        <v>45888</v>
      </c>
      <c r="H156" t="s">
        <v>2042</v>
      </c>
      <c r="I156" s="2">
        <v>75402.14</v>
      </c>
      <c r="J156">
        <v>3</v>
      </c>
      <c r="K156">
        <v>89.35</v>
      </c>
      <c r="L156">
        <v>0</v>
      </c>
      <c r="M156">
        <v>70</v>
      </c>
      <c r="N156">
        <v>8</v>
      </c>
      <c r="O156" t="s">
        <v>2058</v>
      </c>
      <c r="P156" t="s">
        <v>2063</v>
      </c>
      <c r="Q156" s="2">
        <f>Employee_Data[[#This Row],[Monthly Salary]]*12</f>
        <v>904825.67999999993</v>
      </c>
    </row>
    <row r="157" spans="1:17" x14ac:dyDescent="0.25">
      <c r="A157" t="s">
        <v>171</v>
      </c>
      <c r="B157" t="s">
        <v>1171</v>
      </c>
      <c r="C157" t="s">
        <v>2009</v>
      </c>
      <c r="D157" t="s">
        <v>2030</v>
      </c>
      <c r="E157" t="s">
        <v>2038</v>
      </c>
      <c r="F157">
        <v>51</v>
      </c>
      <c r="G157" s="1">
        <v>45800</v>
      </c>
      <c r="H157" t="s">
        <v>2041</v>
      </c>
      <c r="I157" s="2">
        <v>61079.51</v>
      </c>
      <c r="J157">
        <v>4</v>
      </c>
      <c r="K157">
        <v>96.47</v>
      </c>
      <c r="L157">
        <v>0</v>
      </c>
      <c r="M157">
        <v>9</v>
      </c>
      <c r="N157">
        <v>8</v>
      </c>
      <c r="O157" t="s">
        <v>2054</v>
      </c>
      <c r="P157" t="s">
        <v>2062</v>
      </c>
      <c r="Q157" s="2">
        <f>Employee_Data[[#This Row],[Monthly Salary]]*12</f>
        <v>732954.12</v>
      </c>
    </row>
    <row r="158" spans="1:17" x14ac:dyDescent="0.25">
      <c r="A158" t="s">
        <v>172</v>
      </c>
      <c r="B158" t="s">
        <v>1172</v>
      </c>
      <c r="C158" t="s">
        <v>2013</v>
      </c>
      <c r="D158" t="s">
        <v>2022</v>
      </c>
      <c r="E158" t="s">
        <v>2038</v>
      </c>
      <c r="F158">
        <v>29</v>
      </c>
      <c r="G158" s="1">
        <v>45770</v>
      </c>
      <c r="H158" t="s">
        <v>2041</v>
      </c>
      <c r="I158" s="2">
        <v>83979.39</v>
      </c>
      <c r="J158">
        <v>2</v>
      </c>
      <c r="K158">
        <v>95.36</v>
      </c>
      <c r="L158">
        <v>0</v>
      </c>
      <c r="M158">
        <v>16</v>
      </c>
      <c r="N158">
        <v>27</v>
      </c>
      <c r="O158" t="s">
        <v>2052</v>
      </c>
      <c r="P158" t="s">
        <v>2063</v>
      </c>
      <c r="Q158" s="2">
        <f>Employee_Data[[#This Row],[Monthly Salary]]*12</f>
        <v>1007752.6799999999</v>
      </c>
    </row>
    <row r="159" spans="1:17" x14ac:dyDescent="0.25">
      <c r="A159" t="s">
        <v>173</v>
      </c>
      <c r="B159" t="s">
        <v>1173</v>
      </c>
      <c r="C159" t="s">
        <v>2010</v>
      </c>
      <c r="D159" t="s">
        <v>2018</v>
      </c>
      <c r="E159" t="s">
        <v>2039</v>
      </c>
      <c r="F159">
        <v>40</v>
      </c>
      <c r="G159" s="1">
        <v>43705</v>
      </c>
      <c r="H159" t="s">
        <v>2040</v>
      </c>
      <c r="I159" s="2">
        <v>36196.699999999997</v>
      </c>
      <c r="J159">
        <v>2</v>
      </c>
      <c r="K159">
        <v>86.92</v>
      </c>
      <c r="L159">
        <v>6</v>
      </c>
      <c r="M159">
        <v>66</v>
      </c>
      <c r="N159">
        <v>57</v>
      </c>
      <c r="O159" t="s">
        <v>2051</v>
      </c>
      <c r="P159" t="s">
        <v>2062</v>
      </c>
      <c r="Q159" s="2">
        <f>Employee_Data[[#This Row],[Monthly Salary]]*12</f>
        <v>434360.39999999997</v>
      </c>
    </row>
    <row r="160" spans="1:17" x14ac:dyDescent="0.25">
      <c r="A160" t="s">
        <v>174</v>
      </c>
      <c r="B160" t="s">
        <v>1174</v>
      </c>
      <c r="C160" t="s">
        <v>2011</v>
      </c>
      <c r="D160" t="s">
        <v>2019</v>
      </c>
      <c r="E160" t="s">
        <v>2038</v>
      </c>
      <c r="F160">
        <v>29</v>
      </c>
      <c r="G160" s="1">
        <v>44150</v>
      </c>
      <c r="H160" t="s">
        <v>2041</v>
      </c>
      <c r="I160" s="2">
        <v>50282.46</v>
      </c>
      <c r="J160">
        <v>5</v>
      </c>
      <c r="K160">
        <v>81.87</v>
      </c>
      <c r="L160">
        <v>5</v>
      </c>
      <c r="M160">
        <v>21</v>
      </c>
      <c r="N160">
        <v>37</v>
      </c>
      <c r="O160" t="s">
        <v>2043</v>
      </c>
      <c r="P160" t="s">
        <v>2062</v>
      </c>
      <c r="Q160" s="2">
        <f>Employee_Data[[#This Row],[Monthly Salary]]*12</f>
        <v>603389.52</v>
      </c>
    </row>
    <row r="161" spans="1:17" x14ac:dyDescent="0.25">
      <c r="A161" t="s">
        <v>175</v>
      </c>
      <c r="B161" t="s">
        <v>1175</v>
      </c>
      <c r="C161" t="s">
        <v>2012</v>
      </c>
      <c r="D161" t="s">
        <v>2021</v>
      </c>
      <c r="E161" t="s">
        <v>2039</v>
      </c>
      <c r="F161">
        <v>26</v>
      </c>
      <c r="G161" s="1">
        <v>42677</v>
      </c>
      <c r="H161" t="s">
        <v>2040</v>
      </c>
      <c r="I161" s="2">
        <v>114854.69</v>
      </c>
      <c r="J161">
        <v>5</v>
      </c>
      <c r="K161">
        <v>85.29</v>
      </c>
      <c r="L161">
        <v>9</v>
      </c>
      <c r="M161">
        <v>26</v>
      </c>
      <c r="N161">
        <v>49</v>
      </c>
      <c r="O161" t="s">
        <v>2043</v>
      </c>
      <c r="P161" t="s">
        <v>2062</v>
      </c>
      <c r="Q161" s="2">
        <f>Employee_Data[[#This Row],[Monthly Salary]]*12</f>
        <v>1378256.28</v>
      </c>
    </row>
    <row r="162" spans="1:17" x14ac:dyDescent="0.25">
      <c r="A162" t="s">
        <v>176</v>
      </c>
      <c r="B162" t="s">
        <v>1176</v>
      </c>
      <c r="C162" t="s">
        <v>2010</v>
      </c>
      <c r="D162" t="s">
        <v>2024</v>
      </c>
      <c r="E162" t="s">
        <v>2038</v>
      </c>
      <c r="F162">
        <v>40</v>
      </c>
      <c r="G162" s="1">
        <v>43594</v>
      </c>
      <c r="H162" t="s">
        <v>2042</v>
      </c>
      <c r="I162" s="2">
        <v>44487.79</v>
      </c>
      <c r="J162">
        <v>4</v>
      </c>
      <c r="K162">
        <v>85.95</v>
      </c>
      <c r="L162">
        <v>6</v>
      </c>
      <c r="M162">
        <v>9</v>
      </c>
      <c r="N162">
        <v>44</v>
      </c>
      <c r="O162" t="s">
        <v>2049</v>
      </c>
      <c r="P162" t="s">
        <v>2062</v>
      </c>
      <c r="Q162" s="2">
        <f>Employee_Data[[#This Row],[Monthly Salary]]*12</f>
        <v>533853.48</v>
      </c>
    </row>
    <row r="163" spans="1:17" x14ac:dyDescent="0.25">
      <c r="A163" t="s">
        <v>177</v>
      </c>
      <c r="B163" t="s">
        <v>1177</v>
      </c>
      <c r="C163" t="s">
        <v>2016</v>
      </c>
      <c r="D163" t="s">
        <v>2034</v>
      </c>
      <c r="E163" t="s">
        <v>2038</v>
      </c>
      <c r="F163">
        <v>34</v>
      </c>
      <c r="G163" s="1">
        <v>43793</v>
      </c>
      <c r="H163" t="s">
        <v>2042</v>
      </c>
      <c r="I163" s="2">
        <v>80666.03</v>
      </c>
      <c r="J163">
        <v>3</v>
      </c>
      <c r="K163">
        <v>97.23</v>
      </c>
      <c r="L163">
        <v>6</v>
      </c>
      <c r="M163">
        <v>40</v>
      </c>
      <c r="N163">
        <v>46</v>
      </c>
      <c r="O163" t="s">
        <v>2053</v>
      </c>
      <c r="P163" t="s">
        <v>2063</v>
      </c>
      <c r="Q163" s="2">
        <f>Employee_Data[[#This Row],[Monthly Salary]]*12</f>
        <v>967992.36</v>
      </c>
    </row>
    <row r="164" spans="1:17" x14ac:dyDescent="0.25">
      <c r="A164" t="s">
        <v>178</v>
      </c>
      <c r="B164" t="s">
        <v>1178</v>
      </c>
      <c r="C164" t="s">
        <v>2015</v>
      </c>
      <c r="D164" t="s">
        <v>2026</v>
      </c>
      <c r="E164" t="s">
        <v>2039</v>
      </c>
      <c r="F164">
        <v>41</v>
      </c>
      <c r="G164" s="1">
        <v>45102</v>
      </c>
      <c r="H164" t="s">
        <v>2040</v>
      </c>
      <c r="I164" s="2">
        <v>66647.259999999995</v>
      </c>
      <c r="J164">
        <v>3</v>
      </c>
      <c r="K164">
        <v>88.99</v>
      </c>
      <c r="L164">
        <v>2</v>
      </c>
      <c r="M164">
        <v>18</v>
      </c>
      <c r="N164">
        <v>6</v>
      </c>
      <c r="O164" t="s">
        <v>2049</v>
      </c>
      <c r="P164" t="s">
        <v>2062</v>
      </c>
      <c r="Q164" s="2">
        <f>Employee_Data[[#This Row],[Monthly Salary]]*12</f>
        <v>799767.11999999988</v>
      </c>
    </row>
    <row r="165" spans="1:17" x14ac:dyDescent="0.25">
      <c r="A165" t="s">
        <v>179</v>
      </c>
      <c r="B165" t="s">
        <v>1179</v>
      </c>
      <c r="C165" t="s">
        <v>2016</v>
      </c>
      <c r="D165" t="s">
        <v>2034</v>
      </c>
      <c r="E165" t="s">
        <v>2039</v>
      </c>
      <c r="F165">
        <v>31</v>
      </c>
      <c r="G165" s="1">
        <v>44093</v>
      </c>
      <c r="H165" t="s">
        <v>2042</v>
      </c>
      <c r="I165" s="2">
        <v>113375.15</v>
      </c>
      <c r="J165">
        <v>3</v>
      </c>
      <c r="K165">
        <v>83.8</v>
      </c>
      <c r="L165">
        <v>5</v>
      </c>
      <c r="M165">
        <v>20</v>
      </c>
      <c r="N165">
        <v>31</v>
      </c>
      <c r="O165" t="s">
        <v>2052</v>
      </c>
      <c r="P165" t="s">
        <v>2062</v>
      </c>
      <c r="Q165" s="2">
        <f>Employee_Data[[#This Row],[Monthly Salary]]*12</f>
        <v>1360501.7999999998</v>
      </c>
    </row>
    <row r="166" spans="1:17" x14ac:dyDescent="0.25">
      <c r="A166" t="s">
        <v>180</v>
      </c>
      <c r="B166" t="s">
        <v>1180</v>
      </c>
      <c r="C166" t="s">
        <v>2011</v>
      </c>
      <c r="D166" t="s">
        <v>2035</v>
      </c>
      <c r="E166" t="s">
        <v>2039</v>
      </c>
      <c r="F166">
        <v>26</v>
      </c>
      <c r="G166" s="1">
        <v>43753</v>
      </c>
      <c r="H166" t="s">
        <v>2042</v>
      </c>
      <c r="I166" s="2">
        <v>70544.45</v>
      </c>
      <c r="J166">
        <v>2</v>
      </c>
      <c r="K166">
        <v>84.3</v>
      </c>
      <c r="L166">
        <v>6</v>
      </c>
      <c r="M166">
        <v>45</v>
      </c>
      <c r="N166">
        <v>3</v>
      </c>
      <c r="O166" t="s">
        <v>2049</v>
      </c>
      <c r="P166" t="s">
        <v>2062</v>
      </c>
      <c r="Q166" s="2">
        <f>Employee_Data[[#This Row],[Monthly Salary]]*12</f>
        <v>846533.39999999991</v>
      </c>
    </row>
    <row r="167" spans="1:17" x14ac:dyDescent="0.25">
      <c r="A167" t="s">
        <v>181</v>
      </c>
      <c r="B167" t="s">
        <v>1181</v>
      </c>
      <c r="C167" t="s">
        <v>2013</v>
      </c>
      <c r="D167" t="s">
        <v>2022</v>
      </c>
      <c r="E167" t="s">
        <v>2039</v>
      </c>
      <c r="F167">
        <v>27</v>
      </c>
      <c r="G167" s="1">
        <v>43532</v>
      </c>
      <c r="H167" t="s">
        <v>2042</v>
      </c>
      <c r="I167" s="2">
        <v>33393.49</v>
      </c>
      <c r="J167">
        <v>3</v>
      </c>
      <c r="K167">
        <v>94.55</v>
      </c>
      <c r="L167">
        <v>6</v>
      </c>
      <c r="M167">
        <v>51</v>
      </c>
      <c r="N167">
        <v>23</v>
      </c>
      <c r="O167" t="s">
        <v>2049</v>
      </c>
      <c r="P167" t="s">
        <v>2062</v>
      </c>
      <c r="Q167" s="2">
        <f>Employee_Data[[#This Row],[Monthly Salary]]*12</f>
        <v>400721.88</v>
      </c>
    </row>
    <row r="168" spans="1:17" x14ac:dyDescent="0.25">
      <c r="A168" t="s">
        <v>182</v>
      </c>
      <c r="B168" t="s">
        <v>1182</v>
      </c>
      <c r="C168" t="s">
        <v>2014</v>
      </c>
      <c r="D168" t="s">
        <v>2029</v>
      </c>
      <c r="E168" t="s">
        <v>2038</v>
      </c>
      <c r="F168">
        <v>25</v>
      </c>
      <c r="G168" s="1">
        <v>43953</v>
      </c>
      <c r="H168" t="s">
        <v>2042</v>
      </c>
      <c r="I168" s="2">
        <v>70425.55</v>
      </c>
      <c r="J168">
        <v>5</v>
      </c>
      <c r="K168">
        <v>85.59</v>
      </c>
      <c r="L168">
        <v>5</v>
      </c>
      <c r="M168">
        <v>79</v>
      </c>
      <c r="N168">
        <v>43</v>
      </c>
      <c r="O168" t="s">
        <v>2058</v>
      </c>
      <c r="P168" t="s">
        <v>2062</v>
      </c>
      <c r="Q168" s="2">
        <f>Employee_Data[[#This Row],[Monthly Salary]]*12</f>
        <v>845106.60000000009</v>
      </c>
    </row>
    <row r="169" spans="1:17" x14ac:dyDescent="0.25">
      <c r="A169" t="s">
        <v>183</v>
      </c>
      <c r="B169" t="s">
        <v>1183</v>
      </c>
      <c r="C169" t="s">
        <v>2009</v>
      </c>
      <c r="D169" t="s">
        <v>2030</v>
      </c>
      <c r="E169" t="s">
        <v>2038</v>
      </c>
      <c r="F169">
        <v>42</v>
      </c>
      <c r="G169" s="1">
        <v>44214</v>
      </c>
      <c r="H169" t="s">
        <v>2041</v>
      </c>
      <c r="I169" s="2">
        <v>113894.86</v>
      </c>
      <c r="J169">
        <v>2</v>
      </c>
      <c r="K169">
        <v>83.98</v>
      </c>
      <c r="L169">
        <v>4</v>
      </c>
      <c r="M169">
        <v>65</v>
      </c>
      <c r="N169">
        <v>25</v>
      </c>
      <c r="O169" t="s">
        <v>2052</v>
      </c>
      <c r="P169" t="s">
        <v>2062</v>
      </c>
      <c r="Q169" s="2">
        <f>Employee_Data[[#This Row],[Monthly Salary]]*12</f>
        <v>1366738.32</v>
      </c>
    </row>
    <row r="170" spans="1:17" x14ac:dyDescent="0.25">
      <c r="A170" t="s">
        <v>184</v>
      </c>
      <c r="B170" t="s">
        <v>1184</v>
      </c>
      <c r="C170" t="s">
        <v>2010</v>
      </c>
      <c r="D170" t="s">
        <v>2018</v>
      </c>
      <c r="E170" t="s">
        <v>2038</v>
      </c>
      <c r="F170">
        <v>51</v>
      </c>
      <c r="G170" s="1">
        <v>45031</v>
      </c>
      <c r="H170" t="s">
        <v>2041</v>
      </c>
      <c r="I170" s="2">
        <v>65698.86</v>
      </c>
      <c r="J170">
        <v>5</v>
      </c>
      <c r="K170">
        <v>97.86</v>
      </c>
      <c r="L170">
        <v>2</v>
      </c>
      <c r="M170">
        <v>17</v>
      </c>
      <c r="N170">
        <v>20</v>
      </c>
      <c r="O170" t="s">
        <v>2058</v>
      </c>
      <c r="P170" t="s">
        <v>2062</v>
      </c>
      <c r="Q170" s="2">
        <f>Employee_Data[[#This Row],[Monthly Salary]]*12</f>
        <v>788386.32000000007</v>
      </c>
    </row>
    <row r="171" spans="1:17" x14ac:dyDescent="0.25">
      <c r="A171" t="s">
        <v>185</v>
      </c>
      <c r="B171" t="s">
        <v>1185</v>
      </c>
      <c r="C171" t="s">
        <v>2016</v>
      </c>
      <c r="D171" t="s">
        <v>2034</v>
      </c>
      <c r="E171" t="s">
        <v>2038</v>
      </c>
      <c r="F171">
        <v>53</v>
      </c>
      <c r="G171" s="1">
        <v>43994</v>
      </c>
      <c r="H171" t="s">
        <v>2041</v>
      </c>
      <c r="I171" s="2">
        <v>73233.98</v>
      </c>
      <c r="J171">
        <v>5</v>
      </c>
      <c r="K171">
        <v>86</v>
      </c>
      <c r="L171">
        <v>5</v>
      </c>
      <c r="M171">
        <v>2</v>
      </c>
      <c r="N171">
        <v>23</v>
      </c>
      <c r="O171" t="s">
        <v>2054</v>
      </c>
      <c r="P171" t="s">
        <v>2062</v>
      </c>
      <c r="Q171" s="2">
        <f>Employee_Data[[#This Row],[Monthly Salary]]*12</f>
        <v>878807.76</v>
      </c>
    </row>
    <row r="172" spans="1:17" x14ac:dyDescent="0.25">
      <c r="A172" t="s">
        <v>186</v>
      </c>
      <c r="B172" t="s">
        <v>1186</v>
      </c>
      <c r="C172" t="s">
        <v>2016</v>
      </c>
      <c r="D172" t="s">
        <v>2034</v>
      </c>
      <c r="E172" t="s">
        <v>2039</v>
      </c>
      <c r="F172">
        <v>59</v>
      </c>
      <c r="G172" s="1">
        <v>42550</v>
      </c>
      <c r="H172" t="s">
        <v>2042</v>
      </c>
      <c r="I172" s="2">
        <v>46553.04</v>
      </c>
      <c r="J172">
        <v>5</v>
      </c>
      <c r="K172">
        <v>91.55</v>
      </c>
      <c r="L172">
        <v>9</v>
      </c>
      <c r="M172">
        <v>6</v>
      </c>
      <c r="N172">
        <v>37</v>
      </c>
      <c r="O172" t="s">
        <v>2050</v>
      </c>
      <c r="P172" t="s">
        <v>2062</v>
      </c>
      <c r="Q172" s="2">
        <f>Employee_Data[[#This Row],[Monthly Salary]]*12</f>
        <v>558636.48</v>
      </c>
    </row>
    <row r="173" spans="1:17" x14ac:dyDescent="0.25">
      <c r="A173" t="s">
        <v>187</v>
      </c>
      <c r="B173" t="s">
        <v>1187</v>
      </c>
      <c r="C173" t="s">
        <v>2016</v>
      </c>
      <c r="D173" t="s">
        <v>2032</v>
      </c>
      <c r="E173" t="s">
        <v>2039</v>
      </c>
      <c r="F173">
        <v>23</v>
      </c>
      <c r="G173" s="1">
        <v>42463</v>
      </c>
      <c r="H173" t="s">
        <v>2041</v>
      </c>
      <c r="I173" s="2">
        <v>114820.52</v>
      </c>
      <c r="J173">
        <v>1</v>
      </c>
      <c r="K173">
        <v>83.82</v>
      </c>
      <c r="L173">
        <v>9</v>
      </c>
      <c r="M173">
        <v>56</v>
      </c>
      <c r="N173">
        <v>20</v>
      </c>
      <c r="O173" t="s">
        <v>1505</v>
      </c>
      <c r="P173" t="s">
        <v>2062</v>
      </c>
      <c r="Q173" s="2">
        <f>Employee_Data[[#This Row],[Monthly Salary]]*12</f>
        <v>1377846.24</v>
      </c>
    </row>
    <row r="174" spans="1:17" x14ac:dyDescent="0.25">
      <c r="A174" t="s">
        <v>188</v>
      </c>
      <c r="B174" t="s">
        <v>1188</v>
      </c>
      <c r="C174" t="s">
        <v>2014</v>
      </c>
      <c r="D174" t="s">
        <v>2029</v>
      </c>
      <c r="E174" t="s">
        <v>2038</v>
      </c>
      <c r="F174">
        <v>24</v>
      </c>
      <c r="G174" s="1">
        <v>45877</v>
      </c>
      <c r="H174" t="s">
        <v>2041</v>
      </c>
      <c r="I174" s="2">
        <v>33808.25</v>
      </c>
      <c r="J174">
        <v>2</v>
      </c>
      <c r="K174">
        <v>91.22</v>
      </c>
      <c r="L174">
        <v>0</v>
      </c>
      <c r="M174">
        <v>61</v>
      </c>
      <c r="N174">
        <v>33</v>
      </c>
      <c r="O174" t="s">
        <v>2061</v>
      </c>
      <c r="P174" t="s">
        <v>2062</v>
      </c>
      <c r="Q174" s="2">
        <f>Employee_Data[[#This Row],[Monthly Salary]]*12</f>
        <v>405699</v>
      </c>
    </row>
    <row r="175" spans="1:17" x14ac:dyDescent="0.25">
      <c r="A175" t="s">
        <v>189</v>
      </c>
      <c r="B175" t="s">
        <v>1189</v>
      </c>
      <c r="C175" t="s">
        <v>2015</v>
      </c>
      <c r="D175" t="s">
        <v>2026</v>
      </c>
      <c r="E175" t="s">
        <v>2038</v>
      </c>
      <c r="F175">
        <v>55</v>
      </c>
      <c r="G175" s="1">
        <v>43977</v>
      </c>
      <c r="H175" t="s">
        <v>2042</v>
      </c>
      <c r="I175" s="2">
        <v>87586.86</v>
      </c>
      <c r="J175">
        <v>3</v>
      </c>
      <c r="K175">
        <v>92.2</v>
      </c>
      <c r="L175">
        <v>5</v>
      </c>
      <c r="M175">
        <v>24</v>
      </c>
      <c r="N175">
        <v>15</v>
      </c>
      <c r="O175" t="s">
        <v>2055</v>
      </c>
      <c r="P175" t="s">
        <v>2062</v>
      </c>
      <c r="Q175" s="2">
        <f>Employee_Data[[#This Row],[Monthly Salary]]*12</f>
        <v>1051042.32</v>
      </c>
    </row>
    <row r="176" spans="1:17" x14ac:dyDescent="0.25">
      <c r="A176" t="s">
        <v>190</v>
      </c>
      <c r="B176" t="s">
        <v>1190</v>
      </c>
      <c r="C176" t="s">
        <v>2014</v>
      </c>
      <c r="D176" t="s">
        <v>2029</v>
      </c>
      <c r="E176" t="s">
        <v>2038</v>
      </c>
      <c r="F176">
        <v>34</v>
      </c>
      <c r="G176" s="1">
        <v>45527</v>
      </c>
      <c r="H176" t="s">
        <v>2041</v>
      </c>
      <c r="I176" s="2">
        <v>90498.83</v>
      </c>
      <c r="J176">
        <v>3</v>
      </c>
      <c r="K176">
        <v>89.6</v>
      </c>
      <c r="L176">
        <v>1</v>
      </c>
      <c r="M176">
        <v>71</v>
      </c>
      <c r="N176">
        <v>59</v>
      </c>
      <c r="O176" t="s">
        <v>2055</v>
      </c>
      <c r="P176" t="s">
        <v>2062</v>
      </c>
      <c r="Q176" s="2">
        <f>Employee_Data[[#This Row],[Monthly Salary]]*12</f>
        <v>1085985.96</v>
      </c>
    </row>
    <row r="177" spans="1:17" x14ac:dyDescent="0.25">
      <c r="A177" t="s">
        <v>191</v>
      </c>
      <c r="B177" t="s">
        <v>1191</v>
      </c>
      <c r="C177" t="s">
        <v>2016</v>
      </c>
      <c r="D177" t="s">
        <v>2034</v>
      </c>
      <c r="E177" t="s">
        <v>2038</v>
      </c>
      <c r="F177">
        <v>30</v>
      </c>
      <c r="G177" s="1">
        <v>45940</v>
      </c>
      <c r="H177" t="s">
        <v>2042</v>
      </c>
      <c r="I177" s="2">
        <v>24206.65</v>
      </c>
      <c r="J177">
        <v>1</v>
      </c>
      <c r="K177">
        <v>86.93</v>
      </c>
      <c r="L177">
        <v>0</v>
      </c>
      <c r="M177">
        <v>56</v>
      </c>
      <c r="N177">
        <v>41</v>
      </c>
      <c r="O177" t="s">
        <v>2055</v>
      </c>
      <c r="P177" t="s">
        <v>2062</v>
      </c>
      <c r="Q177" s="2">
        <f>Employee_Data[[#This Row],[Monthly Salary]]*12</f>
        <v>290479.80000000005</v>
      </c>
    </row>
    <row r="178" spans="1:17" x14ac:dyDescent="0.25">
      <c r="A178" t="s">
        <v>192</v>
      </c>
      <c r="B178" t="s">
        <v>1192</v>
      </c>
      <c r="C178" t="s">
        <v>2014</v>
      </c>
      <c r="D178" t="s">
        <v>2023</v>
      </c>
      <c r="E178" t="s">
        <v>2038</v>
      </c>
      <c r="F178">
        <v>56</v>
      </c>
      <c r="G178" s="1">
        <v>45223</v>
      </c>
      <c r="H178" t="s">
        <v>2041</v>
      </c>
      <c r="I178" s="2">
        <v>47162.15</v>
      </c>
      <c r="J178">
        <v>1</v>
      </c>
      <c r="K178">
        <v>92.31</v>
      </c>
      <c r="L178">
        <v>2</v>
      </c>
      <c r="M178">
        <v>75</v>
      </c>
      <c r="N178">
        <v>15</v>
      </c>
      <c r="O178" t="s">
        <v>2044</v>
      </c>
      <c r="P178" t="s">
        <v>2062</v>
      </c>
      <c r="Q178" s="2">
        <f>Employee_Data[[#This Row],[Monthly Salary]]*12</f>
        <v>565945.80000000005</v>
      </c>
    </row>
    <row r="179" spans="1:17" x14ac:dyDescent="0.25">
      <c r="A179" t="s">
        <v>193</v>
      </c>
      <c r="B179" t="s">
        <v>1193</v>
      </c>
      <c r="C179" t="s">
        <v>2014</v>
      </c>
      <c r="D179" t="s">
        <v>2028</v>
      </c>
      <c r="E179" t="s">
        <v>2039</v>
      </c>
      <c r="F179">
        <v>24</v>
      </c>
      <c r="G179" s="1">
        <v>43302</v>
      </c>
      <c r="H179" t="s">
        <v>2040</v>
      </c>
      <c r="I179" s="2">
        <v>61330.14</v>
      </c>
      <c r="J179">
        <v>4</v>
      </c>
      <c r="K179">
        <v>82.01</v>
      </c>
      <c r="L179">
        <v>7</v>
      </c>
      <c r="M179">
        <v>17</v>
      </c>
      <c r="N179">
        <v>0</v>
      </c>
      <c r="O179" t="s">
        <v>2046</v>
      </c>
      <c r="P179" t="s">
        <v>2063</v>
      </c>
      <c r="Q179" s="2">
        <f>Employee_Data[[#This Row],[Monthly Salary]]*12</f>
        <v>735961.67999999993</v>
      </c>
    </row>
    <row r="180" spans="1:17" x14ac:dyDescent="0.25">
      <c r="A180" t="s">
        <v>194</v>
      </c>
      <c r="B180" t="s">
        <v>1194</v>
      </c>
      <c r="C180" t="s">
        <v>2015</v>
      </c>
      <c r="D180" t="s">
        <v>2026</v>
      </c>
      <c r="E180" t="s">
        <v>2038</v>
      </c>
      <c r="F180">
        <v>51</v>
      </c>
      <c r="G180" s="1">
        <v>44791</v>
      </c>
      <c r="H180" t="s">
        <v>2041</v>
      </c>
      <c r="I180" s="2">
        <v>39945.599999999999</v>
      </c>
      <c r="J180">
        <v>3</v>
      </c>
      <c r="K180">
        <v>86.42</v>
      </c>
      <c r="L180">
        <v>3</v>
      </c>
      <c r="M180">
        <v>7</v>
      </c>
      <c r="N180">
        <v>58</v>
      </c>
      <c r="O180" t="s">
        <v>2045</v>
      </c>
      <c r="P180" t="s">
        <v>2062</v>
      </c>
      <c r="Q180" s="2">
        <f>Employee_Data[[#This Row],[Monthly Salary]]*12</f>
        <v>479347.19999999995</v>
      </c>
    </row>
    <row r="181" spans="1:17" x14ac:dyDescent="0.25">
      <c r="A181" t="s">
        <v>195</v>
      </c>
      <c r="B181" t="s">
        <v>1195</v>
      </c>
      <c r="C181" t="s">
        <v>2014</v>
      </c>
      <c r="D181" t="s">
        <v>2028</v>
      </c>
      <c r="E181" t="s">
        <v>2039</v>
      </c>
      <c r="F181">
        <v>32</v>
      </c>
      <c r="G181" s="1">
        <v>44257</v>
      </c>
      <c r="H181" t="s">
        <v>2042</v>
      </c>
      <c r="I181" s="2">
        <v>108224.5</v>
      </c>
      <c r="J181">
        <v>2</v>
      </c>
      <c r="K181">
        <v>98.68</v>
      </c>
      <c r="L181">
        <v>4</v>
      </c>
      <c r="M181">
        <v>4</v>
      </c>
      <c r="N181">
        <v>53</v>
      </c>
      <c r="O181" t="s">
        <v>2061</v>
      </c>
      <c r="P181" t="s">
        <v>2062</v>
      </c>
      <c r="Q181" s="2">
        <f>Employee_Data[[#This Row],[Monthly Salary]]*12</f>
        <v>1298694</v>
      </c>
    </row>
    <row r="182" spans="1:17" x14ac:dyDescent="0.25">
      <c r="A182" t="s">
        <v>196</v>
      </c>
      <c r="B182" t="s">
        <v>1196</v>
      </c>
      <c r="C182" t="s">
        <v>2015</v>
      </c>
      <c r="D182" t="s">
        <v>2027</v>
      </c>
      <c r="E182" t="s">
        <v>2038</v>
      </c>
      <c r="F182">
        <v>23</v>
      </c>
      <c r="G182" s="1">
        <v>45500</v>
      </c>
      <c r="H182" t="s">
        <v>2040</v>
      </c>
      <c r="I182" s="2">
        <v>49839.22</v>
      </c>
      <c r="J182">
        <v>5</v>
      </c>
      <c r="K182">
        <v>82.15</v>
      </c>
      <c r="L182">
        <v>1</v>
      </c>
      <c r="M182">
        <v>42</v>
      </c>
      <c r="N182">
        <v>18</v>
      </c>
      <c r="O182" t="s">
        <v>2056</v>
      </c>
      <c r="P182" t="s">
        <v>2063</v>
      </c>
      <c r="Q182" s="2">
        <f>Employee_Data[[#This Row],[Monthly Salary]]*12</f>
        <v>598070.64</v>
      </c>
    </row>
    <row r="183" spans="1:17" x14ac:dyDescent="0.25">
      <c r="A183" t="s">
        <v>197</v>
      </c>
      <c r="B183" t="s">
        <v>1197</v>
      </c>
      <c r="C183" t="s">
        <v>2013</v>
      </c>
      <c r="D183" t="s">
        <v>2025</v>
      </c>
      <c r="E183" t="s">
        <v>2038</v>
      </c>
      <c r="F183">
        <v>38</v>
      </c>
      <c r="G183" s="1">
        <v>45173</v>
      </c>
      <c r="H183" t="s">
        <v>2040</v>
      </c>
      <c r="I183" s="2">
        <v>100881.39</v>
      </c>
      <c r="J183">
        <v>3</v>
      </c>
      <c r="K183">
        <v>83.25</v>
      </c>
      <c r="L183">
        <v>2</v>
      </c>
      <c r="M183">
        <v>58</v>
      </c>
      <c r="N183">
        <v>41</v>
      </c>
      <c r="O183" t="s">
        <v>2055</v>
      </c>
      <c r="P183" t="s">
        <v>2062</v>
      </c>
      <c r="Q183" s="2">
        <f>Employee_Data[[#This Row],[Monthly Salary]]*12</f>
        <v>1210576.68</v>
      </c>
    </row>
    <row r="184" spans="1:17" x14ac:dyDescent="0.25">
      <c r="A184" t="s">
        <v>198</v>
      </c>
      <c r="B184" t="s">
        <v>1198</v>
      </c>
      <c r="C184" t="s">
        <v>2010</v>
      </c>
      <c r="D184" t="s">
        <v>2037</v>
      </c>
      <c r="E184" t="s">
        <v>2038</v>
      </c>
      <c r="F184">
        <v>39</v>
      </c>
      <c r="G184" s="1">
        <v>45400</v>
      </c>
      <c r="H184" t="s">
        <v>2041</v>
      </c>
      <c r="I184" s="2">
        <v>87440.11</v>
      </c>
      <c r="J184">
        <v>2</v>
      </c>
      <c r="K184">
        <v>83.51</v>
      </c>
      <c r="L184">
        <v>1</v>
      </c>
      <c r="M184">
        <v>51</v>
      </c>
      <c r="N184">
        <v>52</v>
      </c>
      <c r="O184" t="s">
        <v>1505</v>
      </c>
      <c r="P184" t="s">
        <v>2062</v>
      </c>
      <c r="Q184" s="2">
        <f>Employee_Data[[#This Row],[Monthly Salary]]*12</f>
        <v>1049281.32</v>
      </c>
    </row>
    <row r="185" spans="1:17" x14ac:dyDescent="0.25">
      <c r="A185" t="s">
        <v>199</v>
      </c>
      <c r="B185" t="s">
        <v>1199</v>
      </c>
      <c r="C185" t="s">
        <v>2009</v>
      </c>
      <c r="D185" t="s">
        <v>2030</v>
      </c>
      <c r="E185" t="s">
        <v>2039</v>
      </c>
      <c r="F185">
        <v>32</v>
      </c>
      <c r="G185" s="1">
        <v>45715</v>
      </c>
      <c r="H185" t="s">
        <v>2040</v>
      </c>
      <c r="I185" s="2">
        <v>67745.41</v>
      </c>
      <c r="J185">
        <v>2</v>
      </c>
      <c r="K185">
        <v>80.14</v>
      </c>
      <c r="L185">
        <v>0</v>
      </c>
      <c r="M185">
        <v>49</v>
      </c>
      <c r="N185">
        <v>15</v>
      </c>
      <c r="O185" t="s">
        <v>2056</v>
      </c>
      <c r="P185" t="s">
        <v>2062</v>
      </c>
      <c r="Q185" s="2">
        <f>Employee_Data[[#This Row],[Monthly Salary]]*12</f>
        <v>812944.92</v>
      </c>
    </row>
    <row r="186" spans="1:17" x14ac:dyDescent="0.25">
      <c r="A186" t="s">
        <v>200</v>
      </c>
      <c r="B186" t="s">
        <v>1200</v>
      </c>
      <c r="C186" t="s">
        <v>2012</v>
      </c>
      <c r="D186" t="s">
        <v>2020</v>
      </c>
      <c r="E186" t="s">
        <v>2039</v>
      </c>
      <c r="F186">
        <v>37</v>
      </c>
      <c r="G186" s="1">
        <v>45314</v>
      </c>
      <c r="H186" t="s">
        <v>2041</v>
      </c>
      <c r="I186" s="2">
        <v>55955.21</v>
      </c>
      <c r="J186">
        <v>2</v>
      </c>
      <c r="K186">
        <v>81.239999999999995</v>
      </c>
      <c r="L186">
        <v>1</v>
      </c>
      <c r="M186">
        <v>15</v>
      </c>
      <c r="N186">
        <v>29</v>
      </c>
      <c r="O186" t="s">
        <v>2051</v>
      </c>
      <c r="P186" t="s">
        <v>2062</v>
      </c>
      <c r="Q186" s="2">
        <f>Employee_Data[[#This Row],[Monthly Salary]]*12</f>
        <v>671462.52</v>
      </c>
    </row>
    <row r="187" spans="1:17" x14ac:dyDescent="0.25">
      <c r="A187" t="s">
        <v>201</v>
      </c>
      <c r="B187" t="s">
        <v>1201</v>
      </c>
      <c r="C187" t="s">
        <v>2011</v>
      </c>
      <c r="D187" t="s">
        <v>2031</v>
      </c>
      <c r="E187" t="s">
        <v>2039</v>
      </c>
      <c r="F187">
        <v>39</v>
      </c>
      <c r="G187" s="1">
        <v>43789</v>
      </c>
      <c r="H187" t="s">
        <v>2042</v>
      </c>
      <c r="I187" s="2">
        <v>81462.539999999994</v>
      </c>
      <c r="J187">
        <v>2</v>
      </c>
      <c r="K187">
        <v>99.15</v>
      </c>
      <c r="L187">
        <v>6</v>
      </c>
      <c r="M187">
        <v>61</v>
      </c>
      <c r="N187">
        <v>9</v>
      </c>
      <c r="O187" t="s">
        <v>2056</v>
      </c>
      <c r="P187" t="s">
        <v>2062</v>
      </c>
      <c r="Q187" s="2">
        <f>Employee_Data[[#This Row],[Monthly Salary]]*12</f>
        <v>977550.48</v>
      </c>
    </row>
    <row r="188" spans="1:17" x14ac:dyDescent="0.25">
      <c r="A188" t="s">
        <v>202</v>
      </c>
      <c r="B188" t="s">
        <v>1202</v>
      </c>
      <c r="C188" t="s">
        <v>2012</v>
      </c>
      <c r="D188" t="s">
        <v>2020</v>
      </c>
      <c r="E188" t="s">
        <v>2038</v>
      </c>
      <c r="F188">
        <v>55</v>
      </c>
      <c r="G188" s="1">
        <v>44838</v>
      </c>
      <c r="H188" t="s">
        <v>2041</v>
      </c>
      <c r="I188" s="2">
        <v>102560.35</v>
      </c>
      <c r="J188">
        <v>2</v>
      </c>
      <c r="K188">
        <v>93.61</v>
      </c>
      <c r="L188">
        <v>3</v>
      </c>
      <c r="M188">
        <v>76</v>
      </c>
      <c r="N188">
        <v>55</v>
      </c>
      <c r="O188" t="s">
        <v>2045</v>
      </c>
      <c r="P188" t="s">
        <v>2062</v>
      </c>
      <c r="Q188" s="2">
        <f>Employee_Data[[#This Row],[Monthly Salary]]*12</f>
        <v>1230724.2000000002</v>
      </c>
    </row>
    <row r="189" spans="1:17" x14ac:dyDescent="0.25">
      <c r="A189" t="s">
        <v>203</v>
      </c>
      <c r="B189" t="s">
        <v>1203</v>
      </c>
      <c r="C189" t="s">
        <v>2012</v>
      </c>
      <c r="D189" t="s">
        <v>2021</v>
      </c>
      <c r="E189" t="s">
        <v>2039</v>
      </c>
      <c r="F189">
        <v>24</v>
      </c>
      <c r="G189" s="1">
        <v>45170</v>
      </c>
      <c r="H189" t="s">
        <v>2041</v>
      </c>
      <c r="I189" s="2">
        <v>110288.82</v>
      </c>
      <c r="J189">
        <v>2</v>
      </c>
      <c r="K189">
        <v>91.45</v>
      </c>
      <c r="L189">
        <v>2</v>
      </c>
      <c r="M189">
        <v>19</v>
      </c>
      <c r="N189">
        <v>10</v>
      </c>
      <c r="O189" t="s">
        <v>2054</v>
      </c>
      <c r="P189" t="s">
        <v>2063</v>
      </c>
      <c r="Q189" s="2">
        <f>Employee_Data[[#This Row],[Monthly Salary]]*12</f>
        <v>1323465.8400000001</v>
      </c>
    </row>
    <row r="190" spans="1:17" x14ac:dyDescent="0.25">
      <c r="A190" t="s">
        <v>204</v>
      </c>
      <c r="B190" t="s">
        <v>1204</v>
      </c>
      <c r="C190" t="s">
        <v>2013</v>
      </c>
      <c r="D190" t="s">
        <v>2025</v>
      </c>
      <c r="E190" t="s">
        <v>2039</v>
      </c>
      <c r="F190">
        <v>58</v>
      </c>
      <c r="G190" s="1">
        <v>44116</v>
      </c>
      <c r="H190" t="s">
        <v>2042</v>
      </c>
      <c r="I190" s="2">
        <v>29094.16</v>
      </c>
      <c r="J190">
        <v>5</v>
      </c>
      <c r="K190">
        <v>88.91</v>
      </c>
      <c r="L190">
        <v>5</v>
      </c>
      <c r="M190">
        <v>7</v>
      </c>
      <c r="N190">
        <v>29</v>
      </c>
      <c r="O190" t="s">
        <v>2060</v>
      </c>
      <c r="P190" t="s">
        <v>2062</v>
      </c>
      <c r="Q190" s="2">
        <f>Employee_Data[[#This Row],[Monthly Salary]]*12</f>
        <v>349129.92</v>
      </c>
    </row>
    <row r="191" spans="1:17" x14ac:dyDescent="0.25">
      <c r="A191" t="s">
        <v>205</v>
      </c>
      <c r="B191" t="s">
        <v>1205</v>
      </c>
      <c r="C191" t="s">
        <v>2013</v>
      </c>
      <c r="D191" t="s">
        <v>2025</v>
      </c>
      <c r="E191" t="s">
        <v>2038</v>
      </c>
      <c r="F191">
        <v>40</v>
      </c>
      <c r="G191" s="1">
        <v>45237</v>
      </c>
      <c r="H191" t="s">
        <v>2041</v>
      </c>
      <c r="I191" s="2">
        <v>22177.05</v>
      </c>
      <c r="J191">
        <v>3</v>
      </c>
      <c r="K191">
        <v>96.33</v>
      </c>
      <c r="L191">
        <v>2</v>
      </c>
      <c r="M191">
        <v>27</v>
      </c>
      <c r="N191">
        <v>37</v>
      </c>
      <c r="O191" t="s">
        <v>2045</v>
      </c>
      <c r="P191" t="s">
        <v>2062</v>
      </c>
      <c r="Q191" s="2">
        <f>Employee_Data[[#This Row],[Monthly Salary]]*12</f>
        <v>266124.59999999998</v>
      </c>
    </row>
    <row r="192" spans="1:17" x14ac:dyDescent="0.25">
      <c r="A192" t="s">
        <v>206</v>
      </c>
      <c r="B192" t="s">
        <v>1206</v>
      </c>
      <c r="C192" t="s">
        <v>2012</v>
      </c>
      <c r="D192" t="s">
        <v>2021</v>
      </c>
      <c r="E192" t="s">
        <v>2039</v>
      </c>
      <c r="F192">
        <v>25</v>
      </c>
      <c r="G192" s="1">
        <v>45461</v>
      </c>
      <c r="H192" t="s">
        <v>2042</v>
      </c>
      <c r="I192" s="2">
        <v>23173.49</v>
      </c>
      <c r="J192">
        <v>4</v>
      </c>
      <c r="K192">
        <v>83.6</v>
      </c>
      <c r="L192">
        <v>1</v>
      </c>
      <c r="M192">
        <v>17</v>
      </c>
      <c r="N192">
        <v>49</v>
      </c>
      <c r="O192" t="s">
        <v>1505</v>
      </c>
      <c r="P192" t="s">
        <v>2062</v>
      </c>
      <c r="Q192" s="2">
        <f>Employee_Data[[#This Row],[Monthly Salary]]*12</f>
        <v>278081.88</v>
      </c>
    </row>
    <row r="193" spans="1:17" x14ac:dyDescent="0.25">
      <c r="A193" t="s">
        <v>207</v>
      </c>
      <c r="B193" t="s">
        <v>1207</v>
      </c>
      <c r="C193" t="s">
        <v>2016</v>
      </c>
      <c r="D193" t="s">
        <v>2034</v>
      </c>
      <c r="E193" t="s">
        <v>2038</v>
      </c>
      <c r="F193">
        <v>45</v>
      </c>
      <c r="G193" s="1">
        <v>44881</v>
      </c>
      <c r="H193" t="s">
        <v>2040</v>
      </c>
      <c r="I193" s="2">
        <v>88273.04</v>
      </c>
      <c r="J193">
        <v>5</v>
      </c>
      <c r="K193">
        <v>82.66</v>
      </c>
      <c r="L193">
        <v>3</v>
      </c>
      <c r="M193">
        <v>44</v>
      </c>
      <c r="N193">
        <v>7</v>
      </c>
      <c r="O193" t="s">
        <v>2048</v>
      </c>
      <c r="P193" t="s">
        <v>2063</v>
      </c>
      <c r="Q193" s="2">
        <f>Employee_Data[[#This Row],[Monthly Salary]]*12</f>
        <v>1059276.48</v>
      </c>
    </row>
    <row r="194" spans="1:17" x14ac:dyDescent="0.25">
      <c r="A194" t="s">
        <v>208</v>
      </c>
      <c r="B194" t="s">
        <v>1208</v>
      </c>
      <c r="C194" t="s">
        <v>2016</v>
      </c>
      <c r="D194" t="s">
        <v>2032</v>
      </c>
      <c r="E194" t="s">
        <v>2039</v>
      </c>
      <c r="F194">
        <v>21</v>
      </c>
      <c r="G194" s="1">
        <v>42318</v>
      </c>
      <c r="H194" t="s">
        <v>2040</v>
      </c>
      <c r="I194" s="2">
        <v>117849.07</v>
      </c>
      <c r="J194">
        <v>4</v>
      </c>
      <c r="K194">
        <v>93.47</v>
      </c>
      <c r="L194">
        <v>10</v>
      </c>
      <c r="M194">
        <v>69</v>
      </c>
      <c r="N194">
        <v>27</v>
      </c>
      <c r="O194" t="s">
        <v>2046</v>
      </c>
      <c r="P194" t="s">
        <v>2062</v>
      </c>
      <c r="Q194" s="2">
        <f>Employee_Data[[#This Row],[Monthly Salary]]*12</f>
        <v>1414188.84</v>
      </c>
    </row>
    <row r="195" spans="1:17" x14ac:dyDescent="0.25">
      <c r="A195" t="s">
        <v>209</v>
      </c>
      <c r="B195" t="s">
        <v>1209</v>
      </c>
      <c r="C195" t="s">
        <v>2014</v>
      </c>
      <c r="D195" t="s">
        <v>2023</v>
      </c>
      <c r="E195" t="s">
        <v>2038</v>
      </c>
      <c r="F195">
        <v>43</v>
      </c>
      <c r="G195" s="1">
        <v>45345</v>
      </c>
      <c r="H195" t="s">
        <v>2040</v>
      </c>
      <c r="I195" s="2">
        <v>47564.97</v>
      </c>
      <c r="J195">
        <v>1</v>
      </c>
      <c r="K195">
        <v>80.64</v>
      </c>
      <c r="L195">
        <v>1</v>
      </c>
      <c r="M195">
        <v>53</v>
      </c>
      <c r="N195">
        <v>39</v>
      </c>
      <c r="O195" t="s">
        <v>2057</v>
      </c>
      <c r="P195" t="s">
        <v>2062</v>
      </c>
      <c r="Q195" s="2">
        <f>Employee_Data[[#This Row],[Monthly Salary]]*12</f>
        <v>570779.64</v>
      </c>
    </row>
    <row r="196" spans="1:17" x14ac:dyDescent="0.25">
      <c r="A196" t="s">
        <v>210</v>
      </c>
      <c r="B196" t="s">
        <v>1210</v>
      </c>
      <c r="C196" t="s">
        <v>2009</v>
      </c>
      <c r="D196" t="s">
        <v>2017</v>
      </c>
      <c r="E196" t="s">
        <v>2039</v>
      </c>
      <c r="F196">
        <v>49</v>
      </c>
      <c r="G196" s="1">
        <v>44368</v>
      </c>
      <c r="H196" t="s">
        <v>2041</v>
      </c>
      <c r="I196" s="2">
        <v>87202.36</v>
      </c>
      <c r="J196">
        <v>1</v>
      </c>
      <c r="K196">
        <v>84.89</v>
      </c>
      <c r="L196">
        <v>4</v>
      </c>
      <c r="M196">
        <v>5</v>
      </c>
      <c r="N196">
        <v>25</v>
      </c>
      <c r="O196" t="s">
        <v>2056</v>
      </c>
      <c r="P196" t="s">
        <v>2062</v>
      </c>
      <c r="Q196" s="2">
        <f>Employee_Data[[#This Row],[Monthly Salary]]*12</f>
        <v>1046428.3200000001</v>
      </c>
    </row>
    <row r="197" spans="1:17" x14ac:dyDescent="0.25">
      <c r="A197" t="s">
        <v>211</v>
      </c>
      <c r="B197" t="s">
        <v>1211</v>
      </c>
      <c r="C197" t="s">
        <v>2014</v>
      </c>
      <c r="D197" t="s">
        <v>2023</v>
      </c>
      <c r="E197" t="s">
        <v>2039</v>
      </c>
      <c r="F197">
        <v>53</v>
      </c>
      <c r="G197" s="1">
        <v>44302</v>
      </c>
      <c r="H197" t="s">
        <v>2042</v>
      </c>
      <c r="I197" s="2">
        <v>43416.15</v>
      </c>
      <c r="J197">
        <v>5</v>
      </c>
      <c r="K197">
        <v>86.38</v>
      </c>
      <c r="L197">
        <v>4</v>
      </c>
      <c r="M197">
        <v>76</v>
      </c>
      <c r="N197">
        <v>49</v>
      </c>
      <c r="O197" t="s">
        <v>2054</v>
      </c>
      <c r="P197" t="s">
        <v>2062</v>
      </c>
      <c r="Q197" s="2">
        <f>Employee_Data[[#This Row],[Monthly Salary]]*12</f>
        <v>520993.80000000005</v>
      </c>
    </row>
    <row r="198" spans="1:17" x14ac:dyDescent="0.25">
      <c r="A198" t="s">
        <v>212</v>
      </c>
      <c r="B198" t="s">
        <v>1212</v>
      </c>
      <c r="C198" t="s">
        <v>2015</v>
      </c>
      <c r="D198" t="s">
        <v>2027</v>
      </c>
      <c r="E198" t="s">
        <v>2039</v>
      </c>
      <c r="F198">
        <v>47</v>
      </c>
      <c r="G198" s="1">
        <v>44682</v>
      </c>
      <c r="H198" t="s">
        <v>2042</v>
      </c>
      <c r="I198" s="2">
        <v>47515.39</v>
      </c>
      <c r="J198">
        <v>5</v>
      </c>
      <c r="K198">
        <v>98.97</v>
      </c>
      <c r="L198">
        <v>3</v>
      </c>
      <c r="M198">
        <v>22</v>
      </c>
      <c r="N198">
        <v>40</v>
      </c>
      <c r="O198" t="s">
        <v>1505</v>
      </c>
      <c r="P198" t="s">
        <v>2062</v>
      </c>
      <c r="Q198" s="2">
        <f>Employee_Data[[#This Row],[Monthly Salary]]*12</f>
        <v>570184.67999999993</v>
      </c>
    </row>
    <row r="199" spans="1:17" x14ac:dyDescent="0.25">
      <c r="A199" t="s">
        <v>213</v>
      </c>
      <c r="B199" t="s">
        <v>1213</v>
      </c>
      <c r="C199" t="s">
        <v>2010</v>
      </c>
      <c r="D199" t="s">
        <v>2024</v>
      </c>
      <c r="E199" t="s">
        <v>2038</v>
      </c>
      <c r="F199">
        <v>54</v>
      </c>
      <c r="G199" s="1">
        <v>45241</v>
      </c>
      <c r="H199" t="s">
        <v>2042</v>
      </c>
      <c r="I199" s="2">
        <v>89630.84</v>
      </c>
      <c r="J199">
        <v>4</v>
      </c>
      <c r="K199">
        <v>82.98</v>
      </c>
      <c r="L199">
        <v>2</v>
      </c>
      <c r="M199">
        <v>48</v>
      </c>
      <c r="N199">
        <v>11</v>
      </c>
      <c r="O199" t="s">
        <v>2046</v>
      </c>
      <c r="P199" t="s">
        <v>2062</v>
      </c>
      <c r="Q199" s="2">
        <f>Employee_Data[[#This Row],[Monthly Salary]]*12</f>
        <v>1075570.08</v>
      </c>
    </row>
    <row r="200" spans="1:17" x14ac:dyDescent="0.25">
      <c r="A200" t="s">
        <v>214</v>
      </c>
      <c r="B200" t="s">
        <v>1214</v>
      </c>
      <c r="C200" t="s">
        <v>2014</v>
      </c>
      <c r="D200" t="s">
        <v>2029</v>
      </c>
      <c r="E200" t="s">
        <v>2039</v>
      </c>
      <c r="F200">
        <v>50</v>
      </c>
      <c r="G200" s="1">
        <v>43248</v>
      </c>
      <c r="H200" t="s">
        <v>2040</v>
      </c>
      <c r="I200" s="2">
        <v>76238.59</v>
      </c>
      <c r="J200">
        <v>4</v>
      </c>
      <c r="K200">
        <v>91.15</v>
      </c>
      <c r="L200">
        <v>7</v>
      </c>
      <c r="M200">
        <v>17</v>
      </c>
      <c r="N200">
        <v>24</v>
      </c>
      <c r="O200" t="s">
        <v>2044</v>
      </c>
      <c r="P200" t="s">
        <v>2062</v>
      </c>
      <c r="Q200" s="2">
        <f>Employee_Data[[#This Row],[Monthly Salary]]*12</f>
        <v>914863.08</v>
      </c>
    </row>
    <row r="201" spans="1:17" x14ac:dyDescent="0.25">
      <c r="A201" t="s">
        <v>215</v>
      </c>
      <c r="B201" t="s">
        <v>1215</v>
      </c>
      <c r="C201" t="s">
        <v>2012</v>
      </c>
      <c r="D201" t="s">
        <v>2021</v>
      </c>
      <c r="E201" t="s">
        <v>2038</v>
      </c>
      <c r="F201">
        <v>44</v>
      </c>
      <c r="G201" s="1">
        <v>42926</v>
      </c>
      <c r="H201" t="s">
        <v>2040</v>
      </c>
      <c r="I201" s="2">
        <v>73563.55</v>
      </c>
      <c r="J201">
        <v>2</v>
      </c>
      <c r="K201">
        <v>81.03</v>
      </c>
      <c r="L201">
        <v>8</v>
      </c>
      <c r="M201">
        <v>48</v>
      </c>
      <c r="N201">
        <v>43</v>
      </c>
      <c r="O201" t="s">
        <v>2058</v>
      </c>
      <c r="P201" t="s">
        <v>2062</v>
      </c>
      <c r="Q201" s="2">
        <f>Employee_Data[[#This Row],[Monthly Salary]]*12</f>
        <v>882762.60000000009</v>
      </c>
    </row>
    <row r="202" spans="1:17" x14ac:dyDescent="0.25">
      <c r="A202" t="s">
        <v>216</v>
      </c>
      <c r="B202" t="s">
        <v>1216</v>
      </c>
      <c r="C202" t="s">
        <v>2009</v>
      </c>
      <c r="D202" t="s">
        <v>2017</v>
      </c>
      <c r="E202" t="s">
        <v>2039</v>
      </c>
      <c r="F202">
        <v>51</v>
      </c>
      <c r="G202" s="1">
        <v>45142</v>
      </c>
      <c r="H202" t="s">
        <v>2040</v>
      </c>
      <c r="I202" s="2">
        <v>106947.39</v>
      </c>
      <c r="J202">
        <v>3</v>
      </c>
      <c r="K202">
        <v>86.06</v>
      </c>
      <c r="L202">
        <v>2</v>
      </c>
      <c r="M202">
        <v>1</v>
      </c>
      <c r="N202">
        <v>13</v>
      </c>
      <c r="O202" t="s">
        <v>2059</v>
      </c>
      <c r="P202" t="s">
        <v>2063</v>
      </c>
      <c r="Q202" s="2">
        <f>Employee_Data[[#This Row],[Monthly Salary]]*12</f>
        <v>1283368.68</v>
      </c>
    </row>
    <row r="203" spans="1:17" x14ac:dyDescent="0.25">
      <c r="A203" t="s">
        <v>217</v>
      </c>
      <c r="B203" t="s">
        <v>1217</v>
      </c>
      <c r="C203" t="s">
        <v>2009</v>
      </c>
      <c r="D203" t="s">
        <v>2036</v>
      </c>
      <c r="E203" t="s">
        <v>2038</v>
      </c>
      <c r="F203">
        <v>36</v>
      </c>
      <c r="G203" s="1">
        <v>43262</v>
      </c>
      <c r="H203" t="s">
        <v>2041</v>
      </c>
      <c r="I203" s="2">
        <v>80440.149999999994</v>
      </c>
      <c r="J203">
        <v>2</v>
      </c>
      <c r="K203">
        <v>87.93</v>
      </c>
      <c r="L203">
        <v>7</v>
      </c>
      <c r="M203">
        <v>30</v>
      </c>
      <c r="N203">
        <v>35</v>
      </c>
      <c r="O203" t="s">
        <v>2054</v>
      </c>
      <c r="P203" t="s">
        <v>2062</v>
      </c>
      <c r="Q203" s="2">
        <f>Employee_Data[[#This Row],[Monthly Salary]]*12</f>
        <v>965281.79999999993</v>
      </c>
    </row>
    <row r="204" spans="1:17" x14ac:dyDescent="0.25">
      <c r="A204" t="s">
        <v>218</v>
      </c>
      <c r="B204" t="s">
        <v>1218</v>
      </c>
      <c r="C204" t="s">
        <v>2016</v>
      </c>
      <c r="D204" t="s">
        <v>2034</v>
      </c>
      <c r="E204" t="s">
        <v>2038</v>
      </c>
      <c r="F204">
        <v>40</v>
      </c>
      <c r="G204" s="1">
        <v>44772</v>
      </c>
      <c r="H204" t="s">
        <v>2042</v>
      </c>
      <c r="I204" s="2">
        <v>55964.46</v>
      </c>
      <c r="J204">
        <v>4</v>
      </c>
      <c r="K204">
        <v>89.32</v>
      </c>
      <c r="L204">
        <v>3</v>
      </c>
      <c r="M204">
        <v>60</v>
      </c>
      <c r="N204">
        <v>48</v>
      </c>
      <c r="O204" t="s">
        <v>2054</v>
      </c>
      <c r="P204" t="s">
        <v>2063</v>
      </c>
      <c r="Q204" s="2">
        <f>Employee_Data[[#This Row],[Monthly Salary]]*12</f>
        <v>671573.52</v>
      </c>
    </row>
    <row r="205" spans="1:17" x14ac:dyDescent="0.25">
      <c r="A205" t="s">
        <v>219</v>
      </c>
      <c r="B205" t="s">
        <v>1219</v>
      </c>
      <c r="C205" t="s">
        <v>2012</v>
      </c>
      <c r="D205" t="s">
        <v>2020</v>
      </c>
      <c r="E205" t="s">
        <v>2038</v>
      </c>
      <c r="F205">
        <v>23</v>
      </c>
      <c r="G205" s="1">
        <v>45618</v>
      </c>
      <c r="H205" t="s">
        <v>2041</v>
      </c>
      <c r="I205" s="2">
        <v>106408.48</v>
      </c>
      <c r="J205">
        <v>2</v>
      </c>
      <c r="K205">
        <v>80.319999999999993</v>
      </c>
      <c r="L205">
        <v>1</v>
      </c>
      <c r="M205">
        <v>70</v>
      </c>
      <c r="N205">
        <v>59</v>
      </c>
      <c r="O205" t="s">
        <v>2043</v>
      </c>
      <c r="P205" t="s">
        <v>2062</v>
      </c>
      <c r="Q205" s="2">
        <f>Employee_Data[[#This Row],[Monthly Salary]]*12</f>
        <v>1276901.76</v>
      </c>
    </row>
    <row r="206" spans="1:17" x14ac:dyDescent="0.25">
      <c r="A206" t="s">
        <v>220</v>
      </c>
      <c r="B206" t="s">
        <v>1220</v>
      </c>
      <c r="C206" t="s">
        <v>2016</v>
      </c>
      <c r="D206" t="s">
        <v>2034</v>
      </c>
      <c r="E206" t="s">
        <v>2039</v>
      </c>
      <c r="F206">
        <v>33</v>
      </c>
      <c r="G206" s="1">
        <v>45335</v>
      </c>
      <c r="H206" t="s">
        <v>2042</v>
      </c>
      <c r="I206" s="2">
        <v>43001.86</v>
      </c>
      <c r="J206">
        <v>5</v>
      </c>
      <c r="K206">
        <v>96.67</v>
      </c>
      <c r="L206">
        <v>1</v>
      </c>
      <c r="M206">
        <v>63</v>
      </c>
      <c r="N206">
        <v>35</v>
      </c>
      <c r="O206" t="s">
        <v>2054</v>
      </c>
      <c r="P206" t="s">
        <v>2062</v>
      </c>
      <c r="Q206" s="2">
        <f>Employee_Data[[#This Row],[Monthly Salary]]*12</f>
        <v>516022.32</v>
      </c>
    </row>
    <row r="207" spans="1:17" x14ac:dyDescent="0.25">
      <c r="A207" t="s">
        <v>221</v>
      </c>
      <c r="B207" t="s">
        <v>1221</v>
      </c>
      <c r="C207" t="s">
        <v>2013</v>
      </c>
      <c r="D207" t="s">
        <v>2022</v>
      </c>
      <c r="E207" t="s">
        <v>2038</v>
      </c>
      <c r="F207">
        <v>31</v>
      </c>
      <c r="G207" s="1">
        <v>44088</v>
      </c>
      <c r="H207" t="s">
        <v>2041</v>
      </c>
      <c r="I207" s="2">
        <v>99497.55</v>
      </c>
      <c r="J207">
        <v>2</v>
      </c>
      <c r="K207">
        <v>82.8</v>
      </c>
      <c r="L207">
        <v>5</v>
      </c>
      <c r="M207">
        <v>69</v>
      </c>
      <c r="N207">
        <v>31</v>
      </c>
      <c r="O207" t="s">
        <v>2048</v>
      </c>
      <c r="P207" t="s">
        <v>2063</v>
      </c>
      <c r="Q207" s="2">
        <f>Employee_Data[[#This Row],[Monthly Salary]]*12</f>
        <v>1193970.6000000001</v>
      </c>
    </row>
    <row r="208" spans="1:17" x14ac:dyDescent="0.25">
      <c r="A208" t="s">
        <v>222</v>
      </c>
      <c r="B208" t="s">
        <v>1222</v>
      </c>
      <c r="C208" t="s">
        <v>2010</v>
      </c>
      <c r="D208" t="s">
        <v>2037</v>
      </c>
      <c r="E208" t="s">
        <v>2039</v>
      </c>
      <c r="F208">
        <v>25</v>
      </c>
      <c r="G208" s="1">
        <v>42927</v>
      </c>
      <c r="H208" t="s">
        <v>2041</v>
      </c>
      <c r="I208" s="2">
        <v>24851.439999999999</v>
      </c>
      <c r="J208">
        <v>1</v>
      </c>
      <c r="K208">
        <v>88.25</v>
      </c>
      <c r="L208">
        <v>8</v>
      </c>
      <c r="M208">
        <v>80</v>
      </c>
      <c r="N208">
        <v>14</v>
      </c>
      <c r="O208" t="s">
        <v>2045</v>
      </c>
      <c r="P208" t="s">
        <v>2062</v>
      </c>
      <c r="Q208" s="2">
        <f>Employee_Data[[#This Row],[Monthly Salary]]*12</f>
        <v>298217.27999999997</v>
      </c>
    </row>
    <row r="209" spans="1:17" x14ac:dyDescent="0.25">
      <c r="A209" t="s">
        <v>223</v>
      </c>
      <c r="B209" t="s">
        <v>1223</v>
      </c>
      <c r="C209" t="s">
        <v>2010</v>
      </c>
      <c r="D209" t="s">
        <v>2018</v>
      </c>
      <c r="E209" t="s">
        <v>2038</v>
      </c>
      <c r="F209">
        <v>44</v>
      </c>
      <c r="G209" s="1">
        <v>42588</v>
      </c>
      <c r="H209" t="s">
        <v>2040</v>
      </c>
      <c r="I209" s="2">
        <v>81783.520000000004</v>
      </c>
      <c r="J209">
        <v>5</v>
      </c>
      <c r="K209">
        <v>98.26</v>
      </c>
      <c r="L209">
        <v>9</v>
      </c>
      <c r="M209">
        <v>62</v>
      </c>
      <c r="N209">
        <v>1</v>
      </c>
      <c r="O209" t="s">
        <v>2057</v>
      </c>
      <c r="P209" t="s">
        <v>2062</v>
      </c>
      <c r="Q209" s="2">
        <f>Employee_Data[[#This Row],[Monthly Salary]]*12</f>
        <v>981402.24</v>
      </c>
    </row>
    <row r="210" spans="1:17" x14ac:dyDescent="0.25">
      <c r="A210" t="s">
        <v>224</v>
      </c>
      <c r="B210" t="s">
        <v>1224</v>
      </c>
      <c r="C210" t="s">
        <v>2016</v>
      </c>
      <c r="D210" t="s">
        <v>2032</v>
      </c>
      <c r="E210" t="s">
        <v>2039</v>
      </c>
      <c r="F210">
        <v>54</v>
      </c>
      <c r="G210" s="1">
        <v>44979</v>
      </c>
      <c r="H210" t="s">
        <v>2041</v>
      </c>
      <c r="I210" s="2">
        <v>47474.07</v>
      </c>
      <c r="J210">
        <v>3</v>
      </c>
      <c r="K210">
        <v>80.34</v>
      </c>
      <c r="L210">
        <v>2</v>
      </c>
      <c r="M210">
        <v>55</v>
      </c>
      <c r="N210">
        <v>51</v>
      </c>
      <c r="O210" t="s">
        <v>2048</v>
      </c>
      <c r="P210" t="s">
        <v>2062</v>
      </c>
      <c r="Q210" s="2">
        <f>Employee_Data[[#This Row],[Monthly Salary]]*12</f>
        <v>569688.84</v>
      </c>
    </row>
    <row r="211" spans="1:17" x14ac:dyDescent="0.25">
      <c r="A211" t="s">
        <v>225</v>
      </c>
      <c r="B211" t="s">
        <v>1225</v>
      </c>
      <c r="C211" t="s">
        <v>2009</v>
      </c>
      <c r="D211" t="s">
        <v>2036</v>
      </c>
      <c r="E211" t="s">
        <v>2039</v>
      </c>
      <c r="F211">
        <v>36</v>
      </c>
      <c r="G211" s="1">
        <v>43421</v>
      </c>
      <c r="H211" t="s">
        <v>2040</v>
      </c>
      <c r="I211" s="2">
        <v>81978.080000000002</v>
      </c>
      <c r="J211">
        <v>3</v>
      </c>
      <c r="K211">
        <v>96.3</v>
      </c>
      <c r="L211">
        <v>7</v>
      </c>
      <c r="M211">
        <v>34</v>
      </c>
      <c r="N211">
        <v>50</v>
      </c>
      <c r="O211" t="s">
        <v>2061</v>
      </c>
      <c r="P211" t="s">
        <v>2062</v>
      </c>
      <c r="Q211" s="2">
        <f>Employee_Data[[#This Row],[Monthly Salary]]*12</f>
        <v>983736.96</v>
      </c>
    </row>
    <row r="212" spans="1:17" x14ac:dyDescent="0.25">
      <c r="A212" t="s">
        <v>226</v>
      </c>
      <c r="B212" t="s">
        <v>1226</v>
      </c>
      <c r="C212" t="s">
        <v>2016</v>
      </c>
      <c r="D212" t="s">
        <v>2034</v>
      </c>
      <c r="E212" t="s">
        <v>2039</v>
      </c>
      <c r="F212">
        <v>35</v>
      </c>
      <c r="G212" s="1">
        <v>43799</v>
      </c>
      <c r="H212" t="s">
        <v>2042</v>
      </c>
      <c r="I212" s="2">
        <v>88404.160000000003</v>
      </c>
      <c r="J212">
        <v>1</v>
      </c>
      <c r="K212">
        <v>93.07</v>
      </c>
      <c r="L212">
        <v>6</v>
      </c>
      <c r="M212">
        <v>4</v>
      </c>
      <c r="N212">
        <v>5</v>
      </c>
      <c r="O212" t="s">
        <v>2061</v>
      </c>
      <c r="P212" t="s">
        <v>2062</v>
      </c>
      <c r="Q212" s="2">
        <f>Employee_Data[[#This Row],[Monthly Salary]]*12</f>
        <v>1060849.92</v>
      </c>
    </row>
    <row r="213" spans="1:17" x14ac:dyDescent="0.25">
      <c r="A213" t="s">
        <v>227</v>
      </c>
      <c r="B213" t="s">
        <v>1227</v>
      </c>
      <c r="C213" t="s">
        <v>2013</v>
      </c>
      <c r="D213" t="s">
        <v>2025</v>
      </c>
      <c r="E213" t="s">
        <v>2039</v>
      </c>
      <c r="F213">
        <v>31</v>
      </c>
      <c r="G213" s="1">
        <v>42361</v>
      </c>
      <c r="H213" t="s">
        <v>2040</v>
      </c>
      <c r="I213" s="2">
        <v>69985.84</v>
      </c>
      <c r="J213">
        <v>4</v>
      </c>
      <c r="K213">
        <v>92.9</v>
      </c>
      <c r="L213">
        <v>10</v>
      </c>
      <c r="M213">
        <v>42</v>
      </c>
      <c r="N213">
        <v>36</v>
      </c>
      <c r="O213" t="s">
        <v>2047</v>
      </c>
      <c r="P213" t="s">
        <v>2063</v>
      </c>
      <c r="Q213" s="2">
        <f>Employee_Data[[#This Row],[Monthly Salary]]*12</f>
        <v>839830.08</v>
      </c>
    </row>
    <row r="214" spans="1:17" x14ac:dyDescent="0.25">
      <c r="A214" t="s">
        <v>228</v>
      </c>
      <c r="B214" t="s">
        <v>1228</v>
      </c>
      <c r="C214" t="s">
        <v>2010</v>
      </c>
      <c r="D214" t="s">
        <v>2018</v>
      </c>
      <c r="E214" t="s">
        <v>2039</v>
      </c>
      <c r="F214">
        <v>57</v>
      </c>
      <c r="G214" s="1">
        <v>45699</v>
      </c>
      <c r="H214" t="s">
        <v>2042</v>
      </c>
      <c r="I214" s="2">
        <v>47109.51</v>
      </c>
      <c r="J214">
        <v>1</v>
      </c>
      <c r="K214">
        <v>93.69</v>
      </c>
      <c r="L214">
        <v>0</v>
      </c>
      <c r="M214">
        <v>35</v>
      </c>
      <c r="N214">
        <v>57</v>
      </c>
      <c r="O214" t="s">
        <v>2046</v>
      </c>
      <c r="P214" t="s">
        <v>2062</v>
      </c>
      <c r="Q214" s="2">
        <f>Employee_Data[[#This Row],[Monthly Salary]]*12</f>
        <v>565314.12</v>
      </c>
    </row>
    <row r="215" spans="1:17" x14ac:dyDescent="0.25">
      <c r="A215" t="s">
        <v>229</v>
      </c>
      <c r="B215" t="s">
        <v>1229</v>
      </c>
      <c r="C215" t="s">
        <v>2010</v>
      </c>
      <c r="D215" t="s">
        <v>2018</v>
      </c>
      <c r="E215" t="s">
        <v>2038</v>
      </c>
      <c r="F215">
        <v>22</v>
      </c>
      <c r="G215" s="1">
        <v>45954</v>
      </c>
      <c r="H215" t="s">
        <v>2040</v>
      </c>
      <c r="I215" s="2">
        <v>78703.61</v>
      </c>
      <c r="J215">
        <v>4</v>
      </c>
      <c r="K215">
        <v>98.58</v>
      </c>
      <c r="L215">
        <v>0</v>
      </c>
      <c r="M215">
        <v>38</v>
      </c>
      <c r="N215">
        <v>10</v>
      </c>
      <c r="O215" t="s">
        <v>2043</v>
      </c>
      <c r="P215" t="s">
        <v>2062</v>
      </c>
      <c r="Q215" s="2">
        <f>Employee_Data[[#This Row],[Monthly Salary]]*12</f>
        <v>944443.32000000007</v>
      </c>
    </row>
    <row r="216" spans="1:17" x14ac:dyDescent="0.25">
      <c r="A216" t="s">
        <v>230</v>
      </c>
      <c r="B216" t="s">
        <v>1230</v>
      </c>
      <c r="C216" t="s">
        <v>2016</v>
      </c>
      <c r="D216" t="s">
        <v>2034</v>
      </c>
      <c r="E216" t="s">
        <v>2038</v>
      </c>
      <c r="F216">
        <v>29</v>
      </c>
      <c r="G216" s="1">
        <v>45141</v>
      </c>
      <c r="H216" t="s">
        <v>2041</v>
      </c>
      <c r="I216" s="2">
        <v>92416.36</v>
      </c>
      <c r="J216">
        <v>5</v>
      </c>
      <c r="K216">
        <v>94.91</v>
      </c>
      <c r="L216">
        <v>2</v>
      </c>
      <c r="M216">
        <v>44</v>
      </c>
      <c r="N216">
        <v>3</v>
      </c>
      <c r="O216" t="s">
        <v>2047</v>
      </c>
      <c r="P216" t="s">
        <v>2062</v>
      </c>
      <c r="Q216" s="2">
        <f>Employee_Data[[#This Row],[Monthly Salary]]*12</f>
        <v>1108996.32</v>
      </c>
    </row>
    <row r="217" spans="1:17" x14ac:dyDescent="0.25">
      <c r="A217" t="s">
        <v>231</v>
      </c>
      <c r="B217" t="s">
        <v>1231</v>
      </c>
      <c r="C217" t="s">
        <v>2009</v>
      </c>
      <c r="D217" t="s">
        <v>2030</v>
      </c>
      <c r="E217" t="s">
        <v>2038</v>
      </c>
      <c r="F217">
        <v>41</v>
      </c>
      <c r="G217" s="1">
        <v>45305</v>
      </c>
      <c r="H217" t="s">
        <v>2040</v>
      </c>
      <c r="I217" s="2">
        <v>83412.289999999994</v>
      </c>
      <c r="J217">
        <v>4</v>
      </c>
      <c r="K217">
        <v>89.81</v>
      </c>
      <c r="L217">
        <v>1</v>
      </c>
      <c r="M217">
        <v>45</v>
      </c>
      <c r="N217">
        <v>35</v>
      </c>
      <c r="O217" t="s">
        <v>2061</v>
      </c>
      <c r="P217" t="s">
        <v>2062</v>
      </c>
      <c r="Q217" s="2">
        <f>Employee_Data[[#This Row],[Monthly Salary]]*12</f>
        <v>1000947.48</v>
      </c>
    </row>
    <row r="218" spans="1:17" x14ac:dyDescent="0.25">
      <c r="A218" t="s">
        <v>232</v>
      </c>
      <c r="B218" t="s">
        <v>1232</v>
      </c>
      <c r="C218" t="s">
        <v>2016</v>
      </c>
      <c r="D218" t="s">
        <v>2032</v>
      </c>
      <c r="E218" t="s">
        <v>2038</v>
      </c>
      <c r="F218">
        <v>36</v>
      </c>
      <c r="G218" s="1">
        <v>44141</v>
      </c>
      <c r="H218" t="s">
        <v>2041</v>
      </c>
      <c r="I218" s="2">
        <v>27350.67</v>
      </c>
      <c r="J218">
        <v>3</v>
      </c>
      <c r="K218">
        <v>83.08</v>
      </c>
      <c r="L218">
        <v>5</v>
      </c>
      <c r="M218">
        <v>19</v>
      </c>
      <c r="N218">
        <v>47</v>
      </c>
      <c r="O218" t="s">
        <v>2061</v>
      </c>
      <c r="P218" t="s">
        <v>2062</v>
      </c>
      <c r="Q218" s="2">
        <f>Employee_Data[[#This Row],[Monthly Salary]]*12</f>
        <v>328208.03999999998</v>
      </c>
    </row>
    <row r="219" spans="1:17" x14ac:dyDescent="0.25">
      <c r="A219" t="s">
        <v>233</v>
      </c>
      <c r="B219" t="s">
        <v>1233</v>
      </c>
      <c r="C219" t="s">
        <v>2009</v>
      </c>
      <c r="D219" t="s">
        <v>2017</v>
      </c>
      <c r="E219" t="s">
        <v>2039</v>
      </c>
      <c r="F219">
        <v>40</v>
      </c>
      <c r="G219" s="1">
        <v>44008</v>
      </c>
      <c r="H219" t="s">
        <v>2042</v>
      </c>
      <c r="I219" s="2">
        <v>55991.75</v>
      </c>
      <c r="J219">
        <v>3</v>
      </c>
      <c r="K219">
        <v>82.04</v>
      </c>
      <c r="L219">
        <v>5</v>
      </c>
      <c r="M219">
        <v>11</v>
      </c>
      <c r="N219">
        <v>11</v>
      </c>
      <c r="O219" t="s">
        <v>1505</v>
      </c>
      <c r="P219" t="s">
        <v>2062</v>
      </c>
      <c r="Q219" s="2">
        <f>Employee_Data[[#This Row],[Monthly Salary]]*12</f>
        <v>671901</v>
      </c>
    </row>
    <row r="220" spans="1:17" x14ac:dyDescent="0.25">
      <c r="A220" t="s">
        <v>234</v>
      </c>
      <c r="B220" t="s">
        <v>1234</v>
      </c>
      <c r="C220" t="s">
        <v>2016</v>
      </c>
      <c r="D220" t="s">
        <v>2032</v>
      </c>
      <c r="E220" t="s">
        <v>2039</v>
      </c>
      <c r="F220">
        <v>26</v>
      </c>
      <c r="G220" s="1">
        <v>42607</v>
      </c>
      <c r="H220" t="s">
        <v>2042</v>
      </c>
      <c r="I220" s="2">
        <v>75421.98</v>
      </c>
      <c r="J220">
        <v>5</v>
      </c>
      <c r="K220">
        <v>91.96</v>
      </c>
      <c r="L220">
        <v>9</v>
      </c>
      <c r="M220">
        <v>41</v>
      </c>
      <c r="N220">
        <v>55</v>
      </c>
      <c r="O220" t="s">
        <v>2061</v>
      </c>
      <c r="P220" t="s">
        <v>2062</v>
      </c>
      <c r="Q220" s="2">
        <f>Employee_Data[[#This Row],[Monthly Salary]]*12</f>
        <v>905063.76</v>
      </c>
    </row>
    <row r="221" spans="1:17" x14ac:dyDescent="0.25">
      <c r="A221" t="s">
        <v>235</v>
      </c>
      <c r="B221" t="s">
        <v>1235</v>
      </c>
      <c r="C221" t="s">
        <v>2016</v>
      </c>
      <c r="D221" t="s">
        <v>2034</v>
      </c>
      <c r="E221" t="s">
        <v>2039</v>
      </c>
      <c r="F221">
        <v>56</v>
      </c>
      <c r="G221" s="1">
        <v>44081</v>
      </c>
      <c r="H221" t="s">
        <v>2040</v>
      </c>
      <c r="I221" s="2">
        <v>77196.039999999994</v>
      </c>
      <c r="J221">
        <v>2</v>
      </c>
      <c r="K221">
        <v>93.71</v>
      </c>
      <c r="L221">
        <v>5</v>
      </c>
      <c r="M221">
        <v>21</v>
      </c>
      <c r="N221">
        <v>8</v>
      </c>
      <c r="O221" t="s">
        <v>2055</v>
      </c>
      <c r="P221" t="s">
        <v>2062</v>
      </c>
      <c r="Q221" s="2">
        <f>Employee_Data[[#This Row],[Monthly Salary]]*12</f>
        <v>926352.48</v>
      </c>
    </row>
    <row r="222" spans="1:17" x14ac:dyDescent="0.25">
      <c r="A222" t="s">
        <v>236</v>
      </c>
      <c r="B222" t="s">
        <v>1236</v>
      </c>
      <c r="C222" t="s">
        <v>2013</v>
      </c>
      <c r="D222" t="s">
        <v>2025</v>
      </c>
      <c r="E222" t="s">
        <v>2039</v>
      </c>
      <c r="F222">
        <v>31</v>
      </c>
      <c r="G222" s="1">
        <v>43663</v>
      </c>
      <c r="H222" t="s">
        <v>2042</v>
      </c>
      <c r="I222" s="2">
        <v>47596.19</v>
      </c>
      <c r="J222">
        <v>3</v>
      </c>
      <c r="K222">
        <v>89.68</v>
      </c>
      <c r="L222">
        <v>6</v>
      </c>
      <c r="M222">
        <v>9</v>
      </c>
      <c r="N222">
        <v>23</v>
      </c>
      <c r="O222" t="s">
        <v>2055</v>
      </c>
      <c r="P222" t="s">
        <v>2063</v>
      </c>
      <c r="Q222" s="2">
        <f>Employee_Data[[#This Row],[Monthly Salary]]*12</f>
        <v>571154.28</v>
      </c>
    </row>
    <row r="223" spans="1:17" x14ac:dyDescent="0.25">
      <c r="A223" t="s">
        <v>237</v>
      </c>
      <c r="B223" t="s">
        <v>1237</v>
      </c>
      <c r="C223" t="s">
        <v>2013</v>
      </c>
      <c r="D223" t="s">
        <v>2025</v>
      </c>
      <c r="E223" t="s">
        <v>2038</v>
      </c>
      <c r="F223">
        <v>27</v>
      </c>
      <c r="G223" s="1">
        <v>43152</v>
      </c>
      <c r="H223" t="s">
        <v>2040</v>
      </c>
      <c r="I223" s="2">
        <v>50465.8</v>
      </c>
      <c r="J223">
        <v>4</v>
      </c>
      <c r="K223">
        <v>86.64</v>
      </c>
      <c r="L223">
        <v>7</v>
      </c>
      <c r="M223">
        <v>79</v>
      </c>
      <c r="N223">
        <v>24</v>
      </c>
      <c r="O223" t="s">
        <v>2054</v>
      </c>
      <c r="P223" t="s">
        <v>2062</v>
      </c>
      <c r="Q223" s="2">
        <f>Employee_Data[[#This Row],[Monthly Salary]]*12</f>
        <v>605589.60000000009</v>
      </c>
    </row>
    <row r="224" spans="1:17" x14ac:dyDescent="0.25">
      <c r="A224" t="s">
        <v>238</v>
      </c>
      <c r="B224" t="s">
        <v>1238</v>
      </c>
      <c r="C224" t="s">
        <v>2016</v>
      </c>
      <c r="D224" t="s">
        <v>2032</v>
      </c>
      <c r="E224" t="s">
        <v>2038</v>
      </c>
      <c r="F224">
        <v>41</v>
      </c>
      <c r="G224" s="1">
        <v>44222</v>
      </c>
      <c r="H224" t="s">
        <v>2041</v>
      </c>
      <c r="I224" s="2">
        <v>114727.89</v>
      </c>
      <c r="J224">
        <v>2</v>
      </c>
      <c r="K224">
        <v>89.58</v>
      </c>
      <c r="L224">
        <v>4</v>
      </c>
      <c r="M224">
        <v>22</v>
      </c>
      <c r="N224">
        <v>25</v>
      </c>
      <c r="O224" t="s">
        <v>2054</v>
      </c>
      <c r="P224" t="s">
        <v>2062</v>
      </c>
      <c r="Q224" s="2">
        <f>Employee_Data[[#This Row],[Monthly Salary]]*12</f>
        <v>1376734.68</v>
      </c>
    </row>
    <row r="225" spans="1:17" x14ac:dyDescent="0.25">
      <c r="A225" t="s">
        <v>239</v>
      </c>
      <c r="B225" t="s">
        <v>1239</v>
      </c>
      <c r="C225" t="s">
        <v>2013</v>
      </c>
      <c r="D225" t="s">
        <v>2025</v>
      </c>
      <c r="E225" t="s">
        <v>2038</v>
      </c>
      <c r="F225">
        <v>45</v>
      </c>
      <c r="G225" s="1">
        <v>43119</v>
      </c>
      <c r="H225" t="s">
        <v>2042</v>
      </c>
      <c r="I225" s="2">
        <v>101649.45</v>
      </c>
      <c r="J225">
        <v>4</v>
      </c>
      <c r="K225">
        <v>87.3</v>
      </c>
      <c r="L225">
        <v>7</v>
      </c>
      <c r="M225">
        <v>72</v>
      </c>
      <c r="N225">
        <v>12</v>
      </c>
      <c r="O225" t="s">
        <v>2043</v>
      </c>
      <c r="P225" t="s">
        <v>2063</v>
      </c>
      <c r="Q225" s="2">
        <f>Employee_Data[[#This Row],[Monthly Salary]]*12</f>
        <v>1219793.3999999999</v>
      </c>
    </row>
    <row r="226" spans="1:17" x14ac:dyDescent="0.25">
      <c r="A226" t="s">
        <v>240</v>
      </c>
      <c r="B226" t="s">
        <v>1240</v>
      </c>
      <c r="C226" t="s">
        <v>2015</v>
      </c>
      <c r="D226" t="s">
        <v>2027</v>
      </c>
      <c r="E226" t="s">
        <v>2039</v>
      </c>
      <c r="F226">
        <v>50</v>
      </c>
      <c r="G226" s="1">
        <v>43394</v>
      </c>
      <c r="H226" t="s">
        <v>2041</v>
      </c>
      <c r="I226" s="2">
        <v>40964.839999999997</v>
      </c>
      <c r="J226">
        <v>3</v>
      </c>
      <c r="K226">
        <v>96.63</v>
      </c>
      <c r="L226">
        <v>7</v>
      </c>
      <c r="M226">
        <v>8</v>
      </c>
      <c r="N226">
        <v>52</v>
      </c>
      <c r="O226" t="s">
        <v>1505</v>
      </c>
      <c r="P226" t="s">
        <v>2062</v>
      </c>
      <c r="Q226" s="2">
        <f>Employee_Data[[#This Row],[Monthly Salary]]*12</f>
        <v>491578.07999999996</v>
      </c>
    </row>
    <row r="227" spans="1:17" x14ac:dyDescent="0.25">
      <c r="A227" t="s">
        <v>241</v>
      </c>
      <c r="B227" t="s">
        <v>1241</v>
      </c>
      <c r="C227" t="s">
        <v>2015</v>
      </c>
      <c r="D227" t="s">
        <v>2027</v>
      </c>
      <c r="E227" t="s">
        <v>2038</v>
      </c>
      <c r="F227">
        <v>36</v>
      </c>
      <c r="G227" s="1">
        <v>44576</v>
      </c>
      <c r="H227" t="s">
        <v>2042</v>
      </c>
      <c r="I227" s="2">
        <v>85866.3</v>
      </c>
      <c r="J227">
        <v>4</v>
      </c>
      <c r="K227">
        <v>95.78</v>
      </c>
      <c r="L227">
        <v>3</v>
      </c>
      <c r="M227">
        <v>9</v>
      </c>
      <c r="N227">
        <v>28</v>
      </c>
      <c r="O227" t="s">
        <v>2058</v>
      </c>
      <c r="P227" t="s">
        <v>2062</v>
      </c>
      <c r="Q227" s="2">
        <f>Employee_Data[[#This Row],[Monthly Salary]]*12</f>
        <v>1030395.6000000001</v>
      </c>
    </row>
    <row r="228" spans="1:17" x14ac:dyDescent="0.25">
      <c r="A228" t="s">
        <v>242</v>
      </c>
      <c r="B228" t="s">
        <v>1242</v>
      </c>
      <c r="C228" t="s">
        <v>2016</v>
      </c>
      <c r="D228" t="s">
        <v>2034</v>
      </c>
      <c r="E228" t="s">
        <v>2039</v>
      </c>
      <c r="F228">
        <v>44</v>
      </c>
      <c r="G228" s="1">
        <v>43899</v>
      </c>
      <c r="H228" t="s">
        <v>2041</v>
      </c>
      <c r="I228" s="2">
        <v>109550.15</v>
      </c>
      <c r="J228">
        <v>5</v>
      </c>
      <c r="K228">
        <v>91.88</v>
      </c>
      <c r="L228">
        <v>5</v>
      </c>
      <c r="M228">
        <v>10</v>
      </c>
      <c r="N228">
        <v>6</v>
      </c>
      <c r="O228" t="s">
        <v>2044</v>
      </c>
      <c r="P228" t="s">
        <v>2062</v>
      </c>
      <c r="Q228" s="2">
        <f>Employee_Data[[#This Row],[Monthly Salary]]*12</f>
        <v>1314601.7999999998</v>
      </c>
    </row>
    <row r="229" spans="1:17" x14ac:dyDescent="0.25">
      <c r="A229" t="s">
        <v>243</v>
      </c>
      <c r="B229" t="s">
        <v>1243</v>
      </c>
      <c r="C229" t="s">
        <v>2012</v>
      </c>
      <c r="D229" t="s">
        <v>2021</v>
      </c>
      <c r="E229" t="s">
        <v>2039</v>
      </c>
      <c r="F229">
        <v>57</v>
      </c>
      <c r="G229" s="1">
        <v>44136</v>
      </c>
      <c r="H229" t="s">
        <v>2041</v>
      </c>
      <c r="I229" s="2">
        <v>87747.19</v>
      </c>
      <c r="J229">
        <v>4</v>
      </c>
      <c r="K229">
        <v>99.34</v>
      </c>
      <c r="L229">
        <v>5</v>
      </c>
      <c r="M229">
        <v>42</v>
      </c>
      <c r="N229">
        <v>50</v>
      </c>
      <c r="O229" t="s">
        <v>1505</v>
      </c>
      <c r="P229" t="s">
        <v>2062</v>
      </c>
      <c r="Q229" s="2">
        <f>Employee_Data[[#This Row],[Monthly Salary]]*12</f>
        <v>1052966.28</v>
      </c>
    </row>
    <row r="230" spans="1:17" x14ac:dyDescent="0.25">
      <c r="A230" t="s">
        <v>244</v>
      </c>
      <c r="B230" t="s">
        <v>1244</v>
      </c>
      <c r="C230" t="s">
        <v>2009</v>
      </c>
      <c r="D230" t="s">
        <v>2030</v>
      </c>
      <c r="E230" t="s">
        <v>2039</v>
      </c>
      <c r="F230">
        <v>53</v>
      </c>
      <c r="G230" s="1">
        <v>42770</v>
      </c>
      <c r="H230" t="s">
        <v>2041</v>
      </c>
      <c r="I230" s="2">
        <v>71879.78</v>
      </c>
      <c r="J230">
        <v>5</v>
      </c>
      <c r="K230">
        <v>93.75</v>
      </c>
      <c r="L230">
        <v>8</v>
      </c>
      <c r="M230">
        <v>28</v>
      </c>
      <c r="N230">
        <v>28</v>
      </c>
      <c r="O230" t="s">
        <v>2053</v>
      </c>
      <c r="P230" t="s">
        <v>2062</v>
      </c>
      <c r="Q230" s="2">
        <f>Employee_Data[[#This Row],[Monthly Salary]]*12</f>
        <v>862557.36</v>
      </c>
    </row>
    <row r="231" spans="1:17" x14ac:dyDescent="0.25">
      <c r="A231" t="s">
        <v>245</v>
      </c>
      <c r="B231" t="s">
        <v>1245</v>
      </c>
      <c r="C231" t="s">
        <v>2015</v>
      </c>
      <c r="D231" t="s">
        <v>2026</v>
      </c>
      <c r="E231" t="s">
        <v>2039</v>
      </c>
      <c r="F231">
        <v>51</v>
      </c>
      <c r="G231" s="1">
        <v>44772</v>
      </c>
      <c r="H231" t="s">
        <v>2040</v>
      </c>
      <c r="I231" s="2">
        <v>49543.22</v>
      </c>
      <c r="J231">
        <v>1</v>
      </c>
      <c r="K231">
        <v>82.32</v>
      </c>
      <c r="L231">
        <v>3</v>
      </c>
      <c r="M231">
        <v>18</v>
      </c>
      <c r="N231">
        <v>22</v>
      </c>
      <c r="O231" t="s">
        <v>2051</v>
      </c>
      <c r="P231" t="s">
        <v>2062</v>
      </c>
      <c r="Q231" s="2">
        <f>Employee_Data[[#This Row],[Monthly Salary]]*12</f>
        <v>594518.64</v>
      </c>
    </row>
    <row r="232" spans="1:17" x14ac:dyDescent="0.25">
      <c r="A232" t="s">
        <v>246</v>
      </c>
      <c r="B232" t="s">
        <v>1246</v>
      </c>
      <c r="C232" t="s">
        <v>2014</v>
      </c>
      <c r="D232" t="s">
        <v>2028</v>
      </c>
      <c r="E232" t="s">
        <v>2038</v>
      </c>
      <c r="F232">
        <v>43</v>
      </c>
      <c r="G232" s="1">
        <v>44754</v>
      </c>
      <c r="H232" t="s">
        <v>2042</v>
      </c>
      <c r="I232" s="2">
        <v>29762.3</v>
      </c>
      <c r="J232">
        <v>4</v>
      </c>
      <c r="K232">
        <v>86.38</v>
      </c>
      <c r="L232">
        <v>3</v>
      </c>
      <c r="M232">
        <v>38</v>
      </c>
      <c r="N232">
        <v>2</v>
      </c>
      <c r="O232" t="s">
        <v>2047</v>
      </c>
      <c r="P232" t="s">
        <v>2062</v>
      </c>
      <c r="Q232" s="2">
        <f>Employee_Data[[#This Row],[Monthly Salary]]*12</f>
        <v>357147.6</v>
      </c>
    </row>
    <row r="233" spans="1:17" x14ac:dyDescent="0.25">
      <c r="A233" t="s">
        <v>247</v>
      </c>
      <c r="B233" t="s">
        <v>1247</v>
      </c>
      <c r="C233" t="s">
        <v>2012</v>
      </c>
      <c r="D233" t="s">
        <v>2021</v>
      </c>
      <c r="E233" t="s">
        <v>2039</v>
      </c>
      <c r="F233">
        <v>36</v>
      </c>
      <c r="G233" s="1">
        <v>43932</v>
      </c>
      <c r="H233" t="s">
        <v>2041</v>
      </c>
      <c r="I233" s="2">
        <v>37445.32</v>
      </c>
      <c r="J233">
        <v>2</v>
      </c>
      <c r="K233">
        <v>86.62</v>
      </c>
      <c r="L233">
        <v>5</v>
      </c>
      <c r="M233">
        <v>54</v>
      </c>
      <c r="N233">
        <v>29</v>
      </c>
      <c r="O233" t="s">
        <v>2044</v>
      </c>
      <c r="P233" t="s">
        <v>2062</v>
      </c>
      <c r="Q233" s="2">
        <f>Employee_Data[[#This Row],[Monthly Salary]]*12</f>
        <v>449343.83999999997</v>
      </c>
    </row>
    <row r="234" spans="1:17" x14ac:dyDescent="0.25">
      <c r="A234" t="s">
        <v>248</v>
      </c>
      <c r="B234" t="s">
        <v>1248</v>
      </c>
      <c r="C234" t="s">
        <v>2015</v>
      </c>
      <c r="D234" t="s">
        <v>2033</v>
      </c>
      <c r="E234" t="s">
        <v>2038</v>
      </c>
      <c r="F234">
        <v>46</v>
      </c>
      <c r="G234" s="1">
        <v>42976</v>
      </c>
      <c r="H234" t="s">
        <v>2040</v>
      </c>
      <c r="I234" s="2">
        <v>93738.84</v>
      </c>
      <c r="J234">
        <v>2</v>
      </c>
      <c r="K234">
        <v>88.99</v>
      </c>
      <c r="L234">
        <v>8</v>
      </c>
      <c r="M234">
        <v>54</v>
      </c>
      <c r="N234">
        <v>24</v>
      </c>
      <c r="O234" t="s">
        <v>2057</v>
      </c>
      <c r="P234" t="s">
        <v>2062</v>
      </c>
      <c r="Q234" s="2">
        <f>Employee_Data[[#This Row],[Monthly Salary]]*12</f>
        <v>1124866.08</v>
      </c>
    </row>
    <row r="235" spans="1:17" x14ac:dyDescent="0.25">
      <c r="A235" t="s">
        <v>249</v>
      </c>
      <c r="B235" t="s">
        <v>1249</v>
      </c>
      <c r="C235" t="s">
        <v>2014</v>
      </c>
      <c r="D235" t="s">
        <v>2029</v>
      </c>
      <c r="E235" t="s">
        <v>2039</v>
      </c>
      <c r="F235">
        <v>57</v>
      </c>
      <c r="G235" s="1">
        <v>45791</v>
      </c>
      <c r="H235" t="s">
        <v>2040</v>
      </c>
      <c r="I235" s="2">
        <v>99950.24</v>
      </c>
      <c r="J235">
        <v>5</v>
      </c>
      <c r="K235">
        <v>83.74</v>
      </c>
      <c r="L235">
        <v>0</v>
      </c>
      <c r="M235">
        <v>41</v>
      </c>
      <c r="N235">
        <v>12</v>
      </c>
      <c r="O235" t="s">
        <v>2056</v>
      </c>
      <c r="P235" t="s">
        <v>2062</v>
      </c>
      <c r="Q235" s="2">
        <f>Employee_Data[[#This Row],[Monthly Salary]]*12</f>
        <v>1199402.8800000001</v>
      </c>
    </row>
    <row r="236" spans="1:17" x14ac:dyDescent="0.25">
      <c r="A236" t="s">
        <v>250</v>
      </c>
      <c r="B236" t="s">
        <v>1250</v>
      </c>
      <c r="C236" t="s">
        <v>2013</v>
      </c>
      <c r="D236" t="s">
        <v>2022</v>
      </c>
      <c r="E236" t="s">
        <v>2038</v>
      </c>
      <c r="F236">
        <v>60</v>
      </c>
      <c r="G236" s="1">
        <v>45187</v>
      </c>
      <c r="H236" t="s">
        <v>2042</v>
      </c>
      <c r="I236" s="2">
        <v>78700.47</v>
      </c>
      <c r="J236">
        <v>3</v>
      </c>
      <c r="K236">
        <v>87.04</v>
      </c>
      <c r="L236">
        <v>2</v>
      </c>
      <c r="M236">
        <v>58</v>
      </c>
      <c r="N236">
        <v>39</v>
      </c>
      <c r="O236" t="s">
        <v>2048</v>
      </c>
      <c r="P236" t="s">
        <v>2062</v>
      </c>
      <c r="Q236" s="2">
        <f>Employee_Data[[#This Row],[Monthly Salary]]*12</f>
        <v>944405.64</v>
      </c>
    </row>
    <row r="237" spans="1:17" x14ac:dyDescent="0.25">
      <c r="A237" t="s">
        <v>251</v>
      </c>
      <c r="B237" t="s">
        <v>1251</v>
      </c>
      <c r="C237" t="s">
        <v>2011</v>
      </c>
      <c r="D237" t="s">
        <v>2031</v>
      </c>
      <c r="E237" t="s">
        <v>2039</v>
      </c>
      <c r="F237">
        <v>29</v>
      </c>
      <c r="G237" s="1">
        <v>43171</v>
      </c>
      <c r="H237" t="s">
        <v>2042</v>
      </c>
      <c r="I237" s="2">
        <v>31786.17</v>
      </c>
      <c r="J237">
        <v>3</v>
      </c>
      <c r="K237">
        <v>82.34</v>
      </c>
      <c r="L237">
        <v>7</v>
      </c>
      <c r="M237">
        <v>47</v>
      </c>
      <c r="N237">
        <v>44</v>
      </c>
      <c r="O237" t="s">
        <v>2060</v>
      </c>
      <c r="P237" t="s">
        <v>2062</v>
      </c>
      <c r="Q237" s="2">
        <f>Employee_Data[[#This Row],[Monthly Salary]]*12</f>
        <v>381434.04</v>
      </c>
    </row>
    <row r="238" spans="1:17" x14ac:dyDescent="0.25">
      <c r="A238" t="s">
        <v>252</v>
      </c>
      <c r="B238" t="s">
        <v>1252</v>
      </c>
      <c r="C238" t="s">
        <v>2016</v>
      </c>
      <c r="D238" t="s">
        <v>2032</v>
      </c>
      <c r="E238" t="s">
        <v>2038</v>
      </c>
      <c r="F238">
        <v>48</v>
      </c>
      <c r="G238" s="1">
        <v>43024</v>
      </c>
      <c r="H238" t="s">
        <v>2040</v>
      </c>
      <c r="I238" s="2">
        <v>68667.02</v>
      </c>
      <c r="J238">
        <v>5</v>
      </c>
      <c r="K238">
        <v>93.87</v>
      </c>
      <c r="L238">
        <v>8</v>
      </c>
      <c r="M238">
        <v>22</v>
      </c>
      <c r="N238">
        <v>35</v>
      </c>
      <c r="O238" t="s">
        <v>2048</v>
      </c>
      <c r="P238" t="s">
        <v>2062</v>
      </c>
      <c r="Q238" s="2">
        <f>Employee_Data[[#This Row],[Monthly Salary]]*12</f>
        <v>824004.24</v>
      </c>
    </row>
    <row r="239" spans="1:17" x14ac:dyDescent="0.25">
      <c r="A239" t="s">
        <v>253</v>
      </c>
      <c r="B239" t="s">
        <v>1253</v>
      </c>
      <c r="C239" t="s">
        <v>2015</v>
      </c>
      <c r="D239" t="s">
        <v>2033</v>
      </c>
      <c r="E239" t="s">
        <v>2038</v>
      </c>
      <c r="F239">
        <v>49</v>
      </c>
      <c r="G239" s="1">
        <v>45121</v>
      </c>
      <c r="H239" t="s">
        <v>2041</v>
      </c>
      <c r="I239" s="2">
        <v>25361.13</v>
      </c>
      <c r="J239">
        <v>3</v>
      </c>
      <c r="K239">
        <v>99.04</v>
      </c>
      <c r="L239">
        <v>2</v>
      </c>
      <c r="M239">
        <v>62</v>
      </c>
      <c r="N239">
        <v>8</v>
      </c>
      <c r="O239" t="s">
        <v>2059</v>
      </c>
      <c r="P239" t="s">
        <v>2062</v>
      </c>
      <c r="Q239" s="2">
        <f>Employee_Data[[#This Row],[Monthly Salary]]*12</f>
        <v>304333.56</v>
      </c>
    </row>
    <row r="240" spans="1:17" x14ac:dyDescent="0.25">
      <c r="A240" t="s">
        <v>254</v>
      </c>
      <c r="B240" t="s">
        <v>1254</v>
      </c>
      <c r="C240" t="s">
        <v>2013</v>
      </c>
      <c r="D240" t="s">
        <v>2022</v>
      </c>
      <c r="E240" t="s">
        <v>2038</v>
      </c>
      <c r="F240">
        <v>47</v>
      </c>
      <c r="G240" s="1">
        <v>45659</v>
      </c>
      <c r="H240" t="s">
        <v>2041</v>
      </c>
      <c r="I240" s="2">
        <v>103989.18</v>
      </c>
      <c r="J240">
        <v>4</v>
      </c>
      <c r="K240">
        <v>83.35</v>
      </c>
      <c r="L240">
        <v>0</v>
      </c>
      <c r="M240">
        <v>72</v>
      </c>
      <c r="N240">
        <v>1</v>
      </c>
      <c r="O240" t="s">
        <v>2044</v>
      </c>
      <c r="P240" t="s">
        <v>2062</v>
      </c>
      <c r="Q240" s="2">
        <f>Employee_Data[[#This Row],[Monthly Salary]]*12</f>
        <v>1247870.1599999999</v>
      </c>
    </row>
    <row r="241" spans="1:17" x14ac:dyDescent="0.25">
      <c r="A241" t="s">
        <v>255</v>
      </c>
      <c r="B241" t="s">
        <v>1255</v>
      </c>
      <c r="C241" t="s">
        <v>2011</v>
      </c>
      <c r="D241" t="s">
        <v>2019</v>
      </c>
      <c r="E241" t="s">
        <v>2038</v>
      </c>
      <c r="F241">
        <v>31</v>
      </c>
      <c r="G241" s="1">
        <v>44881</v>
      </c>
      <c r="H241" t="s">
        <v>2042</v>
      </c>
      <c r="I241" s="2">
        <v>76565.05</v>
      </c>
      <c r="J241">
        <v>4</v>
      </c>
      <c r="K241">
        <v>90.99</v>
      </c>
      <c r="L241">
        <v>3</v>
      </c>
      <c r="M241">
        <v>14</v>
      </c>
      <c r="N241">
        <v>36</v>
      </c>
      <c r="O241" t="s">
        <v>2047</v>
      </c>
      <c r="P241" t="s">
        <v>2062</v>
      </c>
      <c r="Q241" s="2">
        <f>Employee_Data[[#This Row],[Monthly Salary]]*12</f>
        <v>918780.60000000009</v>
      </c>
    </row>
    <row r="242" spans="1:17" x14ac:dyDescent="0.25">
      <c r="A242" t="s">
        <v>256</v>
      </c>
      <c r="B242" t="s">
        <v>1256</v>
      </c>
      <c r="C242" t="s">
        <v>2012</v>
      </c>
      <c r="D242" t="s">
        <v>2021</v>
      </c>
      <c r="E242" t="s">
        <v>2038</v>
      </c>
      <c r="F242">
        <v>55</v>
      </c>
      <c r="G242" s="1">
        <v>44041</v>
      </c>
      <c r="H242" t="s">
        <v>2040</v>
      </c>
      <c r="I242" s="2">
        <v>118977.57</v>
      </c>
      <c r="J242">
        <v>1</v>
      </c>
      <c r="K242">
        <v>94.72</v>
      </c>
      <c r="L242">
        <v>5</v>
      </c>
      <c r="M242">
        <v>31</v>
      </c>
      <c r="N242">
        <v>19</v>
      </c>
      <c r="O242" t="s">
        <v>2049</v>
      </c>
      <c r="P242" t="s">
        <v>2062</v>
      </c>
      <c r="Q242" s="2">
        <f>Employee_Data[[#This Row],[Monthly Salary]]*12</f>
        <v>1427730.84</v>
      </c>
    </row>
    <row r="243" spans="1:17" x14ac:dyDescent="0.25">
      <c r="A243" t="s">
        <v>257</v>
      </c>
      <c r="B243" t="s">
        <v>1257</v>
      </c>
      <c r="C243" t="s">
        <v>2012</v>
      </c>
      <c r="D243" t="s">
        <v>2021</v>
      </c>
      <c r="E243" t="s">
        <v>2038</v>
      </c>
      <c r="F243">
        <v>28</v>
      </c>
      <c r="G243" s="1">
        <v>43770</v>
      </c>
      <c r="H243" t="s">
        <v>2040</v>
      </c>
      <c r="I243" s="2">
        <v>40987.82</v>
      </c>
      <c r="J243">
        <v>5</v>
      </c>
      <c r="K243">
        <v>93.78</v>
      </c>
      <c r="L243">
        <v>6</v>
      </c>
      <c r="M243">
        <v>78</v>
      </c>
      <c r="N243">
        <v>40</v>
      </c>
      <c r="O243" t="s">
        <v>1505</v>
      </c>
      <c r="P243" t="s">
        <v>2062</v>
      </c>
      <c r="Q243" s="2">
        <f>Employee_Data[[#This Row],[Monthly Salary]]*12</f>
        <v>491853.83999999997</v>
      </c>
    </row>
    <row r="244" spans="1:17" x14ac:dyDescent="0.25">
      <c r="A244" t="s">
        <v>258</v>
      </c>
      <c r="B244" t="s">
        <v>1258</v>
      </c>
      <c r="C244" t="s">
        <v>2015</v>
      </c>
      <c r="D244" t="s">
        <v>2033</v>
      </c>
      <c r="E244" t="s">
        <v>2039</v>
      </c>
      <c r="F244">
        <v>24</v>
      </c>
      <c r="G244" s="1">
        <v>45686</v>
      </c>
      <c r="H244" t="s">
        <v>2041</v>
      </c>
      <c r="I244" s="2">
        <v>55081.55</v>
      </c>
      <c r="J244">
        <v>3</v>
      </c>
      <c r="K244">
        <v>91.94</v>
      </c>
      <c r="L244">
        <v>0</v>
      </c>
      <c r="M244">
        <v>21</v>
      </c>
      <c r="N244">
        <v>20</v>
      </c>
      <c r="O244" t="s">
        <v>2051</v>
      </c>
      <c r="P244" t="s">
        <v>2062</v>
      </c>
      <c r="Q244" s="2">
        <f>Employee_Data[[#This Row],[Monthly Salary]]*12</f>
        <v>660978.60000000009</v>
      </c>
    </row>
    <row r="245" spans="1:17" x14ac:dyDescent="0.25">
      <c r="A245" t="s">
        <v>259</v>
      </c>
      <c r="B245" t="s">
        <v>1259</v>
      </c>
      <c r="C245" t="s">
        <v>2011</v>
      </c>
      <c r="D245" t="s">
        <v>2031</v>
      </c>
      <c r="E245" t="s">
        <v>2039</v>
      </c>
      <c r="F245">
        <v>29</v>
      </c>
      <c r="G245" s="1">
        <v>44017</v>
      </c>
      <c r="H245" t="s">
        <v>2042</v>
      </c>
      <c r="I245" s="2">
        <v>111876.87</v>
      </c>
      <c r="J245">
        <v>3</v>
      </c>
      <c r="K245">
        <v>97.34</v>
      </c>
      <c r="L245">
        <v>5</v>
      </c>
      <c r="M245">
        <v>16</v>
      </c>
      <c r="N245">
        <v>44</v>
      </c>
      <c r="O245" t="s">
        <v>2060</v>
      </c>
      <c r="P245" t="s">
        <v>2062</v>
      </c>
      <c r="Q245" s="2">
        <f>Employee_Data[[#This Row],[Monthly Salary]]*12</f>
        <v>1342522.44</v>
      </c>
    </row>
    <row r="246" spans="1:17" x14ac:dyDescent="0.25">
      <c r="A246" t="s">
        <v>260</v>
      </c>
      <c r="B246" t="s">
        <v>1260</v>
      </c>
      <c r="C246" t="s">
        <v>2012</v>
      </c>
      <c r="D246" t="s">
        <v>2021</v>
      </c>
      <c r="E246" t="s">
        <v>2038</v>
      </c>
      <c r="F246">
        <v>52</v>
      </c>
      <c r="G246" s="1">
        <v>45128</v>
      </c>
      <c r="H246" t="s">
        <v>2040</v>
      </c>
      <c r="I246" s="2">
        <v>77742.55</v>
      </c>
      <c r="J246">
        <v>3</v>
      </c>
      <c r="K246">
        <v>92.56</v>
      </c>
      <c r="L246">
        <v>2</v>
      </c>
      <c r="M246">
        <v>48</v>
      </c>
      <c r="N246">
        <v>28</v>
      </c>
      <c r="O246" t="s">
        <v>2045</v>
      </c>
      <c r="P246" t="s">
        <v>2062</v>
      </c>
      <c r="Q246" s="2">
        <f>Employee_Data[[#This Row],[Monthly Salary]]*12</f>
        <v>932910.60000000009</v>
      </c>
    </row>
    <row r="247" spans="1:17" x14ac:dyDescent="0.25">
      <c r="A247" t="s">
        <v>261</v>
      </c>
      <c r="B247" t="s">
        <v>1261</v>
      </c>
      <c r="C247" t="s">
        <v>2009</v>
      </c>
      <c r="D247" t="s">
        <v>2030</v>
      </c>
      <c r="E247" t="s">
        <v>2038</v>
      </c>
      <c r="F247">
        <v>44</v>
      </c>
      <c r="G247" s="1">
        <v>42435</v>
      </c>
      <c r="H247" t="s">
        <v>2042</v>
      </c>
      <c r="I247" s="2">
        <v>115025.41</v>
      </c>
      <c r="J247">
        <v>3</v>
      </c>
      <c r="K247">
        <v>91.64</v>
      </c>
      <c r="L247">
        <v>9</v>
      </c>
      <c r="M247">
        <v>11</v>
      </c>
      <c r="N247">
        <v>46</v>
      </c>
      <c r="O247" t="s">
        <v>2056</v>
      </c>
      <c r="P247" t="s">
        <v>2062</v>
      </c>
      <c r="Q247" s="2">
        <f>Employee_Data[[#This Row],[Monthly Salary]]*12</f>
        <v>1380304.92</v>
      </c>
    </row>
    <row r="248" spans="1:17" x14ac:dyDescent="0.25">
      <c r="A248" t="s">
        <v>262</v>
      </c>
      <c r="B248" t="s">
        <v>1262</v>
      </c>
      <c r="C248" t="s">
        <v>2012</v>
      </c>
      <c r="D248" t="s">
        <v>2021</v>
      </c>
      <c r="E248" t="s">
        <v>2038</v>
      </c>
      <c r="F248">
        <v>34</v>
      </c>
      <c r="G248" s="1">
        <v>45811</v>
      </c>
      <c r="H248" t="s">
        <v>2042</v>
      </c>
      <c r="I248" s="2">
        <v>102484.76</v>
      </c>
      <c r="J248">
        <v>4</v>
      </c>
      <c r="K248">
        <v>85.37</v>
      </c>
      <c r="L248">
        <v>0</v>
      </c>
      <c r="M248">
        <v>36</v>
      </c>
      <c r="N248">
        <v>21</v>
      </c>
      <c r="O248" t="s">
        <v>2046</v>
      </c>
      <c r="P248" t="s">
        <v>2062</v>
      </c>
      <c r="Q248" s="2">
        <f>Employee_Data[[#This Row],[Monthly Salary]]*12</f>
        <v>1229817.1199999999</v>
      </c>
    </row>
    <row r="249" spans="1:17" x14ac:dyDescent="0.25">
      <c r="A249" t="s">
        <v>263</v>
      </c>
      <c r="B249" t="s">
        <v>1263</v>
      </c>
      <c r="C249" t="s">
        <v>2013</v>
      </c>
      <c r="D249" t="s">
        <v>2022</v>
      </c>
      <c r="E249" t="s">
        <v>2039</v>
      </c>
      <c r="F249">
        <v>23</v>
      </c>
      <c r="G249" s="1">
        <v>45946</v>
      </c>
      <c r="H249" t="s">
        <v>2040</v>
      </c>
      <c r="I249" s="2">
        <v>82617.95</v>
      </c>
      <c r="J249">
        <v>4</v>
      </c>
      <c r="K249">
        <v>80.33</v>
      </c>
      <c r="L249">
        <v>0</v>
      </c>
      <c r="M249">
        <v>20</v>
      </c>
      <c r="N249">
        <v>28</v>
      </c>
      <c r="O249" t="s">
        <v>2056</v>
      </c>
      <c r="P249" t="s">
        <v>2062</v>
      </c>
      <c r="Q249" s="2">
        <f>Employee_Data[[#This Row],[Monthly Salary]]*12</f>
        <v>991415.39999999991</v>
      </c>
    </row>
    <row r="250" spans="1:17" x14ac:dyDescent="0.25">
      <c r="A250" t="s">
        <v>264</v>
      </c>
      <c r="B250" t="s">
        <v>1264</v>
      </c>
      <c r="C250" t="s">
        <v>2016</v>
      </c>
      <c r="D250" t="s">
        <v>2032</v>
      </c>
      <c r="E250" t="s">
        <v>2039</v>
      </c>
      <c r="F250">
        <v>40</v>
      </c>
      <c r="G250" s="1">
        <v>43219</v>
      </c>
      <c r="H250" t="s">
        <v>2040</v>
      </c>
      <c r="I250" s="2">
        <v>107442.34</v>
      </c>
      <c r="J250">
        <v>3</v>
      </c>
      <c r="K250">
        <v>81.87</v>
      </c>
      <c r="L250">
        <v>7</v>
      </c>
      <c r="M250">
        <v>46</v>
      </c>
      <c r="N250">
        <v>16</v>
      </c>
      <c r="O250" t="s">
        <v>2045</v>
      </c>
      <c r="P250" t="s">
        <v>2062</v>
      </c>
      <c r="Q250" s="2">
        <f>Employee_Data[[#This Row],[Monthly Salary]]*12</f>
        <v>1289308.08</v>
      </c>
    </row>
    <row r="251" spans="1:17" x14ac:dyDescent="0.25">
      <c r="A251" t="s">
        <v>265</v>
      </c>
      <c r="B251" t="s">
        <v>1265</v>
      </c>
      <c r="C251" t="s">
        <v>2015</v>
      </c>
      <c r="D251" t="s">
        <v>2033</v>
      </c>
      <c r="E251" t="s">
        <v>2038</v>
      </c>
      <c r="F251">
        <v>40</v>
      </c>
      <c r="G251" s="1">
        <v>43202</v>
      </c>
      <c r="H251" t="s">
        <v>2041</v>
      </c>
      <c r="I251" s="2">
        <v>89944.14</v>
      </c>
      <c r="J251">
        <v>2</v>
      </c>
      <c r="K251">
        <v>88.58</v>
      </c>
      <c r="L251">
        <v>7</v>
      </c>
      <c r="M251">
        <v>11</v>
      </c>
      <c r="N251">
        <v>45</v>
      </c>
      <c r="O251" t="s">
        <v>2047</v>
      </c>
      <c r="P251" t="s">
        <v>2062</v>
      </c>
      <c r="Q251" s="2">
        <f>Employee_Data[[#This Row],[Monthly Salary]]*12</f>
        <v>1079329.68</v>
      </c>
    </row>
    <row r="252" spans="1:17" x14ac:dyDescent="0.25">
      <c r="A252" t="s">
        <v>266</v>
      </c>
      <c r="B252" t="s">
        <v>1266</v>
      </c>
      <c r="C252" t="s">
        <v>2013</v>
      </c>
      <c r="D252" t="s">
        <v>2025</v>
      </c>
      <c r="E252" t="s">
        <v>2039</v>
      </c>
      <c r="F252">
        <v>58</v>
      </c>
      <c r="G252" s="1">
        <v>42463</v>
      </c>
      <c r="H252" t="s">
        <v>2040</v>
      </c>
      <c r="I252" s="2">
        <v>71944.429999999993</v>
      </c>
      <c r="J252">
        <v>4</v>
      </c>
      <c r="K252">
        <v>80.19</v>
      </c>
      <c r="L252">
        <v>9</v>
      </c>
      <c r="M252">
        <v>43</v>
      </c>
      <c r="N252">
        <v>52</v>
      </c>
      <c r="O252" t="s">
        <v>2047</v>
      </c>
      <c r="P252" t="s">
        <v>2063</v>
      </c>
      <c r="Q252" s="2">
        <f>Employee_Data[[#This Row],[Monthly Salary]]*12</f>
        <v>863333.15999999992</v>
      </c>
    </row>
    <row r="253" spans="1:17" x14ac:dyDescent="0.25">
      <c r="A253" t="s">
        <v>267</v>
      </c>
      <c r="B253" t="s">
        <v>1267</v>
      </c>
      <c r="C253" t="s">
        <v>2016</v>
      </c>
      <c r="D253" t="s">
        <v>2032</v>
      </c>
      <c r="E253" t="s">
        <v>2038</v>
      </c>
      <c r="F253">
        <v>25</v>
      </c>
      <c r="G253" s="1">
        <v>44314</v>
      </c>
      <c r="H253" t="s">
        <v>2040</v>
      </c>
      <c r="I253" s="2">
        <v>58306.99</v>
      </c>
      <c r="J253">
        <v>1</v>
      </c>
      <c r="K253">
        <v>82.06</v>
      </c>
      <c r="L253">
        <v>4</v>
      </c>
      <c r="M253">
        <v>47</v>
      </c>
      <c r="N253">
        <v>56</v>
      </c>
      <c r="O253" t="s">
        <v>2051</v>
      </c>
      <c r="P253" t="s">
        <v>2062</v>
      </c>
      <c r="Q253" s="2">
        <f>Employee_Data[[#This Row],[Monthly Salary]]*12</f>
        <v>699683.88</v>
      </c>
    </row>
    <row r="254" spans="1:17" x14ac:dyDescent="0.25">
      <c r="A254" t="s">
        <v>268</v>
      </c>
      <c r="B254" t="s">
        <v>1268</v>
      </c>
      <c r="C254" t="s">
        <v>2015</v>
      </c>
      <c r="D254" t="s">
        <v>2027</v>
      </c>
      <c r="E254" t="s">
        <v>2039</v>
      </c>
      <c r="F254">
        <v>25</v>
      </c>
      <c r="G254" s="1">
        <v>44918</v>
      </c>
      <c r="H254" t="s">
        <v>2041</v>
      </c>
      <c r="I254" s="2">
        <v>76329.119999999995</v>
      </c>
      <c r="J254">
        <v>5</v>
      </c>
      <c r="K254">
        <v>93</v>
      </c>
      <c r="L254">
        <v>3</v>
      </c>
      <c r="M254">
        <v>56</v>
      </c>
      <c r="N254">
        <v>22</v>
      </c>
      <c r="O254" t="s">
        <v>2059</v>
      </c>
      <c r="P254" t="s">
        <v>2062</v>
      </c>
      <c r="Q254" s="2">
        <f>Employee_Data[[#This Row],[Monthly Salary]]*12</f>
        <v>915949.44</v>
      </c>
    </row>
    <row r="255" spans="1:17" x14ac:dyDescent="0.25">
      <c r="A255" t="s">
        <v>269</v>
      </c>
      <c r="B255" t="s">
        <v>1269</v>
      </c>
      <c r="C255" t="s">
        <v>2015</v>
      </c>
      <c r="D255" t="s">
        <v>2026</v>
      </c>
      <c r="E255" t="s">
        <v>2038</v>
      </c>
      <c r="F255">
        <v>34</v>
      </c>
      <c r="G255" s="1">
        <v>44552</v>
      </c>
      <c r="H255" t="s">
        <v>2040</v>
      </c>
      <c r="I255" s="2">
        <v>109659.29</v>
      </c>
      <c r="J255">
        <v>2</v>
      </c>
      <c r="K255">
        <v>95.05</v>
      </c>
      <c r="L255">
        <v>4</v>
      </c>
      <c r="M255">
        <v>75</v>
      </c>
      <c r="N255">
        <v>46</v>
      </c>
      <c r="O255" t="s">
        <v>2061</v>
      </c>
      <c r="P255" t="s">
        <v>2062</v>
      </c>
      <c r="Q255" s="2">
        <f>Employee_Data[[#This Row],[Monthly Salary]]*12</f>
        <v>1315911.48</v>
      </c>
    </row>
    <row r="256" spans="1:17" x14ac:dyDescent="0.25">
      <c r="A256" t="s">
        <v>270</v>
      </c>
      <c r="B256" t="s">
        <v>1270</v>
      </c>
      <c r="C256" t="s">
        <v>2016</v>
      </c>
      <c r="D256" t="s">
        <v>2034</v>
      </c>
      <c r="E256" t="s">
        <v>2039</v>
      </c>
      <c r="F256">
        <v>36</v>
      </c>
      <c r="G256" s="1">
        <v>42572</v>
      </c>
      <c r="H256" t="s">
        <v>2042</v>
      </c>
      <c r="I256" s="2">
        <v>84462.06</v>
      </c>
      <c r="J256">
        <v>2</v>
      </c>
      <c r="K256">
        <v>91.07</v>
      </c>
      <c r="L256">
        <v>9</v>
      </c>
      <c r="M256">
        <v>76</v>
      </c>
      <c r="N256">
        <v>46</v>
      </c>
      <c r="O256" t="s">
        <v>2058</v>
      </c>
      <c r="P256" t="s">
        <v>2062</v>
      </c>
      <c r="Q256" s="2">
        <f>Employee_Data[[#This Row],[Monthly Salary]]*12</f>
        <v>1013544.72</v>
      </c>
    </row>
    <row r="257" spans="1:17" x14ac:dyDescent="0.25">
      <c r="A257" t="s">
        <v>271</v>
      </c>
      <c r="B257" t="s">
        <v>1271</v>
      </c>
      <c r="C257" t="s">
        <v>2010</v>
      </c>
      <c r="D257" t="s">
        <v>2037</v>
      </c>
      <c r="E257" t="s">
        <v>2038</v>
      </c>
      <c r="F257">
        <v>34</v>
      </c>
      <c r="G257" s="1">
        <v>44177</v>
      </c>
      <c r="H257" t="s">
        <v>2041</v>
      </c>
      <c r="I257" s="2">
        <v>80692.69</v>
      </c>
      <c r="J257">
        <v>2</v>
      </c>
      <c r="K257">
        <v>94.96</v>
      </c>
      <c r="L257">
        <v>5</v>
      </c>
      <c r="M257">
        <v>37</v>
      </c>
      <c r="N257">
        <v>41</v>
      </c>
      <c r="O257" t="s">
        <v>2049</v>
      </c>
      <c r="P257" t="s">
        <v>2062</v>
      </c>
      <c r="Q257" s="2">
        <f>Employee_Data[[#This Row],[Monthly Salary]]*12</f>
        <v>968312.28</v>
      </c>
    </row>
    <row r="258" spans="1:17" x14ac:dyDescent="0.25">
      <c r="A258" t="s">
        <v>272</v>
      </c>
      <c r="B258" t="s">
        <v>1272</v>
      </c>
      <c r="C258" t="s">
        <v>2014</v>
      </c>
      <c r="D258" t="s">
        <v>2029</v>
      </c>
      <c r="E258" t="s">
        <v>2038</v>
      </c>
      <c r="F258">
        <v>28</v>
      </c>
      <c r="G258" s="1">
        <v>45279</v>
      </c>
      <c r="H258" t="s">
        <v>2040</v>
      </c>
      <c r="I258" s="2">
        <v>69958.25</v>
      </c>
      <c r="J258">
        <v>5</v>
      </c>
      <c r="K258">
        <v>81.42</v>
      </c>
      <c r="L258">
        <v>2</v>
      </c>
      <c r="M258">
        <v>1</v>
      </c>
      <c r="N258">
        <v>23</v>
      </c>
      <c r="O258" t="s">
        <v>2054</v>
      </c>
      <c r="P258" t="s">
        <v>2062</v>
      </c>
      <c r="Q258" s="2">
        <f>Employee_Data[[#This Row],[Monthly Salary]]*12</f>
        <v>839499</v>
      </c>
    </row>
    <row r="259" spans="1:17" x14ac:dyDescent="0.25">
      <c r="A259" t="s">
        <v>273</v>
      </c>
      <c r="B259" t="s">
        <v>1273</v>
      </c>
      <c r="C259" t="s">
        <v>2016</v>
      </c>
      <c r="D259" t="s">
        <v>2034</v>
      </c>
      <c r="E259" t="s">
        <v>2039</v>
      </c>
      <c r="F259">
        <v>51</v>
      </c>
      <c r="G259" s="1">
        <v>45059</v>
      </c>
      <c r="H259" t="s">
        <v>2040</v>
      </c>
      <c r="I259" s="2">
        <v>21668.94</v>
      </c>
      <c r="J259">
        <v>1</v>
      </c>
      <c r="K259">
        <v>80.28</v>
      </c>
      <c r="L259">
        <v>2</v>
      </c>
      <c r="M259">
        <v>27</v>
      </c>
      <c r="N259">
        <v>2</v>
      </c>
      <c r="O259" t="s">
        <v>2049</v>
      </c>
      <c r="P259" t="s">
        <v>2063</v>
      </c>
      <c r="Q259" s="2">
        <f>Employee_Data[[#This Row],[Monthly Salary]]*12</f>
        <v>260027.27999999997</v>
      </c>
    </row>
    <row r="260" spans="1:17" x14ac:dyDescent="0.25">
      <c r="A260" t="s">
        <v>274</v>
      </c>
      <c r="B260" t="s">
        <v>1274</v>
      </c>
      <c r="C260" t="s">
        <v>2016</v>
      </c>
      <c r="D260" t="s">
        <v>2034</v>
      </c>
      <c r="E260" t="s">
        <v>2038</v>
      </c>
      <c r="F260">
        <v>48</v>
      </c>
      <c r="G260" s="1">
        <v>42711</v>
      </c>
      <c r="H260" t="s">
        <v>2041</v>
      </c>
      <c r="I260" s="2">
        <v>60227.74</v>
      </c>
      <c r="J260">
        <v>5</v>
      </c>
      <c r="K260">
        <v>90.75</v>
      </c>
      <c r="L260">
        <v>9</v>
      </c>
      <c r="M260">
        <v>19</v>
      </c>
      <c r="N260">
        <v>17</v>
      </c>
      <c r="O260" t="s">
        <v>2045</v>
      </c>
      <c r="P260" t="s">
        <v>2062</v>
      </c>
      <c r="Q260" s="2">
        <f>Employee_Data[[#This Row],[Monthly Salary]]*12</f>
        <v>722732.88</v>
      </c>
    </row>
    <row r="261" spans="1:17" x14ac:dyDescent="0.25">
      <c r="A261" t="s">
        <v>275</v>
      </c>
      <c r="B261" t="s">
        <v>1275</v>
      </c>
      <c r="C261" t="s">
        <v>2014</v>
      </c>
      <c r="D261" t="s">
        <v>2023</v>
      </c>
      <c r="E261" t="s">
        <v>2038</v>
      </c>
      <c r="F261">
        <v>46</v>
      </c>
      <c r="G261" s="1">
        <v>44323</v>
      </c>
      <c r="H261" t="s">
        <v>2041</v>
      </c>
      <c r="I261" s="2">
        <v>83429.42</v>
      </c>
      <c r="J261">
        <v>1</v>
      </c>
      <c r="K261">
        <v>86.2</v>
      </c>
      <c r="L261">
        <v>4</v>
      </c>
      <c r="M261">
        <v>55</v>
      </c>
      <c r="N261">
        <v>46</v>
      </c>
      <c r="O261" t="s">
        <v>2044</v>
      </c>
      <c r="P261" t="s">
        <v>2062</v>
      </c>
      <c r="Q261" s="2">
        <f>Employee_Data[[#This Row],[Monthly Salary]]*12</f>
        <v>1001153.04</v>
      </c>
    </row>
    <row r="262" spans="1:17" x14ac:dyDescent="0.25">
      <c r="A262" t="s">
        <v>276</v>
      </c>
      <c r="B262" t="s">
        <v>1276</v>
      </c>
      <c r="C262" t="s">
        <v>2009</v>
      </c>
      <c r="D262" t="s">
        <v>2030</v>
      </c>
      <c r="E262" t="s">
        <v>2039</v>
      </c>
      <c r="F262">
        <v>50</v>
      </c>
      <c r="G262" s="1">
        <v>45444</v>
      </c>
      <c r="H262" t="s">
        <v>2041</v>
      </c>
      <c r="I262" s="2">
        <v>80883.240000000005</v>
      </c>
      <c r="J262">
        <v>3</v>
      </c>
      <c r="K262">
        <v>93.32</v>
      </c>
      <c r="L262">
        <v>1</v>
      </c>
      <c r="M262">
        <v>22</v>
      </c>
      <c r="N262">
        <v>7</v>
      </c>
      <c r="O262" t="s">
        <v>2057</v>
      </c>
      <c r="P262" t="s">
        <v>2062</v>
      </c>
      <c r="Q262" s="2">
        <f>Employee_Data[[#This Row],[Monthly Salary]]*12</f>
        <v>970598.88000000012</v>
      </c>
    </row>
    <row r="263" spans="1:17" x14ac:dyDescent="0.25">
      <c r="A263" t="s">
        <v>277</v>
      </c>
      <c r="B263" t="s">
        <v>1277</v>
      </c>
      <c r="C263" t="s">
        <v>2010</v>
      </c>
      <c r="D263" t="s">
        <v>2018</v>
      </c>
      <c r="E263" t="s">
        <v>2038</v>
      </c>
      <c r="F263">
        <v>43</v>
      </c>
      <c r="G263" s="1">
        <v>45728</v>
      </c>
      <c r="H263" t="s">
        <v>2041</v>
      </c>
      <c r="I263" s="2">
        <v>71722.28</v>
      </c>
      <c r="J263">
        <v>3</v>
      </c>
      <c r="K263">
        <v>83.34</v>
      </c>
      <c r="L263">
        <v>0</v>
      </c>
      <c r="M263">
        <v>16</v>
      </c>
      <c r="N263">
        <v>47</v>
      </c>
      <c r="O263" t="s">
        <v>2055</v>
      </c>
      <c r="P263" t="s">
        <v>2062</v>
      </c>
      <c r="Q263" s="2">
        <f>Employee_Data[[#This Row],[Monthly Salary]]*12</f>
        <v>860667.36</v>
      </c>
    </row>
    <row r="264" spans="1:17" x14ac:dyDescent="0.25">
      <c r="A264" t="s">
        <v>278</v>
      </c>
      <c r="B264" t="s">
        <v>1278</v>
      </c>
      <c r="C264" t="s">
        <v>2009</v>
      </c>
      <c r="D264" t="s">
        <v>2017</v>
      </c>
      <c r="E264" t="s">
        <v>2038</v>
      </c>
      <c r="F264">
        <v>48</v>
      </c>
      <c r="G264" s="1">
        <v>43722</v>
      </c>
      <c r="H264" t="s">
        <v>2042</v>
      </c>
      <c r="I264" s="2">
        <v>72385.42</v>
      </c>
      <c r="J264">
        <v>3</v>
      </c>
      <c r="K264">
        <v>94.25</v>
      </c>
      <c r="L264">
        <v>6</v>
      </c>
      <c r="M264">
        <v>73</v>
      </c>
      <c r="N264">
        <v>40</v>
      </c>
      <c r="O264" t="s">
        <v>2045</v>
      </c>
      <c r="P264" t="s">
        <v>2062</v>
      </c>
      <c r="Q264" s="2">
        <f>Employee_Data[[#This Row],[Monthly Salary]]*12</f>
        <v>868625.04</v>
      </c>
    </row>
    <row r="265" spans="1:17" x14ac:dyDescent="0.25">
      <c r="A265" t="s">
        <v>279</v>
      </c>
      <c r="B265" t="s">
        <v>1279</v>
      </c>
      <c r="C265" t="s">
        <v>2012</v>
      </c>
      <c r="D265" t="s">
        <v>2021</v>
      </c>
      <c r="E265" t="s">
        <v>2038</v>
      </c>
      <c r="F265">
        <v>57</v>
      </c>
      <c r="G265" s="1">
        <v>42893</v>
      </c>
      <c r="H265" t="s">
        <v>2040</v>
      </c>
      <c r="I265" s="2">
        <v>56768.78</v>
      </c>
      <c r="J265">
        <v>3</v>
      </c>
      <c r="K265">
        <v>95.47</v>
      </c>
      <c r="L265">
        <v>8</v>
      </c>
      <c r="M265">
        <v>73</v>
      </c>
      <c r="N265">
        <v>43</v>
      </c>
      <c r="O265" t="s">
        <v>2047</v>
      </c>
      <c r="P265" t="s">
        <v>2062</v>
      </c>
      <c r="Q265" s="2">
        <f>Employee_Data[[#This Row],[Monthly Salary]]*12</f>
        <v>681225.36</v>
      </c>
    </row>
    <row r="266" spans="1:17" x14ac:dyDescent="0.25">
      <c r="A266" t="s">
        <v>280</v>
      </c>
      <c r="B266" t="s">
        <v>1280</v>
      </c>
      <c r="C266" t="s">
        <v>2010</v>
      </c>
      <c r="D266" t="s">
        <v>2018</v>
      </c>
      <c r="E266" t="s">
        <v>2039</v>
      </c>
      <c r="F266">
        <v>36</v>
      </c>
      <c r="G266" s="1">
        <v>43251</v>
      </c>
      <c r="H266" t="s">
        <v>2040</v>
      </c>
      <c r="I266" s="2">
        <v>67176.460000000006</v>
      </c>
      <c r="J266">
        <v>4</v>
      </c>
      <c r="K266">
        <v>98.4</v>
      </c>
      <c r="L266">
        <v>7</v>
      </c>
      <c r="M266">
        <v>22</v>
      </c>
      <c r="N266">
        <v>59</v>
      </c>
      <c r="O266" t="s">
        <v>2049</v>
      </c>
      <c r="P266" t="s">
        <v>2062</v>
      </c>
      <c r="Q266" s="2">
        <f>Employee_Data[[#This Row],[Monthly Salary]]*12</f>
        <v>806117.52</v>
      </c>
    </row>
    <row r="267" spans="1:17" x14ac:dyDescent="0.25">
      <c r="A267" t="s">
        <v>281</v>
      </c>
      <c r="B267" t="s">
        <v>1281</v>
      </c>
      <c r="C267" t="s">
        <v>2016</v>
      </c>
      <c r="D267" t="s">
        <v>2032</v>
      </c>
      <c r="E267" t="s">
        <v>2038</v>
      </c>
      <c r="F267">
        <v>36</v>
      </c>
      <c r="G267" s="1">
        <v>42833</v>
      </c>
      <c r="H267" t="s">
        <v>2042</v>
      </c>
      <c r="I267" s="2">
        <v>111585.48</v>
      </c>
      <c r="J267">
        <v>3</v>
      </c>
      <c r="K267">
        <v>85.43</v>
      </c>
      <c r="L267">
        <v>8</v>
      </c>
      <c r="M267">
        <v>9</v>
      </c>
      <c r="N267">
        <v>36</v>
      </c>
      <c r="O267" t="s">
        <v>2053</v>
      </c>
      <c r="P267" t="s">
        <v>2062</v>
      </c>
      <c r="Q267" s="2">
        <f>Employee_Data[[#This Row],[Monthly Salary]]*12</f>
        <v>1339025.76</v>
      </c>
    </row>
    <row r="268" spans="1:17" x14ac:dyDescent="0.25">
      <c r="A268" t="s">
        <v>282</v>
      </c>
      <c r="B268" t="s">
        <v>1282</v>
      </c>
      <c r="C268" t="s">
        <v>2010</v>
      </c>
      <c r="D268" t="s">
        <v>2018</v>
      </c>
      <c r="E268" t="s">
        <v>2039</v>
      </c>
      <c r="F268">
        <v>54</v>
      </c>
      <c r="G268" s="1">
        <v>43111</v>
      </c>
      <c r="H268" t="s">
        <v>2040</v>
      </c>
      <c r="I268" s="2">
        <v>115407.94</v>
      </c>
      <c r="J268">
        <v>1</v>
      </c>
      <c r="K268">
        <v>97.54</v>
      </c>
      <c r="L268">
        <v>7</v>
      </c>
      <c r="M268">
        <v>36</v>
      </c>
      <c r="N268">
        <v>49</v>
      </c>
      <c r="O268" t="s">
        <v>2051</v>
      </c>
      <c r="P268" t="s">
        <v>2062</v>
      </c>
      <c r="Q268" s="2">
        <f>Employee_Data[[#This Row],[Monthly Salary]]*12</f>
        <v>1384895.28</v>
      </c>
    </row>
    <row r="269" spans="1:17" x14ac:dyDescent="0.25">
      <c r="A269" t="s">
        <v>283</v>
      </c>
      <c r="B269" t="s">
        <v>1283</v>
      </c>
      <c r="C269" t="s">
        <v>2013</v>
      </c>
      <c r="D269" t="s">
        <v>2025</v>
      </c>
      <c r="E269" t="s">
        <v>2038</v>
      </c>
      <c r="F269">
        <v>33</v>
      </c>
      <c r="G269" s="1">
        <v>44351</v>
      </c>
      <c r="H269" t="s">
        <v>2042</v>
      </c>
      <c r="I269" s="2">
        <v>76380.67</v>
      </c>
      <c r="J269">
        <v>3</v>
      </c>
      <c r="K269">
        <v>94.79</v>
      </c>
      <c r="L269">
        <v>4</v>
      </c>
      <c r="M269">
        <v>31</v>
      </c>
      <c r="N269">
        <v>29</v>
      </c>
      <c r="O269" t="s">
        <v>2053</v>
      </c>
      <c r="P269" t="s">
        <v>2062</v>
      </c>
      <c r="Q269" s="2">
        <f>Employee_Data[[#This Row],[Monthly Salary]]*12</f>
        <v>916568.04</v>
      </c>
    </row>
    <row r="270" spans="1:17" x14ac:dyDescent="0.25">
      <c r="A270" t="s">
        <v>284</v>
      </c>
      <c r="B270" t="s">
        <v>1284</v>
      </c>
      <c r="C270" t="s">
        <v>2013</v>
      </c>
      <c r="D270" t="s">
        <v>2025</v>
      </c>
      <c r="E270" t="s">
        <v>2039</v>
      </c>
      <c r="F270">
        <v>30</v>
      </c>
      <c r="G270" s="1">
        <v>44931</v>
      </c>
      <c r="H270" t="s">
        <v>2040</v>
      </c>
      <c r="I270" s="2">
        <v>113239.75</v>
      </c>
      <c r="J270">
        <v>1</v>
      </c>
      <c r="K270">
        <v>84.66</v>
      </c>
      <c r="L270">
        <v>2</v>
      </c>
      <c r="M270">
        <v>44</v>
      </c>
      <c r="N270">
        <v>40</v>
      </c>
      <c r="O270" t="s">
        <v>2057</v>
      </c>
      <c r="P270" t="s">
        <v>2063</v>
      </c>
      <c r="Q270" s="2">
        <f>Employee_Data[[#This Row],[Monthly Salary]]*12</f>
        <v>1358877</v>
      </c>
    </row>
    <row r="271" spans="1:17" x14ac:dyDescent="0.25">
      <c r="A271" t="s">
        <v>285</v>
      </c>
      <c r="B271" t="s">
        <v>1285</v>
      </c>
      <c r="C271" t="s">
        <v>2010</v>
      </c>
      <c r="D271" t="s">
        <v>2037</v>
      </c>
      <c r="E271" t="s">
        <v>2038</v>
      </c>
      <c r="F271">
        <v>40</v>
      </c>
      <c r="G271" s="1">
        <v>44244</v>
      </c>
      <c r="H271" t="s">
        <v>2040</v>
      </c>
      <c r="I271" s="2">
        <v>40519.440000000002</v>
      </c>
      <c r="J271">
        <v>2</v>
      </c>
      <c r="K271">
        <v>88.4</v>
      </c>
      <c r="L271">
        <v>4</v>
      </c>
      <c r="M271">
        <v>7</v>
      </c>
      <c r="N271">
        <v>9</v>
      </c>
      <c r="O271" t="s">
        <v>2055</v>
      </c>
      <c r="P271" t="s">
        <v>2062</v>
      </c>
      <c r="Q271" s="2">
        <f>Employee_Data[[#This Row],[Monthly Salary]]*12</f>
        <v>486233.28</v>
      </c>
    </row>
    <row r="272" spans="1:17" x14ac:dyDescent="0.25">
      <c r="A272" t="s">
        <v>286</v>
      </c>
      <c r="B272" t="s">
        <v>1286</v>
      </c>
      <c r="C272" t="s">
        <v>2014</v>
      </c>
      <c r="D272" t="s">
        <v>2028</v>
      </c>
      <c r="E272" t="s">
        <v>2038</v>
      </c>
      <c r="F272">
        <v>44</v>
      </c>
      <c r="G272" s="1">
        <v>45299</v>
      </c>
      <c r="H272" t="s">
        <v>2042</v>
      </c>
      <c r="I272" s="2">
        <v>117455.48</v>
      </c>
      <c r="J272">
        <v>1</v>
      </c>
      <c r="K272">
        <v>91.62</v>
      </c>
      <c r="L272">
        <v>1</v>
      </c>
      <c r="M272">
        <v>64</v>
      </c>
      <c r="N272">
        <v>8</v>
      </c>
      <c r="O272" t="s">
        <v>2061</v>
      </c>
      <c r="P272" t="s">
        <v>2062</v>
      </c>
      <c r="Q272" s="2">
        <f>Employee_Data[[#This Row],[Monthly Salary]]*12</f>
        <v>1409465.76</v>
      </c>
    </row>
    <row r="273" spans="1:17" x14ac:dyDescent="0.25">
      <c r="A273" t="s">
        <v>287</v>
      </c>
      <c r="B273" t="s">
        <v>1287</v>
      </c>
      <c r="C273" t="s">
        <v>2010</v>
      </c>
      <c r="D273" t="s">
        <v>2024</v>
      </c>
      <c r="E273" t="s">
        <v>2039</v>
      </c>
      <c r="F273">
        <v>36</v>
      </c>
      <c r="G273" s="1">
        <v>44586</v>
      </c>
      <c r="H273" t="s">
        <v>2042</v>
      </c>
      <c r="I273" s="2">
        <v>46099.09</v>
      </c>
      <c r="J273">
        <v>3</v>
      </c>
      <c r="K273">
        <v>98.52</v>
      </c>
      <c r="L273">
        <v>3</v>
      </c>
      <c r="M273">
        <v>50</v>
      </c>
      <c r="N273">
        <v>44</v>
      </c>
      <c r="O273" t="s">
        <v>2054</v>
      </c>
      <c r="P273" t="s">
        <v>2062</v>
      </c>
      <c r="Q273" s="2">
        <f>Employee_Data[[#This Row],[Monthly Salary]]*12</f>
        <v>553189.07999999996</v>
      </c>
    </row>
    <row r="274" spans="1:17" x14ac:dyDescent="0.25">
      <c r="A274" t="s">
        <v>288</v>
      </c>
      <c r="B274" t="s">
        <v>1288</v>
      </c>
      <c r="C274" t="s">
        <v>2011</v>
      </c>
      <c r="D274" t="s">
        <v>2019</v>
      </c>
      <c r="E274" t="s">
        <v>2039</v>
      </c>
      <c r="F274">
        <v>33</v>
      </c>
      <c r="G274" s="1">
        <v>44969</v>
      </c>
      <c r="H274" t="s">
        <v>2040</v>
      </c>
      <c r="I274" s="2">
        <v>97993.7</v>
      </c>
      <c r="J274">
        <v>5</v>
      </c>
      <c r="K274">
        <v>82.18</v>
      </c>
      <c r="L274">
        <v>2</v>
      </c>
      <c r="M274">
        <v>13</v>
      </c>
      <c r="N274">
        <v>10</v>
      </c>
      <c r="O274" t="s">
        <v>2056</v>
      </c>
      <c r="P274" t="s">
        <v>2062</v>
      </c>
      <c r="Q274" s="2">
        <f>Employee_Data[[#This Row],[Monthly Salary]]*12</f>
        <v>1175924.3999999999</v>
      </c>
    </row>
    <row r="275" spans="1:17" x14ac:dyDescent="0.25">
      <c r="A275" t="s">
        <v>289</v>
      </c>
      <c r="B275" t="s">
        <v>1289</v>
      </c>
      <c r="C275" t="s">
        <v>2016</v>
      </c>
      <c r="D275" t="s">
        <v>2032</v>
      </c>
      <c r="E275" t="s">
        <v>2038</v>
      </c>
      <c r="F275">
        <v>34</v>
      </c>
      <c r="G275" s="1">
        <v>45762</v>
      </c>
      <c r="H275" t="s">
        <v>2042</v>
      </c>
      <c r="I275" s="2">
        <v>50830.77</v>
      </c>
      <c r="J275">
        <v>3</v>
      </c>
      <c r="K275">
        <v>97.05</v>
      </c>
      <c r="L275">
        <v>0</v>
      </c>
      <c r="M275">
        <v>11</v>
      </c>
      <c r="N275">
        <v>10</v>
      </c>
      <c r="O275" t="s">
        <v>2051</v>
      </c>
      <c r="P275" t="s">
        <v>2062</v>
      </c>
      <c r="Q275" s="2">
        <f>Employee_Data[[#This Row],[Monthly Salary]]*12</f>
        <v>609969.24</v>
      </c>
    </row>
    <row r="276" spans="1:17" x14ac:dyDescent="0.25">
      <c r="A276" t="s">
        <v>290</v>
      </c>
      <c r="B276" t="s">
        <v>1290</v>
      </c>
      <c r="C276" t="s">
        <v>2010</v>
      </c>
      <c r="D276" t="s">
        <v>2018</v>
      </c>
      <c r="E276" t="s">
        <v>2038</v>
      </c>
      <c r="F276">
        <v>30</v>
      </c>
      <c r="G276" s="1">
        <v>43964</v>
      </c>
      <c r="H276" t="s">
        <v>2040</v>
      </c>
      <c r="I276" s="2">
        <v>91115.74</v>
      </c>
      <c r="J276">
        <v>3</v>
      </c>
      <c r="K276">
        <v>87.92</v>
      </c>
      <c r="L276">
        <v>5</v>
      </c>
      <c r="M276">
        <v>6</v>
      </c>
      <c r="N276">
        <v>43</v>
      </c>
      <c r="O276" t="s">
        <v>2051</v>
      </c>
      <c r="P276" t="s">
        <v>2062</v>
      </c>
      <c r="Q276" s="2">
        <f>Employee_Data[[#This Row],[Monthly Salary]]*12</f>
        <v>1093388.8800000001</v>
      </c>
    </row>
    <row r="277" spans="1:17" x14ac:dyDescent="0.25">
      <c r="A277" t="s">
        <v>291</v>
      </c>
      <c r="B277" t="s">
        <v>1291</v>
      </c>
      <c r="C277" t="s">
        <v>2015</v>
      </c>
      <c r="D277" t="s">
        <v>2033</v>
      </c>
      <c r="E277" t="s">
        <v>2038</v>
      </c>
      <c r="F277">
        <v>49</v>
      </c>
      <c r="G277" s="1">
        <v>44414</v>
      </c>
      <c r="H277" t="s">
        <v>2041</v>
      </c>
      <c r="I277" s="2">
        <v>94807.84</v>
      </c>
      <c r="J277">
        <v>2</v>
      </c>
      <c r="K277">
        <v>81.89</v>
      </c>
      <c r="L277">
        <v>4</v>
      </c>
      <c r="M277">
        <v>13</v>
      </c>
      <c r="N277">
        <v>51</v>
      </c>
      <c r="O277" t="s">
        <v>2060</v>
      </c>
      <c r="P277" t="s">
        <v>2062</v>
      </c>
      <c r="Q277" s="2">
        <f>Employee_Data[[#This Row],[Monthly Salary]]*12</f>
        <v>1137694.08</v>
      </c>
    </row>
    <row r="278" spans="1:17" x14ac:dyDescent="0.25">
      <c r="A278" t="s">
        <v>292</v>
      </c>
      <c r="B278" t="s">
        <v>1292</v>
      </c>
      <c r="C278" t="s">
        <v>2010</v>
      </c>
      <c r="D278" t="s">
        <v>2018</v>
      </c>
      <c r="E278" t="s">
        <v>2039</v>
      </c>
      <c r="F278">
        <v>33</v>
      </c>
      <c r="G278" s="1">
        <v>44793</v>
      </c>
      <c r="H278" t="s">
        <v>2042</v>
      </c>
      <c r="I278" s="2">
        <v>57223.97</v>
      </c>
      <c r="J278">
        <v>1</v>
      </c>
      <c r="K278">
        <v>91.65</v>
      </c>
      <c r="L278">
        <v>3</v>
      </c>
      <c r="M278">
        <v>33</v>
      </c>
      <c r="N278">
        <v>58</v>
      </c>
      <c r="O278" t="s">
        <v>2045</v>
      </c>
      <c r="P278" t="s">
        <v>2062</v>
      </c>
      <c r="Q278" s="2">
        <f>Employee_Data[[#This Row],[Monthly Salary]]*12</f>
        <v>686687.64</v>
      </c>
    </row>
    <row r="279" spans="1:17" x14ac:dyDescent="0.25">
      <c r="A279" t="s">
        <v>293</v>
      </c>
      <c r="B279" t="s">
        <v>1293</v>
      </c>
      <c r="C279" t="s">
        <v>2009</v>
      </c>
      <c r="D279" t="s">
        <v>2017</v>
      </c>
      <c r="E279" t="s">
        <v>2038</v>
      </c>
      <c r="F279">
        <v>29</v>
      </c>
      <c r="G279" s="1">
        <v>42873</v>
      </c>
      <c r="H279" t="s">
        <v>2040</v>
      </c>
      <c r="I279" s="2">
        <v>110507.8</v>
      </c>
      <c r="J279">
        <v>3</v>
      </c>
      <c r="K279">
        <v>82.45</v>
      </c>
      <c r="L279">
        <v>8</v>
      </c>
      <c r="M279">
        <v>59</v>
      </c>
      <c r="N279">
        <v>3</v>
      </c>
      <c r="O279" t="s">
        <v>2048</v>
      </c>
      <c r="P279" t="s">
        <v>2063</v>
      </c>
      <c r="Q279" s="2">
        <f>Employee_Data[[#This Row],[Monthly Salary]]*12</f>
        <v>1326093.6000000001</v>
      </c>
    </row>
    <row r="280" spans="1:17" x14ac:dyDescent="0.25">
      <c r="A280" t="s">
        <v>294</v>
      </c>
      <c r="B280" t="s">
        <v>1294</v>
      </c>
      <c r="C280" t="s">
        <v>2016</v>
      </c>
      <c r="D280" t="s">
        <v>2034</v>
      </c>
      <c r="E280" t="s">
        <v>2038</v>
      </c>
      <c r="F280">
        <v>22</v>
      </c>
      <c r="G280" s="1">
        <v>44421</v>
      </c>
      <c r="H280" t="s">
        <v>2042</v>
      </c>
      <c r="I280" s="2">
        <v>88321.29</v>
      </c>
      <c r="J280">
        <v>2</v>
      </c>
      <c r="K280">
        <v>87.08</v>
      </c>
      <c r="L280">
        <v>4</v>
      </c>
      <c r="M280">
        <v>23</v>
      </c>
      <c r="N280">
        <v>17</v>
      </c>
      <c r="O280" t="s">
        <v>2055</v>
      </c>
      <c r="P280" t="s">
        <v>2062</v>
      </c>
      <c r="Q280" s="2">
        <f>Employee_Data[[#This Row],[Monthly Salary]]*12</f>
        <v>1059855.48</v>
      </c>
    </row>
    <row r="281" spans="1:17" x14ac:dyDescent="0.25">
      <c r="A281" t="s">
        <v>295</v>
      </c>
      <c r="B281" t="s">
        <v>1295</v>
      </c>
      <c r="C281" t="s">
        <v>2015</v>
      </c>
      <c r="D281" t="s">
        <v>2033</v>
      </c>
      <c r="E281" t="s">
        <v>2039</v>
      </c>
      <c r="F281">
        <v>39</v>
      </c>
      <c r="G281" s="1">
        <v>45829</v>
      </c>
      <c r="H281" t="s">
        <v>2042</v>
      </c>
      <c r="I281" s="2">
        <v>61199.22</v>
      </c>
      <c r="J281">
        <v>5</v>
      </c>
      <c r="K281">
        <v>89.58</v>
      </c>
      <c r="L281">
        <v>0</v>
      </c>
      <c r="M281">
        <v>11</v>
      </c>
      <c r="N281">
        <v>17</v>
      </c>
      <c r="O281" t="s">
        <v>2061</v>
      </c>
      <c r="P281" t="s">
        <v>2062</v>
      </c>
      <c r="Q281" s="2">
        <f>Employee_Data[[#This Row],[Monthly Salary]]*12</f>
        <v>734390.64</v>
      </c>
    </row>
    <row r="282" spans="1:17" x14ac:dyDescent="0.25">
      <c r="A282" t="s">
        <v>296</v>
      </c>
      <c r="B282" t="s">
        <v>1296</v>
      </c>
      <c r="C282" t="s">
        <v>2014</v>
      </c>
      <c r="D282" t="s">
        <v>2028</v>
      </c>
      <c r="E282" t="s">
        <v>2039</v>
      </c>
      <c r="F282">
        <v>55</v>
      </c>
      <c r="G282" s="1">
        <v>42612</v>
      </c>
      <c r="H282" t="s">
        <v>2040</v>
      </c>
      <c r="I282" s="2">
        <v>118940.36</v>
      </c>
      <c r="J282">
        <v>3</v>
      </c>
      <c r="K282">
        <v>89.59</v>
      </c>
      <c r="L282">
        <v>9</v>
      </c>
      <c r="M282">
        <v>62</v>
      </c>
      <c r="N282">
        <v>22</v>
      </c>
      <c r="O282" t="s">
        <v>2043</v>
      </c>
      <c r="P282" t="s">
        <v>2062</v>
      </c>
      <c r="Q282" s="2">
        <f>Employee_Data[[#This Row],[Monthly Salary]]*12</f>
        <v>1427284.32</v>
      </c>
    </row>
    <row r="283" spans="1:17" x14ac:dyDescent="0.25">
      <c r="A283" t="s">
        <v>297</v>
      </c>
      <c r="B283" t="s">
        <v>1297</v>
      </c>
      <c r="C283" t="s">
        <v>2016</v>
      </c>
      <c r="D283" t="s">
        <v>2034</v>
      </c>
      <c r="E283" t="s">
        <v>2039</v>
      </c>
      <c r="F283">
        <v>22</v>
      </c>
      <c r="G283" s="1">
        <v>45320</v>
      </c>
      <c r="H283" t="s">
        <v>2042</v>
      </c>
      <c r="I283" s="2">
        <v>79711.64</v>
      </c>
      <c r="J283">
        <v>1</v>
      </c>
      <c r="K283">
        <v>97.92</v>
      </c>
      <c r="L283">
        <v>1</v>
      </c>
      <c r="M283">
        <v>35</v>
      </c>
      <c r="N283">
        <v>3</v>
      </c>
      <c r="O283" t="s">
        <v>2050</v>
      </c>
      <c r="P283" t="s">
        <v>2062</v>
      </c>
      <c r="Q283" s="2">
        <f>Employee_Data[[#This Row],[Monthly Salary]]*12</f>
        <v>956539.67999999993</v>
      </c>
    </row>
    <row r="284" spans="1:17" x14ac:dyDescent="0.25">
      <c r="A284" t="s">
        <v>298</v>
      </c>
      <c r="B284" t="s">
        <v>1298</v>
      </c>
      <c r="C284" t="s">
        <v>2014</v>
      </c>
      <c r="D284" t="s">
        <v>2023</v>
      </c>
      <c r="E284" t="s">
        <v>2039</v>
      </c>
      <c r="F284">
        <v>36</v>
      </c>
      <c r="G284" s="1">
        <v>45486</v>
      </c>
      <c r="H284" t="s">
        <v>2041</v>
      </c>
      <c r="I284" s="2">
        <v>44115.28</v>
      </c>
      <c r="J284">
        <v>5</v>
      </c>
      <c r="K284">
        <v>96.33</v>
      </c>
      <c r="L284">
        <v>1</v>
      </c>
      <c r="M284">
        <v>7</v>
      </c>
      <c r="N284">
        <v>48</v>
      </c>
      <c r="O284" t="s">
        <v>2044</v>
      </c>
      <c r="P284" t="s">
        <v>2062</v>
      </c>
      <c r="Q284" s="2">
        <f>Employee_Data[[#This Row],[Monthly Salary]]*12</f>
        <v>529383.36</v>
      </c>
    </row>
    <row r="285" spans="1:17" x14ac:dyDescent="0.25">
      <c r="A285" t="s">
        <v>299</v>
      </c>
      <c r="B285" t="s">
        <v>1299</v>
      </c>
      <c r="C285" t="s">
        <v>2016</v>
      </c>
      <c r="D285" t="s">
        <v>2034</v>
      </c>
      <c r="E285" t="s">
        <v>2039</v>
      </c>
      <c r="F285">
        <v>32</v>
      </c>
      <c r="G285" s="1">
        <v>45326</v>
      </c>
      <c r="H285" t="s">
        <v>2040</v>
      </c>
      <c r="I285" s="2">
        <v>79251.95</v>
      </c>
      <c r="J285">
        <v>3</v>
      </c>
      <c r="K285">
        <v>98.28</v>
      </c>
      <c r="L285">
        <v>1</v>
      </c>
      <c r="M285">
        <v>3</v>
      </c>
      <c r="N285">
        <v>45</v>
      </c>
      <c r="O285" t="s">
        <v>2053</v>
      </c>
      <c r="P285" t="s">
        <v>2063</v>
      </c>
      <c r="Q285" s="2">
        <f>Employee_Data[[#This Row],[Monthly Salary]]*12</f>
        <v>951023.39999999991</v>
      </c>
    </row>
    <row r="286" spans="1:17" x14ac:dyDescent="0.25">
      <c r="A286" t="s">
        <v>300</v>
      </c>
      <c r="B286" t="s">
        <v>1300</v>
      </c>
      <c r="C286" t="s">
        <v>2015</v>
      </c>
      <c r="D286" t="s">
        <v>2027</v>
      </c>
      <c r="E286" t="s">
        <v>2039</v>
      </c>
      <c r="F286">
        <v>52</v>
      </c>
      <c r="G286" s="1">
        <v>42643</v>
      </c>
      <c r="H286" t="s">
        <v>2041</v>
      </c>
      <c r="I286" s="2">
        <v>50905.31</v>
      </c>
      <c r="J286">
        <v>4</v>
      </c>
      <c r="K286">
        <v>80.760000000000005</v>
      </c>
      <c r="L286">
        <v>9</v>
      </c>
      <c r="M286">
        <v>7</v>
      </c>
      <c r="N286">
        <v>14</v>
      </c>
      <c r="O286" t="s">
        <v>2058</v>
      </c>
      <c r="P286" t="s">
        <v>2062</v>
      </c>
      <c r="Q286" s="2">
        <f>Employee_Data[[#This Row],[Monthly Salary]]*12</f>
        <v>610863.72</v>
      </c>
    </row>
    <row r="287" spans="1:17" x14ac:dyDescent="0.25">
      <c r="A287" t="s">
        <v>301</v>
      </c>
      <c r="B287" t="s">
        <v>1301</v>
      </c>
      <c r="C287" t="s">
        <v>2013</v>
      </c>
      <c r="D287" t="s">
        <v>2025</v>
      </c>
      <c r="E287" t="s">
        <v>2038</v>
      </c>
      <c r="F287">
        <v>60</v>
      </c>
      <c r="G287" s="1">
        <v>43155</v>
      </c>
      <c r="H287" t="s">
        <v>2040</v>
      </c>
      <c r="I287" s="2">
        <v>100644.54</v>
      </c>
      <c r="J287">
        <v>3</v>
      </c>
      <c r="K287">
        <v>94.34</v>
      </c>
      <c r="L287">
        <v>7</v>
      </c>
      <c r="M287">
        <v>41</v>
      </c>
      <c r="N287">
        <v>3</v>
      </c>
      <c r="O287" t="s">
        <v>2057</v>
      </c>
      <c r="P287" t="s">
        <v>2062</v>
      </c>
      <c r="Q287" s="2">
        <f>Employee_Data[[#This Row],[Monthly Salary]]*12</f>
        <v>1207734.48</v>
      </c>
    </row>
    <row r="288" spans="1:17" x14ac:dyDescent="0.25">
      <c r="A288" t="s">
        <v>302</v>
      </c>
      <c r="B288" t="s">
        <v>1302</v>
      </c>
      <c r="C288" t="s">
        <v>2015</v>
      </c>
      <c r="D288" t="s">
        <v>2033</v>
      </c>
      <c r="E288" t="s">
        <v>2038</v>
      </c>
      <c r="F288">
        <v>25</v>
      </c>
      <c r="G288" s="1">
        <v>45393</v>
      </c>
      <c r="H288" t="s">
        <v>2042</v>
      </c>
      <c r="I288" s="2">
        <v>90453.8</v>
      </c>
      <c r="J288">
        <v>4</v>
      </c>
      <c r="K288">
        <v>91.72</v>
      </c>
      <c r="L288">
        <v>1</v>
      </c>
      <c r="M288">
        <v>43</v>
      </c>
      <c r="N288">
        <v>19</v>
      </c>
      <c r="O288" t="s">
        <v>2054</v>
      </c>
      <c r="P288" t="s">
        <v>2062</v>
      </c>
      <c r="Q288" s="2">
        <f>Employee_Data[[#This Row],[Monthly Salary]]*12</f>
        <v>1085445.6000000001</v>
      </c>
    </row>
    <row r="289" spans="1:17" x14ac:dyDescent="0.25">
      <c r="A289" t="s">
        <v>303</v>
      </c>
      <c r="B289" t="s">
        <v>1303</v>
      </c>
      <c r="C289" t="s">
        <v>2015</v>
      </c>
      <c r="D289" t="s">
        <v>2027</v>
      </c>
      <c r="E289" t="s">
        <v>2038</v>
      </c>
      <c r="F289">
        <v>52</v>
      </c>
      <c r="G289" s="1">
        <v>43732</v>
      </c>
      <c r="H289" t="s">
        <v>2041</v>
      </c>
      <c r="I289" s="2">
        <v>51728.34</v>
      </c>
      <c r="J289">
        <v>5</v>
      </c>
      <c r="K289">
        <v>93.87</v>
      </c>
      <c r="L289">
        <v>6</v>
      </c>
      <c r="M289">
        <v>78</v>
      </c>
      <c r="N289">
        <v>50</v>
      </c>
      <c r="O289" t="s">
        <v>2053</v>
      </c>
      <c r="P289" t="s">
        <v>2062</v>
      </c>
      <c r="Q289" s="2">
        <f>Employee_Data[[#This Row],[Monthly Salary]]*12</f>
        <v>620740.07999999996</v>
      </c>
    </row>
    <row r="290" spans="1:17" x14ac:dyDescent="0.25">
      <c r="A290" t="s">
        <v>304</v>
      </c>
      <c r="B290" t="s">
        <v>1304</v>
      </c>
      <c r="C290" t="s">
        <v>2015</v>
      </c>
      <c r="D290" t="s">
        <v>2026</v>
      </c>
      <c r="E290" t="s">
        <v>2038</v>
      </c>
      <c r="F290">
        <v>39</v>
      </c>
      <c r="G290" s="1">
        <v>42750</v>
      </c>
      <c r="H290" t="s">
        <v>2040</v>
      </c>
      <c r="I290" s="2">
        <v>37770.83</v>
      </c>
      <c r="J290">
        <v>1</v>
      </c>
      <c r="K290">
        <v>98.98</v>
      </c>
      <c r="L290">
        <v>8</v>
      </c>
      <c r="M290">
        <v>73</v>
      </c>
      <c r="N290">
        <v>25</v>
      </c>
      <c r="O290" t="s">
        <v>2043</v>
      </c>
      <c r="P290" t="s">
        <v>2062</v>
      </c>
      <c r="Q290" s="2">
        <f>Employee_Data[[#This Row],[Monthly Salary]]*12</f>
        <v>453249.96</v>
      </c>
    </row>
    <row r="291" spans="1:17" x14ac:dyDescent="0.25">
      <c r="A291" t="s">
        <v>305</v>
      </c>
      <c r="B291" t="s">
        <v>1305</v>
      </c>
      <c r="C291" t="s">
        <v>2012</v>
      </c>
      <c r="D291" t="s">
        <v>2021</v>
      </c>
      <c r="E291" t="s">
        <v>2039</v>
      </c>
      <c r="F291">
        <v>52</v>
      </c>
      <c r="G291" s="1">
        <v>45159</v>
      </c>
      <c r="H291" t="s">
        <v>2040</v>
      </c>
      <c r="I291" s="2">
        <v>53116.84</v>
      </c>
      <c r="J291">
        <v>1</v>
      </c>
      <c r="K291">
        <v>84.76</v>
      </c>
      <c r="L291">
        <v>2</v>
      </c>
      <c r="M291">
        <v>40</v>
      </c>
      <c r="N291">
        <v>10</v>
      </c>
      <c r="O291" t="s">
        <v>2045</v>
      </c>
      <c r="P291" t="s">
        <v>2062</v>
      </c>
      <c r="Q291" s="2">
        <f>Employee_Data[[#This Row],[Monthly Salary]]*12</f>
        <v>637402.07999999996</v>
      </c>
    </row>
    <row r="292" spans="1:17" x14ac:dyDescent="0.25">
      <c r="A292" t="s">
        <v>306</v>
      </c>
      <c r="B292" t="s">
        <v>1306</v>
      </c>
      <c r="C292" t="s">
        <v>2012</v>
      </c>
      <c r="D292" t="s">
        <v>2020</v>
      </c>
      <c r="E292" t="s">
        <v>2039</v>
      </c>
      <c r="F292">
        <v>37</v>
      </c>
      <c r="G292" s="1">
        <v>45865</v>
      </c>
      <c r="H292" t="s">
        <v>2040</v>
      </c>
      <c r="I292" s="2">
        <v>44954.09</v>
      </c>
      <c r="J292">
        <v>1</v>
      </c>
      <c r="K292">
        <v>87.01</v>
      </c>
      <c r="L292">
        <v>0</v>
      </c>
      <c r="M292">
        <v>13</v>
      </c>
      <c r="N292">
        <v>46</v>
      </c>
      <c r="O292" t="s">
        <v>2057</v>
      </c>
      <c r="P292" t="s">
        <v>2062</v>
      </c>
      <c r="Q292" s="2">
        <f>Employee_Data[[#This Row],[Monthly Salary]]*12</f>
        <v>539449.07999999996</v>
      </c>
    </row>
    <row r="293" spans="1:17" x14ac:dyDescent="0.25">
      <c r="A293" t="s">
        <v>307</v>
      </c>
      <c r="B293" t="s">
        <v>1307</v>
      </c>
      <c r="C293" t="s">
        <v>2013</v>
      </c>
      <c r="D293" t="s">
        <v>2022</v>
      </c>
      <c r="E293" t="s">
        <v>2039</v>
      </c>
      <c r="F293">
        <v>47</v>
      </c>
      <c r="G293" s="1">
        <v>44819</v>
      </c>
      <c r="H293" t="s">
        <v>2042</v>
      </c>
      <c r="I293" s="2">
        <v>108177.07</v>
      </c>
      <c r="J293">
        <v>3</v>
      </c>
      <c r="K293">
        <v>90.92</v>
      </c>
      <c r="L293">
        <v>3</v>
      </c>
      <c r="M293">
        <v>12</v>
      </c>
      <c r="N293">
        <v>53</v>
      </c>
      <c r="O293" t="s">
        <v>2050</v>
      </c>
      <c r="P293" t="s">
        <v>2062</v>
      </c>
      <c r="Q293" s="2">
        <f>Employee_Data[[#This Row],[Monthly Salary]]*12</f>
        <v>1298124.8400000001</v>
      </c>
    </row>
    <row r="294" spans="1:17" x14ac:dyDescent="0.25">
      <c r="A294" t="s">
        <v>308</v>
      </c>
      <c r="B294" t="s">
        <v>1308</v>
      </c>
      <c r="C294" t="s">
        <v>2014</v>
      </c>
      <c r="D294" t="s">
        <v>2023</v>
      </c>
      <c r="E294" t="s">
        <v>2038</v>
      </c>
      <c r="F294">
        <v>25</v>
      </c>
      <c r="G294" s="1">
        <v>45161</v>
      </c>
      <c r="H294" t="s">
        <v>2040</v>
      </c>
      <c r="I294" s="2">
        <v>49490.86</v>
      </c>
      <c r="J294">
        <v>3</v>
      </c>
      <c r="K294">
        <v>85.22</v>
      </c>
      <c r="L294">
        <v>2</v>
      </c>
      <c r="M294">
        <v>13</v>
      </c>
      <c r="N294">
        <v>4</v>
      </c>
      <c r="O294" t="s">
        <v>2054</v>
      </c>
      <c r="P294" t="s">
        <v>2062</v>
      </c>
      <c r="Q294" s="2">
        <f>Employee_Data[[#This Row],[Monthly Salary]]*12</f>
        <v>593890.32000000007</v>
      </c>
    </row>
    <row r="295" spans="1:17" x14ac:dyDescent="0.25">
      <c r="A295" t="s">
        <v>309</v>
      </c>
      <c r="B295" t="s">
        <v>1309</v>
      </c>
      <c r="C295" t="s">
        <v>2016</v>
      </c>
      <c r="D295" t="s">
        <v>2032</v>
      </c>
      <c r="E295" t="s">
        <v>2039</v>
      </c>
      <c r="F295">
        <v>56</v>
      </c>
      <c r="G295" s="1">
        <v>42960</v>
      </c>
      <c r="H295" t="s">
        <v>2040</v>
      </c>
      <c r="I295" s="2">
        <v>53795.06</v>
      </c>
      <c r="J295">
        <v>5</v>
      </c>
      <c r="K295">
        <v>97.86</v>
      </c>
      <c r="L295">
        <v>8</v>
      </c>
      <c r="M295">
        <v>3</v>
      </c>
      <c r="N295">
        <v>27</v>
      </c>
      <c r="O295" t="s">
        <v>2048</v>
      </c>
      <c r="P295" t="s">
        <v>2062</v>
      </c>
      <c r="Q295" s="2">
        <f>Employee_Data[[#This Row],[Monthly Salary]]*12</f>
        <v>645540.72</v>
      </c>
    </row>
    <row r="296" spans="1:17" x14ac:dyDescent="0.25">
      <c r="A296" t="s">
        <v>310</v>
      </c>
      <c r="B296" t="s">
        <v>1310</v>
      </c>
      <c r="C296" t="s">
        <v>2016</v>
      </c>
      <c r="D296" t="s">
        <v>2032</v>
      </c>
      <c r="E296" t="s">
        <v>2039</v>
      </c>
      <c r="F296">
        <v>27</v>
      </c>
      <c r="G296" s="1">
        <v>44762</v>
      </c>
      <c r="H296" t="s">
        <v>2042</v>
      </c>
      <c r="I296" s="2">
        <v>40555.050000000003</v>
      </c>
      <c r="J296">
        <v>2</v>
      </c>
      <c r="K296">
        <v>88.19</v>
      </c>
      <c r="L296">
        <v>3</v>
      </c>
      <c r="M296">
        <v>70</v>
      </c>
      <c r="N296">
        <v>46</v>
      </c>
      <c r="O296" t="s">
        <v>2046</v>
      </c>
      <c r="P296" t="s">
        <v>2062</v>
      </c>
      <c r="Q296" s="2">
        <f>Employee_Data[[#This Row],[Monthly Salary]]*12</f>
        <v>486660.60000000003</v>
      </c>
    </row>
    <row r="297" spans="1:17" x14ac:dyDescent="0.25">
      <c r="A297" t="s">
        <v>311</v>
      </c>
      <c r="B297" t="s">
        <v>1311</v>
      </c>
      <c r="C297" t="s">
        <v>2011</v>
      </c>
      <c r="D297" t="s">
        <v>2035</v>
      </c>
      <c r="E297" t="s">
        <v>2039</v>
      </c>
      <c r="F297">
        <v>27</v>
      </c>
      <c r="G297" s="1">
        <v>43347</v>
      </c>
      <c r="H297" t="s">
        <v>2040</v>
      </c>
      <c r="I297" s="2">
        <v>59290.22</v>
      </c>
      <c r="J297">
        <v>5</v>
      </c>
      <c r="K297">
        <v>96.8</v>
      </c>
      <c r="L297">
        <v>7</v>
      </c>
      <c r="M297">
        <v>19</v>
      </c>
      <c r="N297">
        <v>3</v>
      </c>
      <c r="O297" t="s">
        <v>2053</v>
      </c>
      <c r="P297" t="s">
        <v>2062</v>
      </c>
      <c r="Q297" s="2">
        <f>Employee_Data[[#This Row],[Monthly Salary]]*12</f>
        <v>711482.64</v>
      </c>
    </row>
    <row r="298" spans="1:17" x14ac:dyDescent="0.25">
      <c r="A298" t="s">
        <v>312</v>
      </c>
      <c r="B298" t="s">
        <v>1312</v>
      </c>
      <c r="C298" t="s">
        <v>2009</v>
      </c>
      <c r="D298" t="s">
        <v>2030</v>
      </c>
      <c r="E298" t="s">
        <v>2038</v>
      </c>
      <c r="F298">
        <v>33</v>
      </c>
      <c r="G298" s="1">
        <v>43507</v>
      </c>
      <c r="H298" t="s">
        <v>2040</v>
      </c>
      <c r="I298" s="2">
        <v>22573.57</v>
      </c>
      <c r="J298">
        <v>2</v>
      </c>
      <c r="K298">
        <v>92.76</v>
      </c>
      <c r="L298">
        <v>6</v>
      </c>
      <c r="M298">
        <v>10</v>
      </c>
      <c r="N298">
        <v>30</v>
      </c>
      <c r="O298" t="s">
        <v>2047</v>
      </c>
      <c r="P298" t="s">
        <v>2062</v>
      </c>
      <c r="Q298" s="2">
        <f>Employee_Data[[#This Row],[Monthly Salary]]*12</f>
        <v>270882.83999999997</v>
      </c>
    </row>
    <row r="299" spans="1:17" x14ac:dyDescent="0.25">
      <c r="A299" t="s">
        <v>313</v>
      </c>
      <c r="B299" t="s">
        <v>1313</v>
      </c>
      <c r="C299" t="s">
        <v>2016</v>
      </c>
      <c r="D299" t="s">
        <v>2034</v>
      </c>
      <c r="E299" t="s">
        <v>2038</v>
      </c>
      <c r="F299">
        <v>37</v>
      </c>
      <c r="G299" s="1">
        <v>43220</v>
      </c>
      <c r="H299" t="s">
        <v>2040</v>
      </c>
      <c r="I299" s="2">
        <v>84186.64</v>
      </c>
      <c r="J299">
        <v>4</v>
      </c>
      <c r="K299">
        <v>83.7</v>
      </c>
      <c r="L299">
        <v>7</v>
      </c>
      <c r="M299">
        <v>48</v>
      </c>
      <c r="N299">
        <v>23</v>
      </c>
      <c r="O299" t="s">
        <v>2048</v>
      </c>
      <c r="P299" t="s">
        <v>2062</v>
      </c>
      <c r="Q299" s="2">
        <f>Employee_Data[[#This Row],[Monthly Salary]]*12</f>
        <v>1010239.6799999999</v>
      </c>
    </row>
    <row r="300" spans="1:17" x14ac:dyDescent="0.25">
      <c r="A300" t="s">
        <v>314</v>
      </c>
      <c r="B300" t="s">
        <v>1314</v>
      </c>
      <c r="C300" t="s">
        <v>2011</v>
      </c>
      <c r="D300" t="s">
        <v>2035</v>
      </c>
      <c r="E300" t="s">
        <v>2038</v>
      </c>
      <c r="F300">
        <v>37</v>
      </c>
      <c r="G300" s="1">
        <v>43252</v>
      </c>
      <c r="H300" t="s">
        <v>2040</v>
      </c>
      <c r="I300" s="2">
        <v>103707.88</v>
      </c>
      <c r="J300">
        <v>5</v>
      </c>
      <c r="K300">
        <v>81.23</v>
      </c>
      <c r="L300">
        <v>7</v>
      </c>
      <c r="M300">
        <v>12</v>
      </c>
      <c r="N300">
        <v>5</v>
      </c>
      <c r="O300" t="s">
        <v>2053</v>
      </c>
      <c r="P300" t="s">
        <v>2062</v>
      </c>
      <c r="Q300" s="2">
        <f>Employee_Data[[#This Row],[Monthly Salary]]*12</f>
        <v>1244494.56</v>
      </c>
    </row>
    <row r="301" spans="1:17" x14ac:dyDescent="0.25">
      <c r="A301" t="s">
        <v>315</v>
      </c>
      <c r="B301" t="s">
        <v>1315</v>
      </c>
      <c r="C301" t="s">
        <v>2016</v>
      </c>
      <c r="D301" t="s">
        <v>2032</v>
      </c>
      <c r="E301" t="s">
        <v>2039</v>
      </c>
      <c r="F301">
        <v>45</v>
      </c>
      <c r="G301" s="1">
        <v>45373</v>
      </c>
      <c r="H301" t="s">
        <v>2041</v>
      </c>
      <c r="I301" s="2">
        <v>61863.21</v>
      </c>
      <c r="J301">
        <v>5</v>
      </c>
      <c r="K301">
        <v>93.74</v>
      </c>
      <c r="L301">
        <v>1</v>
      </c>
      <c r="M301">
        <v>60</v>
      </c>
      <c r="N301">
        <v>36</v>
      </c>
      <c r="O301" t="s">
        <v>2044</v>
      </c>
      <c r="P301" t="s">
        <v>2062</v>
      </c>
      <c r="Q301" s="2">
        <f>Employee_Data[[#This Row],[Monthly Salary]]*12</f>
        <v>742358.52</v>
      </c>
    </row>
    <row r="302" spans="1:17" x14ac:dyDescent="0.25">
      <c r="A302" t="s">
        <v>316</v>
      </c>
      <c r="B302" t="s">
        <v>1316</v>
      </c>
      <c r="C302" t="s">
        <v>2009</v>
      </c>
      <c r="D302" t="s">
        <v>2030</v>
      </c>
      <c r="E302" t="s">
        <v>2039</v>
      </c>
      <c r="F302">
        <v>53</v>
      </c>
      <c r="G302" s="1">
        <v>45810</v>
      </c>
      <c r="H302" t="s">
        <v>2041</v>
      </c>
      <c r="I302" s="2">
        <v>110045.51</v>
      </c>
      <c r="J302">
        <v>5</v>
      </c>
      <c r="K302">
        <v>93.55</v>
      </c>
      <c r="L302">
        <v>0</v>
      </c>
      <c r="M302">
        <v>79</v>
      </c>
      <c r="N302">
        <v>9</v>
      </c>
      <c r="O302" t="s">
        <v>2047</v>
      </c>
      <c r="P302" t="s">
        <v>2063</v>
      </c>
      <c r="Q302" s="2">
        <f>Employee_Data[[#This Row],[Monthly Salary]]*12</f>
        <v>1320546.1199999999</v>
      </c>
    </row>
    <row r="303" spans="1:17" x14ac:dyDescent="0.25">
      <c r="A303" t="s">
        <v>317</v>
      </c>
      <c r="B303" t="s">
        <v>1317</v>
      </c>
      <c r="C303" t="s">
        <v>2013</v>
      </c>
      <c r="D303" t="s">
        <v>2025</v>
      </c>
      <c r="E303" t="s">
        <v>2039</v>
      </c>
      <c r="F303">
        <v>34</v>
      </c>
      <c r="G303" s="1">
        <v>44267</v>
      </c>
      <c r="H303" t="s">
        <v>2040</v>
      </c>
      <c r="I303" s="2">
        <v>32618.6</v>
      </c>
      <c r="J303">
        <v>4</v>
      </c>
      <c r="K303">
        <v>81.569999999999993</v>
      </c>
      <c r="L303">
        <v>4</v>
      </c>
      <c r="M303">
        <v>55</v>
      </c>
      <c r="N303">
        <v>12</v>
      </c>
      <c r="O303" t="s">
        <v>2060</v>
      </c>
      <c r="P303" t="s">
        <v>2062</v>
      </c>
      <c r="Q303" s="2">
        <f>Employee_Data[[#This Row],[Monthly Salary]]*12</f>
        <v>391423.19999999995</v>
      </c>
    </row>
    <row r="304" spans="1:17" x14ac:dyDescent="0.25">
      <c r="A304" t="s">
        <v>318</v>
      </c>
      <c r="B304" t="s">
        <v>1318</v>
      </c>
      <c r="C304" t="s">
        <v>2011</v>
      </c>
      <c r="D304" t="s">
        <v>2035</v>
      </c>
      <c r="E304" t="s">
        <v>2039</v>
      </c>
      <c r="F304">
        <v>26</v>
      </c>
      <c r="G304" s="1">
        <v>44184</v>
      </c>
      <c r="H304" t="s">
        <v>2042</v>
      </c>
      <c r="I304" s="2">
        <v>75636.42</v>
      </c>
      <c r="J304">
        <v>5</v>
      </c>
      <c r="K304">
        <v>86.52</v>
      </c>
      <c r="L304">
        <v>5</v>
      </c>
      <c r="M304">
        <v>35</v>
      </c>
      <c r="N304">
        <v>33</v>
      </c>
      <c r="O304" t="s">
        <v>2056</v>
      </c>
      <c r="P304" t="s">
        <v>2063</v>
      </c>
      <c r="Q304" s="2">
        <f>Employee_Data[[#This Row],[Monthly Salary]]*12</f>
        <v>907637.04</v>
      </c>
    </row>
    <row r="305" spans="1:17" x14ac:dyDescent="0.25">
      <c r="A305" t="s">
        <v>319</v>
      </c>
      <c r="B305" t="s">
        <v>1319</v>
      </c>
      <c r="C305" t="s">
        <v>2010</v>
      </c>
      <c r="D305" t="s">
        <v>2037</v>
      </c>
      <c r="E305" t="s">
        <v>2038</v>
      </c>
      <c r="F305">
        <v>28</v>
      </c>
      <c r="G305" s="1">
        <v>42764</v>
      </c>
      <c r="H305" t="s">
        <v>2042</v>
      </c>
      <c r="I305" s="2">
        <v>34964.230000000003</v>
      </c>
      <c r="J305">
        <v>5</v>
      </c>
      <c r="K305">
        <v>91.76</v>
      </c>
      <c r="L305">
        <v>8</v>
      </c>
      <c r="M305">
        <v>12</v>
      </c>
      <c r="N305">
        <v>59</v>
      </c>
      <c r="O305" t="s">
        <v>2047</v>
      </c>
      <c r="P305" t="s">
        <v>2062</v>
      </c>
      <c r="Q305" s="2">
        <f>Employee_Data[[#This Row],[Monthly Salary]]*12</f>
        <v>419570.76</v>
      </c>
    </row>
    <row r="306" spans="1:17" x14ac:dyDescent="0.25">
      <c r="A306" t="s">
        <v>320</v>
      </c>
      <c r="B306" t="s">
        <v>1320</v>
      </c>
      <c r="C306" t="s">
        <v>2009</v>
      </c>
      <c r="D306" t="s">
        <v>2030</v>
      </c>
      <c r="E306" t="s">
        <v>2038</v>
      </c>
      <c r="F306">
        <v>47</v>
      </c>
      <c r="G306" s="1">
        <v>44086</v>
      </c>
      <c r="H306" t="s">
        <v>2042</v>
      </c>
      <c r="I306" s="2">
        <v>58304.35</v>
      </c>
      <c r="J306">
        <v>4</v>
      </c>
      <c r="K306">
        <v>91.44</v>
      </c>
      <c r="L306">
        <v>5</v>
      </c>
      <c r="M306">
        <v>60</v>
      </c>
      <c r="N306">
        <v>2</v>
      </c>
      <c r="O306" t="s">
        <v>2048</v>
      </c>
      <c r="P306" t="s">
        <v>2062</v>
      </c>
      <c r="Q306" s="2">
        <f>Employee_Data[[#This Row],[Monthly Salary]]*12</f>
        <v>699652.2</v>
      </c>
    </row>
    <row r="307" spans="1:17" x14ac:dyDescent="0.25">
      <c r="A307" t="s">
        <v>321</v>
      </c>
      <c r="B307" t="s">
        <v>1321</v>
      </c>
      <c r="C307" t="s">
        <v>2015</v>
      </c>
      <c r="D307" t="s">
        <v>2027</v>
      </c>
      <c r="E307" t="s">
        <v>2038</v>
      </c>
      <c r="F307">
        <v>23</v>
      </c>
      <c r="G307" s="1">
        <v>45453</v>
      </c>
      <c r="H307" t="s">
        <v>2042</v>
      </c>
      <c r="I307" s="2">
        <v>108957.42</v>
      </c>
      <c r="J307">
        <v>3</v>
      </c>
      <c r="K307">
        <v>93.81</v>
      </c>
      <c r="L307">
        <v>1</v>
      </c>
      <c r="M307">
        <v>6</v>
      </c>
      <c r="N307">
        <v>47</v>
      </c>
      <c r="O307" t="s">
        <v>2050</v>
      </c>
      <c r="P307" t="s">
        <v>2063</v>
      </c>
      <c r="Q307" s="2">
        <f>Employee_Data[[#This Row],[Monthly Salary]]*12</f>
        <v>1307489.04</v>
      </c>
    </row>
    <row r="308" spans="1:17" x14ac:dyDescent="0.25">
      <c r="A308" t="s">
        <v>322</v>
      </c>
      <c r="B308" t="s">
        <v>1322</v>
      </c>
      <c r="C308" t="s">
        <v>2012</v>
      </c>
      <c r="D308" t="s">
        <v>2021</v>
      </c>
      <c r="E308" t="s">
        <v>2038</v>
      </c>
      <c r="F308">
        <v>40</v>
      </c>
      <c r="G308" s="1">
        <v>42557</v>
      </c>
      <c r="H308" t="s">
        <v>2042</v>
      </c>
      <c r="I308" s="2">
        <v>48034.67</v>
      </c>
      <c r="J308">
        <v>4</v>
      </c>
      <c r="K308">
        <v>97.16</v>
      </c>
      <c r="L308">
        <v>9</v>
      </c>
      <c r="M308">
        <v>12</v>
      </c>
      <c r="N308">
        <v>55</v>
      </c>
      <c r="O308" t="s">
        <v>2044</v>
      </c>
      <c r="P308" t="s">
        <v>2062</v>
      </c>
      <c r="Q308" s="2">
        <f>Employee_Data[[#This Row],[Monthly Salary]]*12</f>
        <v>576416.04</v>
      </c>
    </row>
    <row r="309" spans="1:17" x14ac:dyDescent="0.25">
      <c r="A309" t="s">
        <v>323</v>
      </c>
      <c r="B309" t="s">
        <v>1323</v>
      </c>
      <c r="C309" t="s">
        <v>2013</v>
      </c>
      <c r="D309" t="s">
        <v>2022</v>
      </c>
      <c r="E309" t="s">
        <v>2038</v>
      </c>
      <c r="F309">
        <v>47</v>
      </c>
      <c r="G309" s="1">
        <v>44300</v>
      </c>
      <c r="H309" t="s">
        <v>2041</v>
      </c>
      <c r="I309" s="2">
        <v>84555.48</v>
      </c>
      <c r="J309">
        <v>2</v>
      </c>
      <c r="K309">
        <v>88.83</v>
      </c>
      <c r="L309">
        <v>4</v>
      </c>
      <c r="M309">
        <v>52</v>
      </c>
      <c r="N309">
        <v>47</v>
      </c>
      <c r="O309" t="s">
        <v>2050</v>
      </c>
      <c r="P309" t="s">
        <v>2062</v>
      </c>
      <c r="Q309" s="2">
        <f>Employee_Data[[#This Row],[Monthly Salary]]*12</f>
        <v>1014665.76</v>
      </c>
    </row>
    <row r="310" spans="1:17" x14ac:dyDescent="0.25">
      <c r="A310" t="s">
        <v>324</v>
      </c>
      <c r="B310" t="s">
        <v>1324</v>
      </c>
      <c r="C310" t="s">
        <v>2012</v>
      </c>
      <c r="D310" t="s">
        <v>2021</v>
      </c>
      <c r="E310" t="s">
        <v>2039</v>
      </c>
      <c r="F310">
        <v>25</v>
      </c>
      <c r="G310" s="1">
        <v>45102</v>
      </c>
      <c r="H310" t="s">
        <v>2042</v>
      </c>
      <c r="I310" s="2">
        <v>90956.94</v>
      </c>
      <c r="J310">
        <v>4</v>
      </c>
      <c r="K310">
        <v>82.71</v>
      </c>
      <c r="L310">
        <v>2</v>
      </c>
      <c r="M310">
        <v>67</v>
      </c>
      <c r="N310">
        <v>56</v>
      </c>
      <c r="O310" t="s">
        <v>2043</v>
      </c>
      <c r="P310" t="s">
        <v>2062</v>
      </c>
      <c r="Q310" s="2">
        <f>Employee_Data[[#This Row],[Monthly Salary]]*12</f>
        <v>1091483.28</v>
      </c>
    </row>
    <row r="311" spans="1:17" x14ac:dyDescent="0.25">
      <c r="A311" t="s">
        <v>325</v>
      </c>
      <c r="B311" t="s">
        <v>1325</v>
      </c>
      <c r="C311" t="s">
        <v>2014</v>
      </c>
      <c r="D311" t="s">
        <v>2023</v>
      </c>
      <c r="E311" t="s">
        <v>2039</v>
      </c>
      <c r="F311">
        <v>36</v>
      </c>
      <c r="G311" s="1">
        <v>42827</v>
      </c>
      <c r="H311" t="s">
        <v>2040</v>
      </c>
      <c r="I311" s="2">
        <v>65644.87</v>
      </c>
      <c r="J311">
        <v>3</v>
      </c>
      <c r="K311">
        <v>94.09</v>
      </c>
      <c r="L311">
        <v>8</v>
      </c>
      <c r="M311">
        <v>35</v>
      </c>
      <c r="N311">
        <v>23</v>
      </c>
      <c r="O311" t="s">
        <v>2056</v>
      </c>
      <c r="P311" t="s">
        <v>2062</v>
      </c>
      <c r="Q311" s="2">
        <f>Employee_Data[[#This Row],[Monthly Salary]]*12</f>
        <v>787738.44</v>
      </c>
    </row>
    <row r="312" spans="1:17" x14ac:dyDescent="0.25">
      <c r="A312" t="s">
        <v>326</v>
      </c>
      <c r="B312" t="s">
        <v>1326</v>
      </c>
      <c r="C312" t="s">
        <v>2009</v>
      </c>
      <c r="D312" t="s">
        <v>2036</v>
      </c>
      <c r="E312" t="s">
        <v>2039</v>
      </c>
      <c r="F312">
        <v>36</v>
      </c>
      <c r="G312" s="1">
        <v>45023</v>
      </c>
      <c r="H312" t="s">
        <v>2042</v>
      </c>
      <c r="I312" s="2">
        <v>68878.67</v>
      </c>
      <c r="J312">
        <v>4</v>
      </c>
      <c r="K312">
        <v>83.55</v>
      </c>
      <c r="L312">
        <v>2</v>
      </c>
      <c r="M312">
        <v>60</v>
      </c>
      <c r="N312">
        <v>37</v>
      </c>
      <c r="O312" t="s">
        <v>2046</v>
      </c>
      <c r="P312" t="s">
        <v>2062</v>
      </c>
      <c r="Q312" s="2">
        <f>Employee_Data[[#This Row],[Monthly Salary]]*12</f>
        <v>826544.04</v>
      </c>
    </row>
    <row r="313" spans="1:17" x14ac:dyDescent="0.25">
      <c r="A313" t="s">
        <v>327</v>
      </c>
      <c r="B313" t="s">
        <v>1327</v>
      </c>
      <c r="C313" t="s">
        <v>2015</v>
      </c>
      <c r="D313" t="s">
        <v>2026</v>
      </c>
      <c r="E313" t="s">
        <v>2039</v>
      </c>
      <c r="F313">
        <v>39</v>
      </c>
      <c r="G313" s="1">
        <v>44060</v>
      </c>
      <c r="H313" t="s">
        <v>2040</v>
      </c>
      <c r="I313" s="2">
        <v>58656.57</v>
      </c>
      <c r="J313">
        <v>2</v>
      </c>
      <c r="K313">
        <v>97.08</v>
      </c>
      <c r="L313">
        <v>5</v>
      </c>
      <c r="M313">
        <v>27</v>
      </c>
      <c r="N313">
        <v>54</v>
      </c>
      <c r="O313" t="s">
        <v>2044</v>
      </c>
      <c r="P313" t="s">
        <v>2062</v>
      </c>
      <c r="Q313" s="2">
        <f>Employee_Data[[#This Row],[Monthly Salary]]*12</f>
        <v>703878.84</v>
      </c>
    </row>
    <row r="314" spans="1:17" x14ac:dyDescent="0.25">
      <c r="A314" t="s">
        <v>328</v>
      </c>
      <c r="B314" t="s">
        <v>1328</v>
      </c>
      <c r="C314" t="s">
        <v>2014</v>
      </c>
      <c r="D314" t="s">
        <v>2029</v>
      </c>
      <c r="E314" t="s">
        <v>2038</v>
      </c>
      <c r="F314">
        <v>53</v>
      </c>
      <c r="G314" s="1">
        <v>42628</v>
      </c>
      <c r="H314" t="s">
        <v>2040</v>
      </c>
      <c r="I314" s="2">
        <v>106462.99</v>
      </c>
      <c r="J314">
        <v>1</v>
      </c>
      <c r="K314">
        <v>89.48</v>
      </c>
      <c r="L314">
        <v>9</v>
      </c>
      <c r="M314">
        <v>16</v>
      </c>
      <c r="N314">
        <v>41</v>
      </c>
      <c r="O314" t="s">
        <v>2048</v>
      </c>
      <c r="P314" t="s">
        <v>2062</v>
      </c>
      <c r="Q314" s="2">
        <f>Employee_Data[[#This Row],[Monthly Salary]]*12</f>
        <v>1277555.8800000001</v>
      </c>
    </row>
    <row r="315" spans="1:17" x14ac:dyDescent="0.25">
      <c r="A315" t="s">
        <v>329</v>
      </c>
      <c r="B315" t="s">
        <v>1329</v>
      </c>
      <c r="C315" t="s">
        <v>2010</v>
      </c>
      <c r="D315" t="s">
        <v>2018</v>
      </c>
      <c r="E315" t="s">
        <v>2038</v>
      </c>
      <c r="F315">
        <v>59</v>
      </c>
      <c r="G315" s="1">
        <v>42890</v>
      </c>
      <c r="H315" t="s">
        <v>2042</v>
      </c>
      <c r="I315" s="2">
        <v>91274.05</v>
      </c>
      <c r="J315">
        <v>3</v>
      </c>
      <c r="K315">
        <v>88.48</v>
      </c>
      <c r="L315">
        <v>8</v>
      </c>
      <c r="M315">
        <v>48</v>
      </c>
      <c r="N315">
        <v>54</v>
      </c>
      <c r="O315" t="s">
        <v>2053</v>
      </c>
      <c r="P315" t="s">
        <v>2062</v>
      </c>
      <c r="Q315" s="2">
        <f>Employee_Data[[#This Row],[Monthly Salary]]*12</f>
        <v>1095288.6000000001</v>
      </c>
    </row>
    <row r="316" spans="1:17" x14ac:dyDescent="0.25">
      <c r="A316" t="s">
        <v>330</v>
      </c>
      <c r="B316" t="s">
        <v>1330</v>
      </c>
      <c r="C316" t="s">
        <v>2014</v>
      </c>
      <c r="D316" t="s">
        <v>2029</v>
      </c>
      <c r="E316" t="s">
        <v>2038</v>
      </c>
      <c r="F316">
        <v>54</v>
      </c>
      <c r="G316" s="1">
        <v>43237</v>
      </c>
      <c r="H316" t="s">
        <v>2041</v>
      </c>
      <c r="I316" s="2">
        <v>59715.25</v>
      </c>
      <c r="J316">
        <v>1</v>
      </c>
      <c r="K316">
        <v>80.150000000000006</v>
      </c>
      <c r="L316">
        <v>7</v>
      </c>
      <c r="M316">
        <v>47</v>
      </c>
      <c r="N316">
        <v>35</v>
      </c>
      <c r="O316" t="s">
        <v>2058</v>
      </c>
      <c r="P316" t="s">
        <v>2062</v>
      </c>
      <c r="Q316" s="2">
        <f>Employee_Data[[#This Row],[Monthly Salary]]*12</f>
        <v>716583</v>
      </c>
    </row>
    <row r="317" spans="1:17" x14ac:dyDescent="0.25">
      <c r="A317" t="s">
        <v>331</v>
      </c>
      <c r="B317" t="s">
        <v>1331</v>
      </c>
      <c r="C317" t="s">
        <v>2011</v>
      </c>
      <c r="D317" t="s">
        <v>2031</v>
      </c>
      <c r="E317" t="s">
        <v>2039</v>
      </c>
      <c r="F317">
        <v>51</v>
      </c>
      <c r="G317" s="1">
        <v>44476</v>
      </c>
      <c r="H317" t="s">
        <v>2040</v>
      </c>
      <c r="I317" s="2">
        <v>53628.37</v>
      </c>
      <c r="J317">
        <v>3</v>
      </c>
      <c r="K317">
        <v>92.81</v>
      </c>
      <c r="L317">
        <v>4</v>
      </c>
      <c r="M317">
        <v>35</v>
      </c>
      <c r="N317">
        <v>16</v>
      </c>
      <c r="O317" t="s">
        <v>2051</v>
      </c>
      <c r="P317" t="s">
        <v>2062</v>
      </c>
      <c r="Q317" s="2">
        <f>Employee_Data[[#This Row],[Monthly Salary]]*12</f>
        <v>643540.44000000006</v>
      </c>
    </row>
    <row r="318" spans="1:17" x14ac:dyDescent="0.25">
      <c r="A318" t="s">
        <v>332</v>
      </c>
      <c r="B318" t="s">
        <v>1332</v>
      </c>
      <c r="C318" t="s">
        <v>2014</v>
      </c>
      <c r="D318" t="s">
        <v>2023</v>
      </c>
      <c r="E318" t="s">
        <v>2038</v>
      </c>
      <c r="F318">
        <v>41</v>
      </c>
      <c r="G318" s="1">
        <v>43104</v>
      </c>
      <c r="H318" t="s">
        <v>2041</v>
      </c>
      <c r="I318" s="2">
        <v>33992.949999999997</v>
      </c>
      <c r="J318">
        <v>1</v>
      </c>
      <c r="K318">
        <v>93.11</v>
      </c>
      <c r="L318">
        <v>7</v>
      </c>
      <c r="M318">
        <v>37</v>
      </c>
      <c r="N318">
        <v>16</v>
      </c>
      <c r="O318" t="s">
        <v>1505</v>
      </c>
      <c r="P318" t="s">
        <v>2062</v>
      </c>
      <c r="Q318" s="2">
        <f>Employee_Data[[#This Row],[Monthly Salary]]*12</f>
        <v>407915.39999999997</v>
      </c>
    </row>
    <row r="319" spans="1:17" x14ac:dyDescent="0.25">
      <c r="A319" t="s">
        <v>333</v>
      </c>
      <c r="B319" t="s">
        <v>1333</v>
      </c>
      <c r="C319" t="s">
        <v>2010</v>
      </c>
      <c r="D319" t="s">
        <v>2037</v>
      </c>
      <c r="E319" t="s">
        <v>2039</v>
      </c>
      <c r="F319">
        <v>42</v>
      </c>
      <c r="G319" s="1">
        <v>44643</v>
      </c>
      <c r="H319" t="s">
        <v>2041</v>
      </c>
      <c r="I319" s="2">
        <v>91336.93</v>
      </c>
      <c r="J319">
        <v>5</v>
      </c>
      <c r="K319">
        <v>92.77</v>
      </c>
      <c r="L319">
        <v>3</v>
      </c>
      <c r="M319">
        <v>60</v>
      </c>
      <c r="N319">
        <v>58</v>
      </c>
      <c r="O319" t="s">
        <v>2053</v>
      </c>
      <c r="P319" t="s">
        <v>2062</v>
      </c>
      <c r="Q319" s="2">
        <f>Employee_Data[[#This Row],[Monthly Salary]]*12</f>
        <v>1096043.1599999999</v>
      </c>
    </row>
    <row r="320" spans="1:17" x14ac:dyDescent="0.25">
      <c r="A320" t="s">
        <v>334</v>
      </c>
      <c r="B320" t="s">
        <v>1334</v>
      </c>
      <c r="C320" t="s">
        <v>2015</v>
      </c>
      <c r="D320" t="s">
        <v>2027</v>
      </c>
      <c r="E320" t="s">
        <v>2039</v>
      </c>
      <c r="F320">
        <v>39</v>
      </c>
      <c r="G320" s="1">
        <v>45573</v>
      </c>
      <c r="H320" t="s">
        <v>2040</v>
      </c>
      <c r="I320" s="2">
        <v>67078.09</v>
      </c>
      <c r="J320">
        <v>3</v>
      </c>
      <c r="K320">
        <v>94.5</v>
      </c>
      <c r="L320">
        <v>1</v>
      </c>
      <c r="M320">
        <v>71</v>
      </c>
      <c r="N320">
        <v>48</v>
      </c>
      <c r="O320" t="s">
        <v>2048</v>
      </c>
      <c r="P320" t="s">
        <v>2063</v>
      </c>
      <c r="Q320" s="2">
        <f>Employee_Data[[#This Row],[Monthly Salary]]*12</f>
        <v>804937.08</v>
      </c>
    </row>
    <row r="321" spans="1:17" x14ac:dyDescent="0.25">
      <c r="A321" t="s">
        <v>335</v>
      </c>
      <c r="B321" t="s">
        <v>1335</v>
      </c>
      <c r="C321" t="s">
        <v>2012</v>
      </c>
      <c r="D321" t="s">
        <v>2021</v>
      </c>
      <c r="E321" t="s">
        <v>2039</v>
      </c>
      <c r="F321">
        <v>43</v>
      </c>
      <c r="G321" s="1">
        <v>42416</v>
      </c>
      <c r="H321" t="s">
        <v>2040</v>
      </c>
      <c r="I321" s="2">
        <v>94420.99</v>
      </c>
      <c r="J321">
        <v>3</v>
      </c>
      <c r="K321">
        <v>88.41</v>
      </c>
      <c r="L321">
        <v>9</v>
      </c>
      <c r="M321">
        <v>42</v>
      </c>
      <c r="N321">
        <v>23</v>
      </c>
      <c r="O321" t="s">
        <v>2055</v>
      </c>
      <c r="P321" t="s">
        <v>2062</v>
      </c>
      <c r="Q321" s="2">
        <f>Employee_Data[[#This Row],[Monthly Salary]]*12</f>
        <v>1133051.8800000001</v>
      </c>
    </row>
    <row r="322" spans="1:17" x14ac:dyDescent="0.25">
      <c r="A322" t="s">
        <v>336</v>
      </c>
      <c r="B322" t="s">
        <v>1336</v>
      </c>
      <c r="C322" t="s">
        <v>2013</v>
      </c>
      <c r="D322" t="s">
        <v>2025</v>
      </c>
      <c r="E322" t="s">
        <v>2038</v>
      </c>
      <c r="F322">
        <v>24</v>
      </c>
      <c r="G322" s="1">
        <v>45324</v>
      </c>
      <c r="H322" t="s">
        <v>2041</v>
      </c>
      <c r="I322" s="2">
        <v>78357.460000000006</v>
      </c>
      <c r="J322">
        <v>5</v>
      </c>
      <c r="K322">
        <v>81.42</v>
      </c>
      <c r="L322">
        <v>1</v>
      </c>
      <c r="M322">
        <v>24</v>
      </c>
      <c r="N322">
        <v>32</v>
      </c>
      <c r="O322" t="s">
        <v>2047</v>
      </c>
      <c r="P322" t="s">
        <v>2063</v>
      </c>
      <c r="Q322" s="2">
        <f>Employee_Data[[#This Row],[Monthly Salary]]*12</f>
        <v>940289.52</v>
      </c>
    </row>
    <row r="323" spans="1:17" x14ac:dyDescent="0.25">
      <c r="A323" t="s">
        <v>337</v>
      </c>
      <c r="B323" t="s">
        <v>1337</v>
      </c>
      <c r="C323" t="s">
        <v>2016</v>
      </c>
      <c r="D323" t="s">
        <v>2034</v>
      </c>
      <c r="E323" t="s">
        <v>2038</v>
      </c>
      <c r="F323">
        <v>24</v>
      </c>
      <c r="G323" s="1">
        <v>44140</v>
      </c>
      <c r="H323" t="s">
        <v>2040</v>
      </c>
      <c r="I323" s="2">
        <v>33736.53</v>
      </c>
      <c r="J323">
        <v>2</v>
      </c>
      <c r="K323">
        <v>86.85</v>
      </c>
      <c r="L323">
        <v>5</v>
      </c>
      <c r="M323">
        <v>72</v>
      </c>
      <c r="N323">
        <v>57</v>
      </c>
      <c r="O323" t="s">
        <v>2056</v>
      </c>
      <c r="P323" t="s">
        <v>2062</v>
      </c>
      <c r="Q323" s="2">
        <f>Employee_Data[[#This Row],[Monthly Salary]]*12</f>
        <v>404838.36</v>
      </c>
    </row>
    <row r="324" spans="1:17" x14ac:dyDescent="0.25">
      <c r="A324" t="s">
        <v>338</v>
      </c>
      <c r="B324" t="s">
        <v>1338</v>
      </c>
      <c r="C324" t="s">
        <v>2015</v>
      </c>
      <c r="D324" t="s">
        <v>2033</v>
      </c>
      <c r="E324" t="s">
        <v>2038</v>
      </c>
      <c r="F324">
        <v>42</v>
      </c>
      <c r="G324" s="1">
        <v>45574</v>
      </c>
      <c r="H324" t="s">
        <v>2041</v>
      </c>
      <c r="I324" s="2">
        <v>118664.04</v>
      </c>
      <c r="J324">
        <v>3</v>
      </c>
      <c r="K324">
        <v>92.69</v>
      </c>
      <c r="L324">
        <v>1</v>
      </c>
      <c r="M324">
        <v>0</v>
      </c>
      <c r="N324">
        <v>28</v>
      </c>
      <c r="O324" t="s">
        <v>2055</v>
      </c>
      <c r="P324" t="s">
        <v>2062</v>
      </c>
      <c r="Q324" s="2">
        <f>Employee_Data[[#This Row],[Monthly Salary]]*12</f>
        <v>1423968.48</v>
      </c>
    </row>
    <row r="325" spans="1:17" x14ac:dyDescent="0.25">
      <c r="A325" t="s">
        <v>339</v>
      </c>
      <c r="B325" t="s">
        <v>1339</v>
      </c>
      <c r="C325" t="s">
        <v>2015</v>
      </c>
      <c r="D325" t="s">
        <v>2027</v>
      </c>
      <c r="E325" t="s">
        <v>2039</v>
      </c>
      <c r="F325">
        <v>52</v>
      </c>
      <c r="G325" s="1">
        <v>43117</v>
      </c>
      <c r="H325" t="s">
        <v>2040</v>
      </c>
      <c r="I325" s="2">
        <v>32940.6</v>
      </c>
      <c r="J325">
        <v>4</v>
      </c>
      <c r="K325">
        <v>92.67</v>
      </c>
      <c r="L325">
        <v>7</v>
      </c>
      <c r="M325">
        <v>51</v>
      </c>
      <c r="N325">
        <v>27</v>
      </c>
      <c r="O325" t="s">
        <v>2050</v>
      </c>
      <c r="P325" t="s">
        <v>2062</v>
      </c>
      <c r="Q325" s="2">
        <f>Employee_Data[[#This Row],[Monthly Salary]]*12</f>
        <v>395287.19999999995</v>
      </c>
    </row>
    <row r="326" spans="1:17" x14ac:dyDescent="0.25">
      <c r="A326" t="s">
        <v>340</v>
      </c>
      <c r="B326" t="s">
        <v>1238</v>
      </c>
      <c r="C326" t="s">
        <v>2010</v>
      </c>
      <c r="D326" t="s">
        <v>2037</v>
      </c>
      <c r="E326" t="s">
        <v>2039</v>
      </c>
      <c r="F326">
        <v>44</v>
      </c>
      <c r="G326" s="1">
        <v>43331</v>
      </c>
      <c r="H326" t="s">
        <v>2040</v>
      </c>
      <c r="I326" s="2">
        <v>109200.64</v>
      </c>
      <c r="J326">
        <v>5</v>
      </c>
      <c r="K326">
        <v>83.81</v>
      </c>
      <c r="L326">
        <v>7</v>
      </c>
      <c r="M326">
        <v>0</v>
      </c>
      <c r="N326">
        <v>40</v>
      </c>
      <c r="O326" t="s">
        <v>2044</v>
      </c>
      <c r="P326" t="s">
        <v>2062</v>
      </c>
      <c r="Q326" s="2">
        <f>Employee_Data[[#This Row],[Monthly Salary]]*12</f>
        <v>1310407.6799999999</v>
      </c>
    </row>
    <row r="327" spans="1:17" x14ac:dyDescent="0.25">
      <c r="A327" t="s">
        <v>341</v>
      </c>
      <c r="B327" t="s">
        <v>1340</v>
      </c>
      <c r="C327" t="s">
        <v>2012</v>
      </c>
      <c r="D327" t="s">
        <v>2020</v>
      </c>
      <c r="E327" t="s">
        <v>2039</v>
      </c>
      <c r="F327">
        <v>27</v>
      </c>
      <c r="G327" s="1">
        <v>43778</v>
      </c>
      <c r="H327" t="s">
        <v>2042</v>
      </c>
      <c r="I327" s="2">
        <v>70333.649999999994</v>
      </c>
      <c r="J327">
        <v>3</v>
      </c>
      <c r="K327">
        <v>83.34</v>
      </c>
      <c r="L327">
        <v>6</v>
      </c>
      <c r="M327">
        <v>5</v>
      </c>
      <c r="N327">
        <v>19</v>
      </c>
      <c r="O327" t="s">
        <v>2051</v>
      </c>
      <c r="P327" t="s">
        <v>2062</v>
      </c>
      <c r="Q327" s="2">
        <f>Employee_Data[[#This Row],[Monthly Salary]]*12</f>
        <v>844003.79999999993</v>
      </c>
    </row>
    <row r="328" spans="1:17" x14ac:dyDescent="0.25">
      <c r="A328" t="s">
        <v>342</v>
      </c>
      <c r="B328" t="s">
        <v>1341</v>
      </c>
      <c r="C328" t="s">
        <v>2012</v>
      </c>
      <c r="D328" t="s">
        <v>2020</v>
      </c>
      <c r="E328" t="s">
        <v>2039</v>
      </c>
      <c r="F328">
        <v>42</v>
      </c>
      <c r="G328" s="1">
        <v>45092</v>
      </c>
      <c r="H328" t="s">
        <v>2042</v>
      </c>
      <c r="I328" s="2">
        <v>55925.09</v>
      </c>
      <c r="J328">
        <v>2</v>
      </c>
      <c r="K328">
        <v>83.3</v>
      </c>
      <c r="L328">
        <v>2</v>
      </c>
      <c r="M328">
        <v>51</v>
      </c>
      <c r="N328">
        <v>1</v>
      </c>
      <c r="O328" t="s">
        <v>2044</v>
      </c>
      <c r="P328" t="s">
        <v>2062</v>
      </c>
      <c r="Q328" s="2">
        <f>Employee_Data[[#This Row],[Monthly Salary]]*12</f>
        <v>671101.08</v>
      </c>
    </row>
    <row r="329" spans="1:17" x14ac:dyDescent="0.25">
      <c r="A329" t="s">
        <v>343</v>
      </c>
      <c r="B329" t="s">
        <v>1342</v>
      </c>
      <c r="C329" t="s">
        <v>2015</v>
      </c>
      <c r="D329" t="s">
        <v>2033</v>
      </c>
      <c r="E329" t="s">
        <v>2039</v>
      </c>
      <c r="F329">
        <v>58</v>
      </c>
      <c r="G329" s="1">
        <v>45217</v>
      </c>
      <c r="H329" t="s">
        <v>2041</v>
      </c>
      <c r="I329" s="2">
        <v>36898.47</v>
      </c>
      <c r="J329">
        <v>3</v>
      </c>
      <c r="K329">
        <v>94.22</v>
      </c>
      <c r="L329">
        <v>2</v>
      </c>
      <c r="M329">
        <v>4</v>
      </c>
      <c r="N329">
        <v>24</v>
      </c>
      <c r="O329" t="s">
        <v>2055</v>
      </c>
      <c r="P329" t="s">
        <v>2062</v>
      </c>
      <c r="Q329" s="2">
        <f>Employee_Data[[#This Row],[Monthly Salary]]*12</f>
        <v>442781.64</v>
      </c>
    </row>
    <row r="330" spans="1:17" x14ac:dyDescent="0.25">
      <c r="A330" t="s">
        <v>344</v>
      </c>
      <c r="B330" t="s">
        <v>1343</v>
      </c>
      <c r="C330" t="s">
        <v>2010</v>
      </c>
      <c r="D330" t="s">
        <v>2037</v>
      </c>
      <c r="E330" t="s">
        <v>2039</v>
      </c>
      <c r="F330">
        <v>27</v>
      </c>
      <c r="G330" s="1">
        <v>45847</v>
      </c>
      <c r="H330" t="s">
        <v>2041</v>
      </c>
      <c r="I330" s="2">
        <v>103612</v>
      </c>
      <c r="J330">
        <v>1</v>
      </c>
      <c r="K330">
        <v>93.79</v>
      </c>
      <c r="L330">
        <v>0</v>
      </c>
      <c r="M330">
        <v>53</v>
      </c>
      <c r="N330">
        <v>28</v>
      </c>
      <c r="O330" t="s">
        <v>2061</v>
      </c>
      <c r="P330" t="s">
        <v>2062</v>
      </c>
      <c r="Q330" s="2">
        <f>Employee_Data[[#This Row],[Monthly Salary]]*12</f>
        <v>1243344</v>
      </c>
    </row>
    <row r="331" spans="1:17" x14ac:dyDescent="0.25">
      <c r="A331" t="s">
        <v>345</v>
      </c>
      <c r="B331" t="s">
        <v>1344</v>
      </c>
      <c r="C331" t="s">
        <v>2011</v>
      </c>
      <c r="D331" t="s">
        <v>2035</v>
      </c>
      <c r="E331" t="s">
        <v>2039</v>
      </c>
      <c r="F331">
        <v>34</v>
      </c>
      <c r="G331" s="1">
        <v>45580</v>
      </c>
      <c r="H331" t="s">
        <v>2041</v>
      </c>
      <c r="I331" s="2">
        <v>88574</v>
      </c>
      <c r="J331">
        <v>1</v>
      </c>
      <c r="K331">
        <v>86.02</v>
      </c>
      <c r="L331">
        <v>1</v>
      </c>
      <c r="M331">
        <v>12</v>
      </c>
      <c r="N331">
        <v>42</v>
      </c>
      <c r="O331" t="s">
        <v>2052</v>
      </c>
      <c r="P331" t="s">
        <v>2062</v>
      </c>
      <c r="Q331" s="2">
        <f>Employee_Data[[#This Row],[Monthly Salary]]*12</f>
        <v>1062888</v>
      </c>
    </row>
    <row r="332" spans="1:17" x14ac:dyDescent="0.25">
      <c r="A332" t="s">
        <v>346</v>
      </c>
      <c r="B332" t="s">
        <v>1345</v>
      </c>
      <c r="C332" t="s">
        <v>2015</v>
      </c>
      <c r="D332" t="s">
        <v>2026</v>
      </c>
      <c r="E332" t="s">
        <v>2039</v>
      </c>
      <c r="F332">
        <v>53</v>
      </c>
      <c r="G332" s="1">
        <v>43162</v>
      </c>
      <c r="H332" t="s">
        <v>2041</v>
      </c>
      <c r="I332" s="2">
        <v>81769.8</v>
      </c>
      <c r="J332">
        <v>3</v>
      </c>
      <c r="K332">
        <v>82.28</v>
      </c>
      <c r="L332">
        <v>7</v>
      </c>
      <c r="M332">
        <v>13</v>
      </c>
      <c r="N332">
        <v>31</v>
      </c>
      <c r="O332" t="s">
        <v>2059</v>
      </c>
      <c r="P332" t="s">
        <v>2062</v>
      </c>
      <c r="Q332" s="2">
        <f>Employee_Data[[#This Row],[Monthly Salary]]*12</f>
        <v>981237.60000000009</v>
      </c>
    </row>
    <row r="333" spans="1:17" x14ac:dyDescent="0.25">
      <c r="A333" t="s">
        <v>347</v>
      </c>
      <c r="B333" t="s">
        <v>1346</v>
      </c>
      <c r="C333" t="s">
        <v>2011</v>
      </c>
      <c r="D333" t="s">
        <v>2031</v>
      </c>
      <c r="E333" t="s">
        <v>2039</v>
      </c>
      <c r="F333">
        <v>43</v>
      </c>
      <c r="G333" s="1">
        <v>44609</v>
      </c>
      <c r="H333" t="s">
        <v>2041</v>
      </c>
      <c r="I333" s="2">
        <v>60975.62</v>
      </c>
      <c r="J333">
        <v>2</v>
      </c>
      <c r="K333">
        <v>80.790000000000006</v>
      </c>
      <c r="L333">
        <v>3</v>
      </c>
      <c r="M333">
        <v>63</v>
      </c>
      <c r="N333">
        <v>58</v>
      </c>
      <c r="O333" t="s">
        <v>2059</v>
      </c>
      <c r="P333" t="s">
        <v>2062</v>
      </c>
      <c r="Q333" s="2">
        <f>Employee_Data[[#This Row],[Monthly Salary]]*12</f>
        <v>731707.44000000006</v>
      </c>
    </row>
    <row r="334" spans="1:17" x14ac:dyDescent="0.25">
      <c r="A334" t="s">
        <v>348</v>
      </c>
      <c r="B334" t="s">
        <v>1347</v>
      </c>
      <c r="C334" t="s">
        <v>2013</v>
      </c>
      <c r="D334" t="s">
        <v>2022</v>
      </c>
      <c r="E334" t="s">
        <v>2039</v>
      </c>
      <c r="F334">
        <v>21</v>
      </c>
      <c r="G334" s="1">
        <v>43077</v>
      </c>
      <c r="H334" t="s">
        <v>2040</v>
      </c>
      <c r="I334" s="2">
        <v>87163.31</v>
      </c>
      <c r="J334">
        <v>1</v>
      </c>
      <c r="K334">
        <v>96.7</v>
      </c>
      <c r="L334">
        <v>8</v>
      </c>
      <c r="M334">
        <v>63</v>
      </c>
      <c r="N334">
        <v>9</v>
      </c>
      <c r="O334" t="s">
        <v>2045</v>
      </c>
      <c r="P334" t="s">
        <v>2062</v>
      </c>
      <c r="Q334" s="2">
        <f>Employee_Data[[#This Row],[Monthly Salary]]*12</f>
        <v>1045959.72</v>
      </c>
    </row>
    <row r="335" spans="1:17" x14ac:dyDescent="0.25">
      <c r="A335" t="s">
        <v>349</v>
      </c>
      <c r="B335" t="s">
        <v>1348</v>
      </c>
      <c r="C335" t="s">
        <v>2009</v>
      </c>
      <c r="D335" t="s">
        <v>2036</v>
      </c>
      <c r="E335" t="s">
        <v>2039</v>
      </c>
      <c r="F335">
        <v>37</v>
      </c>
      <c r="G335" s="1">
        <v>45492</v>
      </c>
      <c r="H335" t="s">
        <v>2041</v>
      </c>
      <c r="I335" s="2">
        <v>43116.03</v>
      </c>
      <c r="J335">
        <v>3</v>
      </c>
      <c r="K335">
        <v>85.28</v>
      </c>
      <c r="L335">
        <v>1</v>
      </c>
      <c r="M335">
        <v>6</v>
      </c>
      <c r="N335">
        <v>6</v>
      </c>
      <c r="O335" t="s">
        <v>2048</v>
      </c>
      <c r="P335" t="s">
        <v>2063</v>
      </c>
      <c r="Q335" s="2">
        <f>Employee_Data[[#This Row],[Monthly Salary]]*12</f>
        <v>517392.36</v>
      </c>
    </row>
    <row r="336" spans="1:17" x14ac:dyDescent="0.25">
      <c r="A336" t="s">
        <v>350</v>
      </c>
      <c r="B336" t="s">
        <v>1349</v>
      </c>
      <c r="C336" t="s">
        <v>2011</v>
      </c>
      <c r="D336" t="s">
        <v>2035</v>
      </c>
      <c r="E336" t="s">
        <v>2038</v>
      </c>
      <c r="F336">
        <v>48</v>
      </c>
      <c r="G336" s="1">
        <v>43682</v>
      </c>
      <c r="H336" t="s">
        <v>2041</v>
      </c>
      <c r="I336" s="2">
        <v>31590.11</v>
      </c>
      <c r="J336">
        <v>1</v>
      </c>
      <c r="K336">
        <v>80.19</v>
      </c>
      <c r="L336">
        <v>6</v>
      </c>
      <c r="M336">
        <v>17</v>
      </c>
      <c r="N336">
        <v>42</v>
      </c>
      <c r="O336" t="s">
        <v>2048</v>
      </c>
      <c r="P336" t="s">
        <v>2062</v>
      </c>
      <c r="Q336" s="2">
        <f>Employee_Data[[#This Row],[Monthly Salary]]*12</f>
        <v>379081.32</v>
      </c>
    </row>
    <row r="337" spans="1:17" x14ac:dyDescent="0.25">
      <c r="A337" t="s">
        <v>351</v>
      </c>
      <c r="B337" t="s">
        <v>1350</v>
      </c>
      <c r="C337" t="s">
        <v>2013</v>
      </c>
      <c r="D337" t="s">
        <v>2022</v>
      </c>
      <c r="E337" t="s">
        <v>2039</v>
      </c>
      <c r="F337">
        <v>44</v>
      </c>
      <c r="G337" s="1">
        <v>44881</v>
      </c>
      <c r="H337" t="s">
        <v>2042</v>
      </c>
      <c r="I337" s="2">
        <v>38286.94</v>
      </c>
      <c r="J337">
        <v>4</v>
      </c>
      <c r="K337">
        <v>88.01</v>
      </c>
      <c r="L337">
        <v>3</v>
      </c>
      <c r="M337">
        <v>58</v>
      </c>
      <c r="N337">
        <v>17</v>
      </c>
      <c r="O337" t="s">
        <v>2061</v>
      </c>
      <c r="P337" t="s">
        <v>2062</v>
      </c>
      <c r="Q337" s="2">
        <f>Employee_Data[[#This Row],[Monthly Salary]]*12</f>
        <v>459443.28</v>
      </c>
    </row>
    <row r="338" spans="1:17" x14ac:dyDescent="0.25">
      <c r="A338" t="s">
        <v>352</v>
      </c>
      <c r="B338" t="s">
        <v>1351</v>
      </c>
      <c r="C338" t="s">
        <v>2013</v>
      </c>
      <c r="D338" t="s">
        <v>2022</v>
      </c>
      <c r="E338" t="s">
        <v>2039</v>
      </c>
      <c r="F338">
        <v>28</v>
      </c>
      <c r="G338" s="1">
        <v>42810</v>
      </c>
      <c r="H338" t="s">
        <v>2040</v>
      </c>
      <c r="I338" s="2">
        <v>89616.99</v>
      </c>
      <c r="J338">
        <v>1</v>
      </c>
      <c r="K338">
        <v>99.63</v>
      </c>
      <c r="L338">
        <v>8</v>
      </c>
      <c r="M338">
        <v>20</v>
      </c>
      <c r="N338">
        <v>6</v>
      </c>
      <c r="O338" t="s">
        <v>1505</v>
      </c>
      <c r="P338" t="s">
        <v>2063</v>
      </c>
      <c r="Q338" s="2">
        <f>Employee_Data[[#This Row],[Monthly Salary]]*12</f>
        <v>1075403.8800000001</v>
      </c>
    </row>
    <row r="339" spans="1:17" x14ac:dyDescent="0.25">
      <c r="A339" t="s">
        <v>353</v>
      </c>
      <c r="B339" t="s">
        <v>1352</v>
      </c>
      <c r="C339" t="s">
        <v>2013</v>
      </c>
      <c r="D339" t="s">
        <v>2022</v>
      </c>
      <c r="E339" t="s">
        <v>2039</v>
      </c>
      <c r="F339">
        <v>60</v>
      </c>
      <c r="G339" s="1">
        <v>44386</v>
      </c>
      <c r="H339" t="s">
        <v>2042</v>
      </c>
      <c r="I339" s="2">
        <v>97916.43</v>
      </c>
      <c r="J339">
        <v>5</v>
      </c>
      <c r="K339">
        <v>80.58</v>
      </c>
      <c r="L339">
        <v>4</v>
      </c>
      <c r="M339">
        <v>16</v>
      </c>
      <c r="N339">
        <v>30</v>
      </c>
      <c r="O339" t="s">
        <v>2050</v>
      </c>
      <c r="P339" t="s">
        <v>2062</v>
      </c>
      <c r="Q339" s="2">
        <f>Employee_Data[[#This Row],[Monthly Salary]]*12</f>
        <v>1174997.1599999999</v>
      </c>
    </row>
    <row r="340" spans="1:17" x14ac:dyDescent="0.25">
      <c r="A340" t="s">
        <v>354</v>
      </c>
      <c r="B340" t="s">
        <v>1353</v>
      </c>
      <c r="C340" t="s">
        <v>2016</v>
      </c>
      <c r="D340" t="s">
        <v>2034</v>
      </c>
      <c r="E340" t="s">
        <v>2039</v>
      </c>
      <c r="F340">
        <v>25</v>
      </c>
      <c r="G340" s="1">
        <v>45238</v>
      </c>
      <c r="H340" t="s">
        <v>2042</v>
      </c>
      <c r="I340" s="2">
        <v>85497.36</v>
      </c>
      <c r="J340">
        <v>1</v>
      </c>
      <c r="K340">
        <v>94.09</v>
      </c>
      <c r="L340">
        <v>2</v>
      </c>
      <c r="M340">
        <v>67</v>
      </c>
      <c r="N340">
        <v>49</v>
      </c>
      <c r="O340" t="s">
        <v>2043</v>
      </c>
      <c r="P340" t="s">
        <v>2062</v>
      </c>
      <c r="Q340" s="2">
        <f>Employee_Data[[#This Row],[Monthly Salary]]*12</f>
        <v>1025968.3200000001</v>
      </c>
    </row>
    <row r="341" spans="1:17" x14ac:dyDescent="0.25">
      <c r="A341" t="s">
        <v>355</v>
      </c>
      <c r="B341" t="s">
        <v>1354</v>
      </c>
      <c r="C341" t="s">
        <v>2014</v>
      </c>
      <c r="D341" t="s">
        <v>2028</v>
      </c>
      <c r="E341" t="s">
        <v>2038</v>
      </c>
      <c r="F341">
        <v>54</v>
      </c>
      <c r="G341" s="1">
        <v>45090</v>
      </c>
      <c r="H341" t="s">
        <v>2041</v>
      </c>
      <c r="I341" s="2">
        <v>88824.16</v>
      </c>
      <c r="J341">
        <v>5</v>
      </c>
      <c r="K341">
        <v>81.900000000000006</v>
      </c>
      <c r="L341">
        <v>2</v>
      </c>
      <c r="M341">
        <v>31</v>
      </c>
      <c r="N341">
        <v>30</v>
      </c>
      <c r="O341" t="s">
        <v>2053</v>
      </c>
      <c r="P341" t="s">
        <v>2062</v>
      </c>
      <c r="Q341" s="2">
        <f>Employee_Data[[#This Row],[Monthly Salary]]*12</f>
        <v>1065889.92</v>
      </c>
    </row>
    <row r="342" spans="1:17" x14ac:dyDescent="0.25">
      <c r="A342" t="s">
        <v>356</v>
      </c>
      <c r="B342" t="s">
        <v>1355</v>
      </c>
      <c r="C342" t="s">
        <v>2016</v>
      </c>
      <c r="D342" t="s">
        <v>2032</v>
      </c>
      <c r="E342" t="s">
        <v>2039</v>
      </c>
      <c r="F342">
        <v>21</v>
      </c>
      <c r="G342" s="1">
        <v>43643</v>
      </c>
      <c r="H342" t="s">
        <v>2041</v>
      </c>
      <c r="I342" s="2">
        <v>113437.14</v>
      </c>
      <c r="J342">
        <v>5</v>
      </c>
      <c r="K342">
        <v>96.98</v>
      </c>
      <c r="L342">
        <v>6</v>
      </c>
      <c r="M342">
        <v>63</v>
      </c>
      <c r="N342">
        <v>55</v>
      </c>
      <c r="O342" t="s">
        <v>2048</v>
      </c>
      <c r="P342" t="s">
        <v>2062</v>
      </c>
      <c r="Q342" s="2">
        <f>Employee_Data[[#This Row],[Monthly Salary]]*12</f>
        <v>1361245.68</v>
      </c>
    </row>
    <row r="343" spans="1:17" x14ac:dyDescent="0.25">
      <c r="A343" t="s">
        <v>357</v>
      </c>
      <c r="B343" t="s">
        <v>1356</v>
      </c>
      <c r="C343" t="s">
        <v>2013</v>
      </c>
      <c r="D343" t="s">
        <v>2022</v>
      </c>
      <c r="E343" t="s">
        <v>2039</v>
      </c>
      <c r="F343">
        <v>42</v>
      </c>
      <c r="G343" s="1">
        <v>45582</v>
      </c>
      <c r="H343" t="s">
        <v>2042</v>
      </c>
      <c r="I343" s="2">
        <v>25035.07</v>
      </c>
      <c r="J343">
        <v>2</v>
      </c>
      <c r="K343">
        <v>91.01</v>
      </c>
      <c r="L343">
        <v>1</v>
      </c>
      <c r="M343">
        <v>48</v>
      </c>
      <c r="N343">
        <v>25</v>
      </c>
      <c r="O343" t="s">
        <v>2044</v>
      </c>
      <c r="P343" t="s">
        <v>2062</v>
      </c>
      <c r="Q343" s="2">
        <f>Employee_Data[[#This Row],[Monthly Salary]]*12</f>
        <v>300420.83999999997</v>
      </c>
    </row>
    <row r="344" spans="1:17" x14ac:dyDescent="0.25">
      <c r="A344" t="s">
        <v>358</v>
      </c>
      <c r="B344" t="s">
        <v>1357</v>
      </c>
      <c r="C344" t="s">
        <v>2013</v>
      </c>
      <c r="D344" t="s">
        <v>2022</v>
      </c>
      <c r="E344" t="s">
        <v>2039</v>
      </c>
      <c r="F344">
        <v>52</v>
      </c>
      <c r="G344" s="1">
        <v>43060</v>
      </c>
      <c r="H344" t="s">
        <v>2042</v>
      </c>
      <c r="I344" s="2">
        <v>51606.15</v>
      </c>
      <c r="J344">
        <v>4</v>
      </c>
      <c r="K344">
        <v>94.9</v>
      </c>
      <c r="L344">
        <v>8</v>
      </c>
      <c r="M344">
        <v>2</v>
      </c>
      <c r="N344">
        <v>6</v>
      </c>
      <c r="O344" t="s">
        <v>2061</v>
      </c>
      <c r="P344" t="s">
        <v>2062</v>
      </c>
      <c r="Q344" s="2">
        <f>Employee_Data[[#This Row],[Monthly Salary]]*12</f>
        <v>619273.80000000005</v>
      </c>
    </row>
    <row r="345" spans="1:17" x14ac:dyDescent="0.25">
      <c r="A345" t="s">
        <v>359</v>
      </c>
      <c r="B345" t="s">
        <v>1358</v>
      </c>
      <c r="C345" t="s">
        <v>2010</v>
      </c>
      <c r="D345" t="s">
        <v>2018</v>
      </c>
      <c r="E345" t="s">
        <v>2038</v>
      </c>
      <c r="F345">
        <v>53</v>
      </c>
      <c r="G345" s="1">
        <v>45143</v>
      </c>
      <c r="H345" t="s">
        <v>2041</v>
      </c>
      <c r="I345" s="2">
        <v>40685.120000000003</v>
      </c>
      <c r="J345">
        <v>4</v>
      </c>
      <c r="K345">
        <v>99.01</v>
      </c>
      <c r="L345">
        <v>2</v>
      </c>
      <c r="M345">
        <v>46</v>
      </c>
      <c r="N345">
        <v>52</v>
      </c>
      <c r="O345" t="s">
        <v>2049</v>
      </c>
      <c r="P345" t="s">
        <v>2062</v>
      </c>
      <c r="Q345" s="2">
        <f>Employee_Data[[#This Row],[Monthly Salary]]*12</f>
        <v>488221.44000000006</v>
      </c>
    </row>
    <row r="346" spans="1:17" x14ac:dyDescent="0.25">
      <c r="A346" t="s">
        <v>360</v>
      </c>
      <c r="B346" t="s">
        <v>1359</v>
      </c>
      <c r="C346" t="s">
        <v>2013</v>
      </c>
      <c r="D346" t="s">
        <v>2022</v>
      </c>
      <c r="E346" t="s">
        <v>2038</v>
      </c>
      <c r="F346">
        <v>44</v>
      </c>
      <c r="G346" s="1">
        <v>45633</v>
      </c>
      <c r="H346" t="s">
        <v>2041</v>
      </c>
      <c r="I346" s="2">
        <v>65253.25</v>
      </c>
      <c r="J346">
        <v>1</v>
      </c>
      <c r="K346">
        <v>95.19</v>
      </c>
      <c r="L346">
        <v>1</v>
      </c>
      <c r="M346">
        <v>28</v>
      </c>
      <c r="N346">
        <v>0</v>
      </c>
      <c r="O346" t="s">
        <v>2054</v>
      </c>
      <c r="P346" t="s">
        <v>2062</v>
      </c>
      <c r="Q346" s="2">
        <f>Employee_Data[[#This Row],[Monthly Salary]]*12</f>
        <v>783039</v>
      </c>
    </row>
    <row r="347" spans="1:17" x14ac:dyDescent="0.25">
      <c r="A347" t="s">
        <v>361</v>
      </c>
      <c r="B347" t="s">
        <v>1360</v>
      </c>
      <c r="C347" t="s">
        <v>2011</v>
      </c>
      <c r="D347" t="s">
        <v>2031</v>
      </c>
      <c r="E347" t="s">
        <v>2038</v>
      </c>
      <c r="F347">
        <v>27</v>
      </c>
      <c r="G347" s="1">
        <v>43195</v>
      </c>
      <c r="H347" t="s">
        <v>2040</v>
      </c>
      <c r="I347" s="2">
        <v>109687.71</v>
      </c>
      <c r="J347">
        <v>4</v>
      </c>
      <c r="K347">
        <v>82.81</v>
      </c>
      <c r="L347">
        <v>7</v>
      </c>
      <c r="M347">
        <v>52</v>
      </c>
      <c r="N347">
        <v>6</v>
      </c>
      <c r="O347" t="s">
        <v>2055</v>
      </c>
      <c r="P347" t="s">
        <v>2062</v>
      </c>
      <c r="Q347" s="2">
        <f>Employee_Data[[#This Row],[Monthly Salary]]*12</f>
        <v>1316252.52</v>
      </c>
    </row>
    <row r="348" spans="1:17" x14ac:dyDescent="0.25">
      <c r="A348" t="s">
        <v>362</v>
      </c>
      <c r="B348" t="s">
        <v>1361</v>
      </c>
      <c r="C348" t="s">
        <v>2014</v>
      </c>
      <c r="D348" t="s">
        <v>2023</v>
      </c>
      <c r="E348" t="s">
        <v>2038</v>
      </c>
      <c r="F348">
        <v>34</v>
      </c>
      <c r="G348" s="1">
        <v>45848</v>
      </c>
      <c r="H348" t="s">
        <v>2042</v>
      </c>
      <c r="I348" s="2">
        <v>102455.41</v>
      </c>
      <c r="J348">
        <v>2</v>
      </c>
      <c r="K348">
        <v>94.34</v>
      </c>
      <c r="L348">
        <v>0</v>
      </c>
      <c r="M348">
        <v>13</v>
      </c>
      <c r="N348">
        <v>48</v>
      </c>
      <c r="O348" t="s">
        <v>1505</v>
      </c>
      <c r="P348" t="s">
        <v>2062</v>
      </c>
      <c r="Q348" s="2">
        <f>Employee_Data[[#This Row],[Monthly Salary]]*12</f>
        <v>1229464.92</v>
      </c>
    </row>
    <row r="349" spans="1:17" x14ac:dyDescent="0.25">
      <c r="A349" t="s">
        <v>363</v>
      </c>
      <c r="B349" t="s">
        <v>1362</v>
      </c>
      <c r="C349" t="s">
        <v>2009</v>
      </c>
      <c r="D349" t="s">
        <v>2030</v>
      </c>
      <c r="E349" t="s">
        <v>2038</v>
      </c>
      <c r="F349">
        <v>58</v>
      </c>
      <c r="G349" s="1">
        <v>44543</v>
      </c>
      <c r="H349" t="s">
        <v>2041</v>
      </c>
      <c r="I349" s="2">
        <v>33463.599999999999</v>
      </c>
      <c r="J349">
        <v>4</v>
      </c>
      <c r="K349">
        <v>80.09</v>
      </c>
      <c r="L349">
        <v>4</v>
      </c>
      <c r="M349">
        <v>6</v>
      </c>
      <c r="N349">
        <v>35</v>
      </c>
      <c r="O349" t="s">
        <v>1505</v>
      </c>
      <c r="P349" t="s">
        <v>2062</v>
      </c>
      <c r="Q349" s="2">
        <f>Employee_Data[[#This Row],[Monthly Salary]]*12</f>
        <v>401563.19999999995</v>
      </c>
    </row>
    <row r="350" spans="1:17" x14ac:dyDescent="0.25">
      <c r="A350" t="s">
        <v>364</v>
      </c>
      <c r="B350" t="s">
        <v>1363</v>
      </c>
      <c r="C350" t="s">
        <v>2013</v>
      </c>
      <c r="D350" t="s">
        <v>2025</v>
      </c>
      <c r="E350" t="s">
        <v>2039</v>
      </c>
      <c r="F350">
        <v>29</v>
      </c>
      <c r="G350" s="1">
        <v>45457</v>
      </c>
      <c r="H350" t="s">
        <v>2040</v>
      </c>
      <c r="I350" s="2">
        <v>58740.56</v>
      </c>
      <c r="J350">
        <v>5</v>
      </c>
      <c r="K350">
        <v>92.12</v>
      </c>
      <c r="L350">
        <v>1</v>
      </c>
      <c r="M350">
        <v>41</v>
      </c>
      <c r="N350">
        <v>32</v>
      </c>
      <c r="O350" t="s">
        <v>2061</v>
      </c>
      <c r="P350" t="s">
        <v>2062</v>
      </c>
      <c r="Q350" s="2">
        <f>Employee_Data[[#This Row],[Monthly Salary]]*12</f>
        <v>704886.72</v>
      </c>
    </row>
    <row r="351" spans="1:17" x14ac:dyDescent="0.25">
      <c r="A351" t="s">
        <v>365</v>
      </c>
      <c r="B351" t="s">
        <v>1364</v>
      </c>
      <c r="C351" t="s">
        <v>2014</v>
      </c>
      <c r="D351" t="s">
        <v>2029</v>
      </c>
      <c r="E351" t="s">
        <v>2038</v>
      </c>
      <c r="F351">
        <v>42</v>
      </c>
      <c r="G351" s="1">
        <v>44706</v>
      </c>
      <c r="H351" t="s">
        <v>2042</v>
      </c>
      <c r="I351" s="2">
        <v>65284.57</v>
      </c>
      <c r="J351">
        <v>2</v>
      </c>
      <c r="K351">
        <v>82.76</v>
      </c>
      <c r="L351">
        <v>3</v>
      </c>
      <c r="M351">
        <v>77</v>
      </c>
      <c r="N351">
        <v>44</v>
      </c>
      <c r="O351" t="s">
        <v>2052</v>
      </c>
      <c r="P351" t="s">
        <v>2062</v>
      </c>
      <c r="Q351" s="2">
        <f>Employee_Data[[#This Row],[Monthly Salary]]*12</f>
        <v>783414.84</v>
      </c>
    </row>
    <row r="352" spans="1:17" x14ac:dyDescent="0.25">
      <c r="A352" t="s">
        <v>366</v>
      </c>
      <c r="B352" t="s">
        <v>1365</v>
      </c>
      <c r="C352" t="s">
        <v>2012</v>
      </c>
      <c r="D352" t="s">
        <v>2021</v>
      </c>
      <c r="E352" t="s">
        <v>2039</v>
      </c>
      <c r="F352">
        <v>34</v>
      </c>
      <c r="G352" s="1">
        <v>44445</v>
      </c>
      <c r="H352" t="s">
        <v>2041</v>
      </c>
      <c r="I352" s="2">
        <v>91438.45</v>
      </c>
      <c r="J352">
        <v>3</v>
      </c>
      <c r="K352">
        <v>98.42</v>
      </c>
      <c r="L352">
        <v>4</v>
      </c>
      <c r="M352">
        <v>16</v>
      </c>
      <c r="N352">
        <v>45</v>
      </c>
      <c r="O352" t="s">
        <v>2048</v>
      </c>
      <c r="P352" t="s">
        <v>2062</v>
      </c>
      <c r="Q352" s="2">
        <f>Employee_Data[[#This Row],[Monthly Salary]]*12</f>
        <v>1097261.3999999999</v>
      </c>
    </row>
    <row r="353" spans="1:17" x14ac:dyDescent="0.25">
      <c r="A353" t="s">
        <v>367</v>
      </c>
      <c r="B353" t="s">
        <v>1366</v>
      </c>
      <c r="C353" t="s">
        <v>2012</v>
      </c>
      <c r="D353" t="s">
        <v>2021</v>
      </c>
      <c r="E353" t="s">
        <v>2038</v>
      </c>
      <c r="F353">
        <v>56</v>
      </c>
      <c r="G353" s="1">
        <v>45918</v>
      </c>
      <c r="H353" t="s">
        <v>2042</v>
      </c>
      <c r="I353" s="2">
        <v>78280.63</v>
      </c>
      <c r="J353">
        <v>4</v>
      </c>
      <c r="K353">
        <v>93.48</v>
      </c>
      <c r="L353">
        <v>0</v>
      </c>
      <c r="M353">
        <v>68</v>
      </c>
      <c r="N353">
        <v>18</v>
      </c>
      <c r="O353" t="s">
        <v>1505</v>
      </c>
      <c r="P353" t="s">
        <v>2062</v>
      </c>
      <c r="Q353" s="2">
        <f>Employee_Data[[#This Row],[Monthly Salary]]*12</f>
        <v>939367.56</v>
      </c>
    </row>
    <row r="354" spans="1:17" x14ac:dyDescent="0.25">
      <c r="A354" t="s">
        <v>368</v>
      </c>
      <c r="B354" t="s">
        <v>1367</v>
      </c>
      <c r="C354" t="s">
        <v>2009</v>
      </c>
      <c r="D354" t="s">
        <v>2017</v>
      </c>
      <c r="E354" t="s">
        <v>2038</v>
      </c>
      <c r="F354">
        <v>30</v>
      </c>
      <c r="G354" s="1">
        <v>45695</v>
      </c>
      <c r="H354" t="s">
        <v>2040</v>
      </c>
      <c r="I354" s="2">
        <v>87025.42</v>
      </c>
      <c r="J354">
        <v>2</v>
      </c>
      <c r="K354">
        <v>85.34</v>
      </c>
      <c r="L354">
        <v>0</v>
      </c>
      <c r="M354">
        <v>20</v>
      </c>
      <c r="N354">
        <v>18</v>
      </c>
      <c r="O354" t="s">
        <v>2055</v>
      </c>
      <c r="P354" t="s">
        <v>2062</v>
      </c>
      <c r="Q354" s="2">
        <f>Employee_Data[[#This Row],[Monthly Salary]]*12</f>
        <v>1044305.04</v>
      </c>
    </row>
    <row r="355" spans="1:17" x14ac:dyDescent="0.25">
      <c r="A355" t="s">
        <v>369</v>
      </c>
      <c r="B355" t="s">
        <v>1368</v>
      </c>
      <c r="C355" t="s">
        <v>2010</v>
      </c>
      <c r="D355" t="s">
        <v>2037</v>
      </c>
      <c r="E355" t="s">
        <v>2038</v>
      </c>
      <c r="F355">
        <v>34</v>
      </c>
      <c r="G355" s="1">
        <v>45190</v>
      </c>
      <c r="H355" t="s">
        <v>2041</v>
      </c>
      <c r="I355" s="2">
        <v>23230.639999999999</v>
      </c>
      <c r="J355">
        <v>4</v>
      </c>
      <c r="K355">
        <v>82.05</v>
      </c>
      <c r="L355">
        <v>2</v>
      </c>
      <c r="M355">
        <v>71</v>
      </c>
      <c r="N355">
        <v>55</v>
      </c>
      <c r="O355" t="s">
        <v>2044</v>
      </c>
      <c r="P355" t="s">
        <v>2062</v>
      </c>
      <c r="Q355" s="2">
        <f>Employee_Data[[#This Row],[Monthly Salary]]*12</f>
        <v>278767.68</v>
      </c>
    </row>
    <row r="356" spans="1:17" x14ac:dyDescent="0.25">
      <c r="A356" t="s">
        <v>370</v>
      </c>
      <c r="B356" t="s">
        <v>1369</v>
      </c>
      <c r="C356" t="s">
        <v>2016</v>
      </c>
      <c r="D356" t="s">
        <v>2032</v>
      </c>
      <c r="E356" t="s">
        <v>2038</v>
      </c>
      <c r="F356">
        <v>24</v>
      </c>
      <c r="G356" s="1">
        <v>45146</v>
      </c>
      <c r="H356" t="s">
        <v>2042</v>
      </c>
      <c r="I356" s="2">
        <v>58755.46</v>
      </c>
      <c r="J356">
        <v>3</v>
      </c>
      <c r="K356">
        <v>99.32</v>
      </c>
      <c r="L356">
        <v>2</v>
      </c>
      <c r="M356">
        <v>6</v>
      </c>
      <c r="N356">
        <v>0</v>
      </c>
      <c r="O356" t="s">
        <v>2055</v>
      </c>
      <c r="P356" t="s">
        <v>2062</v>
      </c>
      <c r="Q356" s="2">
        <f>Employee_Data[[#This Row],[Monthly Salary]]*12</f>
        <v>705065.52</v>
      </c>
    </row>
    <row r="357" spans="1:17" x14ac:dyDescent="0.25">
      <c r="A357" t="s">
        <v>371</v>
      </c>
      <c r="B357" t="s">
        <v>1370</v>
      </c>
      <c r="C357" t="s">
        <v>2013</v>
      </c>
      <c r="D357" t="s">
        <v>2025</v>
      </c>
      <c r="E357" t="s">
        <v>2038</v>
      </c>
      <c r="F357">
        <v>58</v>
      </c>
      <c r="G357" s="1">
        <v>42563</v>
      </c>
      <c r="H357" t="s">
        <v>2041</v>
      </c>
      <c r="I357" s="2">
        <v>93845</v>
      </c>
      <c r="J357">
        <v>2</v>
      </c>
      <c r="K357">
        <v>95.52</v>
      </c>
      <c r="L357">
        <v>9</v>
      </c>
      <c r="M357">
        <v>24</v>
      </c>
      <c r="N357">
        <v>18</v>
      </c>
      <c r="O357" t="s">
        <v>2056</v>
      </c>
      <c r="P357" t="s">
        <v>2062</v>
      </c>
      <c r="Q357" s="2">
        <f>Employee_Data[[#This Row],[Monthly Salary]]*12</f>
        <v>1126140</v>
      </c>
    </row>
    <row r="358" spans="1:17" x14ac:dyDescent="0.25">
      <c r="A358" t="s">
        <v>372</v>
      </c>
      <c r="B358" t="s">
        <v>1371</v>
      </c>
      <c r="C358" t="s">
        <v>2009</v>
      </c>
      <c r="D358" t="s">
        <v>2017</v>
      </c>
      <c r="E358" t="s">
        <v>2039</v>
      </c>
      <c r="F358">
        <v>53</v>
      </c>
      <c r="G358" s="1">
        <v>45677</v>
      </c>
      <c r="H358" t="s">
        <v>2040</v>
      </c>
      <c r="I358" s="2">
        <v>57719.82</v>
      </c>
      <c r="J358">
        <v>4</v>
      </c>
      <c r="K358">
        <v>85.58</v>
      </c>
      <c r="L358">
        <v>0</v>
      </c>
      <c r="M358">
        <v>33</v>
      </c>
      <c r="N358">
        <v>8</v>
      </c>
      <c r="O358" t="s">
        <v>2048</v>
      </c>
      <c r="P358" t="s">
        <v>2062</v>
      </c>
      <c r="Q358" s="2">
        <f>Employee_Data[[#This Row],[Monthly Salary]]*12</f>
        <v>692637.84</v>
      </c>
    </row>
    <row r="359" spans="1:17" x14ac:dyDescent="0.25">
      <c r="A359" t="s">
        <v>373</v>
      </c>
      <c r="B359" t="s">
        <v>1372</v>
      </c>
      <c r="C359" t="s">
        <v>2011</v>
      </c>
      <c r="D359" t="s">
        <v>2019</v>
      </c>
      <c r="E359" t="s">
        <v>2038</v>
      </c>
      <c r="F359">
        <v>50</v>
      </c>
      <c r="G359" s="1">
        <v>44080</v>
      </c>
      <c r="H359" t="s">
        <v>2041</v>
      </c>
      <c r="I359" s="2">
        <v>113749.45</v>
      </c>
      <c r="J359">
        <v>1</v>
      </c>
      <c r="K359">
        <v>83.07</v>
      </c>
      <c r="L359">
        <v>5</v>
      </c>
      <c r="M359">
        <v>41</v>
      </c>
      <c r="N359">
        <v>38</v>
      </c>
      <c r="O359" t="s">
        <v>2049</v>
      </c>
      <c r="P359" t="s">
        <v>2062</v>
      </c>
      <c r="Q359" s="2">
        <f>Employee_Data[[#This Row],[Monthly Salary]]*12</f>
        <v>1364993.4</v>
      </c>
    </row>
    <row r="360" spans="1:17" x14ac:dyDescent="0.25">
      <c r="A360" t="s">
        <v>374</v>
      </c>
      <c r="B360" t="s">
        <v>1373</v>
      </c>
      <c r="C360" t="s">
        <v>2011</v>
      </c>
      <c r="D360" t="s">
        <v>2035</v>
      </c>
      <c r="E360" t="s">
        <v>2038</v>
      </c>
      <c r="F360">
        <v>25</v>
      </c>
      <c r="G360" s="1">
        <v>44365</v>
      </c>
      <c r="H360" t="s">
        <v>2041</v>
      </c>
      <c r="I360" s="2">
        <v>51785.9</v>
      </c>
      <c r="J360">
        <v>2</v>
      </c>
      <c r="K360">
        <v>99.14</v>
      </c>
      <c r="L360">
        <v>4</v>
      </c>
      <c r="M360">
        <v>66</v>
      </c>
      <c r="N360">
        <v>4</v>
      </c>
      <c r="O360" t="s">
        <v>2052</v>
      </c>
      <c r="P360" t="s">
        <v>2062</v>
      </c>
      <c r="Q360" s="2">
        <f>Employee_Data[[#This Row],[Monthly Salary]]*12</f>
        <v>621430.80000000005</v>
      </c>
    </row>
    <row r="361" spans="1:17" x14ac:dyDescent="0.25">
      <c r="A361" t="s">
        <v>375</v>
      </c>
      <c r="B361" t="s">
        <v>1374</v>
      </c>
      <c r="C361" t="s">
        <v>2016</v>
      </c>
      <c r="D361" t="s">
        <v>2032</v>
      </c>
      <c r="E361" t="s">
        <v>2038</v>
      </c>
      <c r="F361">
        <v>35</v>
      </c>
      <c r="G361" s="1">
        <v>44788</v>
      </c>
      <c r="H361" t="s">
        <v>2040</v>
      </c>
      <c r="I361" s="2">
        <v>86333.45</v>
      </c>
      <c r="J361">
        <v>3</v>
      </c>
      <c r="K361">
        <v>87.22</v>
      </c>
      <c r="L361">
        <v>3</v>
      </c>
      <c r="M361">
        <v>27</v>
      </c>
      <c r="N361">
        <v>60</v>
      </c>
      <c r="O361" t="s">
        <v>2058</v>
      </c>
      <c r="P361" t="s">
        <v>2062</v>
      </c>
      <c r="Q361" s="2">
        <f>Employee_Data[[#This Row],[Monthly Salary]]*12</f>
        <v>1036001.3999999999</v>
      </c>
    </row>
    <row r="362" spans="1:17" x14ac:dyDescent="0.25">
      <c r="A362" t="s">
        <v>376</v>
      </c>
      <c r="B362" t="s">
        <v>1375</v>
      </c>
      <c r="C362" t="s">
        <v>2010</v>
      </c>
      <c r="D362" t="s">
        <v>2018</v>
      </c>
      <c r="E362" t="s">
        <v>2038</v>
      </c>
      <c r="F362">
        <v>49</v>
      </c>
      <c r="G362" s="1">
        <v>43463</v>
      </c>
      <c r="H362" t="s">
        <v>2040</v>
      </c>
      <c r="I362" s="2">
        <v>110449.65</v>
      </c>
      <c r="J362">
        <v>5</v>
      </c>
      <c r="K362">
        <v>98.37</v>
      </c>
      <c r="L362">
        <v>7</v>
      </c>
      <c r="M362">
        <v>31</v>
      </c>
      <c r="N362">
        <v>2</v>
      </c>
      <c r="O362" t="s">
        <v>2054</v>
      </c>
      <c r="P362" t="s">
        <v>2062</v>
      </c>
      <c r="Q362" s="2">
        <f>Employee_Data[[#This Row],[Monthly Salary]]*12</f>
        <v>1325395.7999999998</v>
      </c>
    </row>
    <row r="363" spans="1:17" x14ac:dyDescent="0.25">
      <c r="A363" t="s">
        <v>377</v>
      </c>
      <c r="B363" t="s">
        <v>1376</v>
      </c>
      <c r="C363" t="s">
        <v>2009</v>
      </c>
      <c r="D363" t="s">
        <v>2030</v>
      </c>
      <c r="E363" t="s">
        <v>2038</v>
      </c>
      <c r="F363">
        <v>55</v>
      </c>
      <c r="G363" s="1">
        <v>42816</v>
      </c>
      <c r="H363" t="s">
        <v>2041</v>
      </c>
      <c r="I363" s="2">
        <v>48282.9</v>
      </c>
      <c r="J363">
        <v>5</v>
      </c>
      <c r="K363">
        <v>96.44</v>
      </c>
      <c r="L363">
        <v>8</v>
      </c>
      <c r="M363">
        <v>47</v>
      </c>
      <c r="N363">
        <v>32</v>
      </c>
      <c r="O363" t="s">
        <v>2052</v>
      </c>
      <c r="P363" t="s">
        <v>2062</v>
      </c>
      <c r="Q363" s="2">
        <f>Employee_Data[[#This Row],[Monthly Salary]]*12</f>
        <v>579394.80000000005</v>
      </c>
    </row>
    <row r="364" spans="1:17" x14ac:dyDescent="0.25">
      <c r="A364" t="s">
        <v>378</v>
      </c>
      <c r="B364" t="s">
        <v>1377</v>
      </c>
      <c r="C364" t="s">
        <v>2010</v>
      </c>
      <c r="D364" t="s">
        <v>2024</v>
      </c>
      <c r="E364" t="s">
        <v>2039</v>
      </c>
      <c r="F364">
        <v>41</v>
      </c>
      <c r="G364" s="1">
        <v>43424</v>
      </c>
      <c r="H364" t="s">
        <v>2041</v>
      </c>
      <c r="I364" s="2">
        <v>28234.54</v>
      </c>
      <c r="J364">
        <v>1</v>
      </c>
      <c r="K364">
        <v>83.35</v>
      </c>
      <c r="L364">
        <v>7</v>
      </c>
      <c r="M364">
        <v>68</v>
      </c>
      <c r="N364">
        <v>34</v>
      </c>
      <c r="O364" t="s">
        <v>2057</v>
      </c>
      <c r="P364" t="s">
        <v>2062</v>
      </c>
      <c r="Q364" s="2">
        <f>Employee_Data[[#This Row],[Monthly Salary]]*12</f>
        <v>338814.48</v>
      </c>
    </row>
    <row r="365" spans="1:17" x14ac:dyDescent="0.25">
      <c r="A365" t="s">
        <v>379</v>
      </c>
      <c r="B365" t="s">
        <v>1378</v>
      </c>
      <c r="C365" t="s">
        <v>2014</v>
      </c>
      <c r="D365" t="s">
        <v>2028</v>
      </c>
      <c r="E365" t="s">
        <v>2039</v>
      </c>
      <c r="F365">
        <v>48</v>
      </c>
      <c r="G365" s="1">
        <v>44140</v>
      </c>
      <c r="H365" t="s">
        <v>2040</v>
      </c>
      <c r="I365" s="2">
        <v>40557.96</v>
      </c>
      <c r="J365">
        <v>4</v>
      </c>
      <c r="K365">
        <v>92.93</v>
      </c>
      <c r="L365">
        <v>5</v>
      </c>
      <c r="M365">
        <v>9</v>
      </c>
      <c r="N365">
        <v>47</v>
      </c>
      <c r="O365" t="s">
        <v>2060</v>
      </c>
      <c r="P365" t="s">
        <v>2062</v>
      </c>
      <c r="Q365" s="2">
        <f>Employee_Data[[#This Row],[Monthly Salary]]*12</f>
        <v>486695.52</v>
      </c>
    </row>
    <row r="366" spans="1:17" x14ac:dyDescent="0.25">
      <c r="A366" t="s">
        <v>380</v>
      </c>
      <c r="B366" t="s">
        <v>1379</v>
      </c>
      <c r="C366" t="s">
        <v>2012</v>
      </c>
      <c r="D366" t="s">
        <v>2021</v>
      </c>
      <c r="E366" t="s">
        <v>2039</v>
      </c>
      <c r="F366">
        <v>25</v>
      </c>
      <c r="G366" s="1">
        <v>45061</v>
      </c>
      <c r="H366" t="s">
        <v>2040</v>
      </c>
      <c r="I366" s="2">
        <v>37799.22</v>
      </c>
      <c r="J366">
        <v>3</v>
      </c>
      <c r="K366">
        <v>91.16</v>
      </c>
      <c r="L366">
        <v>2</v>
      </c>
      <c r="M366">
        <v>73</v>
      </c>
      <c r="N366">
        <v>52</v>
      </c>
      <c r="O366" t="s">
        <v>2044</v>
      </c>
      <c r="P366" t="s">
        <v>2063</v>
      </c>
      <c r="Q366" s="2">
        <f>Employee_Data[[#This Row],[Monthly Salary]]*12</f>
        <v>453590.64</v>
      </c>
    </row>
    <row r="367" spans="1:17" x14ac:dyDescent="0.25">
      <c r="A367" t="s">
        <v>381</v>
      </c>
      <c r="B367" t="s">
        <v>1380</v>
      </c>
      <c r="C367" t="s">
        <v>2016</v>
      </c>
      <c r="D367" t="s">
        <v>2034</v>
      </c>
      <c r="E367" t="s">
        <v>2038</v>
      </c>
      <c r="F367">
        <v>46</v>
      </c>
      <c r="G367" s="1">
        <v>44493</v>
      </c>
      <c r="H367" t="s">
        <v>2042</v>
      </c>
      <c r="I367" s="2">
        <v>51640.42</v>
      </c>
      <c r="J367">
        <v>4</v>
      </c>
      <c r="K367">
        <v>93.47</v>
      </c>
      <c r="L367">
        <v>4</v>
      </c>
      <c r="M367">
        <v>68</v>
      </c>
      <c r="N367">
        <v>0</v>
      </c>
      <c r="O367" t="s">
        <v>2058</v>
      </c>
      <c r="P367" t="s">
        <v>2062</v>
      </c>
      <c r="Q367" s="2">
        <f>Employee_Data[[#This Row],[Monthly Salary]]*12</f>
        <v>619685.04</v>
      </c>
    </row>
    <row r="368" spans="1:17" x14ac:dyDescent="0.25">
      <c r="A368" t="s">
        <v>382</v>
      </c>
      <c r="B368" t="s">
        <v>1381</v>
      </c>
      <c r="C368" t="s">
        <v>2010</v>
      </c>
      <c r="D368" t="s">
        <v>2037</v>
      </c>
      <c r="E368" t="s">
        <v>2039</v>
      </c>
      <c r="F368">
        <v>43</v>
      </c>
      <c r="G368" s="1">
        <v>42659</v>
      </c>
      <c r="H368" t="s">
        <v>2041</v>
      </c>
      <c r="I368" s="2">
        <v>30613.55</v>
      </c>
      <c r="J368">
        <v>3</v>
      </c>
      <c r="K368">
        <v>92.13</v>
      </c>
      <c r="L368">
        <v>9</v>
      </c>
      <c r="M368">
        <v>36</v>
      </c>
      <c r="N368">
        <v>48</v>
      </c>
      <c r="O368" t="s">
        <v>2056</v>
      </c>
      <c r="P368" t="s">
        <v>2062</v>
      </c>
      <c r="Q368" s="2">
        <f>Employee_Data[[#This Row],[Monthly Salary]]*12</f>
        <v>367362.6</v>
      </c>
    </row>
    <row r="369" spans="1:17" x14ac:dyDescent="0.25">
      <c r="A369" t="s">
        <v>383</v>
      </c>
      <c r="B369" t="s">
        <v>1382</v>
      </c>
      <c r="C369" t="s">
        <v>2010</v>
      </c>
      <c r="D369" t="s">
        <v>2024</v>
      </c>
      <c r="E369" t="s">
        <v>2039</v>
      </c>
      <c r="F369">
        <v>55</v>
      </c>
      <c r="G369" s="1">
        <v>43297</v>
      </c>
      <c r="H369" t="s">
        <v>2040</v>
      </c>
      <c r="I369" s="2">
        <v>33638.15</v>
      </c>
      <c r="J369">
        <v>4</v>
      </c>
      <c r="K369">
        <v>95.94</v>
      </c>
      <c r="L369">
        <v>7</v>
      </c>
      <c r="M369">
        <v>69</v>
      </c>
      <c r="N369">
        <v>18</v>
      </c>
      <c r="O369" t="s">
        <v>2060</v>
      </c>
      <c r="P369" t="s">
        <v>2062</v>
      </c>
      <c r="Q369" s="2">
        <f>Employee_Data[[#This Row],[Monthly Salary]]*12</f>
        <v>403657.80000000005</v>
      </c>
    </row>
    <row r="370" spans="1:17" x14ac:dyDescent="0.25">
      <c r="A370" t="s">
        <v>384</v>
      </c>
      <c r="B370" t="s">
        <v>1383</v>
      </c>
      <c r="C370" t="s">
        <v>2012</v>
      </c>
      <c r="D370" t="s">
        <v>2021</v>
      </c>
      <c r="E370" t="s">
        <v>2039</v>
      </c>
      <c r="F370">
        <v>28</v>
      </c>
      <c r="G370" s="1">
        <v>45025</v>
      </c>
      <c r="H370" t="s">
        <v>2040</v>
      </c>
      <c r="I370" s="2">
        <v>20502.98</v>
      </c>
      <c r="J370">
        <v>5</v>
      </c>
      <c r="K370">
        <v>87.88</v>
      </c>
      <c r="L370">
        <v>2</v>
      </c>
      <c r="M370">
        <v>70</v>
      </c>
      <c r="N370">
        <v>60</v>
      </c>
      <c r="O370" t="s">
        <v>2045</v>
      </c>
      <c r="P370" t="s">
        <v>2062</v>
      </c>
      <c r="Q370" s="2">
        <f>Employee_Data[[#This Row],[Monthly Salary]]*12</f>
        <v>246035.76</v>
      </c>
    </row>
    <row r="371" spans="1:17" x14ac:dyDescent="0.25">
      <c r="A371" t="s">
        <v>385</v>
      </c>
      <c r="B371" t="s">
        <v>1384</v>
      </c>
      <c r="C371" t="s">
        <v>2012</v>
      </c>
      <c r="D371" t="s">
        <v>2021</v>
      </c>
      <c r="E371" t="s">
        <v>2038</v>
      </c>
      <c r="F371">
        <v>53</v>
      </c>
      <c r="G371" s="1">
        <v>44579</v>
      </c>
      <c r="H371" t="s">
        <v>2040</v>
      </c>
      <c r="I371" s="2">
        <v>36095.440000000002</v>
      </c>
      <c r="J371">
        <v>2</v>
      </c>
      <c r="K371">
        <v>92.34</v>
      </c>
      <c r="L371">
        <v>3</v>
      </c>
      <c r="M371">
        <v>32</v>
      </c>
      <c r="N371">
        <v>12</v>
      </c>
      <c r="O371" t="s">
        <v>2047</v>
      </c>
      <c r="P371" t="s">
        <v>2062</v>
      </c>
      <c r="Q371" s="2">
        <f>Employee_Data[[#This Row],[Monthly Salary]]*12</f>
        <v>433145.28</v>
      </c>
    </row>
    <row r="372" spans="1:17" x14ac:dyDescent="0.25">
      <c r="A372" t="s">
        <v>386</v>
      </c>
      <c r="B372" t="s">
        <v>1385</v>
      </c>
      <c r="C372" t="s">
        <v>2010</v>
      </c>
      <c r="D372" t="s">
        <v>2037</v>
      </c>
      <c r="E372" t="s">
        <v>2038</v>
      </c>
      <c r="F372">
        <v>56</v>
      </c>
      <c r="G372" s="1">
        <v>43256</v>
      </c>
      <c r="H372" t="s">
        <v>2040</v>
      </c>
      <c r="I372" s="2">
        <v>49065.27</v>
      </c>
      <c r="J372">
        <v>1</v>
      </c>
      <c r="K372">
        <v>85.01</v>
      </c>
      <c r="L372">
        <v>7</v>
      </c>
      <c r="M372">
        <v>25</v>
      </c>
      <c r="N372">
        <v>46</v>
      </c>
      <c r="O372" t="s">
        <v>2043</v>
      </c>
      <c r="P372" t="s">
        <v>2062</v>
      </c>
      <c r="Q372" s="2">
        <f>Employee_Data[[#This Row],[Monthly Salary]]*12</f>
        <v>588783.24</v>
      </c>
    </row>
    <row r="373" spans="1:17" x14ac:dyDescent="0.25">
      <c r="A373" t="s">
        <v>387</v>
      </c>
      <c r="B373" t="s">
        <v>1386</v>
      </c>
      <c r="C373" t="s">
        <v>2012</v>
      </c>
      <c r="D373" t="s">
        <v>2020</v>
      </c>
      <c r="E373" t="s">
        <v>2039</v>
      </c>
      <c r="F373">
        <v>36</v>
      </c>
      <c r="G373" s="1">
        <v>42780</v>
      </c>
      <c r="H373" t="s">
        <v>2040</v>
      </c>
      <c r="I373" s="2">
        <v>48513.71</v>
      </c>
      <c r="J373">
        <v>1</v>
      </c>
      <c r="K373">
        <v>98</v>
      </c>
      <c r="L373">
        <v>8</v>
      </c>
      <c r="M373">
        <v>40</v>
      </c>
      <c r="N373">
        <v>31</v>
      </c>
      <c r="O373" t="s">
        <v>2056</v>
      </c>
      <c r="P373" t="s">
        <v>2062</v>
      </c>
      <c r="Q373" s="2">
        <f>Employee_Data[[#This Row],[Monthly Salary]]*12</f>
        <v>582164.52</v>
      </c>
    </row>
    <row r="374" spans="1:17" x14ac:dyDescent="0.25">
      <c r="A374" t="s">
        <v>388</v>
      </c>
      <c r="B374" t="s">
        <v>1387</v>
      </c>
      <c r="C374" t="s">
        <v>2011</v>
      </c>
      <c r="D374" t="s">
        <v>2031</v>
      </c>
      <c r="E374" t="s">
        <v>2039</v>
      </c>
      <c r="F374">
        <v>57</v>
      </c>
      <c r="G374" s="1">
        <v>44034</v>
      </c>
      <c r="H374" t="s">
        <v>2041</v>
      </c>
      <c r="I374" s="2">
        <v>56449.34</v>
      </c>
      <c r="J374">
        <v>3</v>
      </c>
      <c r="K374">
        <v>99.17</v>
      </c>
      <c r="L374">
        <v>5</v>
      </c>
      <c r="M374">
        <v>21</v>
      </c>
      <c r="N374">
        <v>0</v>
      </c>
      <c r="O374" t="s">
        <v>2054</v>
      </c>
      <c r="P374" t="s">
        <v>2062</v>
      </c>
      <c r="Q374" s="2">
        <f>Employee_Data[[#This Row],[Monthly Salary]]*12</f>
        <v>677392.08</v>
      </c>
    </row>
    <row r="375" spans="1:17" x14ac:dyDescent="0.25">
      <c r="A375" t="s">
        <v>389</v>
      </c>
      <c r="B375" t="s">
        <v>1388</v>
      </c>
      <c r="C375" t="s">
        <v>2014</v>
      </c>
      <c r="D375" t="s">
        <v>2028</v>
      </c>
      <c r="E375" t="s">
        <v>2038</v>
      </c>
      <c r="F375">
        <v>38</v>
      </c>
      <c r="G375" s="1">
        <v>45403</v>
      </c>
      <c r="H375" t="s">
        <v>2042</v>
      </c>
      <c r="I375" s="2">
        <v>33430.58</v>
      </c>
      <c r="J375">
        <v>3</v>
      </c>
      <c r="K375">
        <v>97.56</v>
      </c>
      <c r="L375">
        <v>1</v>
      </c>
      <c r="M375">
        <v>59</v>
      </c>
      <c r="N375">
        <v>28</v>
      </c>
      <c r="O375" t="s">
        <v>2053</v>
      </c>
      <c r="P375" t="s">
        <v>2062</v>
      </c>
      <c r="Q375" s="2">
        <f>Employee_Data[[#This Row],[Monthly Salary]]*12</f>
        <v>401166.96</v>
      </c>
    </row>
    <row r="376" spans="1:17" x14ac:dyDescent="0.25">
      <c r="A376" t="s">
        <v>390</v>
      </c>
      <c r="B376" t="s">
        <v>1389</v>
      </c>
      <c r="C376" t="s">
        <v>2013</v>
      </c>
      <c r="D376" t="s">
        <v>2025</v>
      </c>
      <c r="E376" t="s">
        <v>2039</v>
      </c>
      <c r="F376">
        <v>59</v>
      </c>
      <c r="G376" s="1">
        <v>43920</v>
      </c>
      <c r="H376" t="s">
        <v>2040</v>
      </c>
      <c r="I376" s="2">
        <v>104179.3</v>
      </c>
      <c r="J376">
        <v>2</v>
      </c>
      <c r="K376">
        <v>97.83</v>
      </c>
      <c r="L376">
        <v>5</v>
      </c>
      <c r="M376">
        <v>25</v>
      </c>
      <c r="N376">
        <v>16</v>
      </c>
      <c r="O376" t="s">
        <v>2045</v>
      </c>
      <c r="P376" t="s">
        <v>2062</v>
      </c>
      <c r="Q376" s="2">
        <f>Employee_Data[[#This Row],[Monthly Salary]]*12</f>
        <v>1250151.6000000001</v>
      </c>
    </row>
    <row r="377" spans="1:17" x14ac:dyDescent="0.25">
      <c r="A377" t="s">
        <v>391</v>
      </c>
      <c r="B377" t="s">
        <v>1390</v>
      </c>
      <c r="C377" t="s">
        <v>2010</v>
      </c>
      <c r="D377" t="s">
        <v>2037</v>
      </c>
      <c r="E377" t="s">
        <v>2039</v>
      </c>
      <c r="F377">
        <v>58</v>
      </c>
      <c r="G377" s="1">
        <v>45355</v>
      </c>
      <c r="H377" t="s">
        <v>2041</v>
      </c>
      <c r="I377" s="2">
        <v>60513.45</v>
      </c>
      <c r="J377">
        <v>5</v>
      </c>
      <c r="K377">
        <v>84.26</v>
      </c>
      <c r="L377">
        <v>1</v>
      </c>
      <c r="M377">
        <v>4</v>
      </c>
      <c r="N377">
        <v>35</v>
      </c>
      <c r="O377" t="s">
        <v>2055</v>
      </c>
      <c r="P377" t="s">
        <v>2062</v>
      </c>
      <c r="Q377" s="2">
        <f>Employee_Data[[#This Row],[Monthly Salary]]*12</f>
        <v>726161.39999999991</v>
      </c>
    </row>
    <row r="378" spans="1:17" x14ac:dyDescent="0.25">
      <c r="A378" t="s">
        <v>392</v>
      </c>
      <c r="B378" t="s">
        <v>1391</v>
      </c>
      <c r="C378" t="s">
        <v>2013</v>
      </c>
      <c r="D378" t="s">
        <v>2025</v>
      </c>
      <c r="E378" t="s">
        <v>2038</v>
      </c>
      <c r="F378">
        <v>46</v>
      </c>
      <c r="G378" s="1">
        <v>43375</v>
      </c>
      <c r="H378" t="s">
        <v>2040</v>
      </c>
      <c r="I378" s="2">
        <v>109143.75</v>
      </c>
      <c r="J378">
        <v>5</v>
      </c>
      <c r="K378">
        <v>94.66</v>
      </c>
      <c r="L378">
        <v>7</v>
      </c>
      <c r="M378">
        <v>37</v>
      </c>
      <c r="N378">
        <v>8</v>
      </c>
      <c r="O378" t="s">
        <v>2056</v>
      </c>
      <c r="P378" t="s">
        <v>2062</v>
      </c>
      <c r="Q378" s="2">
        <f>Employee_Data[[#This Row],[Monthly Salary]]*12</f>
        <v>1309725</v>
      </c>
    </row>
    <row r="379" spans="1:17" x14ac:dyDescent="0.25">
      <c r="A379" t="s">
        <v>393</v>
      </c>
      <c r="B379" t="s">
        <v>1392</v>
      </c>
      <c r="C379" t="s">
        <v>2009</v>
      </c>
      <c r="D379" t="s">
        <v>2030</v>
      </c>
      <c r="E379" t="s">
        <v>2038</v>
      </c>
      <c r="F379">
        <v>53</v>
      </c>
      <c r="G379" s="1">
        <v>44288</v>
      </c>
      <c r="H379" t="s">
        <v>2040</v>
      </c>
      <c r="I379" s="2">
        <v>86267.85</v>
      </c>
      <c r="J379">
        <v>5</v>
      </c>
      <c r="K379">
        <v>93.68</v>
      </c>
      <c r="L379">
        <v>4</v>
      </c>
      <c r="M379">
        <v>65</v>
      </c>
      <c r="N379">
        <v>8</v>
      </c>
      <c r="O379" t="s">
        <v>2056</v>
      </c>
      <c r="P379" t="s">
        <v>2062</v>
      </c>
      <c r="Q379" s="2">
        <f>Employee_Data[[#This Row],[Monthly Salary]]*12</f>
        <v>1035214.2000000001</v>
      </c>
    </row>
    <row r="380" spans="1:17" x14ac:dyDescent="0.25">
      <c r="A380" t="s">
        <v>394</v>
      </c>
      <c r="B380" t="s">
        <v>1393</v>
      </c>
      <c r="C380" t="s">
        <v>2015</v>
      </c>
      <c r="D380" t="s">
        <v>2027</v>
      </c>
      <c r="E380" t="s">
        <v>2038</v>
      </c>
      <c r="F380">
        <v>43</v>
      </c>
      <c r="G380" s="1">
        <v>44107</v>
      </c>
      <c r="H380" t="s">
        <v>2040</v>
      </c>
      <c r="I380" s="2">
        <v>41881.910000000003</v>
      </c>
      <c r="J380">
        <v>4</v>
      </c>
      <c r="K380">
        <v>84.63</v>
      </c>
      <c r="L380">
        <v>5</v>
      </c>
      <c r="M380">
        <v>33</v>
      </c>
      <c r="N380">
        <v>23</v>
      </c>
      <c r="O380" t="s">
        <v>2044</v>
      </c>
      <c r="P380" t="s">
        <v>2062</v>
      </c>
      <c r="Q380" s="2">
        <f>Employee_Data[[#This Row],[Monthly Salary]]*12</f>
        <v>502582.92000000004</v>
      </c>
    </row>
    <row r="381" spans="1:17" x14ac:dyDescent="0.25">
      <c r="A381" t="s">
        <v>395</v>
      </c>
      <c r="B381" t="s">
        <v>1394</v>
      </c>
      <c r="C381" t="s">
        <v>2014</v>
      </c>
      <c r="D381" t="s">
        <v>2028</v>
      </c>
      <c r="E381" t="s">
        <v>2038</v>
      </c>
      <c r="F381">
        <v>45</v>
      </c>
      <c r="G381" s="1">
        <v>43384</v>
      </c>
      <c r="H381" t="s">
        <v>2042</v>
      </c>
      <c r="I381" s="2">
        <v>111790.19</v>
      </c>
      <c r="J381">
        <v>1</v>
      </c>
      <c r="K381">
        <v>80.8</v>
      </c>
      <c r="L381">
        <v>7</v>
      </c>
      <c r="M381">
        <v>41</v>
      </c>
      <c r="N381">
        <v>6</v>
      </c>
      <c r="O381" t="s">
        <v>2052</v>
      </c>
      <c r="P381" t="s">
        <v>2062</v>
      </c>
      <c r="Q381" s="2">
        <f>Employee_Data[[#This Row],[Monthly Salary]]*12</f>
        <v>1341482.28</v>
      </c>
    </row>
    <row r="382" spans="1:17" x14ac:dyDescent="0.25">
      <c r="A382" t="s">
        <v>396</v>
      </c>
      <c r="B382" t="s">
        <v>1395</v>
      </c>
      <c r="C382" t="s">
        <v>2011</v>
      </c>
      <c r="D382" t="s">
        <v>2031</v>
      </c>
      <c r="E382" t="s">
        <v>2038</v>
      </c>
      <c r="F382">
        <v>58</v>
      </c>
      <c r="G382" s="1">
        <v>43551</v>
      </c>
      <c r="H382" t="s">
        <v>2041</v>
      </c>
      <c r="I382" s="2">
        <v>77016.02</v>
      </c>
      <c r="J382">
        <v>4</v>
      </c>
      <c r="K382">
        <v>93.07</v>
      </c>
      <c r="L382">
        <v>6</v>
      </c>
      <c r="M382">
        <v>46</v>
      </c>
      <c r="N382">
        <v>37</v>
      </c>
      <c r="O382" t="s">
        <v>2045</v>
      </c>
      <c r="P382" t="s">
        <v>2062</v>
      </c>
      <c r="Q382" s="2">
        <f>Employee_Data[[#This Row],[Monthly Salary]]*12</f>
        <v>924192.24</v>
      </c>
    </row>
    <row r="383" spans="1:17" x14ac:dyDescent="0.25">
      <c r="A383" t="s">
        <v>397</v>
      </c>
      <c r="B383" t="s">
        <v>1396</v>
      </c>
      <c r="C383" t="s">
        <v>2016</v>
      </c>
      <c r="D383" t="s">
        <v>2032</v>
      </c>
      <c r="E383" t="s">
        <v>2038</v>
      </c>
      <c r="F383">
        <v>43</v>
      </c>
      <c r="G383" s="1">
        <v>44545</v>
      </c>
      <c r="H383" t="s">
        <v>2042</v>
      </c>
      <c r="I383" s="2">
        <v>68686.16</v>
      </c>
      <c r="J383">
        <v>4</v>
      </c>
      <c r="K383">
        <v>97.74</v>
      </c>
      <c r="L383">
        <v>4</v>
      </c>
      <c r="M383">
        <v>0</v>
      </c>
      <c r="N383">
        <v>32</v>
      </c>
      <c r="O383" t="s">
        <v>2060</v>
      </c>
      <c r="P383" t="s">
        <v>2062</v>
      </c>
      <c r="Q383" s="2">
        <f>Employee_Data[[#This Row],[Monthly Salary]]*12</f>
        <v>824233.92</v>
      </c>
    </row>
    <row r="384" spans="1:17" x14ac:dyDescent="0.25">
      <c r="A384" t="s">
        <v>398</v>
      </c>
      <c r="B384" t="s">
        <v>1397</v>
      </c>
      <c r="C384" t="s">
        <v>2014</v>
      </c>
      <c r="D384" t="s">
        <v>2023</v>
      </c>
      <c r="E384" t="s">
        <v>2038</v>
      </c>
      <c r="F384">
        <v>34</v>
      </c>
      <c r="G384" s="1">
        <v>45730</v>
      </c>
      <c r="H384" t="s">
        <v>2040</v>
      </c>
      <c r="I384" s="2">
        <v>38690.57</v>
      </c>
      <c r="J384">
        <v>3</v>
      </c>
      <c r="K384">
        <v>92.04</v>
      </c>
      <c r="L384">
        <v>0</v>
      </c>
      <c r="M384">
        <v>15</v>
      </c>
      <c r="N384">
        <v>42</v>
      </c>
      <c r="O384" t="s">
        <v>2044</v>
      </c>
      <c r="P384" t="s">
        <v>2062</v>
      </c>
      <c r="Q384" s="2">
        <f>Employee_Data[[#This Row],[Monthly Salary]]*12</f>
        <v>464286.83999999997</v>
      </c>
    </row>
    <row r="385" spans="1:17" x14ac:dyDescent="0.25">
      <c r="A385" t="s">
        <v>399</v>
      </c>
      <c r="B385" t="s">
        <v>1398</v>
      </c>
      <c r="C385" t="s">
        <v>2012</v>
      </c>
      <c r="D385" t="s">
        <v>2021</v>
      </c>
      <c r="E385" t="s">
        <v>2038</v>
      </c>
      <c r="F385">
        <v>51</v>
      </c>
      <c r="G385" s="1">
        <v>44777</v>
      </c>
      <c r="H385" t="s">
        <v>2042</v>
      </c>
      <c r="I385" s="2">
        <v>41070.400000000001</v>
      </c>
      <c r="J385">
        <v>2</v>
      </c>
      <c r="K385">
        <v>92.95</v>
      </c>
      <c r="L385">
        <v>3</v>
      </c>
      <c r="M385">
        <v>52</v>
      </c>
      <c r="N385">
        <v>1</v>
      </c>
      <c r="O385" t="s">
        <v>2044</v>
      </c>
      <c r="P385" t="s">
        <v>2062</v>
      </c>
      <c r="Q385" s="2">
        <f>Employee_Data[[#This Row],[Monthly Salary]]*12</f>
        <v>492844.80000000005</v>
      </c>
    </row>
    <row r="386" spans="1:17" x14ac:dyDescent="0.25">
      <c r="A386" t="s">
        <v>400</v>
      </c>
      <c r="B386" t="s">
        <v>1399</v>
      </c>
      <c r="C386" t="s">
        <v>2015</v>
      </c>
      <c r="D386" t="s">
        <v>2033</v>
      </c>
      <c r="E386" t="s">
        <v>2039</v>
      </c>
      <c r="F386">
        <v>57</v>
      </c>
      <c r="G386" s="1">
        <v>42761</v>
      </c>
      <c r="H386" t="s">
        <v>2040</v>
      </c>
      <c r="I386" s="2">
        <v>25591.200000000001</v>
      </c>
      <c r="J386">
        <v>3</v>
      </c>
      <c r="K386">
        <v>98.45</v>
      </c>
      <c r="L386">
        <v>8</v>
      </c>
      <c r="M386">
        <v>66</v>
      </c>
      <c r="N386">
        <v>25</v>
      </c>
      <c r="O386" t="s">
        <v>2058</v>
      </c>
      <c r="P386" t="s">
        <v>2063</v>
      </c>
      <c r="Q386" s="2">
        <f>Employee_Data[[#This Row],[Monthly Salary]]*12</f>
        <v>307094.40000000002</v>
      </c>
    </row>
    <row r="387" spans="1:17" x14ac:dyDescent="0.25">
      <c r="A387" t="s">
        <v>401</v>
      </c>
      <c r="B387" t="s">
        <v>1400</v>
      </c>
      <c r="C387" t="s">
        <v>2010</v>
      </c>
      <c r="D387" t="s">
        <v>2037</v>
      </c>
      <c r="E387" t="s">
        <v>2038</v>
      </c>
      <c r="F387">
        <v>26</v>
      </c>
      <c r="G387" s="1">
        <v>45197</v>
      </c>
      <c r="H387" t="s">
        <v>2040</v>
      </c>
      <c r="I387" s="2">
        <v>64920.34</v>
      </c>
      <c r="J387">
        <v>4</v>
      </c>
      <c r="K387">
        <v>97.35</v>
      </c>
      <c r="L387">
        <v>2</v>
      </c>
      <c r="M387">
        <v>21</v>
      </c>
      <c r="N387">
        <v>14</v>
      </c>
      <c r="O387" t="s">
        <v>1505</v>
      </c>
      <c r="P387" t="s">
        <v>2062</v>
      </c>
      <c r="Q387" s="2">
        <f>Employee_Data[[#This Row],[Monthly Salary]]*12</f>
        <v>779044.08</v>
      </c>
    </row>
    <row r="388" spans="1:17" x14ac:dyDescent="0.25">
      <c r="A388" t="s">
        <v>402</v>
      </c>
      <c r="B388" t="s">
        <v>1401</v>
      </c>
      <c r="C388" t="s">
        <v>2015</v>
      </c>
      <c r="D388" t="s">
        <v>2027</v>
      </c>
      <c r="E388" t="s">
        <v>2038</v>
      </c>
      <c r="F388">
        <v>31</v>
      </c>
      <c r="G388" s="1">
        <v>45728</v>
      </c>
      <c r="H388" t="s">
        <v>2041</v>
      </c>
      <c r="I388" s="2">
        <v>88559.12</v>
      </c>
      <c r="J388">
        <v>4</v>
      </c>
      <c r="K388">
        <v>91.93</v>
      </c>
      <c r="L388">
        <v>0</v>
      </c>
      <c r="M388">
        <v>8</v>
      </c>
      <c r="N388">
        <v>14</v>
      </c>
      <c r="O388" t="s">
        <v>2061</v>
      </c>
      <c r="P388" t="s">
        <v>2062</v>
      </c>
      <c r="Q388" s="2">
        <f>Employee_Data[[#This Row],[Monthly Salary]]*12</f>
        <v>1062709.44</v>
      </c>
    </row>
    <row r="389" spans="1:17" x14ac:dyDescent="0.25">
      <c r="A389" t="s">
        <v>403</v>
      </c>
      <c r="B389" t="s">
        <v>1402</v>
      </c>
      <c r="C389" t="s">
        <v>2009</v>
      </c>
      <c r="D389" t="s">
        <v>2017</v>
      </c>
      <c r="E389" t="s">
        <v>2039</v>
      </c>
      <c r="F389">
        <v>54</v>
      </c>
      <c r="G389" s="1">
        <v>44991</v>
      </c>
      <c r="H389" t="s">
        <v>2041</v>
      </c>
      <c r="I389" s="2">
        <v>88436.78</v>
      </c>
      <c r="J389">
        <v>2</v>
      </c>
      <c r="K389">
        <v>92.11</v>
      </c>
      <c r="L389">
        <v>2</v>
      </c>
      <c r="M389">
        <v>22</v>
      </c>
      <c r="N389">
        <v>30</v>
      </c>
      <c r="O389" t="s">
        <v>2058</v>
      </c>
      <c r="P389" t="s">
        <v>2062</v>
      </c>
      <c r="Q389" s="2">
        <f>Employee_Data[[#This Row],[Monthly Salary]]*12</f>
        <v>1061241.3599999999</v>
      </c>
    </row>
    <row r="390" spans="1:17" x14ac:dyDescent="0.25">
      <c r="A390" t="s">
        <v>404</v>
      </c>
      <c r="B390" t="s">
        <v>1403</v>
      </c>
      <c r="C390" t="s">
        <v>2009</v>
      </c>
      <c r="D390" t="s">
        <v>2017</v>
      </c>
      <c r="E390" t="s">
        <v>2038</v>
      </c>
      <c r="F390">
        <v>29</v>
      </c>
      <c r="G390" s="1">
        <v>45522</v>
      </c>
      <c r="H390" t="s">
        <v>2041</v>
      </c>
      <c r="I390" s="2">
        <v>73928.600000000006</v>
      </c>
      <c r="J390">
        <v>1</v>
      </c>
      <c r="K390">
        <v>97.94</v>
      </c>
      <c r="L390">
        <v>1</v>
      </c>
      <c r="M390">
        <v>55</v>
      </c>
      <c r="N390">
        <v>33</v>
      </c>
      <c r="O390" t="s">
        <v>1505</v>
      </c>
      <c r="P390" t="s">
        <v>2062</v>
      </c>
      <c r="Q390" s="2">
        <f>Employee_Data[[#This Row],[Monthly Salary]]*12</f>
        <v>887143.20000000007</v>
      </c>
    </row>
    <row r="391" spans="1:17" x14ac:dyDescent="0.25">
      <c r="A391" t="s">
        <v>405</v>
      </c>
      <c r="B391" t="s">
        <v>1404</v>
      </c>
      <c r="C391" t="s">
        <v>2010</v>
      </c>
      <c r="D391" t="s">
        <v>2037</v>
      </c>
      <c r="E391" t="s">
        <v>2038</v>
      </c>
      <c r="F391">
        <v>35</v>
      </c>
      <c r="G391" s="1">
        <v>43704</v>
      </c>
      <c r="H391" t="s">
        <v>2042</v>
      </c>
      <c r="I391" s="2">
        <v>98955.56</v>
      </c>
      <c r="J391">
        <v>4</v>
      </c>
      <c r="K391">
        <v>87.01</v>
      </c>
      <c r="L391">
        <v>6</v>
      </c>
      <c r="M391">
        <v>73</v>
      </c>
      <c r="N391">
        <v>6</v>
      </c>
      <c r="O391" t="s">
        <v>1505</v>
      </c>
      <c r="P391" t="s">
        <v>2062</v>
      </c>
      <c r="Q391" s="2">
        <f>Employee_Data[[#This Row],[Monthly Salary]]*12</f>
        <v>1187466.72</v>
      </c>
    </row>
    <row r="392" spans="1:17" x14ac:dyDescent="0.25">
      <c r="A392" t="s">
        <v>406</v>
      </c>
      <c r="B392" t="s">
        <v>1405</v>
      </c>
      <c r="C392" t="s">
        <v>2013</v>
      </c>
      <c r="D392" t="s">
        <v>2025</v>
      </c>
      <c r="E392" t="s">
        <v>2039</v>
      </c>
      <c r="F392">
        <v>39</v>
      </c>
      <c r="G392" s="1">
        <v>42793</v>
      </c>
      <c r="H392" t="s">
        <v>2041</v>
      </c>
      <c r="I392" s="2">
        <v>107676.63</v>
      </c>
      <c r="J392">
        <v>4</v>
      </c>
      <c r="K392">
        <v>85.16</v>
      </c>
      <c r="L392">
        <v>8</v>
      </c>
      <c r="M392">
        <v>0</v>
      </c>
      <c r="N392">
        <v>45</v>
      </c>
      <c r="O392" t="s">
        <v>2057</v>
      </c>
      <c r="P392" t="s">
        <v>2062</v>
      </c>
      <c r="Q392" s="2">
        <f>Employee_Data[[#This Row],[Monthly Salary]]*12</f>
        <v>1292119.56</v>
      </c>
    </row>
    <row r="393" spans="1:17" x14ac:dyDescent="0.25">
      <c r="A393" t="s">
        <v>407</v>
      </c>
      <c r="B393" t="s">
        <v>1406</v>
      </c>
      <c r="C393" t="s">
        <v>2009</v>
      </c>
      <c r="D393" t="s">
        <v>2036</v>
      </c>
      <c r="E393" t="s">
        <v>2039</v>
      </c>
      <c r="F393">
        <v>45</v>
      </c>
      <c r="G393" s="1">
        <v>43080</v>
      </c>
      <c r="H393" t="s">
        <v>2041</v>
      </c>
      <c r="I393" s="2">
        <v>40541.870000000003</v>
      </c>
      <c r="J393">
        <v>3</v>
      </c>
      <c r="K393">
        <v>88.18</v>
      </c>
      <c r="L393">
        <v>8</v>
      </c>
      <c r="M393">
        <v>13</v>
      </c>
      <c r="N393">
        <v>9</v>
      </c>
      <c r="O393" t="s">
        <v>1505</v>
      </c>
      <c r="P393" t="s">
        <v>2062</v>
      </c>
      <c r="Q393" s="2">
        <f>Employee_Data[[#This Row],[Monthly Salary]]*12</f>
        <v>486502.44000000006</v>
      </c>
    </row>
    <row r="394" spans="1:17" x14ac:dyDescent="0.25">
      <c r="A394" t="s">
        <v>408</v>
      </c>
      <c r="B394" t="s">
        <v>1407</v>
      </c>
      <c r="C394" t="s">
        <v>2011</v>
      </c>
      <c r="D394" t="s">
        <v>2035</v>
      </c>
      <c r="E394" t="s">
        <v>2038</v>
      </c>
      <c r="F394">
        <v>57</v>
      </c>
      <c r="G394" s="1">
        <v>43350</v>
      </c>
      <c r="H394" t="s">
        <v>2042</v>
      </c>
      <c r="I394" s="2">
        <v>81188.070000000007</v>
      </c>
      <c r="J394">
        <v>4</v>
      </c>
      <c r="K394">
        <v>95.1</v>
      </c>
      <c r="L394">
        <v>7</v>
      </c>
      <c r="M394">
        <v>52</v>
      </c>
      <c r="N394">
        <v>35</v>
      </c>
      <c r="O394" t="s">
        <v>2046</v>
      </c>
      <c r="P394" t="s">
        <v>2062</v>
      </c>
      <c r="Q394" s="2">
        <f>Employee_Data[[#This Row],[Monthly Salary]]*12</f>
        <v>974256.84000000008</v>
      </c>
    </row>
    <row r="395" spans="1:17" x14ac:dyDescent="0.25">
      <c r="A395" t="s">
        <v>409</v>
      </c>
      <c r="B395" t="s">
        <v>1408</v>
      </c>
      <c r="C395" t="s">
        <v>2012</v>
      </c>
      <c r="D395" t="s">
        <v>2020</v>
      </c>
      <c r="E395" t="s">
        <v>2038</v>
      </c>
      <c r="F395">
        <v>40</v>
      </c>
      <c r="G395" s="1">
        <v>44400</v>
      </c>
      <c r="H395" t="s">
        <v>2041</v>
      </c>
      <c r="I395" s="2">
        <v>54435.63</v>
      </c>
      <c r="J395">
        <v>4</v>
      </c>
      <c r="K395">
        <v>94.72</v>
      </c>
      <c r="L395">
        <v>4</v>
      </c>
      <c r="M395">
        <v>15</v>
      </c>
      <c r="N395">
        <v>47</v>
      </c>
      <c r="O395" t="s">
        <v>2044</v>
      </c>
      <c r="P395" t="s">
        <v>2062</v>
      </c>
      <c r="Q395" s="2">
        <f>Employee_Data[[#This Row],[Monthly Salary]]*12</f>
        <v>653227.55999999994</v>
      </c>
    </row>
    <row r="396" spans="1:17" x14ac:dyDescent="0.25">
      <c r="A396" t="s">
        <v>410</v>
      </c>
      <c r="B396" t="s">
        <v>1409</v>
      </c>
      <c r="C396" t="s">
        <v>2015</v>
      </c>
      <c r="D396" t="s">
        <v>2033</v>
      </c>
      <c r="E396" t="s">
        <v>2039</v>
      </c>
      <c r="F396">
        <v>53</v>
      </c>
      <c r="G396" s="1">
        <v>42479</v>
      </c>
      <c r="H396" t="s">
        <v>2042</v>
      </c>
      <c r="I396" s="2">
        <v>98608.11</v>
      </c>
      <c r="J396">
        <v>5</v>
      </c>
      <c r="K396">
        <v>92.28</v>
      </c>
      <c r="L396">
        <v>9</v>
      </c>
      <c r="M396">
        <v>6</v>
      </c>
      <c r="N396">
        <v>10</v>
      </c>
      <c r="O396" t="s">
        <v>2061</v>
      </c>
      <c r="P396" t="s">
        <v>2063</v>
      </c>
      <c r="Q396" s="2">
        <f>Employee_Data[[#This Row],[Monthly Salary]]*12</f>
        <v>1183297.32</v>
      </c>
    </row>
    <row r="397" spans="1:17" x14ac:dyDescent="0.25">
      <c r="A397" t="s">
        <v>411</v>
      </c>
      <c r="B397" t="s">
        <v>1410</v>
      </c>
      <c r="C397" t="s">
        <v>2010</v>
      </c>
      <c r="D397" t="s">
        <v>2018</v>
      </c>
      <c r="E397" t="s">
        <v>2039</v>
      </c>
      <c r="F397">
        <v>51</v>
      </c>
      <c r="G397" s="1">
        <v>43947</v>
      </c>
      <c r="H397" t="s">
        <v>2041</v>
      </c>
      <c r="I397" s="2">
        <v>63537.74</v>
      </c>
      <c r="J397">
        <v>1</v>
      </c>
      <c r="K397">
        <v>85.26</v>
      </c>
      <c r="L397">
        <v>5</v>
      </c>
      <c r="M397">
        <v>47</v>
      </c>
      <c r="N397">
        <v>5</v>
      </c>
      <c r="O397" t="s">
        <v>2058</v>
      </c>
      <c r="P397" t="s">
        <v>2062</v>
      </c>
      <c r="Q397" s="2">
        <f>Employee_Data[[#This Row],[Monthly Salary]]*12</f>
        <v>762452.88</v>
      </c>
    </row>
    <row r="398" spans="1:17" x14ac:dyDescent="0.25">
      <c r="A398" t="s">
        <v>412</v>
      </c>
      <c r="B398" t="s">
        <v>1411</v>
      </c>
      <c r="C398" t="s">
        <v>2016</v>
      </c>
      <c r="D398" t="s">
        <v>2034</v>
      </c>
      <c r="E398" t="s">
        <v>2038</v>
      </c>
      <c r="F398">
        <v>59</v>
      </c>
      <c r="G398" s="1">
        <v>42491</v>
      </c>
      <c r="H398" t="s">
        <v>2040</v>
      </c>
      <c r="I398" s="2">
        <v>114571.59</v>
      </c>
      <c r="J398">
        <v>2</v>
      </c>
      <c r="K398">
        <v>92.81</v>
      </c>
      <c r="L398">
        <v>9</v>
      </c>
      <c r="M398">
        <v>56</v>
      </c>
      <c r="N398">
        <v>0</v>
      </c>
      <c r="O398" t="s">
        <v>2059</v>
      </c>
      <c r="P398" t="s">
        <v>2063</v>
      </c>
      <c r="Q398" s="2">
        <f>Employee_Data[[#This Row],[Monthly Salary]]*12</f>
        <v>1374859.08</v>
      </c>
    </row>
    <row r="399" spans="1:17" x14ac:dyDescent="0.25">
      <c r="A399" t="s">
        <v>413</v>
      </c>
      <c r="B399" t="s">
        <v>1412</v>
      </c>
      <c r="C399" t="s">
        <v>2011</v>
      </c>
      <c r="D399" t="s">
        <v>2019</v>
      </c>
      <c r="E399" t="s">
        <v>2039</v>
      </c>
      <c r="F399">
        <v>59</v>
      </c>
      <c r="G399" s="1">
        <v>44826</v>
      </c>
      <c r="H399" t="s">
        <v>2041</v>
      </c>
      <c r="I399" s="2">
        <v>71581.36</v>
      </c>
      <c r="J399">
        <v>2</v>
      </c>
      <c r="K399">
        <v>92.3</v>
      </c>
      <c r="L399">
        <v>3</v>
      </c>
      <c r="M399">
        <v>4</v>
      </c>
      <c r="N399">
        <v>23</v>
      </c>
      <c r="O399" t="s">
        <v>2044</v>
      </c>
      <c r="P399" t="s">
        <v>2062</v>
      </c>
      <c r="Q399" s="2">
        <f>Employee_Data[[#This Row],[Monthly Salary]]*12</f>
        <v>858976.32000000007</v>
      </c>
    </row>
    <row r="400" spans="1:17" x14ac:dyDescent="0.25">
      <c r="A400" t="s">
        <v>414</v>
      </c>
      <c r="B400" t="s">
        <v>1413</v>
      </c>
      <c r="C400" t="s">
        <v>2015</v>
      </c>
      <c r="D400" t="s">
        <v>2033</v>
      </c>
      <c r="E400" t="s">
        <v>2038</v>
      </c>
      <c r="F400">
        <v>46</v>
      </c>
      <c r="G400" s="1">
        <v>45034</v>
      </c>
      <c r="H400" t="s">
        <v>2042</v>
      </c>
      <c r="I400" s="2">
        <v>86966.2</v>
      </c>
      <c r="J400">
        <v>4</v>
      </c>
      <c r="K400">
        <v>91.72</v>
      </c>
      <c r="L400">
        <v>2</v>
      </c>
      <c r="M400">
        <v>66</v>
      </c>
      <c r="N400">
        <v>0</v>
      </c>
      <c r="O400" t="s">
        <v>2045</v>
      </c>
      <c r="P400" t="s">
        <v>2063</v>
      </c>
      <c r="Q400" s="2">
        <f>Employee_Data[[#This Row],[Monthly Salary]]*12</f>
        <v>1043594.3999999999</v>
      </c>
    </row>
    <row r="401" spans="1:17" x14ac:dyDescent="0.25">
      <c r="A401" t="s">
        <v>415</v>
      </c>
      <c r="B401" t="s">
        <v>1414</v>
      </c>
      <c r="C401" t="s">
        <v>2011</v>
      </c>
      <c r="D401" t="s">
        <v>2031</v>
      </c>
      <c r="E401" t="s">
        <v>2038</v>
      </c>
      <c r="F401">
        <v>43</v>
      </c>
      <c r="G401" s="1">
        <v>43195</v>
      </c>
      <c r="H401" t="s">
        <v>2042</v>
      </c>
      <c r="I401" s="2">
        <v>42629.55</v>
      </c>
      <c r="J401">
        <v>2</v>
      </c>
      <c r="K401">
        <v>89.1</v>
      </c>
      <c r="L401">
        <v>7</v>
      </c>
      <c r="M401">
        <v>51</v>
      </c>
      <c r="N401">
        <v>36</v>
      </c>
      <c r="O401" t="s">
        <v>2057</v>
      </c>
      <c r="P401" t="s">
        <v>2062</v>
      </c>
      <c r="Q401" s="2">
        <f>Employee_Data[[#This Row],[Monthly Salary]]*12</f>
        <v>511554.60000000003</v>
      </c>
    </row>
    <row r="402" spans="1:17" x14ac:dyDescent="0.25">
      <c r="A402" t="s">
        <v>416</v>
      </c>
      <c r="B402" t="s">
        <v>1415</v>
      </c>
      <c r="C402" t="s">
        <v>2016</v>
      </c>
      <c r="D402" t="s">
        <v>2032</v>
      </c>
      <c r="E402" t="s">
        <v>2039</v>
      </c>
      <c r="F402">
        <v>53</v>
      </c>
      <c r="G402" s="1">
        <v>44449</v>
      </c>
      <c r="H402" t="s">
        <v>2042</v>
      </c>
      <c r="I402" s="2">
        <v>53996.59</v>
      </c>
      <c r="J402">
        <v>1</v>
      </c>
      <c r="K402">
        <v>96.06</v>
      </c>
      <c r="L402">
        <v>4</v>
      </c>
      <c r="M402">
        <v>32</v>
      </c>
      <c r="N402">
        <v>56</v>
      </c>
      <c r="O402" t="s">
        <v>2046</v>
      </c>
      <c r="P402" t="s">
        <v>2062</v>
      </c>
      <c r="Q402" s="2">
        <f>Employee_Data[[#This Row],[Monthly Salary]]*12</f>
        <v>647959.07999999996</v>
      </c>
    </row>
    <row r="403" spans="1:17" x14ac:dyDescent="0.25">
      <c r="A403" t="s">
        <v>417</v>
      </c>
      <c r="B403" t="s">
        <v>1416</v>
      </c>
      <c r="C403" t="s">
        <v>2011</v>
      </c>
      <c r="D403" t="s">
        <v>2031</v>
      </c>
      <c r="E403" t="s">
        <v>2038</v>
      </c>
      <c r="F403">
        <v>45</v>
      </c>
      <c r="G403" s="1">
        <v>45792</v>
      </c>
      <c r="H403" t="s">
        <v>2041</v>
      </c>
      <c r="I403" s="2">
        <v>68362.990000000005</v>
      </c>
      <c r="J403">
        <v>2</v>
      </c>
      <c r="K403">
        <v>95.15</v>
      </c>
      <c r="L403">
        <v>0</v>
      </c>
      <c r="M403">
        <v>58</v>
      </c>
      <c r="N403">
        <v>43</v>
      </c>
      <c r="O403" t="s">
        <v>2056</v>
      </c>
      <c r="P403" t="s">
        <v>2063</v>
      </c>
      <c r="Q403" s="2">
        <f>Employee_Data[[#This Row],[Monthly Salary]]*12</f>
        <v>820355.88000000012</v>
      </c>
    </row>
    <row r="404" spans="1:17" x14ac:dyDescent="0.25">
      <c r="A404" t="s">
        <v>418</v>
      </c>
      <c r="B404" t="s">
        <v>1417</v>
      </c>
      <c r="C404" t="s">
        <v>2010</v>
      </c>
      <c r="D404" t="s">
        <v>2024</v>
      </c>
      <c r="E404" t="s">
        <v>2039</v>
      </c>
      <c r="F404">
        <v>37</v>
      </c>
      <c r="G404" s="1">
        <v>45096</v>
      </c>
      <c r="H404" t="s">
        <v>2040</v>
      </c>
      <c r="I404" s="2">
        <v>58267.32</v>
      </c>
      <c r="J404">
        <v>2</v>
      </c>
      <c r="K404">
        <v>93.54</v>
      </c>
      <c r="L404">
        <v>2</v>
      </c>
      <c r="M404">
        <v>29</v>
      </c>
      <c r="N404">
        <v>51</v>
      </c>
      <c r="O404" t="s">
        <v>2054</v>
      </c>
      <c r="P404" t="s">
        <v>2062</v>
      </c>
      <c r="Q404" s="2">
        <f>Employee_Data[[#This Row],[Monthly Salary]]*12</f>
        <v>699207.84</v>
      </c>
    </row>
    <row r="405" spans="1:17" x14ac:dyDescent="0.25">
      <c r="A405" t="s">
        <v>419</v>
      </c>
      <c r="B405" t="s">
        <v>1418</v>
      </c>
      <c r="C405" t="s">
        <v>2012</v>
      </c>
      <c r="D405" t="s">
        <v>2021</v>
      </c>
      <c r="E405" t="s">
        <v>2038</v>
      </c>
      <c r="F405">
        <v>36</v>
      </c>
      <c r="G405" s="1">
        <v>44690</v>
      </c>
      <c r="H405" t="s">
        <v>2042</v>
      </c>
      <c r="I405" s="2">
        <v>29300.94</v>
      </c>
      <c r="J405">
        <v>3</v>
      </c>
      <c r="K405">
        <v>81.52</v>
      </c>
      <c r="L405">
        <v>3</v>
      </c>
      <c r="M405">
        <v>22</v>
      </c>
      <c r="N405">
        <v>30</v>
      </c>
      <c r="O405" t="s">
        <v>2054</v>
      </c>
      <c r="P405" t="s">
        <v>2062</v>
      </c>
      <c r="Q405" s="2">
        <f>Employee_Data[[#This Row],[Monthly Salary]]*12</f>
        <v>351611.27999999997</v>
      </c>
    </row>
    <row r="406" spans="1:17" x14ac:dyDescent="0.25">
      <c r="A406" t="s">
        <v>420</v>
      </c>
      <c r="B406" t="s">
        <v>1419</v>
      </c>
      <c r="C406" t="s">
        <v>2011</v>
      </c>
      <c r="D406" t="s">
        <v>2019</v>
      </c>
      <c r="E406" t="s">
        <v>2039</v>
      </c>
      <c r="F406">
        <v>52</v>
      </c>
      <c r="G406" s="1">
        <v>43295</v>
      </c>
      <c r="H406" t="s">
        <v>2041</v>
      </c>
      <c r="I406" s="2">
        <v>39966.65</v>
      </c>
      <c r="J406">
        <v>2</v>
      </c>
      <c r="K406">
        <v>97.45</v>
      </c>
      <c r="L406">
        <v>7</v>
      </c>
      <c r="M406">
        <v>26</v>
      </c>
      <c r="N406">
        <v>14</v>
      </c>
      <c r="O406" t="s">
        <v>2059</v>
      </c>
      <c r="P406" t="s">
        <v>2062</v>
      </c>
      <c r="Q406" s="2">
        <f>Employee_Data[[#This Row],[Monthly Salary]]*12</f>
        <v>479599.80000000005</v>
      </c>
    </row>
    <row r="407" spans="1:17" x14ac:dyDescent="0.25">
      <c r="A407" t="s">
        <v>421</v>
      </c>
      <c r="B407" t="s">
        <v>1420</v>
      </c>
      <c r="C407" t="s">
        <v>2012</v>
      </c>
      <c r="D407" t="s">
        <v>2021</v>
      </c>
      <c r="E407" t="s">
        <v>2039</v>
      </c>
      <c r="F407">
        <v>28</v>
      </c>
      <c r="G407" s="1">
        <v>43482</v>
      </c>
      <c r="H407" t="s">
        <v>2040</v>
      </c>
      <c r="I407" s="2">
        <v>87581.21</v>
      </c>
      <c r="J407">
        <v>4</v>
      </c>
      <c r="K407">
        <v>92.28</v>
      </c>
      <c r="L407">
        <v>6</v>
      </c>
      <c r="M407">
        <v>69</v>
      </c>
      <c r="N407">
        <v>2</v>
      </c>
      <c r="O407" t="s">
        <v>2050</v>
      </c>
      <c r="P407" t="s">
        <v>2062</v>
      </c>
      <c r="Q407" s="2">
        <f>Employee_Data[[#This Row],[Monthly Salary]]*12</f>
        <v>1050974.52</v>
      </c>
    </row>
    <row r="408" spans="1:17" x14ac:dyDescent="0.25">
      <c r="A408" t="s">
        <v>422</v>
      </c>
      <c r="B408" t="s">
        <v>1421</v>
      </c>
      <c r="C408" t="s">
        <v>2012</v>
      </c>
      <c r="D408" t="s">
        <v>2020</v>
      </c>
      <c r="E408" t="s">
        <v>2038</v>
      </c>
      <c r="F408">
        <v>52</v>
      </c>
      <c r="G408" s="1">
        <v>45402</v>
      </c>
      <c r="H408" t="s">
        <v>2040</v>
      </c>
      <c r="I408" s="2">
        <v>118439.47</v>
      </c>
      <c r="J408">
        <v>5</v>
      </c>
      <c r="K408">
        <v>85.61</v>
      </c>
      <c r="L408">
        <v>1</v>
      </c>
      <c r="M408">
        <v>28</v>
      </c>
      <c r="N408">
        <v>48</v>
      </c>
      <c r="O408" t="s">
        <v>2043</v>
      </c>
      <c r="P408" t="s">
        <v>2062</v>
      </c>
      <c r="Q408" s="2">
        <f>Employee_Data[[#This Row],[Monthly Salary]]*12</f>
        <v>1421273.6400000001</v>
      </c>
    </row>
    <row r="409" spans="1:17" x14ac:dyDescent="0.25">
      <c r="A409" t="s">
        <v>423</v>
      </c>
      <c r="B409" t="s">
        <v>1422</v>
      </c>
      <c r="C409" t="s">
        <v>2016</v>
      </c>
      <c r="D409" t="s">
        <v>2034</v>
      </c>
      <c r="E409" t="s">
        <v>2039</v>
      </c>
      <c r="F409">
        <v>53</v>
      </c>
      <c r="G409" s="1">
        <v>44746</v>
      </c>
      <c r="H409" t="s">
        <v>2042</v>
      </c>
      <c r="I409" s="2">
        <v>59371.69</v>
      </c>
      <c r="J409">
        <v>2</v>
      </c>
      <c r="K409">
        <v>89.14</v>
      </c>
      <c r="L409">
        <v>3</v>
      </c>
      <c r="M409">
        <v>15</v>
      </c>
      <c r="N409">
        <v>44</v>
      </c>
      <c r="O409" t="s">
        <v>2052</v>
      </c>
      <c r="P409" t="s">
        <v>2062</v>
      </c>
      <c r="Q409" s="2">
        <f>Employee_Data[[#This Row],[Monthly Salary]]*12</f>
        <v>712460.28</v>
      </c>
    </row>
    <row r="410" spans="1:17" x14ac:dyDescent="0.25">
      <c r="A410" t="s">
        <v>424</v>
      </c>
      <c r="B410" t="s">
        <v>1423</v>
      </c>
      <c r="C410" t="s">
        <v>2010</v>
      </c>
      <c r="D410" t="s">
        <v>2018</v>
      </c>
      <c r="E410" t="s">
        <v>2039</v>
      </c>
      <c r="F410">
        <v>45</v>
      </c>
      <c r="G410" s="1">
        <v>44495</v>
      </c>
      <c r="H410" t="s">
        <v>2041</v>
      </c>
      <c r="I410" s="2">
        <v>30074.78</v>
      </c>
      <c r="J410">
        <v>3</v>
      </c>
      <c r="K410">
        <v>92.26</v>
      </c>
      <c r="L410">
        <v>4</v>
      </c>
      <c r="M410">
        <v>33</v>
      </c>
      <c r="N410">
        <v>11</v>
      </c>
      <c r="O410" t="s">
        <v>2046</v>
      </c>
      <c r="P410" t="s">
        <v>2062</v>
      </c>
      <c r="Q410" s="2">
        <f>Employee_Data[[#This Row],[Monthly Salary]]*12</f>
        <v>360897.36</v>
      </c>
    </row>
    <row r="411" spans="1:17" x14ac:dyDescent="0.25">
      <c r="A411" t="s">
        <v>425</v>
      </c>
      <c r="B411" t="s">
        <v>1424</v>
      </c>
      <c r="C411" t="s">
        <v>2011</v>
      </c>
      <c r="D411" t="s">
        <v>2035</v>
      </c>
      <c r="E411" t="s">
        <v>2038</v>
      </c>
      <c r="F411">
        <v>44</v>
      </c>
      <c r="G411" s="1">
        <v>45227</v>
      </c>
      <c r="H411" t="s">
        <v>2040</v>
      </c>
      <c r="I411" s="2">
        <v>69877</v>
      </c>
      <c r="J411">
        <v>2</v>
      </c>
      <c r="K411">
        <v>88.38</v>
      </c>
      <c r="L411">
        <v>2</v>
      </c>
      <c r="M411">
        <v>47</v>
      </c>
      <c r="N411">
        <v>23</v>
      </c>
      <c r="O411" t="s">
        <v>2061</v>
      </c>
      <c r="P411" t="s">
        <v>2062</v>
      </c>
      <c r="Q411" s="2">
        <f>Employee_Data[[#This Row],[Monthly Salary]]*12</f>
        <v>838524</v>
      </c>
    </row>
    <row r="412" spans="1:17" x14ac:dyDescent="0.25">
      <c r="A412" t="s">
        <v>426</v>
      </c>
      <c r="B412" t="s">
        <v>1425</v>
      </c>
      <c r="C412" t="s">
        <v>2015</v>
      </c>
      <c r="D412" t="s">
        <v>2027</v>
      </c>
      <c r="E412" t="s">
        <v>2039</v>
      </c>
      <c r="F412">
        <v>57</v>
      </c>
      <c r="G412" s="1">
        <v>43135</v>
      </c>
      <c r="H412" t="s">
        <v>2041</v>
      </c>
      <c r="I412" s="2">
        <v>42856.67</v>
      </c>
      <c r="J412">
        <v>1</v>
      </c>
      <c r="K412">
        <v>94.42</v>
      </c>
      <c r="L412">
        <v>7</v>
      </c>
      <c r="M412">
        <v>30</v>
      </c>
      <c r="N412">
        <v>35</v>
      </c>
      <c r="O412" t="s">
        <v>1505</v>
      </c>
      <c r="P412" t="s">
        <v>2063</v>
      </c>
      <c r="Q412" s="2">
        <f>Employee_Data[[#This Row],[Monthly Salary]]*12</f>
        <v>514280.04</v>
      </c>
    </row>
    <row r="413" spans="1:17" x14ac:dyDescent="0.25">
      <c r="A413" t="s">
        <v>427</v>
      </c>
      <c r="B413" t="s">
        <v>1426</v>
      </c>
      <c r="C413" t="s">
        <v>2014</v>
      </c>
      <c r="D413" t="s">
        <v>2023</v>
      </c>
      <c r="E413" t="s">
        <v>2039</v>
      </c>
      <c r="F413">
        <v>51</v>
      </c>
      <c r="G413" s="1">
        <v>44576</v>
      </c>
      <c r="H413" t="s">
        <v>2040</v>
      </c>
      <c r="I413" s="2">
        <v>37660.730000000003</v>
      </c>
      <c r="J413">
        <v>4</v>
      </c>
      <c r="K413">
        <v>82.69</v>
      </c>
      <c r="L413">
        <v>3</v>
      </c>
      <c r="M413">
        <v>80</v>
      </c>
      <c r="N413">
        <v>33</v>
      </c>
      <c r="O413" t="s">
        <v>2046</v>
      </c>
      <c r="P413" t="s">
        <v>2062</v>
      </c>
      <c r="Q413" s="2">
        <f>Employee_Data[[#This Row],[Monthly Salary]]*12</f>
        <v>451928.76</v>
      </c>
    </row>
    <row r="414" spans="1:17" x14ac:dyDescent="0.25">
      <c r="A414" t="s">
        <v>428</v>
      </c>
      <c r="B414" t="s">
        <v>1427</v>
      </c>
      <c r="C414" t="s">
        <v>2013</v>
      </c>
      <c r="D414" t="s">
        <v>2022</v>
      </c>
      <c r="E414" t="s">
        <v>2038</v>
      </c>
      <c r="F414">
        <v>56</v>
      </c>
      <c r="G414" s="1">
        <v>44555</v>
      </c>
      <c r="H414" t="s">
        <v>2041</v>
      </c>
      <c r="I414" s="2">
        <v>24770.93</v>
      </c>
      <c r="J414">
        <v>1</v>
      </c>
      <c r="K414">
        <v>93.81</v>
      </c>
      <c r="L414">
        <v>4</v>
      </c>
      <c r="M414">
        <v>7</v>
      </c>
      <c r="N414">
        <v>13</v>
      </c>
      <c r="O414" t="s">
        <v>2055</v>
      </c>
      <c r="P414" t="s">
        <v>2062</v>
      </c>
      <c r="Q414" s="2">
        <f>Employee_Data[[#This Row],[Monthly Salary]]*12</f>
        <v>297251.16000000003</v>
      </c>
    </row>
    <row r="415" spans="1:17" x14ac:dyDescent="0.25">
      <c r="A415" t="s">
        <v>429</v>
      </c>
      <c r="B415" t="s">
        <v>1428</v>
      </c>
      <c r="C415" t="s">
        <v>2009</v>
      </c>
      <c r="D415" t="s">
        <v>2030</v>
      </c>
      <c r="E415" t="s">
        <v>2038</v>
      </c>
      <c r="F415">
        <v>37</v>
      </c>
      <c r="G415" s="1">
        <v>45719</v>
      </c>
      <c r="H415" t="s">
        <v>2042</v>
      </c>
      <c r="I415" s="2">
        <v>56030.66</v>
      </c>
      <c r="J415">
        <v>5</v>
      </c>
      <c r="K415">
        <v>98.64</v>
      </c>
      <c r="L415">
        <v>0</v>
      </c>
      <c r="M415">
        <v>32</v>
      </c>
      <c r="N415">
        <v>22</v>
      </c>
      <c r="O415" t="s">
        <v>2057</v>
      </c>
      <c r="P415" t="s">
        <v>2062</v>
      </c>
      <c r="Q415" s="2">
        <f>Employee_Data[[#This Row],[Monthly Salary]]*12</f>
        <v>672367.92</v>
      </c>
    </row>
    <row r="416" spans="1:17" x14ac:dyDescent="0.25">
      <c r="A416" t="s">
        <v>430</v>
      </c>
      <c r="B416" t="s">
        <v>1429</v>
      </c>
      <c r="C416" t="s">
        <v>2012</v>
      </c>
      <c r="D416" t="s">
        <v>2021</v>
      </c>
      <c r="E416" t="s">
        <v>2039</v>
      </c>
      <c r="F416">
        <v>39</v>
      </c>
      <c r="G416" s="1">
        <v>43041</v>
      </c>
      <c r="H416" t="s">
        <v>2042</v>
      </c>
      <c r="I416" s="2">
        <v>52509.03</v>
      </c>
      <c r="J416">
        <v>5</v>
      </c>
      <c r="K416">
        <v>89.75</v>
      </c>
      <c r="L416">
        <v>8</v>
      </c>
      <c r="M416">
        <v>57</v>
      </c>
      <c r="N416">
        <v>56</v>
      </c>
      <c r="O416" t="s">
        <v>2045</v>
      </c>
      <c r="P416" t="s">
        <v>2062</v>
      </c>
      <c r="Q416" s="2">
        <f>Employee_Data[[#This Row],[Monthly Salary]]*12</f>
        <v>630108.36</v>
      </c>
    </row>
    <row r="417" spans="1:17" x14ac:dyDescent="0.25">
      <c r="A417" t="s">
        <v>431</v>
      </c>
      <c r="B417" t="s">
        <v>1430</v>
      </c>
      <c r="C417" t="s">
        <v>2011</v>
      </c>
      <c r="D417" t="s">
        <v>2035</v>
      </c>
      <c r="E417" t="s">
        <v>2039</v>
      </c>
      <c r="F417">
        <v>31</v>
      </c>
      <c r="G417" s="1">
        <v>44410</v>
      </c>
      <c r="H417" t="s">
        <v>2041</v>
      </c>
      <c r="I417" s="2">
        <v>100771.71</v>
      </c>
      <c r="J417">
        <v>3</v>
      </c>
      <c r="K417">
        <v>88.44</v>
      </c>
      <c r="L417">
        <v>4</v>
      </c>
      <c r="M417">
        <v>78</v>
      </c>
      <c r="N417">
        <v>36</v>
      </c>
      <c r="O417" t="s">
        <v>2061</v>
      </c>
      <c r="P417" t="s">
        <v>2062</v>
      </c>
      <c r="Q417" s="2">
        <f>Employee_Data[[#This Row],[Monthly Salary]]*12</f>
        <v>1209260.52</v>
      </c>
    </row>
    <row r="418" spans="1:17" x14ac:dyDescent="0.25">
      <c r="A418" t="s">
        <v>432</v>
      </c>
      <c r="B418" t="s">
        <v>1431</v>
      </c>
      <c r="C418" t="s">
        <v>2009</v>
      </c>
      <c r="D418" t="s">
        <v>2017</v>
      </c>
      <c r="E418" t="s">
        <v>2039</v>
      </c>
      <c r="F418">
        <v>42</v>
      </c>
      <c r="G418" s="1">
        <v>45466</v>
      </c>
      <c r="H418" t="s">
        <v>2040</v>
      </c>
      <c r="I418" s="2">
        <v>51348.21</v>
      </c>
      <c r="J418">
        <v>3</v>
      </c>
      <c r="K418">
        <v>94.21</v>
      </c>
      <c r="L418">
        <v>1</v>
      </c>
      <c r="M418">
        <v>77</v>
      </c>
      <c r="N418">
        <v>41</v>
      </c>
      <c r="O418" t="s">
        <v>2061</v>
      </c>
      <c r="P418" t="s">
        <v>2062</v>
      </c>
      <c r="Q418" s="2">
        <f>Employee_Data[[#This Row],[Monthly Salary]]*12</f>
        <v>616178.52</v>
      </c>
    </row>
    <row r="419" spans="1:17" x14ac:dyDescent="0.25">
      <c r="A419" t="s">
        <v>433</v>
      </c>
      <c r="B419" t="s">
        <v>1432</v>
      </c>
      <c r="C419" t="s">
        <v>2013</v>
      </c>
      <c r="D419" t="s">
        <v>2022</v>
      </c>
      <c r="E419" t="s">
        <v>2038</v>
      </c>
      <c r="F419">
        <v>47</v>
      </c>
      <c r="G419" s="1">
        <v>44372</v>
      </c>
      <c r="H419" t="s">
        <v>2040</v>
      </c>
      <c r="I419" s="2">
        <v>38388.620000000003</v>
      </c>
      <c r="J419">
        <v>1</v>
      </c>
      <c r="K419">
        <v>82.5</v>
      </c>
      <c r="L419">
        <v>4</v>
      </c>
      <c r="M419">
        <v>30</v>
      </c>
      <c r="N419">
        <v>42</v>
      </c>
      <c r="O419" t="s">
        <v>2055</v>
      </c>
      <c r="P419" t="s">
        <v>2063</v>
      </c>
      <c r="Q419" s="2">
        <f>Employee_Data[[#This Row],[Monthly Salary]]*12</f>
        <v>460663.44000000006</v>
      </c>
    </row>
    <row r="420" spans="1:17" x14ac:dyDescent="0.25">
      <c r="A420" t="s">
        <v>434</v>
      </c>
      <c r="B420" t="s">
        <v>1433</v>
      </c>
      <c r="C420" t="s">
        <v>2009</v>
      </c>
      <c r="D420" t="s">
        <v>2017</v>
      </c>
      <c r="E420" t="s">
        <v>2039</v>
      </c>
      <c r="F420">
        <v>46</v>
      </c>
      <c r="G420" s="1">
        <v>45506</v>
      </c>
      <c r="H420" t="s">
        <v>2040</v>
      </c>
      <c r="I420" s="2">
        <v>29555.37</v>
      </c>
      <c r="J420">
        <v>4</v>
      </c>
      <c r="K420">
        <v>90.97</v>
      </c>
      <c r="L420">
        <v>1</v>
      </c>
      <c r="M420">
        <v>3</v>
      </c>
      <c r="N420">
        <v>49</v>
      </c>
      <c r="O420" t="s">
        <v>2061</v>
      </c>
      <c r="P420" t="s">
        <v>2062</v>
      </c>
      <c r="Q420" s="2">
        <f>Employee_Data[[#This Row],[Monthly Salary]]*12</f>
        <v>354664.44</v>
      </c>
    </row>
    <row r="421" spans="1:17" x14ac:dyDescent="0.25">
      <c r="A421" t="s">
        <v>435</v>
      </c>
      <c r="B421" t="s">
        <v>1434</v>
      </c>
      <c r="C421" t="s">
        <v>2009</v>
      </c>
      <c r="D421" t="s">
        <v>2017</v>
      </c>
      <c r="E421" t="s">
        <v>2038</v>
      </c>
      <c r="F421">
        <v>60</v>
      </c>
      <c r="G421" s="1">
        <v>44744</v>
      </c>
      <c r="H421" t="s">
        <v>2040</v>
      </c>
      <c r="I421" s="2">
        <v>28431.13</v>
      </c>
      <c r="J421">
        <v>4</v>
      </c>
      <c r="K421">
        <v>86.19</v>
      </c>
      <c r="L421">
        <v>3</v>
      </c>
      <c r="M421">
        <v>31</v>
      </c>
      <c r="N421">
        <v>47</v>
      </c>
      <c r="O421" t="s">
        <v>2051</v>
      </c>
      <c r="P421" t="s">
        <v>2062</v>
      </c>
      <c r="Q421" s="2">
        <f>Employee_Data[[#This Row],[Monthly Salary]]*12</f>
        <v>341173.56</v>
      </c>
    </row>
    <row r="422" spans="1:17" x14ac:dyDescent="0.25">
      <c r="A422" t="s">
        <v>436</v>
      </c>
      <c r="B422" t="s">
        <v>1435</v>
      </c>
      <c r="C422" t="s">
        <v>2015</v>
      </c>
      <c r="D422" t="s">
        <v>2033</v>
      </c>
      <c r="E422" t="s">
        <v>2039</v>
      </c>
      <c r="F422">
        <v>22</v>
      </c>
      <c r="G422" s="1">
        <v>45470</v>
      </c>
      <c r="H422" t="s">
        <v>2040</v>
      </c>
      <c r="I422" s="2">
        <v>86354.91</v>
      </c>
      <c r="J422">
        <v>3</v>
      </c>
      <c r="K422">
        <v>97.28</v>
      </c>
      <c r="L422">
        <v>1</v>
      </c>
      <c r="M422">
        <v>59</v>
      </c>
      <c r="N422">
        <v>55</v>
      </c>
      <c r="O422" t="s">
        <v>2046</v>
      </c>
      <c r="P422" t="s">
        <v>2063</v>
      </c>
      <c r="Q422" s="2">
        <f>Employee_Data[[#This Row],[Monthly Salary]]*12</f>
        <v>1036258.92</v>
      </c>
    </row>
    <row r="423" spans="1:17" x14ac:dyDescent="0.25">
      <c r="A423" t="s">
        <v>437</v>
      </c>
      <c r="B423" t="s">
        <v>1436</v>
      </c>
      <c r="C423" t="s">
        <v>2013</v>
      </c>
      <c r="D423" t="s">
        <v>2025</v>
      </c>
      <c r="E423" t="s">
        <v>2039</v>
      </c>
      <c r="F423">
        <v>58</v>
      </c>
      <c r="G423" s="1">
        <v>42406</v>
      </c>
      <c r="H423" t="s">
        <v>2041</v>
      </c>
      <c r="I423" s="2">
        <v>65654.34</v>
      </c>
      <c r="J423">
        <v>5</v>
      </c>
      <c r="K423">
        <v>88.7</v>
      </c>
      <c r="L423">
        <v>9</v>
      </c>
      <c r="M423">
        <v>68</v>
      </c>
      <c r="N423">
        <v>19</v>
      </c>
      <c r="O423" t="s">
        <v>2053</v>
      </c>
      <c r="P423" t="s">
        <v>2062</v>
      </c>
      <c r="Q423" s="2">
        <f>Employee_Data[[#This Row],[Monthly Salary]]*12</f>
        <v>787852.08</v>
      </c>
    </row>
    <row r="424" spans="1:17" x14ac:dyDescent="0.25">
      <c r="A424" t="s">
        <v>438</v>
      </c>
      <c r="B424" t="s">
        <v>1437</v>
      </c>
      <c r="C424" t="s">
        <v>2014</v>
      </c>
      <c r="D424" t="s">
        <v>2023</v>
      </c>
      <c r="E424" t="s">
        <v>2038</v>
      </c>
      <c r="F424">
        <v>40</v>
      </c>
      <c r="G424" s="1">
        <v>45929</v>
      </c>
      <c r="H424" t="s">
        <v>2042</v>
      </c>
      <c r="I424" s="2">
        <v>61220.38</v>
      </c>
      <c r="J424">
        <v>2</v>
      </c>
      <c r="K424">
        <v>86.07</v>
      </c>
      <c r="L424">
        <v>0</v>
      </c>
      <c r="M424">
        <v>0</v>
      </c>
      <c r="N424">
        <v>33</v>
      </c>
      <c r="O424" t="s">
        <v>2060</v>
      </c>
      <c r="P424" t="s">
        <v>2062</v>
      </c>
      <c r="Q424" s="2">
        <f>Employee_Data[[#This Row],[Monthly Salary]]*12</f>
        <v>734644.55999999994</v>
      </c>
    </row>
    <row r="425" spans="1:17" x14ac:dyDescent="0.25">
      <c r="A425" t="s">
        <v>439</v>
      </c>
      <c r="B425" t="s">
        <v>1438</v>
      </c>
      <c r="C425" t="s">
        <v>2013</v>
      </c>
      <c r="D425" t="s">
        <v>2025</v>
      </c>
      <c r="E425" t="s">
        <v>2038</v>
      </c>
      <c r="F425">
        <v>51</v>
      </c>
      <c r="G425" s="1">
        <v>42468</v>
      </c>
      <c r="H425" t="s">
        <v>2042</v>
      </c>
      <c r="I425" s="2">
        <v>20913.259999999998</v>
      </c>
      <c r="J425">
        <v>4</v>
      </c>
      <c r="K425">
        <v>95.96</v>
      </c>
      <c r="L425">
        <v>9</v>
      </c>
      <c r="M425">
        <v>76</v>
      </c>
      <c r="N425">
        <v>14</v>
      </c>
      <c r="O425" t="s">
        <v>2057</v>
      </c>
      <c r="P425" t="s">
        <v>2062</v>
      </c>
      <c r="Q425" s="2">
        <f>Employee_Data[[#This Row],[Monthly Salary]]*12</f>
        <v>250959.12</v>
      </c>
    </row>
    <row r="426" spans="1:17" x14ac:dyDescent="0.25">
      <c r="A426" t="s">
        <v>440</v>
      </c>
      <c r="B426" t="s">
        <v>1439</v>
      </c>
      <c r="C426" t="s">
        <v>2014</v>
      </c>
      <c r="D426" t="s">
        <v>2029</v>
      </c>
      <c r="E426" t="s">
        <v>2038</v>
      </c>
      <c r="F426">
        <v>46</v>
      </c>
      <c r="G426" s="1">
        <v>45897</v>
      </c>
      <c r="H426" t="s">
        <v>2040</v>
      </c>
      <c r="I426" s="2">
        <v>36326.949999999997</v>
      </c>
      <c r="J426">
        <v>4</v>
      </c>
      <c r="K426">
        <v>96.57</v>
      </c>
      <c r="L426">
        <v>0</v>
      </c>
      <c r="M426">
        <v>28</v>
      </c>
      <c r="N426">
        <v>16</v>
      </c>
      <c r="O426" t="s">
        <v>2045</v>
      </c>
      <c r="P426" t="s">
        <v>2062</v>
      </c>
      <c r="Q426" s="2">
        <f>Employee_Data[[#This Row],[Monthly Salary]]*12</f>
        <v>435923.39999999997</v>
      </c>
    </row>
    <row r="427" spans="1:17" x14ac:dyDescent="0.25">
      <c r="A427" t="s">
        <v>441</v>
      </c>
      <c r="B427" t="s">
        <v>1440</v>
      </c>
      <c r="C427" t="s">
        <v>2014</v>
      </c>
      <c r="D427" t="s">
        <v>2028</v>
      </c>
      <c r="E427" t="s">
        <v>2038</v>
      </c>
      <c r="F427">
        <v>39</v>
      </c>
      <c r="G427" s="1">
        <v>43362</v>
      </c>
      <c r="H427" t="s">
        <v>2041</v>
      </c>
      <c r="I427" s="2">
        <v>94292.69</v>
      </c>
      <c r="J427">
        <v>3</v>
      </c>
      <c r="K427">
        <v>88.26</v>
      </c>
      <c r="L427">
        <v>7</v>
      </c>
      <c r="M427">
        <v>8</v>
      </c>
      <c r="N427">
        <v>11</v>
      </c>
      <c r="O427" t="s">
        <v>2060</v>
      </c>
      <c r="P427" t="s">
        <v>2062</v>
      </c>
      <c r="Q427" s="2">
        <f>Employee_Data[[#This Row],[Monthly Salary]]*12</f>
        <v>1131512.28</v>
      </c>
    </row>
    <row r="428" spans="1:17" x14ac:dyDescent="0.25">
      <c r="A428" t="s">
        <v>442</v>
      </c>
      <c r="B428" t="s">
        <v>1441</v>
      </c>
      <c r="C428" t="s">
        <v>2013</v>
      </c>
      <c r="D428" t="s">
        <v>2022</v>
      </c>
      <c r="E428" t="s">
        <v>2038</v>
      </c>
      <c r="F428">
        <v>60</v>
      </c>
      <c r="G428" s="1">
        <v>44665</v>
      </c>
      <c r="H428" t="s">
        <v>2042</v>
      </c>
      <c r="I428" s="2">
        <v>38778.94</v>
      </c>
      <c r="J428">
        <v>1</v>
      </c>
      <c r="K428">
        <v>83.04</v>
      </c>
      <c r="L428">
        <v>3</v>
      </c>
      <c r="M428">
        <v>68</v>
      </c>
      <c r="N428">
        <v>1</v>
      </c>
      <c r="O428" t="s">
        <v>2048</v>
      </c>
      <c r="P428" t="s">
        <v>2063</v>
      </c>
      <c r="Q428" s="2">
        <f>Employee_Data[[#This Row],[Monthly Salary]]*12</f>
        <v>465347.28</v>
      </c>
    </row>
    <row r="429" spans="1:17" x14ac:dyDescent="0.25">
      <c r="A429" t="s">
        <v>443</v>
      </c>
      <c r="B429" t="s">
        <v>1442</v>
      </c>
      <c r="C429" t="s">
        <v>2011</v>
      </c>
      <c r="D429" t="s">
        <v>2035</v>
      </c>
      <c r="E429" t="s">
        <v>2039</v>
      </c>
      <c r="F429">
        <v>49</v>
      </c>
      <c r="G429" s="1">
        <v>42985</v>
      </c>
      <c r="H429" t="s">
        <v>2041</v>
      </c>
      <c r="I429" s="2">
        <v>20820.41</v>
      </c>
      <c r="J429">
        <v>1</v>
      </c>
      <c r="K429">
        <v>83.01</v>
      </c>
      <c r="L429">
        <v>8</v>
      </c>
      <c r="M429">
        <v>63</v>
      </c>
      <c r="N429">
        <v>13</v>
      </c>
      <c r="O429" t="s">
        <v>2054</v>
      </c>
      <c r="P429" t="s">
        <v>2062</v>
      </c>
      <c r="Q429" s="2">
        <f>Employee_Data[[#This Row],[Monthly Salary]]*12</f>
        <v>249844.91999999998</v>
      </c>
    </row>
    <row r="430" spans="1:17" x14ac:dyDescent="0.25">
      <c r="A430" t="s">
        <v>444</v>
      </c>
      <c r="B430" t="s">
        <v>1443</v>
      </c>
      <c r="C430" t="s">
        <v>2013</v>
      </c>
      <c r="D430" t="s">
        <v>2022</v>
      </c>
      <c r="E430" t="s">
        <v>2038</v>
      </c>
      <c r="F430">
        <v>23</v>
      </c>
      <c r="G430" s="1">
        <v>44869</v>
      </c>
      <c r="H430" t="s">
        <v>2042</v>
      </c>
      <c r="I430" s="2">
        <v>28022.31</v>
      </c>
      <c r="J430">
        <v>2</v>
      </c>
      <c r="K430">
        <v>81.12</v>
      </c>
      <c r="L430">
        <v>3</v>
      </c>
      <c r="M430">
        <v>50</v>
      </c>
      <c r="N430">
        <v>4</v>
      </c>
      <c r="O430" t="s">
        <v>2046</v>
      </c>
      <c r="P430" t="s">
        <v>2062</v>
      </c>
      <c r="Q430" s="2">
        <f>Employee_Data[[#This Row],[Monthly Salary]]*12</f>
        <v>336267.72000000003</v>
      </c>
    </row>
    <row r="431" spans="1:17" x14ac:dyDescent="0.25">
      <c r="A431" t="s">
        <v>445</v>
      </c>
      <c r="B431" t="s">
        <v>1444</v>
      </c>
      <c r="C431" t="s">
        <v>2014</v>
      </c>
      <c r="D431" t="s">
        <v>2029</v>
      </c>
      <c r="E431" t="s">
        <v>2038</v>
      </c>
      <c r="F431">
        <v>21</v>
      </c>
      <c r="G431" s="1">
        <v>45233</v>
      </c>
      <c r="H431" t="s">
        <v>2040</v>
      </c>
      <c r="I431" s="2">
        <v>117459.85</v>
      </c>
      <c r="J431">
        <v>2</v>
      </c>
      <c r="K431">
        <v>87.7</v>
      </c>
      <c r="L431">
        <v>2</v>
      </c>
      <c r="M431">
        <v>56</v>
      </c>
      <c r="N431">
        <v>15</v>
      </c>
      <c r="O431" t="s">
        <v>2049</v>
      </c>
      <c r="P431" t="s">
        <v>2062</v>
      </c>
      <c r="Q431" s="2">
        <f>Employee_Data[[#This Row],[Monthly Salary]]*12</f>
        <v>1409518.2000000002</v>
      </c>
    </row>
    <row r="432" spans="1:17" x14ac:dyDescent="0.25">
      <c r="A432" t="s">
        <v>446</v>
      </c>
      <c r="B432" t="s">
        <v>1445</v>
      </c>
      <c r="C432" t="s">
        <v>2009</v>
      </c>
      <c r="D432" t="s">
        <v>2036</v>
      </c>
      <c r="E432" t="s">
        <v>2039</v>
      </c>
      <c r="F432">
        <v>51</v>
      </c>
      <c r="G432" s="1">
        <v>43161</v>
      </c>
      <c r="H432" t="s">
        <v>2042</v>
      </c>
      <c r="I432" s="2">
        <v>88144.23</v>
      </c>
      <c r="J432">
        <v>3</v>
      </c>
      <c r="K432">
        <v>98.72</v>
      </c>
      <c r="L432">
        <v>7</v>
      </c>
      <c r="M432">
        <v>20</v>
      </c>
      <c r="N432">
        <v>40</v>
      </c>
      <c r="O432" t="s">
        <v>2049</v>
      </c>
      <c r="P432" t="s">
        <v>2062</v>
      </c>
      <c r="Q432" s="2">
        <f>Employee_Data[[#This Row],[Monthly Salary]]*12</f>
        <v>1057730.76</v>
      </c>
    </row>
    <row r="433" spans="1:17" x14ac:dyDescent="0.25">
      <c r="A433" t="s">
        <v>447</v>
      </c>
      <c r="B433" t="s">
        <v>1446</v>
      </c>
      <c r="C433" t="s">
        <v>2009</v>
      </c>
      <c r="D433" t="s">
        <v>2030</v>
      </c>
      <c r="E433" t="s">
        <v>2038</v>
      </c>
      <c r="F433">
        <v>40</v>
      </c>
      <c r="G433" s="1">
        <v>45275</v>
      </c>
      <c r="H433" t="s">
        <v>2040</v>
      </c>
      <c r="I433" s="2">
        <v>56042.67</v>
      </c>
      <c r="J433">
        <v>1</v>
      </c>
      <c r="K433">
        <v>97.27</v>
      </c>
      <c r="L433">
        <v>2</v>
      </c>
      <c r="M433">
        <v>27</v>
      </c>
      <c r="N433">
        <v>7</v>
      </c>
      <c r="O433" t="s">
        <v>2044</v>
      </c>
      <c r="P433" t="s">
        <v>2062</v>
      </c>
      <c r="Q433" s="2">
        <f>Employee_Data[[#This Row],[Monthly Salary]]*12</f>
        <v>672512.04</v>
      </c>
    </row>
    <row r="434" spans="1:17" x14ac:dyDescent="0.25">
      <c r="A434" t="s">
        <v>448</v>
      </c>
      <c r="B434" t="s">
        <v>1447</v>
      </c>
      <c r="C434" t="s">
        <v>2012</v>
      </c>
      <c r="D434" t="s">
        <v>2021</v>
      </c>
      <c r="E434" t="s">
        <v>2039</v>
      </c>
      <c r="F434">
        <v>38</v>
      </c>
      <c r="G434" s="1">
        <v>45615</v>
      </c>
      <c r="H434" t="s">
        <v>2041</v>
      </c>
      <c r="I434" s="2">
        <v>31964.959999999999</v>
      </c>
      <c r="J434">
        <v>2</v>
      </c>
      <c r="K434">
        <v>80.180000000000007</v>
      </c>
      <c r="L434">
        <v>1</v>
      </c>
      <c r="M434">
        <v>5</v>
      </c>
      <c r="N434">
        <v>37</v>
      </c>
      <c r="O434" t="s">
        <v>2050</v>
      </c>
      <c r="P434" t="s">
        <v>2062</v>
      </c>
      <c r="Q434" s="2">
        <f>Employee_Data[[#This Row],[Monthly Salary]]*12</f>
        <v>383579.52</v>
      </c>
    </row>
    <row r="435" spans="1:17" x14ac:dyDescent="0.25">
      <c r="A435" t="s">
        <v>449</v>
      </c>
      <c r="B435" t="s">
        <v>1448</v>
      </c>
      <c r="C435" t="s">
        <v>2015</v>
      </c>
      <c r="D435" t="s">
        <v>2026</v>
      </c>
      <c r="E435" t="s">
        <v>2039</v>
      </c>
      <c r="F435">
        <v>36</v>
      </c>
      <c r="G435" s="1">
        <v>43945</v>
      </c>
      <c r="H435" t="s">
        <v>2040</v>
      </c>
      <c r="I435" s="2">
        <v>69991.92</v>
      </c>
      <c r="J435">
        <v>5</v>
      </c>
      <c r="K435">
        <v>86.77</v>
      </c>
      <c r="L435">
        <v>5</v>
      </c>
      <c r="M435">
        <v>80</v>
      </c>
      <c r="N435">
        <v>3</v>
      </c>
      <c r="O435" t="s">
        <v>2049</v>
      </c>
      <c r="P435" t="s">
        <v>2062</v>
      </c>
      <c r="Q435" s="2">
        <f>Employee_Data[[#This Row],[Monthly Salary]]*12</f>
        <v>839903.04</v>
      </c>
    </row>
    <row r="436" spans="1:17" x14ac:dyDescent="0.25">
      <c r="A436" t="s">
        <v>450</v>
      </c>
      <c r="B436" t="s">
        <v>1449</v>
      </c>
      <c r="C436" t="s">
        <v>2015</v>
      </c>
      <c r="D436" t="s">
        <v>2027</v>
      </c>
      <c r="E436" t="s">
        <v>2039</v>
      </c>
      <c r="F436">
        <v>29</v>
      </c>
      <c r="G436" s="1">
        <v>45770</v>
      </c>
      <c r="H436" t="s">
        <v>2042</v>
      </c>
      <c r="I436" s="2">
        <v>43267.46</v>
      </c>
      <c r="J436">
        <v>5</v>
      </c>
      <c r="K436">
        <v>95.77</v>
      </c>
      <c r="L436">
        <v>0</v>
      </c>
      <c r="M436">
        <v>44</v>
      </c>
      <c r="N436">
        <v>51</v>
      </c>
      <c r="O436" t="s">
        <v>2056</v>
      </c>
      <c r="P436" t="s">
        <v>2062</v>
      </c>
      <c r="Q436" s="2">
        <f>Employee_Data[[#This Row],[Monthly Salary]]*12</f>
        <v>519209.52</v>
      </c>
    </row>
    <row r="437" spans="1:17" x14ac:dyDescent="0.25">
      <c r="A437" t="s">
        <v>451</v>
      </c>
      <c r="B437" t="s">
        <v>1450</v>
      </c>
      <c r="C437" t="s">
        <v>2010</v>
      </c>
      <c r="D437" t="s">
        <v>2037</v>
      </c>
      <c r="E437" t="s">
        <v>2038</v>
      </c>
      <c r="F437">
        <v>43</v>
      </c>
      <c r="G437" s="1">
        <v>44098</v>
      </c>
      <c r="H437" t="s">
        <v>2041</v>
      </c>
      <c r="I437" s="2">
        <v>33473.22</v>
      </c>
      <c r="J437">
        <v>1</v>
      </c>
      <c r="K437">
        <v>89.71</v>
      </c>
      <c r="L437">
        <v>5</v>
      </c>
      <c r="M437">
        <v>56</v>
      </c>
      <c r="N437">
        <v>35</v>
      </c>
      <c r="O437" t="s">
        <v>2051</v>
      </c>
      <c r="P437" t="s">
        <v>2062</v>
      </c>
      <c r="Q437" s="2">
        <f>Employee_Data[[#This Row],[Monthly Salary]]*12</f>
        <v>401678.64</v>
      </c>
    </row>
    <row r="438" spans="1:17" x14ac:dyDescent="0.25">
      <c r="A438" t="s">
        <v>452</v>
      </c>
      <c r="B438" t="s">
        <v>1451</v>
      </c>
      <c r="C438" t="s">
        <v>2013</v>
      </c>
      <c r="D438" t="s">
        <v>2025</v>
      </c>
      <c r="E438" t="s">
        <v>2039</v>
      </c>
      <c r="F438">
        <v>55</v>
      </c>
      <c r="G438" s="1">
        <v>45284</v>
      </c>
      <c r="H438" t="s">
        <v>2042</v>
      </c>
      <c r="I438" s="2">
        <v>52368.09</v>
      </c>
      <c r="J438">
        <v>4</v>
      </c>
      <c r="K438">
        <v>85.51</v>
      </c>
      <c r="L438">
        <v>2</v>
      </c>
      <c r="M438">
        <v>76</v>
      </c>
      <c r="N438">
        <v>58</v>
      </c>
      <c r="O438" t="s">
        <v>2046</v>
      </c>
      <c r="P438" t="s">
        <v>2062</v>
      </c>
      <c r="Q438" s="2">
        <f>Employee_Data[[#This Row],[Monthly Salary]]*12</f>
        <v>628417.07999999996</v>
      </c>
    </row>
    <row r="439" spans="1:17" x14ac:dyDescent="0.25">
      <c r="A439" t="s">
        <v>453</v>
      </c>
      <c r="B439" t="s">
        <v>1452</v>
      </c>
      <c r="C439" t="s">
        <v>2015</v>
      </c>
      <c r="D439" t="s">
        <v>2026</v>
      </c>
      <c r="E439" t="s">
        <v>2038</v>
      </c>
      <c r="F439">
        <v>37</v>
      </c>
      <c r="G439" s="1">
        <v>44002</v>
      </c>
      <c r="H439" t="s">
        <v>2041</v>
      </c>
      <c r="I439" s="2">
        <v>56711.27</v>
      </c>
      <c r="J439">
        <v>1</v>
      </c>
      <c r="K439">
        <v>95.52</v>
      </c>
      <c r="L439">
        <v>5</v>
      </c>
      <c r="M439">
        <v>64</v>
      </c>
      <c r="N439">
        <v>24</v>
      </c>
      <c r="O439" t="s">
        <v>2048</v>
      </c>
      <c r="P439" t="s">
        <v>2063</v>
      </c>
      <c r="Q439" s="2">
        <f>Employee_Data[[#This Row],[Monthly Salary]]*12</f>
        <v>680535.24</v>
      </c>
    </row>
    <row r="440" spans="1:17" x14ac:dyDescent="0.25">
      <c r="A440" t="s">
        <v>454</v>
      </c>
      <c r="B440" t="s">
        <v>1453</v>
      </c>
      <c r="C440" t="s">
        <v>2012</v>
      </c>
      <c r="D440" t="s">
        <v>2021</v>
      </c>
      <c r="E440" t="s">
        <v>2038</v>
      </c>
      <c r="F440">
        <v>25</v>
      </c>
      <c r="G440" s="1">
        <v>44754</v>
      </c>
      <c r="H440" t="s">
        <v>2041</v>
      </c>
      <c r="I440" s="2">
        <v>116716.32</v>
      </c>
      <c r="J440">
        <v>4</v>
      </c>
      <c r="K440">
        <v>83.8</v>
      </c>
      <c r="L440">
        <v>3</v>
      </c>
      <c r="M440">
        <v>63</v>
      </c>
      <c r="N440">
        <v>49</v>
      </c>
      <c r="O440" t="s">
        <v>2046</v>
      </c>
      <c r="P440" t="s">
        <v>2062</v>
      </c>
      <c r="Q440" s="2">
        <f>Employee_Data[[#This Row],[Monthly Salary]]*12</f>
        <v>1400595.84</v>
      </c>
    </row>
    <row r="441" spans="1:17" x14ac:dyDescent="0.25">
      <c r="A441" t="s">
        <v>455</v>
      </c>
      <c r="B441" t="s">
        <v>1454</v>
      </c>
      <c r="C441" t="s">
        <v>2011</v>
      </c>
      <c r="D441" t="s">
        <v>2035</v>
      </c>
      <c r="E441" t="s">
        <v>2038</v>
      </c>
      <c r="F441">
        <v>41</v>
      </c>
      <c r="G441" s="1">
        <v>44107</v>
      </c>
      <c r="H441" t="s">
        <v>2040</v>
      </c>
      <c r="I441" s="2">
        <v>29625.63</v>
      </c>
      <c r="J441">
        <v>1</v>
      </c>
      <c r="K441">
        <v>80.88</v>
      </c>
      <c r="L441">
        <v>5</v>
      </c>
      <c r="M441">
        <v>16</v>
      </c>
      <c r="N441">
        <v>11</v>
      </c>
      <c r="O441" t="s">
        <v>2049</v>
      </c>
      <c r="P441" t="s">
        <v>2062</v>
      </c>
      <c r="Q441" s="2">
        <f>Employee_Data[[#This Row],[Monthly Salary]]*12</f>
        <v>355507.56</v>
      </c>
    </row>
    <row r="442" spans="1:17" x14ac:dyDescent="0.25">
      <c r="A442" t="s">
        <v>456</v>
      </c>
      <c r="B442" t="s">
        <v>1455</v>
      </c>
      <c r="C442" t="s">
        <v>2013</v>
      </c>
      <c r="D442" t="s">
        <v>2025</v>
      </c>
      <c r="E442" t="s">
        <v>2039</v>
      </c>
      <c r="F442">
        <v>23</v>
      </c>
      <c r="G442" s="1">
        <v>45051</v>
      </c>
      <c r="H442" t="s">
        <v>2041</v>
      </c>
      <c r="I442" s="2">
        <v>84175.17</v>
      </c>
      <c r="J442">
        <v>4</v>
      </c>
      <c r="K442">
        <v>93.16</v>
      </c>
      <c r="L442">
        <v>2</v>
      </c>
      <c r="M442">
        <v>67</v>
      </c>
      <c r="N442">
        <v>39</v>
      </c>
      <c r="O442" t="s">
        <v>2043</v>
      </c>
      <c r="P442" t="s">
        <v>2062</v>
      </c>
      <c r="Q442" s="2">
        <f>Employee_Data[[#This Row],[Monthly Salary]]*12</f>
        <v>1010102.04</v>
      </c>
    </row>
    <row r="443" spans="1:17" x14ac:dyDescent="0.25">
      <c r="A443" t="s">
        <v>457</v>
      </c>
      <c r="B443" t="s">
        <v>1456</v>
      </c>
      <c r="C443" t="s">
        <v>2012</v>
      </c>
      <c r="D443" t="s">
        <v>2021</v>
      </c>
      <c r="E443" t="s">
        <v>2039</v>
      </c>
      <c r="F443">
        <v>21</v>
      </c>
      <c r="G443" s="1">
        <v>45649</v>
      </c>
      <c r="H443" t="s">
        <v>2040</v>
      </c>
      <c r="I443" s="2">
        <v>85574.94</v>
      </c>
      <c r="J443">
        <v>1</v>
      </c>
      <c r="K443">
        <v>89.36</v>
      </c>
      <c r="L443">
        <v>1</v>
      </c>
      <c r="M443">
        <v>7</v>
      </c>
      <c r="N443">
        <v>23</v>
      </c>
      <c r="O443" t="s">
        <v>2046</v>
      </c>
      <c r="P443" t="s">
        <v>2062</v>
      </c>
      <c r="Q443" s="2">
        <f>Employee_Data[[#This Row],[Monthly Salary]]*12</f>
        <v>1026899.28</v>
      </c>
    </row>
    <row r="444" spans="1:17" x14ac:dyDescent="0.25">
      <c r="A444" t="s">
        <v>458</v>
      </c>
      <c r="B444" t="s">
        <v>1457</v>
      </c>
      <c r="C444" t="s">
        <v>2016</v>
      </c>
      <c r="D444" t="s">
        <v>2034</v>
      </c>
      <c r="E444" t="s">
        <v>2039</v>
      </c>
      <c r="F444">
        <v>60</v>
      </c>
      <c r="G444" s="1">
        <v>42981</v>
      </c>
      <c r="H444" t="s">
        <v>2042</v>
      </c>
      <c r="I444" s="2">
        <v>72902.080000000002</v>
      </c>
      <c r="J444">
        <v>1</v>
      </c>
      <c r="K444">
        <v>96.69</v>
      </c>
      <c r="L444">
        <v>8</v>
      </c>
      <c r="M444">
        <v>9</v>
      </c>
      <c r="N444">
        <v>60</v>
      </c>
      <c r="O444" t="s">
        <v>2059</v>
      </c>
      <c r="P444" t="s">
        <v>2063</v>
      </c>
      <c r="Q444" s="2">
        <f>Employee_Data[[#This Row],[Monthly Salary]]*12</f>
        <v>874824.96</v>
      </c>
    </row>
    <row r="445" spans="1:17" x14ac:dyDescent="0.25">
      <c r="A445" t="s">
        <v>459</v>
      </c>
      <c r="B445" t="s">
        <v>1458</v>
      </c>
      <c r="C445" t="s">
        <v>2009</v>
      </c>
      <c r="D445" t="s">
        <v>2017</v>
      </c>
      <c r="E445" t="s">
        <v>2039</v>
      </c>
      <c r="F445">
        <v>55</v>
      </c>
      <c r="G445" s="1">
        <v>45602</v>
      </c>
      <c r="H445" t="s">
        <v>2042</v>
      </c>
      <c r="I445" s="2">
        <v>38946.04</v>
      </c>
      <c r="J445">
        <v>5</v>
      </c>
      <c r="K445">
        <v>93.14</v>
      </c>
      <c r="L445">
        <v>1</v>
      </c>
      <c r="M445">
        <v>72</v>
      </c>
      <c r="N445">
        <v>40</v>
      </c>
      <c r="O445" t="s">
        <v>2048</v>
      </c>
      <c r="P445" t="s">
        <v>2062</v>
      </c>
      <c r="Q445" s="2">
        <f>Employee_Data[[#This Row],[Monthly Salary]]*12</f>
        <v>467352.48</v>
      </c>
    </row>
    <row r="446" spans="1:17" x14ac:dyDescent="0.25">
      <c r="A446" t="s">
        <v>460</v>
      </c>
      <c r="B446" t="s">
        <v>1459</v>
      </c>
      <c r="C446" t="s">
        <v>2016</v>
      </c>
      <c r="D446" t="s">
        <v>2032</v>
      </c>
      <c r="E446" t="s">
        <v>2038</v>
      </c>
      <c r="F446">
        <v>50</v>
      </c>
      <c r="G446" s="1">
        <v>44355</v>
      </c>
      <c r="H446" t="s">
        <v>2041</v>
      </c>
      <c r="I446" s="2">
        <v>86524.24</v>
      </c>
      <c r="J446">
        <v>1</v>
      </c>
      <c r="K446">
        <v>83.34</v>
      </c>
      <c r="L446">
        <v>4</v>
      </c>
      <c r="M446">
        <v>23</v>
      </c>
      <c r="N446">
        <v>35</v>
      </c>
      <c r="O446" t="s">
        <v>2061</v>
      </c>
      <c r="P446" t="s">
        <v>2062</v>
      </c>
      <c r="Q446" s="2">
        <f>Employee_Data[[#This Row],[Monthly Salary]]*12</f>
        <v>1038290.8800000001</v>
      </c>
    </row>
    <row r="447" spans="1:17" x14ac:dyDescent="0.25">
      <c r="A447" t="s">
        <v>461</v>
      </c>
      <c r="B447" t="s">
        <v>1460</v>
      </c>
      <c r="C447" t="s">
        <v>2015</v>
      </c>
      <c r="D447" t="s">
        <v>2027</v>
      </c>
      <c r="E447" t="s">
        <v>2038</v>
      </c>
      <c r="F447">
        <v>43</v>
      </c>
      <c r="G447" s="1">
        <v>42335</v>
      </c>
      <c r="H447" t="s">
        <v>2042</v>
      </c>
      <c r="I447" s="2">
        <v>75008.13</v>
      </c>
      <c r="J447">
        <v>3</v>
      </c>
      <c r="K447">
        <v>96.9</v>
      </c>
      <c r="L447">
        <v>10</v>
      </c>
      <c r="M447">
        <v>52</v>
      </c>
      <c r="N447">
        <v>48</v>
      </c>
      <c r="O447" t="s">
        <v>1505</v>
      </c>
      <c r="P447" t="s">
        <v>2062</v>
      </c>
      <c r="Q447" s="2">
        <f>Employee_Data[[#This Row],[Monthly Salary]]*12</f>
        <v>900097.56</v>
      </c>
    </row>
    <row r="448" spans="1:17" x14ac:dyDescent="0.25">
      <c r="A448" t="s">
        <v>462</v>
      </c>
      <c r="B448" t="s">
        <v>1461</v>
      </c>
      <c r="C448" t="s">
        <v>2012</v>
      </c>
      <c r="D448" t="s">
        <v>2021</v>
      </c>
      <c r="E448" t="s">
        <v>2039</v>
      </c>
      <c r="F448">
        <v>45</v>
      </c>
      <c r="G448" s="1">
        <v>45258</v>
      </c>
      <c r="H448" t="s">
        <v>2041</v>
      </c>
      <c r="I448" s="2">
        <v>112614.69</v>
      </c>
      <c r="J448">
        <v>3</v>
      </c>
      <c r="K448">
        <v>87.2</v>
      </c>
      <c r="L448">
        <v>2</v>
      </c>
      <c r="M448">
        <v>57</v>
      </c>
      <c r="N448">
        <v>28</v>
      </c>
      <c r="O448" t="s">
        <v>2061</v>
      </c>
      <c r="P448" t="s">
        <v>2062</v>
      </c>
      <c r="Q448" s="2">
        <f>Employee_Data[[#This Row],[Monthly Salary]]*12</f>
        <v>1351376.28</v>
      </c>
    </row>
    <row r="449" spans="1:17" x14ac:dyDescent="0.25">
      <c r="A449" t="s">
        <v>463</v>
      </c>
      <c r="B449" t="s">
        <v>1462</v>
      </c>
      <c r="C449" t="s">
        <v>2010</v>
      </c>
      <c r="D449" t="s">
        <v>2024</v>
      </c>
      <c r="E449" t="s">
        <v>2039</v>
      </c>
      <c r="F449">
        <v>54</v>
      </c>
      <c r="G449" s="1">
        <v>44298</v>
      </c>
      <c r="H449" t="s">
        <v>2040</v>
      </c>
      <c r="I449" s="2">
        <v>119341.2</v>
      </c>
      <c r="J449">
        <v>3</v>
      </c>
      <c r="K449">
        <v>80.13</v>
      </c>
      <c r="L449">
        <v>4</v>
      </c>
      <c r="M449">
        <v>28</v>
      </c>
      <c r="N449">
        <v>13</v>
      </c>
      <c r="O449" t="s">
        <v>2054</v>
      </c>
      <c r="P449" t="s">
        <v>2062</v>
      </c>
      <c r="Q449" s="2">
        <f>Employee_Data[[#This Row],[Monthly Salary]]*12</f>
        <v>1432094.4</v>
      </c>
    </row>
    <row r="450" spans="1:17" x14ac:dyDescent="0.25">
      <c r="A450" t="s">
        <v>464</v>
      </c>
      <c r="B450" t="s">
        <v>1463</v>
      </c>
      <c r="C450" t="s">
        <v>2011</v>
      </c>
      <c r="D450" t="s">
        <v>2031</v>
      </c>
      <c r="E450" t="s">
        <v>2039</v>
      </c>
      <c r="F450">
        <v>27</v>
      </c>
      <c r="G450" s="1">
        <v>45870</v>
      </c>
      <c r="H450" t="s">
        <v>2040</v>
      </c>
      <c r="I450" s="2">
        <v>66036.98</v>
      </c>
      <c r="J450">
        <v>2</v>
      </c>
      <c r="K450">
        <v>82.77</v>
      </c>
      <c r="L450">
        <v>0</v>
      </c>
      <c r="M450">
        <v>46</v>
      </c>
      <c r="N450">
        <v>56</v>
      </c>
      <c r="O450" t="s">
        <v>2043</v>
      </c>
      <c r="P450" t="s">
        <v>2062</v>
      </c>
      <c r="Q450" s="2">
        <f>Employee_Data[[#This Row],[Monthly Salary]]*12</f>
        <v>792443.76</v>
      </c>
    </row>
    <row r="451" spans="1:17" x14ac:dyDescent="0.25">
      <c r="A451" t="s">
        <v>465</v>
      </c>
      <c r="B451" t="s">
        <v>1464</v>
      </c>
      <c r="C451" t="s">
        <v>2011</v>
      </c>
      <c r="D451" t="s">
        <v>2035</v>
      </c>
      <c r="E451" t="s">
        <v>2039</v>
      </c>
      <c r="F451">
        <v>57</v>
      </c>
      <c r="G451" s="1">
        <v>42534</v>
      </c>
      <c r="H451" t="s">
        <v>2042</v>
      </c>
      <c r="I451" s="2">
        <v>76906.490000000005</v>
      </c>
      <c r="J451">
        <v>2</v>
      </c>
      <c r="K451">
        <v>94.69</v>
      </c>
      <c r="L451">
        <v>9</v>
      </c>
      <c r="M451">
        <v>41</v>
      </c>
      <c r="N451">
        <v>50</v>
      </c>
      <c r="O451" t="s">
        <v>2050</v>
      </c>
      <c r="P451" t="s">
        <v>2062</v>
      </c>
      <c r="Q451" s="2">
        <f>Employee_Data[[#This Row],[Monthly Salary]]*12</f>
        <v>922877.88000000012</v>
      </c>
    </row>
    <row r="452" spans="1:17" x14ac:dyDescent="0.25">
      <c r="A452" t="s">
        <v>466</v>
      </c>
      <c r="B452" t="s">
        <v>1465</v>
      </c>
      <c r="C452" t="s">
        <v>2009</v>
      </c>
      <c r="D452" t="s">
        <v>2036</v>
      </c>
      <c r="E452" t="s">
        <v>2038</v>
      </c>
      <c r="F452">
        <v>23</v>
      </c>
      <c r="G452" s="1">
        <v>43395</v>
      </c>
      <c r="H452" t="s">
        <v>2041</v>
      </c>
      <c r="I452" s="2">
        <v>100834.12</v>
      </c>
      <c r="J452">
        <v>4</v>
      </c>
      <c r="K452">
        <v>81.569999999999993</v>
      </c>
      <c r="L452">
        <v>7</v>
      </c>
      <c r="M452">
        <v>7</v>
      </c>
      <c r="N452">
        <v>58</v>
      </c>
      <c r="O452" t="s">
        <v>2054</v>
      </c>
      <c r="P452" t="s">
        <v>2062</v>
      </c>
      <c r="Q452" s="2">
        <f>Employee_Data[[#This Row],[Monthly Salary]]*12</f>
        <v>1210009.44</v>
      </c>
    </row>
    <row r="453" spans="1:17" x14ac:dyDescent="0.25">
      <c r="A453" t="s">
        <v>467</v>
      </c>
      <c r="B453" t="s">
        <v>1466</v>
      </c>
      <c r="C453" t="s">
        <v>2016</v>
      </c>
      <c r="D453" t="s">
        <v>2034</v>
      </c>
      <c r="E453" t="s">
        <v>2039</v>
      </c>
      <c r="F453">
        <v>35</v>
      </c>
      <c r="G453" s="1">
        <v>45381</v>
      </c>
      <c r="H453" t="s">
        <v>2041</v>
      </c>
      <c r="I453" s="2">
        <v>85277.92</v>
      </c>
      <c r="J453">
        <v>5</v>
      </c>
      <c r="K453">
        <v>98.57</v>
      </c>
      <c r="L453">
        <v>1</v>
      </c>
      <c r="M453">
        <v>80</v>
      </c>
      <c r="N453">
        <v>24</v>
      </c>
      <c r="O453" t="s">
        <v>2049</v>
      </c>
      <c r="P453" t="s">
        <v>2062</v>
      </c>
      <c r="Q453" s="2">
        <f>Employee_Data[[#This Row],[Monthly Salary]]*12</f>
        <v>1023335.04</v>
      </c>
    </row>
    <row r="454" spans="1:17" x14ac:dyDescent="0.25">
      <c r="A454" t="s">
        <v>468</v>
      </c>
      <c r="B454" t="s">
        <v>1467</v>
      </c>
      <c r="C454" t="s">
        <v>2010</v>
      </c>
      <c r="D454" t="s">
        <v>2024</v>
      </c>
      <c r="E454" t="s">
        <v>2039</v>
      </c>
      <c r="F454">
        <v>41</v>
      </c>
      <c r="G454" s="1">
        <v>44101</v>
      </c>
      <c r="H454" t="s">
        <v>2041</v>
      </c>
      <c r="I454" s="2">
        <v>89776.87</v>
      </c>
      <c r="J454">
        <v>2</v>
      </c>
      <c r="K454">
        <v>81.010000000000005</v>
      </c>
      <c r="L454">
        <v>5</v>
      </c>
      <c r="M454">
        <v>50</v>
      </c>
      <c r="N454">
        <v>28</v>
      </c>
      <c r="O454" t="s">
        <v>2058</v>
      </c>
      <c r="P454" t="s">
        <v>2062</v>
      </c>
      <c r="Q454" s="2">
        <f>Employee_Data[[#This Row],[Monthly Salary]]*12</f>
        <v>1077322.44</v>
      </c>
    </row>
    <row r="455" spans="1:17" x14ac:dyDescent="0.25">
      <c r="A455" t="s">
        <v>469</v>
      </c>
      <c r="B455" t="s">
        <v>1468</v>
      </c>
      <c r="C455" t="s">
        <v>2009</v>
      </c>
      <c r="D455" t="s">
        <v>2017</v>
      </c>
      <c r="E455" t="s">
        <v>2038</v>
      </c>
      <c r="F455">
        <v>39</v>
      </c>
      <c r="G455" s="1">
        <v>42969</v>
      </c>
      <c r="H455" t="s">
        <v>2042</v>
      </c>
      <c r="I455" s="2">
        <v>34801.24</v>
      </c>
      <c r="J455">
        <v>3</v>
      </c>
      <c r="K455">
        <v>81.650000000000006</v>
      </c>
      <c r="L455">
        <v>8</v>
      </c>
      <c r="M455">
        <v>73</v>
      </c>
      <c r="N455">
        <v>47</v>
      </c>
      <c r="O455" t="s">
        <v>2049</v>
      </c>
      <c r="P455" t="s">
        <v>2062</v>
      </c>
      <c r="Q455" s="2">
        <f>Employee_Data[[#This Row],[Monthly Salary]]*12</f>
        <v>417614.88</v>
      </c>
    </row>
    <row r="456" spans="1:17" x14ac:dyDescent="0.25">
      <c r="A456" t="s">
        <v>470</v>
      </c>
      <c r="B456" t="s">
        <v>1469</v>
      </c>
      <c r="C456" t="s">
        <v>2011</v>
      </c>
      <c r="D456" t="s">
        <v>2019</v>
      </c>
      <c r="E456" t="s">
        <v>2038</v>
      </c>
      <c r="F456">
        <v>53</v>
      </c>
      <c r="G456" s="1">
        <v>45678</v>
      </c>
      <c r="H456" t="s">
        <v>2042</v>
      </c>
      <c r="I456" s="2">
        <v>97382.51</v>
      </c>
      <c r="J456">
        <v>2</v>
      </c>
      <c r="K456">
        <v>95.24</v>
      </c>
      <c r="L456">
        <v>0</v>
      </c>
      <c r="M456">
        <v>61</v>
      </c>
      <c r="N456">
        <v>35</v>
      </c>
      <c r="O456" t="s">
        <v>2059</v>
      </c>
      <c r="P456" t="s">
        <v>2062</v>
      </c>
      <c r="Q456" s="2">
        <f>Employee_Data[[#This Row],[Monthly Salary]]*12</f>
        <v>1168590.1199999999</v>
      </c>
    </row>
    <row r="457" spans="1:17" x14ac:dyDescent="0.25">
      <c r="A457" t="s">
        <v>471</v>
      </c>
      <c r="B457" t="s">
        <v>1470</v>
      </c>
      <c r="C457" t="s">
        <v>2014</v>
      </c>
      <c r="D457" t="s">
        <v>2028</v>
      </c>
      <c r="E457" t="s">
        <v>2039</v>
      </c>
      <c r="F457">
        <v>36</v>
      </c>
      <c r="G457" s="1">
        <v>45436</v>
      </c>
      <c r="H457" t="s">
        <v>2040</v>
      </c>
      <c r="I457" s="2">
        <v>46625.71</v>
      </c>
      <c r="J457">
        <v>4</v>
      </c>
      <c r="K457">
        <v>86.47</v>
      </c>
      <c r="L457">
        <v>1</v>
      </c>
      <c r="M457">
        <v>73</v>
      </c>
      <c r="N457">
        <v>5</v>
      </c>
      <c r="O457" t="s">
        <v>2047</v>
      </c>
      <c r="P457" t="s">
        <v>2062</v>
      </c>
      <c r="Q457" s="2">
        <f>Employee_Data[[#This Row],[Monthly Salary]]*12</f>
        <v>559508.52</v>
      </c>
    </row>
    <row r="458" spans="1:17" x14ac:dyDescent="0.25">
      <c r="A458" t="s">
        <v>472</v>
      </c>
      <c r="B458" t="s">
        <v>1471</v>
      </c>
      <c r="C458" t="s">
        <v>2016</v>
      </c>
      <c r="D458" t="s">
        <v>2034</v>
      </c>
      <c r="E458" t="s">
        <v>2038</v>
      </c>
      <c r="F458">
        <v>33</v>
      </c>
      <c r="G458" s="1">
        <v>43312</v>
      </c>
      <c r="H458" t="s">
        <v>2042</v>
      </c>
      <c r="I458" s="2">
        <v>54452.49</v>
      </c>
      <c r="J458">
        <v>1</v>
      </c>
      <c r="K458">
        <v>95.39</v>
      </c>
      <c r="L458">
        <v>7</v>
      </c>
      <c r="M458">
        <v>21</v>
      </c>
      <c r="N458">
        <v>22</v>
      </c>
      <c r="O458" t="s">
        <v>2058</v>
      </c>
      <c r="P458" t="s">
        <v>2062</v>
      </c>
      <c r="Q458" s="2">
        <f>Employee_Data[[#This Row],[Monthly Salary]]*12</f>
        <v>653429.88</v>
      </c>
    </row>
    <row r="459" spans="1:17" x14ac:dyDescent="0.25">
      <c r="A459" t="s">
        <v>473</v>
      </c>
      <c r="B459" t="s">
        <v>1472</v>
      </c>
      <c r="C459" t="s">
        <v>2013</v>
      </c>
      <c r="D459" t="s">
        <v>2025</v>
      </c>
      <c r="E459" t="s">
        <v>2038</v>
      </c>
      <c r="F459">
        <v>23</v>
      </c>
      <c r="G459" s="1">
        <v>42390</v>
      </c>
      <c r="H459" t="s">
        <v>2040</v>
      </c>
      <c r="I459" s="2">
        <v>39968.519999999997</v>
      </c>
      <c r="J459">
        <v>3</v>
      </c>
      <c r="K459">
        <v>83.12</v>
      </c>
      <c r="L459">
        <v>9</v>
      </c>
      <c r="M459">
        <v>10</v>
      </c>
      <c r="N459">
        <v>7</v>
      </c>
      <c r="O459" t="s">
        <v>2049</v>
      </c>
      <c r="P459" t="s">
        <v>2062</v>
      </c>
      <c r="Q459" s="2">
        <f>Employee_Data[[#This Row],[Monthly Salary]]*12</f>
        <v>479622.24</v>
      </c>
    </row>
    <row r="460" spans="1:17" x14ac:dyDescent="0.25">
      <c r="A460" t="s">
        <v>474</v>
      </c>
      <c r="B460" t="s">
        <v>1473</v>
      </c>
      <c r="C460" t="s">
        <v>2015</v>
      </c>
      <c r="D460" t="s">
        <v>2026</v>
      </c>
      <c r="E460" t="s">
        <v>2039</v>
      </c>
      <c r="F460">
        <v>42</v>
      </c>
      <c r="G460" s="1">
        <v>43503</v>
      </c>
      <c r="H460" t="s">
        <v>2041</v>
      </c>
      <c r="I460" s="2">
        <v>100428.08</v>
      </c>
      <c r="J460">
        <v>3</v>
      </c>
      <c r="K460">
        <v>89</v>
      </c>
      <c r="L460">
        <v>6</v>
      </c>
      <c r="M460">
        <v>2</v>
      </c>
      <c r="N460">
        <v>21</v>
      </c>
      <c r="O460" t="s">
        <v>2059</v>
      </c>
      <c r="P460" t="s">
        <v>2062</v>
      </c>
      <c r="Q460" s="2">
        <f>Employee_Data[[#This Row],[Monthly Salary]]*12</f>
        <v>1205136.96</v>
      </c>
    </row>
    <row r="461" spans="1:17" x14ac:dyDescent="0.25">
      <c r="A461" t="s">
        <v>475</v>
      </c>
      <c r="B461" t="s">
        <v>1474</v>
      </c>
      <c r="C461" t="s">
        <v>2014</v>
      </c>
      <c r="D461" t="s">
        <v>2023</v>
      </c>
      <c r="E461" t="s">
        <v>2038</v>
      </c>
      <c r="F461">
        <v>56</v>
      </c>
      <c r="G461" s="1">
        <v>44960</v>
      </c>
      <c r="H461" t="s">
        <v>2042</v>
      </c>
      <c r="I461" s="2">
        <v>82304.2</v>
      </c>
      <c r="J461">
        <v>2</v>
      </c>
      <c r="K461">
        <v>93.9</v>
      </c>
      <c r="L461">
        <v>2</v>
      </c>
      <c r="M461">
        <v>2</v>
      </c>
      <c r="N461">
        <v>24</v>
      </c>
      <c r="O461" t="s">
        <v>2043</v>
      </c>
      <c r="P461" t="s">
        <v>2063</v>
      </c>
      <c r="Q461" s="2">
        <f>Employee_Data[[#This Row],[Monthly Salary]]*12</f>
        <v>987650.39999999991</v>
      </c>
    </row>
    <row r="462" spans="1:17" x14ac:dyDescent="0.25">
      <c r="A462" t="s">
        <v>476</v>
      </c>
      <c r="B462" t="s">
        <v>1475</v>
      </c>
      <c r="C462" t="s">
        <v>2010</v>
      </c>
      <c r="D462" t="s">
        <v>2024</v>
      </c>
      <c r="E462" t="s">
        <v>2039</v>
      </c>
      <c r="F462">
        <v>24</v>
      </c>
      <c r="G462" s="1">
        <v>43451</v>
      </c>
      <c r="H462" t="s">
        <v>2042</v>
      </c>
      <c r="I462" s="2">
        <v>40069.61</v>
      </c>
      <c r="J462">
        <v>5</v>
      </c>
      <c r="K462">
        <v>85.43</v>
      </c>
      <c r="L462">
        <v>7</v>
      </c>
      <c r="M462">
        <v>59</v>
      </c>
      <c r="N462">
        <v>41</v>
      </c>
      <c r="O462" t="s">
        <v>2057</v>
      </c>
      <c r="P462" t="s">
        <v>2062</v>
      </c>
      <c r="Q462" s="2">
        <f>Employee_Data[[#This Row],[Monthly Salary]]*12</f>
        <v>480835.32</v>
      </c>
    </row>
    <row r="463" spans="1:17" x14ac:dyDescent="0.25">
      <c r="A463" t="s">
        <v>477</v>
      </c>
      <c r="B463" t="s">
        <v>1476</v>
      </c>
      <c r="C463" t="s">
        <v>2011</v>
      </c>
      <c r="D463" t="s">
        <v>2031</v>
      </c>
      <c r="E463" t="s">
        <v>2038</v>
      </c>
      <c r="F463">
        <v>27</v>
      </c>
      <c r="G463" s="1">
        <v>44686</v>
      </c>
      <c r="H463" t="s">
        <v>2040</v>
      </c>
      <c r="I463" s="2">
        <v>49249.56</v>
      </c>
      <c r="J463">
        <v>4</v>
      </c>
      <c r="K463">
        <v>84.62</v>
      </c>
      <c r="L463">
        <v>3</v>
      </c>
      <c r="M463">
        <v>48</v>
      </c>
      <c r="N463">
        <v>32</v>
      </c>
      <c r="O463" t="s">
        <v>2047</v>
      </c>
      <c r="P463" t="s">
        <v>2063</v>
      </c>
      <c r="Q463" s="2">
        <f>Employee_Data[[#This Row],[Monthly Salary]]*12</f>
        <v>590994.72</v>
      </c>
    </row>
    <row r="464" spans="1:17" x14ac:dyDescent="0.25">
      <c r="A464" t="s">
        <v>478</v>
      </c>
      <c r="B464" t="s">
        <v>1477</v>
      </c>
      <c r="C464" t="s">
        <v>2013</v>
      </c>
      <c r="D464" t="s">
        <v>2025</v>
      </c>
      <c r="E464" t="s">
        <v>2039</v>
      </c>
      <c r="F464">
        <v>33</v>
      </c>
      <c r="G464" s="1">
        <v>44179</v>
      </c>
      <c r="H464" t="s">
        <v>2041</v>
      </c>
      <c r="I464" s="2">
        <v>116679.14</v>
      </c>
      <c r="J464">
        <v>5</v>
      </c>
      <c r="K464">
        <v>98.53</v>
      </c>
      <c r="L464">
        <v>5</v>
      </c>
      <c r="M464">
        <v>2</v>
      </c>
      <c r="N464">
        <v>2</v>
      </c>
      <c r="O464" t="s">
        <v>2044</v>
      </c>
      <c r="P464" t="s">
        <v>2063</v>
      </c>
      <c r="Q464" s="2">
        <f>Employee_Data[[#This Row],[Monthly Salary]]*12</f>
        <v>1400149.68</v>
      </c>
    </row>
    <row r="465" spans="1:17" x14ac:dyDescent="0.25">
      <c r="A465" t="s">
        <v>479</v>
      </c>
      <c r="B465" t="s">
        <v>1478</v>
      </c>
      <c r="C465" t="s">
        <v>2011</v>
      </c>
      <c r="D465" t="s">
        <v>2035</v>
      </c>
      <c r="E465" t="s">
        <v>2038</v>
      </c>
      <c r="F465">
        <v>46</v>
      </c>
      <c r="G465" s="1">
        <v>44537</v>
      </c>
      <c r="H465" t="s">
        <v>2041</v>
      </c>
      <c r="I465" s="2">
        <v>35700.53</v>
      </c>
      <c r="J465">
        <v>3</v>
      </c>
      <c r="K465">
        <v>93.69</v>
      </c>
      <c r="L465">
        <v>4</v>
      </c>
      <c r="M465">
        <v>45</v>
      </c>
      <c r="N465">
        <v>40</v>
      </c>
      <c r="O465" t="s">
        <v>2051</v>
      </c>
      <c r="P465" t="s">
        <v>2062</v>
      </c>
      <c r="Q465" s="2">
        <f>Employee_Data[[#This Row],[Monthly Salary]]*12</f>
        <v>428406.36</v>
      </c>
    </row>
    <row r="466" spans="1:17" x14ac:dyDescent="0.25">
      <c r="A466" t="s">
        <v>480</v>
      </c>
      <c r="B466" t="s">
        <v>1479</v>
      </c>
      <c r="C466" t="s">
        <v>2011</v>
      </c>
      <c r="D466" t="s">
        <v>2019</v>
      </c>
      <c r="E466" t="s">
        <v>2038</v>
      </c>
      <c r="F466">
        <v>45</v>
      </c>
      <c r="G466" s="1">
        <v>44209</v>
      </c>
      <c r="H466" t="s">
        <v>2040</v>
      </c>
      <c r="I466" s="2">
        <v>114413.67</v>
      </c>
      <c r="J466">
        <v>3</v>
      </c>
      <c r="K466">
        <v>84.51</v>
      </c>
      <c r="L466">
        <v>4</v>
      </c>
      <c r="M466">
        <v>43</v>
      </c>
      <c r="N466">
        <v>57</v>
      </c>
      <c r="O466" t="s">
        <v>2061</v>
      </c>
      <c r="P466" t="s">
        <v>2062</v>
      </c>
      <c r="Q466" s="2">
        <f>Employee_Data[[#This Row],[Monthly Salary]]*12</f>
        <v>1372964.04</v>
      </c>
    </row>
    <row r="467" spans="1:17" x14ac:dyDescent="0.25">
      <c r="A467" t="s">
        <v>481</v>
      </c>
      <c r="B467" t="s">
        <v>1480</v>
      </c>
      <c r="C467" t="s">
        <v>2009</v>
      </c>
      <c r="D467" t="s">
        <v>2036</v>
      </c>
      <c r="E467" t="s">
        <v>2038</v>
      </c>
      <c r="F467">
        <v>54</v>
      </c>
      <c r="G467" s="1">
        <v>44235</v>
      </c>
      <c r="H467" t="s">
        <v>2041</v>
      </c>
      <c r="I467" s="2">
        <v>81244.84</v>
      </c>
      <c r="J467">
        <v>2</v>
      </c>
      <c r="K467">
        <v>88.35</v>
      </c>
      <c r="L467">
        <v>4</v>
      </c>
      <c r="M467">
        <v>73</v>
      </c>
      <c r="N467">
        <v>9</v>
      </c>
      <c r="O467" t="s">
        <v>1505</v>
      </c>
      <c r="P467" t="s">
        <v>2063</v>
      </c>
      <c r="Q467" s="2">
        <f>Employee_Data[[#This Row],[Monthly Salary]]*12</f>
        <v>974938.08</v>
      </c>
    </row>
    <row r="468" spans="1:17" x14ac:dyDescent="0.25">
      <c r="A468" t="s">
        <v>482</v>
      </c>
      <c r="B468" t="s">
        <v>1481</v>
      </c>
      <c r="C468" t="s">
        <v>2012</v>
      </c>
      <c r="D468" t="s">
        <v>2020</v>
      </c>
      <c r="E468" t="s">
        <v>2039</v>
      </c>
      <c r="F468">
        <v>34</v>
      </c>
      <c r="G468" s="1">
        <v>44586</v>
      </c>
      <c r="H468" t="s">
        <v>2041</v>
      </c>
      <c r="I468" s="2">
        <v>33857.65</v>
      </c>
      <c r="J468">
        <v>5</v>
      </c>
      <c r="K468">
        <v>93.68</v>
      </c>
      <c r="L468">
        <v>3</v>
      </c>
      <c r="M468">
        <v>25</v>
      </c>
      <c r="N468">
        <v>55</v>
      </c>
      <c r="O468" t="s">
        <v>2060</v>
      </c>
      <c r="P468" t="s">
        <v>2062</v>
      </c>
      <c r="Q468" s="2">
        <f>Employee_Data[[#This Row],[Monthly Salary]]*12</f>
        <v>406291.80000000005</v>
      </c>
    </row>
    <row r="469" spans="1:17" x14ac:dyDescent="0.25">
      <c r="A469" t="s">
        <v>483</v>
      </c>
      <c r="B469" t="s">
        <v>1482</v>
      </c>
      <c r="C469" t="s">
        <v>2015</v>
      </c>
      <c r="D469" t="s">
        <v>2026</v>
      </c>
      <c r="E469" t="s">
        <v>2039</v>
      </c>
      <c r="F469">
        <v>57</v>
      </c>
      <c r="G469" s="1">
        <v>43254</v>
      </c>
      <c r="H469" t="s">
        <v>2040</v>
      </c>
      <c r="I469" s="2">
        <v>51749.62</v>
      </c>
      <c r="J469">
        <v>5</v>
      </c>
      <c r="K469">
        <v>90.66</v>
      </c>
      <c r="L469">
        <v>7</v>
      </c>
      <c r="M469">
        <v>15</v>
      </c>
      <c r="N469">
        <v>11</v>
      </c>
      <c r="O469" t="s">
        <v>2054</v>
      </c>
      <c r="P469" t="s">
        <v>2062</v>
      </c>
      <c r="Q469" s="2">
        <f>Employee_Data[[#This Row],[Monthly Salary]]*12</f>
        <v>620995.44000000006</v>
      </c>
    </row>
    <row r="470" spans="1:17" x14ac:dyDescent="0.25">
      <c r="A470" t="s">
        <v>484</v>
      </c>
      <c r="B470" t="s">
        <v>1483</v>
      </c>
      <c r="C470" t="s">
        <v>2015</v>
      </c>
      <c r="D470" t="s">
        <v>2027</v>
      </c>
      <c r="E470" t="s">
        <v>2039</v>
      </c>
      <c r="F470">
        <v>41</v>
      </c>
      <c r="G470" s="1">
        <v>45715</v>
      </c>
      <c r="H470" t="s">
        <v>2042</v>
      </c>
      <c r="I470" s="2">
        <v>116119.62</v>
      </c>
      <c r="J470">
        <v>3</v>
      </c>
      <c r="K470">
        <v>88.86</v>
      </c>
      <c r="L470">
        <v>0</v>
      </c>
      <c r="M470">
        <v>35</v>
      </c>
      <c r="N470">
        <v>9</v>
      </c>
      <c r="O470" t="s">
        <v>2059</v>
      </c>
      <c r="P470" t="s">
        <v>2062</v>
      </c>
      <c r="Q470" s="2">
        <f>Employee_Data[[#This Row],[Monthly Salary]]*12</f>
        <v>1393435.44</v>
      </c>
    </row>
    <row r="471" spans="1:17" x14ac:dyDescent="0.25">
      <c r="A471" t="s">
        <v>485</v>
      </c>
      <c r="B471" t="s">
        <v>1484</v>
      </c>
      <c r="C471" t="s">
        <v>2015</v>
      </c>
      <c r="D471" t="s">
        <v>2033</v>
      </c>
      <c r="E471" t="s">
        <v>2038</v>
      </c>
      <c r="F471">
        <v>59</v>
      </c>
      <c r="G471" s="1">
        <v>43660</v>
      </c>
      <c r="H471" t="s">
        <v>2041</v>
      </c>
      <c r="I471" s="2">
        <v>81236.2</v>
      </c>
      <c r="J471">
        <v>5</v>
      </c>
      <c r="K471">
        <v>84.64</v>
      </c>
      <c r="L471">
        <v>6</v>
      </c>
      <c r="M471">
        <v>3</v>
      </c>
      <c r="N471">
        <v>22</v>
      </c>
      <c r="O471" t="s">
        <v>2045</v>
      </c>
      <c r="P471" t="s">
        <v>2062</v>
      </c>
      <c r="Q471" s="2">
        <f>Employee_Data[[#This Row],[Monthly Salary]]*12</f>
        <v>974834.39999999991</v>
      </c>
    </row>
    <row r="472" spans="1:17" x14ac:dyDescent="0.25">
      <c r="A472" t="s">
        <v>486</v>
      </c>
      <c r="B472" t="s">
        <v>1485</v>
      </c>
      <c r="C472" t="s">
        <v>2013</v>
      </c>
      <c r="D472" t="s">
        <v>2025</v>
      </c>
      <c r="E472" t="s">
        <v>2038</v>
      </c>
      <c r="F472">
        <v>44</v>
      </c>
      <c r="G472" s="1">
        <v>42811</v>
      </c>
      <c r="H472" t="s">
        <v>2040</v>
      </c>
      <c r="I472" s="2">
        <v>105212.94</v>
      </c>
      <c r="J472">
        <v>4</v>
      </c>
      <c r="K472">
        <v>89.48</v>
      </c>
      <c r="L472">
        <v>8</v>
      </c>
      <c r="M472">
        <v>20</v>
      </c>
      <c r="N472">
        <v>12</v>
      </c>
      <c r="O472" t="s">
        <v>2044</v>
      </c>
      <c r="P472" t="s">
        <v>2062</v>
      </c>
      <c r="Q472" s="2">
        <f>Employee_Data[[#This Row],[Monthly Salary]]*12</f>
        <v>1262555.28</v>
      </c>
    </row>
    <row r="473" spans="1:17" x14ac:dyDescent="0.25">
      <c r="A473" t="s">
        <v>487</v>
      </c>
      <c r="B473" t="s">
        <v>1486</v>
      </c>
      <c r="C473" t="s">
        <v>2010</v>
      </c>
      <c r="D473" t="s">
        <v>2024</v>
      </c>
      <c r="E473" t="s">
        <v>2038</v>
      </c>
      <c r="F473">
        <v>35</v>
      </c>
      <c r="G473" s="1">
        <v>45808</v>
      </c>
      <c r="H473" t="s">
        <v>2041</v>
      </c>
      <c r="I473" s="2">
        <v>87133.91</v>
      </c>
      <c r="J473">
        <v>2</v>
      </c>
      <c r="K473">
        <v>95.16</v>
      </c>
      <c r="L473">
        <v>0</v>
      </c>
      <c r="M473">
        <v>8</v>
      </c>
      <c r="N473">
        <v>11</v>
      </c>
      <c r="O473" t="s">
        <v>2056</v>
      </c>
      <c r="P473" t="s">
        <v>2063</v>
      </c>
      <c r="Q473" s="2">
        <f>Employee_Data[[#This Row],[Monthly Salary]]*12</f>
        <v>1045606.92</v>
      </c>
    </row>
    <row r="474" spans="1:17" x14ac:dyDescent="0.25">
      <c r="A474" t="s">
        <v>488</v>
      </c>
      <c r="B474" t="s">
        <v>1487</v>
      </c>
      <c r="C474" t="s">
        <v>2013</v>
      </c>
      <c r="D474" t="s">
        <v>2022</v>
      </c>
      <c r="E474" t="s">
        <v>2038</v>
      </c>
      <c r="F474">
        <v>36</v>
      </c>
      <c r="G474" s="1">
        <v>43559</v>
      </c>
      <c r="H474" t="s">
        <v>2042</v>
      </c>
      <c r="I474" s="2">
        <v>60486.68</v>
      </c>
      <c r="J474">
        <v>1</v>
      </c>
      <c r="K474">
        <v>92.16</v>
      </c>
      <c r="L474">
        <v>6</v>
      </c>
      <c r="M474">
        <v>48</v>
      </c>
      <c r="N474">
        <v>46</v>
      </c>
      <c r="O474" t="s">
        <v>2054</v>
      </c>
      <c r="P474" t="s">
        <v>2062</v>
      </c>
      <c r="Q474" s="2">
        <f>Employee_Data[[#This Row],[Monthly Salary]]*12</f>
        <v>725840.16</v>
      </c>
    </row>
    <row r="475" spans="1:17" x14ac:dyDescent="0.25">
      <c r="A475" t="s">
        <v>489</v>
      </c>
      <c r="B475" t="s">
        <v>1488</v>
      </c>
      <c r="C475" t="s">
        <v>2010</v>
      </c>
      <c r="D475" t="s">
        <v>2037</v>
      </c>
      <c r="E475" t="s">
        <v>2039</v>
      </c>
      <c r="F475">
        <v>49</v>
      </c>
      <c r="G475" s="1">
        <v>45536</v>
      </c>
      <c r="H475" t="s">
        <v>2042</v>
      </c>
      <c r="I475" s="2">
        <v>102701.01</v>
      </c>
      <c r="J475">
        <v>1</v>
      </c>
      <c r="K475">
        <v>97.56</v>
      </c>
      <c r="L475">
        <v>1</v>
      </c>
      <c r="M475">
        <v>31</v>
      </c>
      <c r="N475">
        <v>33</v>
      </c>
      <c r="O475" t="s">
        <v>2046</v>
      </c>
      <c r="P475" t="s">
        <v>2062</v>
      </c>
      <c r="Q475" s="2">
        <f>Employee_Data[[#This Row],[Monthly Salary]]*12</f>
        <v>1232412.1199999999</v>
      </c>
    </row>
    <row r="476" spans="1:17" x14ac:dyDescent="0.25">
      <c r="A476" t="s">
        <v>490</v>
      </c>
      <c r="B476" t="s">
        <v>1489</v>
      </c>
      <c r="C476" t="s">
        <v>2010</v>
      </c>
      <c r="D476" t="s">
        <v>2037</v>
      </c>
      <c r="E476" t="s">
        <v>2038</v>
      </c>
      <c r="F476">
        <v>54</v>
      </c>
      <c r="G476" s="1">
        <v>45340</v>
      </c>
      <c r="H476" t="s">
        <v>2041</v>
      </c>
      <c r="I476" s="2">
        <v>116259.23</v>
      </c>
      <c r="J476">
        <v>2</v>
      </c>
      <c r="K476">
        <v>85.82</v>
      </c>
      <c r="L476">
        <v>1</v>
      </c>
      <c r="M476">
        <v>50</v>
      </c>
      <c r="N476">
        <v>56</v>
      </c>
      <c r="O476" t="s">
        <v>2051</v>
      </c>
      <c r="P476" t="s">
        <v>2062</v>
      </c>
      <c r="Q476" s="2">
        <f>Employee_Data[[#This Row],[Monthly Salary]]*12</f>
        <v>1395110.76</v>
      </c>
    </row>
    <row r="477" spans="1:17" x14ac:dyDescent="0.25">
      <c r="A477" t="s">
        <v>491</v>
      </c>
      <c r="B477" t="s">
        <v>1490</v>
      </c>
      <c r="C477" t="s">
        <v>2011</v>
      </c>
      <c r="D477" t="s">
        <v>2035</v>
      </c>
      <c r="E477" t="s">
        <v>2039</v>
      </c>
      <c r="F477">
        <v>48</v>
      </c>
      <c r="G477" s="1">
        <v>45120</v>
      </c>
      <c r="H477" t="s">
        <v>2042</v>
      </c>
      <c r="I477" s="2">
        <v>81313.429999999993</v>
      </c>
      <c r="J477">
        <v>1</v>
      </c>
      <c r="K477">
        <v>93.8</v>
      </c>
      <c r="L477">
        <v>2</v>
      </c>
      <c r="M477">
        <v>18</v>
      </c>
      <c r="N477">
        <v>29</v>
      </c>
      <c r="O477" t="s">
        <v>2056</v>
      </c>
      <c r="P477" t="s">
        <v>2062</v>
      </c>
      <c r="Q477" s="2">
        <f>Employee_Data[[#This Row],[Monthly Salary]]*12</f>
        <v>975761.15999999992</v>
      </c>
    </row>
    <row r="478" spans="1:17" x14ac:dyDescent="0.25">
      <c r="A478" t="s">
        <v>492</v>
      </c>
      <c r="B478" t="s">
        <v>1491</v>
      </c>
      <c r="C478" t="s">
        <v>2009</v>
      </c>
      <c r="D478" t="s">
        <v>2017</v>
      </c>
      <c r="E478" t="s">
        <v>2039</v>
      </c>
      <c r="F478">
        <v>46</v>
      </c>
      <c r="G478" s="1">
        <v>45775</v>
      </c>
      <c r="H478" t="s">
        <v>2042</v>
      </c>
      <c r="I478" s="2">
        <v>52346.09</v>
      </c>
      <c r="J478">
        <v>1</v>
      </c>
      <c r="K478">
        <v>83.58</v>
      </c>
      <c r="L478">
        <v>0</v>
      </c>
      <c r="M478">
        <v>75</v>
      </c>
      <c r="N478">
        <v>57</v>
      </c>
      <c r="O478" t="s">
        <v>2059</v>
      </c>
      <c r="P478" t="s">
        <v>2063</v>
      </c>
      <c r="Q478" s="2">
        <f>Employee_Data[[#This Row],[Monthly Salary]]*12</f>
        <v>628153.07999999996</v>
      </c>
    </row>
    <row r="479" spans="1:17" x14ac:dyDescent="0.25">
      <c r="A479" t="s">
        <v>493</v>
      </c>
      <c r="B479" t="s">
        <v>1492</v>
      </c>
      <c r="C479" t="s">
        <v>2009</v>
      </c>
      <c r="D479" t="s">
        <v>2030</v>
      </c>
      <c r="E479" t="s">
        <v>2038</v>
      </c>
      <c r="F479">
        <v>31</v>
      </c>
      <c r="G479" s="1">
        <v>44763</v>
      </c>
      <c r="H479" t="s">
        <v>2041</v>
      </c>
      <c r="I479" s="2">
        <v>93326.23</v>
      </c>
      <c r="J479">
        <v>1</v>
      </c>
      <c r="K479">
        <v>82.28</v>
      </c>
      <c r="L479">
        <v>3</v>
      </c>
      <c r="M479">
        <v>57</v>
      </c>
      <c r="N479">
        <v>40</v>
      </c>
      <c r="O479" t="s">
        <v>2053</v>
      </c>
      <c r="P479" t="s">
        <v>2062</v>
      </c>
      <c r="Q479" s="2">
        <f>Employee_Data[[#This Row],[Monthly Salary]]*12</f>
        <v>1119914.76</v>
      </c>
    </row>
    <row r="480" spans="1:17" x14ac:dyDescent="0.25">
      <c r="A480" t="s">
        <v>494</v>
      </c>
      <c r="B480" t="s">
        <v>1493</v>
      </c>
      <c r="C480" t="s">
        <v>2016</v>
      </c>
      <c r="D480" t="s">
        <v>2032</v>
      </c>
      <c r="E480" t="s">
        <v>2038</v>
      </c>
      <c r="F480">
        <v>56</v>
      </c>
      <c r="G480" s="1">
        <v>42756</v>
      </c>
      <c r="H480" t="s">
        <v>2042</v>
      </c>
      <c r="I480" s="2">
        <v>24390.61</v>
      </c>
      <c r="J480">
        <v>2</v>
      </c>
      <c r="K480">
        <v>98.25</v>
      </c>
      <c r="L480">
        <v>8</v>
      </c>
      <c r="M480">
        <v>72</v>
      </c>
      <c r="N480">
        <v>55</v>
      </c>
      <c r="O480" t="s">
        <v>2060</v>
      </c>
      <c r="P480" t="s">
        <v>2062</v>
      </c>
      <c r="Q480" s="2">
        <f>Employee_Data[[#This Row],[Monthly Salary]]*12</f>
        <v>292687.32</v>
      </c>
    </row>
    <row r="481" spans="1:17" x14ac:dyDescent="0.25">
      <c r="A481" t="s">
        <v>495</v>
      </c>
      <c r="B481" t="s">
        <v>1494</v>
      </c>
      <c r="C481" t="s">
        <v>2015</v>
      </c>
      <c r="D481" t="s">
        <v>2033</v>
      </c>
      <c r="E481" t="s">
        <v>2039</v>
      </c>
      <c r="F481">
        <v>47</v>
      </c>
      <c r="G481" s="1">
        <v>42677</v>
      </c>
      <c r="H481" t="s">
        <v>2042</v>
      </c>
      <c r="I481" s="2">
        <v>50951.83</v>
      </c>
      <c r="J481">
        <v>4</v>
      </c>
      <c r="K481">
        <v>85.78</v>
      </c>
      <c r="L481">
        <v>9</v>
      </c>
      <c r="M481">
        <v>23</v>
      </c>
      <c r="N481">
        <v>7</v>
      </c>
      <c r="O481" t="s">
        <v>2060</v>
      </c>
      <c r="P481" t="s">
        <v>2063</v>
      </c>
      <c r="Q481" s="2">
        <f>Employee_Data[[#This Row],[Monthly Salary]]*12</f>
        <v>611421.96</v>
      </c>
    </row>
    <row r="482" spans="1:17" x14ac:dyDescent="0.25">
      <c r="A482" t="s">
        <v>496</v>
      </c>
      <c r="B482" t="s">
        <v>1495</v>
      </c>
      <c r="C482" t="s">
        <v>2010</v>
      </c>
      <c r="D482" t="s">
        <v>2037</v>
      </c>
      <c r="E482" t="s">
        <v>2038</v>
      </c>
      <c r="F482">
        <v>21</v>
      </c>
      <c r="G482" s="1">
        <v>42500</v>
      </c>
      <c r="H482" t="s">
        <v>2042</v>
      </c>
      <c r="I482" s="2">
        <v>69762.759999999995</v>
      </c>
      <c r="J482">
        <v>4</v>
      </c>
      <c r="K482">
        <v>90.87</v>
      </c>
      <c r="L482">
        <v>9</v>
      </c>
      <c r="M482">
        <v>0</v>
      </c>
      <c r="N482">
        <v>38</v>
      </c>
      <c r="O482" t="s">
        <v>2050</v>
      </c>
      <c r="P482" t="s">
        <v>2062</v>
      </c>
      <c r="Q482" s="2">
        <f>Employee_Data[[#This Row],[Monthly Salary]]*12</f>
        <v>837153.11999999988</v>
      </c>
    </row>
    <row r="483" spans="1:17" x14ac:dyDescent="0.25">
      <c r="A483" t="s">
        <v>497</v>
      </c>
      <c r="B483" t="s">
        <v>1496</v>
      </c>
      <c r="C483" t="s">
        <v>2013</v>
      </c>
      <c r="D483" t="s">
        <v>2022</v>
      </c>
      <c r="E483" t="s">
        <v>2038</v>
      </c>
      <c r="F483">
        <v>49</v>
      </c>
      <c r="G483" s="1">
        <v>44915</v>
      </c>
      <c r="H483" t="s">
        <v>2040</v>
      </c>
      <c r="I483" s="2">
        <v>80121.66</v>
      </c>
      <c r="J483">
        <v>1</v>
      </c>
      <c r="K483">
        <v>84.89</v>
      </c>
      <c r="L483">
        <v>3</v>
      </c>
      <c r="M483">
        <v>70</v>
      </c>
      <c r="N483">
        <v>17</v>
      </c>
      <c r="O483" t="s">
        <v>2058</v>
      </c>
      <c r="P483" t="s">
        <v>2062</v>
      </c>
      <c r="Q483" s="2">
        <f>Employee_Data[[#This Row],[Monthly Salary]]*12</f>
        <v>961459.92</v>
      </c>
    </row>
    <row r="484" spans="1:17" x14ac:dyDescent="0.25">
      <c r="A484" t="s">
        <v>498</v>
      </c>
      <c r="B484" t="s">
        <v>1497</v>
      </c>
      <c r="C484" t="s">
        <v>2014</v>
      </c>
      <c r="D484" t="s">
        <v>2023</v>
      </c>
      <c r="E484" t="s">
        <v>2039</v>
      </c>
      <c r="F484">
        <v>30</v>
      </c>
      <c r="G484" s="1">
        <v>44648</v>
      </c>
      <c r="H484" t="s">
        <v>2040</v>
      </c>
      <c r="I484" s="2">
        <v>85327.69</v>
      </c>
      <c r="J484">
        <v>1</v>
      </c>
      <c r="K484">
        <v>82.91</v>
      </c>
      <c r="L484">
        <v>3</v>
      </c>
      <c r="M484">
        <v>4</v>
      </c>
      <c r="N484">
        <v>42</v>
      </c>
      <c r="O484" t="s">
        <v>2043</v>
      </c>
      <c r="P484" t="s">
        <v>2062</v>
      </c>
      <c r="Q484" s="2">
        <f>Employee_Data[[#This Row],[Monthly Salary]]*12</f>
        <v>1023932.28</v>
      </c>
    </row>
    <row r="485" spans="1:17" x14ac:dyDescent="0.25">
      <c r="A485" t="s">
        <v>499</v>
      </c>
      <c r="B485" t="s">
        <v>1498</v>
      </c>
      <c r="C485" t="s">
        <v>2011</v>
      </c>
      <c r="D485" t="s">
        <v>2035</v>
      </c>
      <c r="E485" t="s">
        <v>2039</v>
      </c>
      <c r="F485">
        <v>24</v>
      </c>
      <c r="G485" s="1">
        <v>45654</v>
      </c>
      <c r="H485" t="s">
        <v>2040</v>
      </c>
      <c r="I485" s="2">
        <v>61695.69</v>
      </c>
      <c r="J485">
        <v>2</v>
      </c>
      <c r="K485">
        <v>83.23</v>
      </c>
      <c r="L485">
        <v>1</v>
      </c>
      <c r="M485">
        <v>36</v>
      </c>
      <c r="N485">
        <v>39</v>
      </c>
      <c r="O485" t="s">
        <v>2058</v>
      </c>
      <c r="P485" t="s">
        <v>2062</v>
      </c>
      <c r="Q485" s="2">
        <f>Employee_Data[[#This Row],[Monthly Salary]]*12</f>
        <v>740348.28</v>
      </c>
    </row>
    <row r="486" spans="1:17" x14ac:dyDescent="0.25">
      <c r="A486" t="s">
        <v>500</v>
      </c>
      <c r="B486" t="s">
        <v>1499</v>
      </c>
      <c r="C486" t="s">
        <v>2015</v>
      </c>
      <c r="D486" t="s">
        <v>2026</v>
      </c>
      <c r="E486" t="s">
        <v>2038</v>
      </c>
      <c r="F486">
        <v>23</v>
      </c>
      <c r="G486" s="1">
        <v>45641</v>
      </c>
      <c r="H486" t="s">
        <v>2040</v>
      </c>
      <c r="I486" s="2">
        <v>96851.199999999997</v>
      </c>
      <c r="J486">
        <v>3</v>
      </c>
      <c r="K486">
        <v>87.37</v>
      </c>
      <c r="L486">
        <v>1</v>
      </c>
      <c r="M486">
        <v>48</v>
      </c>
      <c r="N486">
        <v>52</v>
      </c>
      <c r="O486" t="s">
        <v>2045</v>
      </c>
      <c r="P486" t="s">
        <v>2062</v>
      </c>
      <c r="Q486" s="2">
        <f>Employee_Data[[#This Row],[Monthly Salary]]*12</f>
        <v>1162214.3999999999</v>
      </c>
    </row>
    <row r="487" spans="1:17" x14ac:dyDescent="0.25">
      <c r="A487" t="s">
        <v>501</v>
      </c>
      <c r="B487" t="s">
        <v>1500</v>
      </c>
      <c r="C487" t="s">
        <v>2009</v>
      </c>
      <c r="D487" t="s">
        <v>2030</v>
      </c>
      <c r="E487" t="s">
        <v>2038</v>
      </c>
      <c r="F487">
        <v>29</v>
      </c>
      <c r="G487" s="1">
        <v>42324</v>
      </c>
      <c r="H487" t="s">
        <v>2040</v>
      </c>
      <c r="I487" s="2">
        <v>89461.94</v>
      </c>
      <c r="J487">
        <v>3</v>
      </c>
      <c r="K487">
        <v>86.58</v>
      </c>
      <c r="L487">
        <v>10</v>
      </c>
      <c r="M487">
        <v>52</v>
      </c>
      <c r="N487">
        <v>33</v>
      </c>
      <c r="O487" t="s">
        <v>2059</v>
      </c>
      <c r="P487" t="s">
        <v>2062</v>
      </c>
      <c r="Q487" s="2">
        <f>Employee_Data[[#This Row],[Monthly Salary]]*12</f>
        <v>1073543.28</v>
      </c>
    </row>
    <row r="488" spans="1:17" x14ac:dyDescent="0.25">
      <c r="A488" t="s">
        <v>502</v>
      </c>
      <c r="B488" t="s">
        <v>1501</v>
      </c>
      <c r="C488" t="s">
        <v>2010</v>
      </c>
      <c r="D488" t="s">
        <v>2018</v>
      </c>
      <c r="E488" t="s">
        <v>2039</v>
      </c>
      <c r="F488">
        <v>51</v>
      </c>
      <c r="G488" s="1">
        <v>45686</v>
      </c>
      <c r="H488" t="s">
        <v>2041</v>
      </c>
      <c r="I488" s="2">
        <v>88865.43</v>
      </c>
      <c r="J488">
        <v>3</v>
      </c>
      <c r="K488">
        <v>88.54</v>
      </c>
      <c r="L488">
        <v>0</v>
      </c>
      <c r="M488">
        <v>40</v>
      </c>
      <c r="N488">
        <v>16</v>
      </c>
      <c r="O488" t="s">
        <v>2052</v>
      </c>
      <c r="P488" t="s">
        <v>2062</v>
      </c>
      <c r="Q488" s="2">
        <f>Employee_Data[[#This Row],[Monthly Salary]]*12</f>
        <v>1066385.1599999999</v>
      </c>
    </row>
    <row r="489" spans="1:17" x14ac:dyDescent="0.25">
      <c r="A489" t="s">
        <v>503</v>
      </c>
      <c r="B489" t="s">
        <v>1502</v>
      </c>
      <c r="C489" t="s">
        <v>2012</v>
      </c>
      <c r="D489" t="s">
        <v>2021</v>
      </c>
      <c r="E489" t="s">
        <v>2038</v>
      </c>
      <c r="F489">
        <v>54</v>
      </c>
      <c r="G489" s="1">
        <v>45165</v>
      </c>
      <c r="H489" t="s">
        <v>2041</v>
      </c>
      <c r="I489" s="2">
        <v>83185.759999999995</v>
      </c>
      <c r="J489">
        <v>4</v>
      </c>
      <c r="K489">
        <v>96.16</v>
      </c>
      <c r="L489">
        <v>2</v>
      </c>
      <c r="M489">
        <v>78</v>
      </c>
      <c r="N489">
        <v>14</v>
      </c>
      <c r="O489" t="s">
        <v>2051</v>
      </c>
      <c r="P489" t="s">
        <v>2063</v>
      </c>
      <c r="Q489" s="2">
        <f>Employee_Data[[#This Row],[Monthly Salary]]*12</f>
        <v>998229.11999999988</v>
      </c>
    </row>
    <row r="490" spans="1:17" x14ac:dyDescent="0.25">
      <c r="A490" t="s">
        <v>504</v>
      </c>
      <c r="B490" t="s">
        <v>1503</v>
      </c>
      <c r="C490" t="s">
        <v>2010</v>
      </c>
      <c r="D490" t="s">
        <v>2018</v>
      </c>
      <c r="E490" t="s">
        <v>2039</v>
      </c>
      <c r="F490">
        <v>50</v>
      </c>
      <c r="G490" s="1">
        <v>43004</v>
      </c>
      <c r="H490" t="s">
        <v>2041</v>
      </c>
      <c r="I490" s="2">
        <v>99673.26</v>
      </c>
      <c r="J490">
        <v>2</v>
      </c>
      <c r="K490">
        <v>95.99</v>
      </c>
      <c r="L490">
        <v>8</v>
      </c>
      <c r="M490">
        <v>53</v>
      </c>
      <c r="N490">
        <v>26</v>
      </c>
      <c r="O490" t="s">
        <v>2049</v>
      </c>
      <c r="P490" t="s">
        <v>2062</v>
      </c>
      <c r="Q490" s="2">
        <f>Employee_Data[[#This Row],[Monthly Salary]]*12</f>
        <v>1196079.1199999999</v>
      </c>
    </row>
    <row r="491" spans="1:17" x14ac:dyDescent="0.25">
      <c r="A491" t="s">
        <v>505</v>
      </c>
      <c r="B491" t="s">
        <v>1504</v>
      </c>
      <c r="C491" t="s">
        <v>2014</v>
      </c>
      <c r="D491" t="s">
        <v>2023</v>
      </c>
      <c r="E491" t="s">
        <v>2039</v>
      </c>
      <c r="F491">
        <v>39</v>
      </c>
      <c r="G491" s="1">
        <v>42400</v>
      </c>
      <c r="H491" t="s">
        <v>2042</v>
      </c>
      <c r="I491" s="2">
        <v>99019.55</v>
      </c>
      <c r="J491">
        <v>3</v>
      </c>
      <c r="K491">
        <v>86.01</v>
      </c>
      <c r="L491">
        <v>9</v>
      </c>
      <c r="M491">
        <v>70</v>
      </c>
      <c r="N491">
        <v>20</v>
      </c>
      <c r="O491" t="s">
        <v>2057</v>
      </c>
      <c r="P491" t="s">
        <v>2062</v>
      </c>
      <c r="Q491" s="2">
        <f>Employee_Data[[#This Row],[Monthly Salary]]*12</f>
        <v>1188234.6000000001</v>
      </c>
    </row>
    <row r="492" spans="1:17" x14ac:dyDescent="0.25">
      <c r="A492" t="s">
        <v>506</v>
      </c>
      <c r="B492" t="s">
        <v>1505</v>
      </c>
      <c r="C492" t="s">
        <v>2012</v>
      </c>
      <c r="D492" t="s">
        <v>2020</v>
      </c>
      <c r="E492" t="s">
        <v>2038</v>
      </c>
      <c r="F492">
        <v>57</v>
      </c>
      <c r="G492" s="1">
        <v>45077</v>
      </c>
      <c r="H492" t="s">
        <v>2041</v>
      </c>
      <c r="I492" s="2">
        <v>116011.28</v>
      </c>
      <c r="J492">
        <v>2</v>
      </c>
      <c r="K492">
        <v>83.88</v>
      </c>
      <c r="L492">
        <v>2</v>
      </c>
      <c r="M492">
        <v>43</v>
      </c>
      <c r="N492">
        <v>59</v>
      </c>
      <c r="O492" t="s">
        <v>2050</v>
      </c>
      <c r="P492" t="s">
        <v>2063</v>
      </c>
      <c r="Q492" s="2">
        <f>Employee_Data[[#This Row],[Monthly Salary]]*12</f>
        <v>1392135.3599999999</v>
      </c>
    </row>
    <row r="493" spans="1:17" x14ac:dyDescent="0.25">
      <c r="A493" t="s">
        <v>507</v>
      </c>
      <c r="B493" t="s">
        <v>1506</v>
      </c>
      <c r="C493" t="s">
        <v>2010</v>
      </c>
      <c r="D493" t="s">
        <v>2037</v>
      </c>
      <c r="E493" t="s">
        <v>2039</v>
      </c>
      <c r="F493">
        <v>51</v>
      </c>
      <c r="G493" s="1">
        <v>42577</v>
      </c>
      <c r="H493" t="s">
        <v>2040</v>
      </c>
      <c r="I493" s="2">
        <v>82720.05</v>
      </c>
      <c r="J493">
        <v>5</v>
      </c>
      <c r="K493">
        <v>97.92</v>
      </c>
      <c r="L493">
        <v>9</v>
      </c>
      <c r="M493">
        <v>59</v>
      </c>
      <c r="N493">
        <v>50</v>
      </c>
      <c r="O493" t="s">
        <v>1505</v>
      </c>
      <c r="P493" t="s">
        <v>2063</v>
      </c>
      <c r="Q493" s="2">
        <f>Employee_Data[[#This Row],[Monthly Salary]]*12</f>
        <v>992640.60000000009</v>
      </c>
    </row>
    <row r="494" spans="1:17" x14ac:dyDescent="0.25">
      <c r="A494" t="s">
        <v>508</v>
      </c>
      <c r="B494" t="s">
        <v>1507</v>
      </c>
      <c r="C494" t="s">
        <v>2010</v>
      </c>
      <c r="D494" t="s">
        <v>2037</v>
      </c>
      <c r="E494" t="s">
        <v>2038</v>
      </c>
      <c r="F494">
        <v>57</v>
      </c>
      <c r="G494" s="1">
        <v>42653</v>
      </c>
      <c r="H494" t="s">
        <v>2041</v>
      </c>
      <c r="I494" s="2">
        <v>87819.76</v>
      </c>
      <c r="J494">
        <v>5</v>
      </c>
      <c r="K494">
        <v>90.72</v>
      </c>
      <c r="L494">
        <v>9</v>
      </c>
      <c r="M494">
        <v>26</v>
      </c>
      <c r="N494">
        <v>36</v>
      </c>
      <c r="O494" t="s">
        <v>2054</v>
      </c>
      <c r="P494" t="s">
        <v>2062</v>
      </c>
      <c r="Q494" s="2">
        <f>Employee_Data[[#This Row],[Monthly Salary]]*12</f>
        <v>1053837.1199999999</v>
      </c>
    </row>
    <row r="495" spans="1:17" x14ac:dyDescent="0.25">
      <c r="A495" t="s">
        <v>509</v>
      </c>
      <c r="B495" t="s">
        <v>1508</v>
      </c>
      <c r="C495" t="s">
        <v>2012</v>
      </c>
      <c r="D495" t="s">
        <v>2021</v>
      </c>
      <c r="E495" t="s">
        <v>2039</v>
      </c>
      <c r="F495">
        <v>38</v>
      </c>
      <c r="G495" s="1">
        <v>45882</v>
      </c>
      <c r="H495" t="s">
        <v>2040</v>
      </c>
      <c r="I495" s="2">
        <v>53915.24</v>
      </c>
      <c r="J495">
        <v>4</v>
      </c>
      <c r="K495">
        <v>92.53</v>
      </c>
      <c r="L495">
        <v>0</v>
      </c>
      <c r="M495">
        <v>21</v>
      </c>
      <c r="N495">
        <v>36</v>
      </c>
      <c r="O495" t="s">
        <v>2058</v>
      </c>
      <c r="P495" t="s">
        <v>2062</v>
      </c>
      <c r="Q495" s="2">
        <f>Employee_Data[[#This Row],[Monthly Salary]]*12</f>
        <v>646982.88</v>
      </c>
    </row>
    <row r="496" spans="1:17" x14ac:dyDescent="0.25">
      <c r="A496" t="s">
        <v>510</v>
      </c>
      <c r="B496" t="s">
        <v>1509</v>
      </c>
      <c r="C496" t="s">
        <v>2009</v>
      </c>
      <c r="D496" t="s">
        <v>2030</v>
      </c>
      <c r="E496" t="s">
        <v>2038</v>
      </c>
      <c r="F496">
        <v>23</v>
      </c>
      <c r="G496" s="1">
        <v>44295</v>
      </c>
      <c r="H496" t="s">
        <v>2042</v>
      </c>
      <c r="I496" s="2">
        <v>61386.96</v>
      </c>
      <c r="J496">
        <v>4</v>
      </c>
      <c r="K496">
        <v>97.54</v>
      </c>
      <c r="L496">
        <v>4</v>
      </c>
      <c r="M496">
        <v>47</v>
      </c>
      <c r="N496">
        <v>28</v>
      </c>
      <c r="O496" t="s">
        <v>2051</v>
      </c>
      <c r="P496" t="s">
        <v>2062</v>
      </c>
      <c r="Q496" s="2">
        <f>Employee_Data[[#This Row],[Monthly Salary]]*12</f>
        <v>736643.52</v>
      </c>
    </row>
    <row r="497" spans="1:17" x14ac:dyDescent="0.25">
      <c r="A497" t="s">
        <v>511</v>
      </c>
      <c r="B497" t="s">
        <v>1510</v>
      </c>
      <c r="C497" t="s">
        <v>2011</v>
      </c>
      <c r="D497" t="s">
        <v>2019</v>
      </c>
      <c r="E497" t="s">
        <v>2039</v>
      </c>
      <c r="F497">
        <v>44</v>
      </c>
      <c r="G497" s="1">
        <v>45541</v>
      </c>
      <c r="H497" t="s">
        <v>2040</v>
      </c>
      <c r="I497" s="2">
        <v>97779.04</v>
      </c>
      <c r="J497">
        <v>1</v>
      </c>
      <c r="K497">
        <v>88.88</v>
      </c>
      <c r="L497">
        <v>1</v>
      </c>
      <c r="M497">
        <v>3</v>
      </c>
      <c r="N497">
        <v>51</v>
      </c>
      <c r="O497" t="s">
        <v>2050</v>
      </c>
      <c r="P497" t="s">
        <v>2063</v>
      </c>
      <c r="Q497" s="2">
        <f>Employee_Data[[#This Row],[Monthly Salary]]*12</f>
        <v>1173348.48</v>
      </c>
    </row>
    <row r="498" spans="1:17" x14ac:dyDescent="0.25">
      <c r="A498" t="s">
        <v>512</v>
      </c>
      <c r="B498" t="s">
        <v>1511</v>
      </c>
      <c r="C498" t="s">
        <v>2015</v>
      </c>
      <c r="D498" t="s">
        <v>2033</v>
      </c>
      <c r="E498" t="s">
        <v>2038</v>
      </c>
      <c r="F498">
        <v>51</v>
      </c>
      <c r="G498" s="1">
        <v>43391</v>
      </c>
      <c r="H498" t="s">
        <v>2041</v>
      </c>
      <c r="I498" s="2">
        <v>107387.91</v>
      </c>
      <c r="J498">
        <v>3</v>
      </c>
      <c r="K498">
        <v>95.51</v>
      </c>
      <c r="L498">
        <v>7</v>
      </c>
      <c r="M498">
        <v>18</v>
      </c>
      <c r="N498">
        <v>49</v>
      </c>
      <c r="O498" t="s">
        <v>2047</v>
      </c>
      <c r="P498" t="s">
        <v>2062</v>
      </c>
      <c r="Q498" s="2">
        <f>Employee_Data[[#This Row],[Monthly Salary]]*12</f>
        <v>1288654.92</v>
      </c>
    </row>
    <row r="499" spans="1:17" x14ac:dyDescent="0.25">
      <c r="A499" t="s">
        <v>513</v>
      </c>
      <c r="B499" t="s">
        <v>1512</v>
      </c>
      <c r="C499" t="s">
        <v>2015</v>
      </c>
      <c r="D499" t="s">
        <v>2033</v>
      </c>
      <c r="E499" t="s">
        <v>2039</v>
      </c>
      <c r="F499">
        <v>50</v>
      </c>
      <c r="G499" s="1">
        <v>44443</v>
      </c>
      <c r="H499" t="s">
        <v>2042</v>
      </c>
      <c r="I499" s="2">
        <v>91367.74</v>
      </c>
      <c r="J499">
        <v>5</v>
      </c>
      <c r="K499">
        <v>82.32</v>
      </c>
      <c r="L499">
        <v>4</v>
      </c>
      <c r="M499">
        <v>39</v>
      </c>
      <c r="N499">
        <v>59</v>
      </c>
      <c r="O499" t="s">
        <v>2049</v>
      </c>
      <c r="P499" t="s">
        <v>2062</v>
      </c>
      <c r="Q499" s="2">
        <f>Employee_Data[[#This Row],[Monthly Salary]]*12</f>
        <v>1096412.8800000001</v>
      </c>
    </row>
    <row r="500" spans="1:17" x14ac:dyDescent="0.25">
      <c r="A500" t="s">
        <v>514</v>
      </c>
      <c r="B500" t="s">
        <v>1513</v>
      </c>
      <c r="C500" t="s">
        <v>2009</v>
      </c>
      <c r="D500" t="s">
        <v>2030</v>
      </c>
      <c r="E500" t="s">
        <v>2038</v>
      </c>
      <c r="F500">
        <v>23</v>
      </c>
      <c r="G500" s="1">
        <v>44283</v>
      </c>
      <c r="H500" t="s">
        <v>2040</v>
      </c>
      <c r="I500" s="2">
        <v>72057.77</v>
      </c>
      <c r="J500">
        <v>3</v>
      </c>
      <c r="K500">
        <v>80.45</v>
      </c>
      <c r="L500">
        <v>4</v>
      </c>
      <c r="M500">
        <v>39</v>
      </c>
      <c r="N500">
        <v>40</v>
      </c>
      <c r="O500" t="s">
        <v>2059</v>
      </c>
      <c r="P500" t="s">
        <v>2062</v>
      </c>
      <c r="Q500" s="2">
        <f>Employee_Data[[#This Row],[Monthly Salary]]*12</f>
        <v>864693.24</v>
      </c>
    </row>
    <row r="501" spans="1:17" x14ac:dyDescent="0.25">
      <c r="A501" t="s">
        <v>515</v>
      </c>
      <c r="B501" t="s">
        <v>1514</v>
      </c>
      <c r="C501" t="s">
        <v>2014</v>
      </c>
      <c r="D501" t="s">
        <v>2029</v>
      </c>
      <c r="E501" t="s">
        <v>2038</v>
      </c>
      <c r="F501">
        <v>55</v>
      </c>
      <c r="G501" s="1">
        <v>43445</v>
      </c>
      <c r="H501" t="s">
        <v>2042</v>
      </c>
      <c r="I501" s="2">
        <v>97278.71</v>
      </c>
      <c r="J501">
        <v>1</v>
      </c>
      <c r="K501">
        <v>85.45</v>
      </c>
      <c r="L501">
        <v>7</v>
      </c>
      <c r="M501">
        <v>20</v>
      </c>
      <c r="N501">
        <v>17</v>
      </c>
      <c r="O501" t="s">
        <v>2047</v>
      </c>
      <c r="P501" t="s">
        <v>2062</v>
      </c>
      <c r="Q501" s="2">
        <f>Employee_Data[[#This Row],[Monthly Salary]]*12</f>
        <v>1167344.52</v>
      </c>
    </row>
    <row r="502" spans="1:17" x14ac:dyDescent="0.25">
      <c r="A502" t="s">
        <v>516</v>
      </c>
      <c r="B502" t="s">
        <v>1515</v>
      </c>
      <c r="C502" t="s">
        <v>2009</v>
      </c>
      <c r="D502" t="s">
        <v>2017</v>
      </c>
      <c r="E502" t="s">
        <v>2038</v>
      </c>
      <c r="F502">
        <v>56</v>
      </c>
      <c r="G502" s="1">
        <v>44171</v>
      </c>
      <c r="H502" t="s">
        <v>2042</v>
      </c>
      <c r="I502" s="2">
        <v>47105.21</v>
      </c>
      <c r="J502">
        <v>3</v>
      </c>
      <c r="K502">
        <v>91.48</v>
      </c>
      <c r="L502">
        <v>5</v>
      </c>
      <c r="M502">
        <v>21</v>
      </c>
      <c r="N502">
        <v>4</v>
      </c>
      <c r="O502" t="s">
        <v>2051</v>
      </c>
      <c r="P502" t="s">
        <v>2062</v>
      </c>
      <c r="Q502" s="2">
        <f>Employee_Data[[#This Row],[Monthly Salary]]*12</f>
        <v>565262.52</v>
      </c>
    </row>
    <row r="503" spans="1:17" x14ac:dyDescent="0.25">
      <c r="A503" t="s">
        <v>517</v>
      </c>
      <c r="B503" t="s">
        <v>1516</v>
      </c>
      <c r="C503" t="s">
        <v>2012</v>
      </c>
      <c r="D503" t="s">
        <v>2020</v>
      </c>
      <c r="E503" t="s">
        <v>2039</v>
      </c>
      <c r="F503">
        <v>29</v>
      </c>
      <c r="G503" s="1">
        <v>42661</v>
      </c>
      <c r="H503" t="s">
        <v>2040</v>
      </c>
      <c r="I503" s="2">
        <v>67073.56</v>
      </c>
      <c r="J503">
        <v>1</v>
      </c>
      <c r="K503">
        <v>82.12</v>
      </c>
      <c r="L503">
        <v>9</v>
      </c>
      <c r="M503">
        <v>6</v>
      </c>
      <c r="N503">
        <v>5</v>
      </c>
      <c r="O503" t="s">
        <v>1505</v>
      </c>
      <c r="P503" t="s">
        <v>2062</v>
      </c>
      <c r="Q503" s="2">
        <f>Employee_Data[[#This Row],[Monthly Salary]]*12</f>
        <v>804882.72</v>
      </c>
    </row>
    <row r="504" spans="1:17" x14ac:dyDescent="0.25">
      <c r="A504" t="s">
        <v>518</v>
      </c>
      <c r="B504" t="s">
        <v>1517</v>
      </c>
      <c r="C504" t="s">
        <v>2013</v>
      </c>
      <c r="D504" t="s">
        <v>2022</v>
      </c>
      <c r="E504" t="s">
        <v>2038</v>
      </c>
      <c r="F504">
        <v>42</v>
      </c>
      <c r="G504" s="1">
        <v>43136</v>
      </c>
      <c r="H504" t="s">
        <v>2040</v>
      </c>
      <c r="I504" s="2">
        <v>91289.87</v>
      </c>
      <c r="J504">
        <v>5</v>
      </c>
      <c r="K504">
        <v>81.569999999999993</v>
      </c>
      <c r="L504">
        <v>7</v>
      </c>
      <c r="M504">
        <v>59</v>
      </c>
      <c r="N504">
        <v>36</v>
      </c>
      <c r="O504" t="s">
        <v>2060</v>
      </c>
      <c r="P504" t="s">
        <v>2062</v>
      </c>
      <c r="Q504" s="2">
        <f>Employee_Data[[#This Row],[Monthly Salary]]*12</f>
        <v>1095478.44</v>
      </c>
    </row>
    <row r="505" spans="1:17" x14ac:dyDescent="0.25">
      <c r="A505" t="s">
        <v>519</v>
      </c>
      <c r="B505" t="s">
        <v>1518</v>
      </c>
      <c r="C505" t="s">
        <v>2013</v>
      </c>
      <c r="D505" t="s">
        <v>2025</v>
      </c>
      <c r="E505" t="s">
        <v>2038</v>
      </c>
      <c r="F505">
        <v>40</v>
      </c>
      <c r="G505" s="1">
        <v>42794</v>
      </c>
      <c r="H505" t="s">
        <v>2041</v>
      </c>
      <c r="I505" s="2">
        <v>84441.86</v>
      </c>
      <c r="J505">
        <v>4</v>
      </c>
      <c r="K505">
        <v>89.41</v>
      </c>
      <c r="L505">
        <v>8</v>
      </c>
      <c r="M505">
        <v>28</v>
      </c>
      <c r="N505">
        <v>9</v>
      </c>
      <c r="O505" t="s">
        <v>2058</v>
      </c>
      <c r="P505" t="s">
        <v>2062</v>
      </c>
      <c r="Q505" s="2">
        <f>Employee_Data[[#This Row],[Monthly Salary]]*12</f>
        <v>1013302.3200000001</v>
      </c>
    </row>
    <row r="506" spans="1:17" x14ac:dyDescent="0.25">
      <c r="A506" t="s">
        <v>520</v>
      </c>
      <c r="B506" t="s">
        <v>1519</v>
      </c>
      <c r="C506" t="s">
        <v>2012</v>
      </c>
      <c r="D506" t="s">
        <v>2020</v>
      </c>
      <c r="E506" t="s">
        <v>2039</v>
      </c>
      <c r="F506">
        <v>42</v>
      </c>
      <c r="G506" s="1">
        <v>43486</v>
      </c>
      <c r="H506" t="s">
        <v>2042</v>
      </c>
      <c r="I506" s="2">
        <v>65328.31</v>
      </c>
      <c r="J506">
        <v>1</v>
      </c>
      <c r="K506">
        <v>81.31</v>
      </c>
      <c r="L506">
        <v>6</v>
      </c>
      <c r="M506">
        <v>14</v>
      </c>
      <c r="N506">
        <v>22</v>
      </c>
      <c r="O506" t="s">
        <v>2050</v>
      </c>
      <c r="P506" t="s">
        <v>2062</v>
      </c>
      <c r="Q506" s="2">
        <f>Employee_Data[[#This Row],[Monthly Salary]]*12</f>
        <v>783939.72</v>
      </c>
    </row>
    <row r="507" spans="1:17" x14ac:dyDescent="0.25">
      <c r="A507" t="s">
        <v>521</v>
      </c>
      <c r="B507" t="s">
        <v>1520</v>
      </c>
      <c r="C507" t="s">
        <v>2015</v>
      </c>
      <c r="D507" t="s">
        <v>2026</v>
      </c>
      <c r="E507" t="s">
        <v>2038</v>
      </c>
      <c r="F507">
        <v>59</v>
      </c>
      <c r="G507" s="1">
        <v>42548</v>
      </c>
      <c r="H507" t="s">
        <v>2041</v>
      </c>
      <c r="I507" s="2">
        <v>32739.4</v>
      </c>
      <c r="J507">
        <v>1</v>
      </c>
      <c r="K507">
        <v>88.11</v>
      </c>
      <c r="L507">
        <v>9</v>
      </c>
      <c r="M507">
        <v>13</v>
      </c>
      <c r="N507">
        <v>20</v>
      </c>
      <c r="O507" t="s">
        <v>2046</v>
      </c>
      <c r="P507" t="s">
        <v>2062</v>
      </c>
      <c r="Q507" s="2">
        <f>Employee_Data[[#This Row],[Monthly Salary]]*12</f>
        <v>392872.80000000005</v>
      </c>
    </row>
    <row r="508" spans="1:17" x14ac:dyDescent="0.25">
      <c r="A508" t="s">
        <v>522</v>
      </c>
      <c r="B508" t="s">
        <v>1521</v>
      </c>
      <c r="C508" t="s">
        <v>2011</v>
      </c>
      <c r="D508" t="s">
        <v>2031</v>
      </c>
      <c r="E508" t="s">
        <v>2038</v>
      </c>
      <c r="F508">
        <v>46</v>
      </c>
      <c r="G508" s="1">
        <v>45775</v>
      </c>
      <c r="H508" t="s">
        <v>2041</v>
      </c>
      <c r="I508" s="2">
        <v>61344.19</v>
      </c>
      <c r="J508">
        <v>5</v>
      </c>
      <c r="K508">
        <v>84.87</v>
      </c>
      <c r="L508">
        <v>0</v>
      </c>
      <c r="M508">
        <v>20</v>
      </c>
      <c r="N508">
        <v>30</v>
      </c>
      <c r="O508" t="s">
        <v>2061</v>
      </c>
      <c r="P508" t="s">
        <v>2062</v>
      </c>
      <c r="Q508" s="2">
        <f>Employee_Data[[#This Row],[Monthly Salary]]*12</f>
        <v>736130.28</v>
      </c>
    </row>
    <row r="509" spans="1:17" x14ac:dyDescent="0.25">
      <c r="A509" t="s">
        <v>523</v>
      </c>
      <c r="B509" t="s">
        <v>1522</v>
      </c>
      <c r="C509" t="s">
        <v>2014</v>
      </c>
      <c r="D509" t="s">
        <v>2028</v>
      </c>
      <c r="E509" t="s">
        <v>2038</v>
      </c>
      <c r="F509">
        <v>48</v>
      </c>
      <c r="G509" s="1">
        <v>44186</v>
      </c>
      <c r="H509" t="s">
        <v>2041</v>
      </c>
      <c r="I509" s="2">
        <v>98732.68</v>
      </c>
      <c r="J509">
        <v>5</v>
      </c>
      <c r="K509">
        <v>93.88</v>
      </c>
      <c r="L509">
        <v>5</v>
      </c>
      <c r="M509">
        <v>22</v>
      </c>
      <c r="N509">
        <v>42</v>
      </c>
      <c r="O509" t="s">
        <v>2045</v>
      </c>
      <c r="P509" t="s">
        <v>2062</v>
      </c>
      <c r="Q509" s="2">
        <f>Employee_Data[[#This Row],[Monthly Salary]]*12</f>
        <v>1184792.1599999999</v>
      </c>
    </row>
    <row r="510" spans="1:17" x14ac:dyDescent="0.25">
      <c r="A510" t="s">
        <v>524</v>
      </c>
      <c r="B510" t="s">
        <v>1523</v>
      </c>
      <c r="C510" t="s">
        <v>2013</v>
      </c>
      <c r="D510" t="s">
        <v>2025</v>
      </c>
      <c r="E510" t="s">
        <v>2038</v>
      </c>
      <c r="F510">
        <v>41</v>
      </c>
      <c r="G510" s="1">
        <v>43031</v>
      </c>
      <c r="H510" t="s">
        <v>2041</v>
      </c>
      <c r="I510" s="2">
        <v>29765.39</v>
      </c>
      <c r="J510">
        <v>4</v>
      </c>
      <c r="K510">
        <v>83.52</v>
      </c>
      <c r="L510">
        <v>8</v>
      </c>
      <c r="M510">
        <v>51</v>
      </c>
      <c r="N510">
        <v>4</v>
      </c>
      <c r="O510" t="s">
        <v>2058</v>
      </c>
      <c r="P510" t="s">
        <v>2062</v>
      </c>
      <c r="Q510" s="2">
        <f>Employee_Data[[#This Row],[Monthly Salary]]*12</f>
        <v>357184.68</v>
      </c>
    </row>
    <row r="511" spans="1:17" x14ac:dyDescent="0.25">
      <c r="A511" t="s">
        <v>525</v>
      </c>
      <c r="B511" t="s">
        <v>1524</v>
      </c>
      <c r="C511" t="s">
        <v>2016</v>
      </c>
      <c r="D511" t="s">
        <v>2034</v>
      </c>
      <c r="E511" t="s">
        <v>2038</v>
      </c>
      <c r="F511">
        <v>24</v>
      </c>
      <c r="G511" s="1">
        <v>43573</v>
      </c>
      <c r="H511" t="s">
        <v>2040</v>
      </c>
      <c r="I511" s="2">
        <v>41761.18</v>
      </c>
      <c r="J511">
        <v>2</v>
      </c>
      <c r="K511">
        <v>97.75</v>
      </c>
      <c r="L511">
        <v>6</v>
      </c>
      <c r="M511">
        <v>0</v>
      </c>
      <c r="N511">
        <v>48</v>
      </c>
      <c r="O511" t="s">
        <v>2060</v>
      </c>
      <c r="P511" t="s">
        <v>2062</v>
      </c>
      <c r="Q511" s="2">
        <f>Employee_Data[[#This Row],[Monthly Salary]]*12</f>
        <v>501134.16000000003</v>
      </c>
    </row>
    <row r="512" spans="1:17" x14ac:dyDescent="0.25">
      <c r="A512" t="s">
        <v>526</v>
      </c>
      <c r="B512" t="s">
        <v>1525</v>
      </c>
      <c r="C512" t="s">
        <v>2013</v>
      </c>
      <c r="D512" t="s">
        <v>2022</v>
      </c>
      <c r="E512" t="s">
        <v>2038</v>
      </c>
      <c r="F512">
        <v>60</v>
      </c>
      <c r="G512" s="1">
        <v>44061</v>
      </c>
      <c r="H512" t="s">
        <v>2041</v>
      </c>
      <c r="I512" s="2">
        <v>64715.98</v>
      </c>
      <c r="J512">
        <v>2</v>
      </c>
      <c r="K512">
        <v>93.63</v>
      </c>
      <c r="L512">
        <v>5</v>
      </c>
      <c r="M512">
        <v>40</v>
      </c>
      <c r="N512">
        <v>19</v>
      </c>
      <c r="O512" t="s">
        <v>2043</v>
      </c>
      <c r="P512" t="s">
        <v>2062</v>
      </c>
      <c r="Q512" s="2">
        <f>Employee_Data[[#This Row],[Monthly Salary]]*12</f>
        <v>776591.76</v>
      </c>
    </row>
    <row r="513" spans="1:17" x14ac:dyDescent="0.25">
      <c r="A513" t="s">
        <v>527</v>
      </c>
      <c r="B513" t="s">
        <v>1526</v>
      </c>
      <c r="C513" t="s">
        <v>2011</v>
      </c>
      <c r="D513" t="s">
        <v>2035</v>
      </c>
      <c r="E513" t="s">
        <v>2038</v>
      </c>
      <c r="F513">
        <v>26</v>
      </c>
      <c r="G513" s="1">
        <v>43928</v>
      </c>
      <c r="H513" t="s">
        <v>2041</v>
      </c>
      <c r="I513" s="2">
        <v>20811.93</v>
      </c>
      <c r="J513">
        <v>5</v>
      </c>
      <c r="K513">
        <v>88.08</v>
      </c>
      <c r="L513">
        <v>5</v>
      </c>
      <c r="M513">
        <v>16</v>
      </c>
      <c r="N513">
        <v>54</v>
      </c>
      <c r="O513" t="s">
        <v>2051</v>
      </c>
      <c r="P513" t="s">
        <v>2062</v>
      </c>
      <c r="Q513" s="2">
        <f>Employee_Data[[#This Row],[Monthly Salary]]*12</f>
        <v>249743.16</v>
      </c>
    </row>
    <row r="514" spans="1:17" x14ac:dyDescent="0.25">
      <c r="A514" t="s">
        <v>528</v>
      </c>
      <c r="B514" t="s">
        <v>1527</v>
      </c>
      <c r="C514" t="s">
        <v>2010</v>
      </c>
      <c r="D514" t="s">
        <v>2018</v>
      </c>
      <c r="E514" t="s">
        <v>2038</v>
      </c>
      <c r="F514">
        <v>28</v>
      </c>
      <c r="G514" s="1">
        <v>45220</v>
      </c>
      <c r="H514" t="s">
        <v>2042</v>
      </c>
      <c r="I514" s="2">
        <v>106567.96</v>
      </c>
      <c r="J514">
        <v>2</v>
      </c>
      <c r="K514">
        <v>88.63</v>
      </c>
      <c r="L514">
        <v>2</v>
      </c>
      <c r="M514">
        <v>75</v>
      </c>
      <c r="N514">
        <v>25</v>
      </c>
      <c r="O514" t="s">
        <v>2054</v>
      </c>
      <c r="P514" t="s">
        <v>2062</v>
      </c>
      <c r="Q514" s="2">
        <f>Employee_Data[[#This Row],[Monthly Salary]]*12</f>
        <v>1278815.52</v>
      </c>
    </row>
    <row r="515" spans="1:17" x14ac:dyDescent="0.25">
      <c r="A515" t="s">
        <v>529</v>
      </c>
      <c r="B515" t="s">
        <v>1528</v>
      </c>
      <c r="C515" t="s">
        <v>2016</v>
      </c>
      <c r="D515" t="s">
        <v>2034</v>
      </c>
      <c r="E515" t="s">
        <v>2038</v>
      </c>
      <c r="F515">
        <v>55</v>
      </c>
      <c r="G515" s="1">
        <v>44247</v>
      </c>
      <c r="H515" t="s">
        <v>2040</v>
      </c>
      <c r="I515" s="2">
        <v>86248.76</v>
      </c>
      <c r="J515">
        <v>4</v>
      </c>
      <c r="K515">
        <v>82.78</v>
      </c>
      <c r="L515">
        <v>4</v>
      </c>
      <c r="M515">
        <v>71</v>
      </c>
      <c r="N515">
        <v>24</v>
      </c>
      <c r="O515" t="s">
        <v>2053</v>
      </c>
      <c r="P515" t="s">
        <v>2062</v>
      </c>
      <c r="Q515" s="2">
        <f>Employee_Data[[#This Row],[Monthly Salary]]*12</f>
        <v>1034985.1199999999</v>
      </c>
    </row>
    <row r="516" spans="1:17" x14ac:dyDescent="0.25">
      <c r="A516" t="s">
        <v>530</v>
      </c>
      <c r="B516" t="s">
        <v>1529</v>
      </c>
      <c r="C516" t="s">
        <v>2015</v>
      </c>
      <c r="D516" t="s">
        <v>2026</v>
      </c>
      <c r="E516" t="s">
        <v>2039</v>
      </c>
      <c r="F516">
        <v>29</v>
      </c>
      <c r="G516" s="1">
        <v>43209</v>
      </c>
      <c r="H516" t="s">
        <v>2040</v>
      </c>
      <c r="I516" s="2">
        <v>27174.6</v>
      </c>
      <c r="J516">
        <v>1</v>
      </c>
      <c r="K516">
        <v>82.88</v>
      </c>
      <c r="L516">
        <v>7</v>
      </c>
      <c r="M516">
        <v>62</v>
      </c>
      <c r="N516">
        <v>42</v>
      </c>
      <c r="O516" t="s">
        <v>1505</v>
      </c>
      <c r="P516" t="s">
        <v>2063</v>
      </c>
      <c r="Q516" s="2">
        <f>Employee_Data[[#This Row],[Monthly Salary]]*12</f>
        <v>326095.19999999995</v>
      </c>
    </row>
    <row r="517" spans="1:17" x14ac:dyDescent="0.25">
      <c r="A517" t="s">
        <v>531</v>
      </c>
      <c r="B517" t="s">
        <v>1530</v>
      </c>
      <c r="C517" t="s">
        <v>2015</v>
      </c>
      <c r="D517" t="s">
        <v>2033</v>
      </c>
      <c r="E517" t="s">
        <v>2039</v>
      </c>
      <c r="F517">
        <v>47</v>
      </c>
      <c r="G517" s="1">
        <v>44897</v>
      </c>
      <c r="H517" t="s">
        <v>2042</v>
      </c>
      <c r="I517" s="2">
        <v>109358.25</v>
      </c>
      <c r="J517">
        <v>5</v>
      </c>
      <c r="K517">
        <v>98.61</v>
      </c>
      <c r="L517">
        <v>3</v>
      </c>
      <c r="M517">
        <v>79</v>
      </c>
      <c r="N517">
        <v>11</v>
      </c>
      <c r="O517" t="s">
        <v>2056</v>
      </c>
      <c r="P517" t="s">
        <v>2062</v>
      </c>
      <c r="Q517" s="2">
        <f>Employee_Data[[#This Row],[Monthly Salary]]*12</f>
        <v>1312299</v>
      </c>
    </row>
    <row r="518" spans="1:17" x14ac:dyDescent="0.25">
      <c r="A518" t="s">
        <v>532</v>
      </c>
      <c r="B518" t="s">
        <v>1531</v>
      </c>
      <c r="C518" t="s">
        <v>2013</v>
      </c>
      <c r="D518" t="s">
        <v>2022</v>
      </c>
      <c r="E518" t="s">
        <v>2038</v>
      </c>
      <c r="F518">
        <v>35</v>
      </c>
      <c r="G518" s="1">
        <v>45843</v>
      </c>
      <c r="H518" t="s">
        <v>2040</v>
      </c>
      <c r="I518" s="2">
        <v>62477.19</v>
      </c>
      <c r="J518">
        <v>1</v>
      </c>
      <c r="K518">
        <v>91.56</v>
      </c>
      <c r="L518">
        <v>0</v>
      </c>
      <c r="M518">
        <v>30</v>
      </c>
      <c r="N518">
        <v>45</v>
      </c>
      <c r="O518" t="s">
        <v>2052</v>
      </c>
      <c r="P518" t="s">
        <v>2062</v>
      </c>
      <c r="Q518" s="2">
        <f>Employee_Data[[#This Row],[Monthly Salary]]*12</f>
        <v>749726.28</v>
      </c>
    </row>
    <row r="519" spans="1:17" x14ac:dyDescent="0.25">
      <c r="A519" t="s">
        <v>533</v>
      </c>
      <c r="B519" t="s">
        <v>1532</v>
      </c>
      <c r="C519" t="s">
        <v>2012</v>
      </c>
      <c r="D519" t="s">
        <v>2021</v>
      </c>
      <c r="E519" t="s">
        <v>2039</v>
      </c>
      <c r="F519">
        <v>57</v>
      </c>
      <c r="G519" s="1">
        <v>44400</v>
      </c>
      <c r="H519" t="s">
        <v>2042</v>
      </c>
      <c r="I519" s="2">
        <v>90488.25</v>
      </c>
      <c r="J519">
        <v>1</v>
      </c>
      <c r="K519">
        <v>91.61</v>
      </c>
      <c r="L519">
        <v>4</v>
      </c>
      <c r="M519">
        <v>10</v>
      </c>
      <c r="N519">
        <v>9</v>
      </c>
      <c r="O519" t="s">
        <v>2052</v>
      </c>
      <c r="P519" t="s">
        <v>2063</v>
      </c>
      <c r="Q519" s="2">
        <f>Employee_Data[[#This Row],[Monthly Salary]]*12</f>
        <v>1085859</v>
      </c>
    </row>
    <row r="520" spans="1:17" x14ac:dyDescent="0.25">
      <c r="A520" t="s">
        <v>534</v>
      </c>
      <c r="B520" t="s">
        <v>1533</v>
      </c>
      <c r="C520" t="s">
        <v>2011</v>
      </c>
      <c r="D520" t="s">
        <v>2035</v>
      </c>
      <c r="E520" t="s">
        <v>2039</v>
      </c>
      <c r="F520">
        <v>54</v>
      </c>
      <c r="G520" s="1">
        <v>45351</v>
      </c>
      <c r="H520" t="s">
        <v>2041</v>
      </c>
      <c r="I520" s="2">
        <v>28844.639999999999</v>
      </c>
      <c r="J520">
        <v>4</v>
      </c>
      <c r="K520">
        <v>92.61</v>
      </c>
      <c r="L520">
        <v>1</v>
      </c>
      <c r="M520">
        <v>9</v>
      </c>
      <c r="N520">
        <v>43</v>
      </c>
      <c r="O520" t="s">
        <v>2046</v>
      </c>
      <c r="P520" t="s">
        <v>2062</v>
      </c>
      <c r="Q520" s="2">
        <f>Employee_Data[[#This Row],[Monthly Salary]]*12</f>
        <v>346135.68</v>
      </c>
    </row>
    <row r="521" spans="1:17" x14ac:dyDescent="0.25">
      <c r="A521" t="s">
        <v>535</v>
      </c>
      <c r="B521" t="s">
        <v>1534</v>
      </c>
      <c r="C521" t="s">
        <v>2011</v>
      </c>
      <c r="D521" t="s">
        <v>2031</v>
      </c>
      <c r="E521" t="s">
        <v>2039</v>
      </c>
      <c r="F521">
        <v>42</v>
      </c>
      <c r="G521" s="1">
        <v>43172</v>
      </c>
      <c r="H521" t="s">
        <v>2041</v>
      </c>
      <c r="I521" s="2">
        <v>97852.71</v>
      </c>
      <c r="J521">
        <v>4</v>
      </c>
      <c r="K521">
        <v>89.08</v>
      </c>
      <c r="L521">
        <v>7</v>
      </c>
      <c r="M521">
        <v>60</v>
      </c>
      <c r="N521">
        <v>36</v>
      </c>
      <c r="O521" t="s">
        <v>2054</v>
      </c>
      <c r="P521" t="s">
        <v>2062</v>
      </c>
      <c r="Q521" s="2">
        <f>Employee_Data[[#This Row],[Monthly Salary]]*12</f>
        <v>1174232.52</v>
      </c>
    </row>
    <row r="522" spans="1:17" x14ac:dyDescent="0.25">
      <c r="A522" t="s">
        <v>536</v>
      </c>
      <c r="B522" t="s">
        <v>1535</v>
      </c>
      <c r="C522" t="s">
        <v>2011</v>
      </c>
      <c r="D522" t="s">
        <v>2035</v>
      </c>
      <c r="E522" t="s">
        <v>2039</v>
      </c>
      <c r="F522">
        <v>23</v>
      </c>
      <c r="G522" s="1">
        <v>45671</v>
      </c>
      <c r="H522" t="s">
        <v>2041</v>
      </c>
      <c r="I522" s="2">
        <v>112286.45</v>
      </c>
      <c r="J522">
        <v>3</v>
      </c>
      <c r="K522">
        <v>94.54</v>
      </c>
      <c r="L522">
        <v>0</v>
      </c>
      <c r="M522">
        <v>72</v>
      </c>
      <c r="N522">
        <v>16</v>
      </c>
      <c r="O522" t="s">
        <v>2049</v>
      </c>
      <c r="P522" t="s">
        <v>2062</v>
      </c>
      <c r="Q522" s="2">
        <f>Employee_Data[[#This Row],[Monthly Salary]]*12</f>
        <v>1347437.4</v>
      </c>
    </row>
    <row r="523" spans="1:17" x14ac:dyDescent="0.25">
      <c r="A523" t="s">
        <v>537</v>
      </c>
      <c r="B523" t="s">
        <v>1536</v>
      </c>
      <c r="C523" t="s">
        <v>2015</v>
      </c>
      <c r="D523" t="s">
        <v>2027</v>
      </c>
      <c r="E523" t="s">
        <v>2039</v>
      </c>
      <c r="F523">
        <v>39</v>
      </c>
      <c r="G523" s="1">
        <v>42764</v>
      </c>
      <c r="H523" t="s">
        <v>2041</v>
      </c>
      <c r="I523" s="2">
        <v>82431.7</v>
      </c>
      <c r="J523">
        <v>3</v>
      </c>
      <c r="K523">
        <v>89.7</v>
      </c>
      <c r="L523">
        <v>8</v>
      </c>
      <c r="M523">
        <v>16</v>
      </c>
      <c r="N523">
        <v>32</v>
      </c>
      <c r="O523" t="s">
        <v>2045</v>
      </c>
      <c r="P523" t="s">
        <v>2063</v>
      </c>
      <c r="Q523" s="2">
        <f>Employee_Data[[#This Row],[Monthly Salary]]*12</f>
        <v>989180.39999999991</v>
      </c>
    </row>
    <row r="524" spans="1:17" x14ac:dyDescent="0.25">
      <c r="A524" t="s">
        <v>538</v>
      </c>
      <c r="B524" t="s">
        <v>1537</v>
      </c>
      <c r="C524" t="s">
        <v>2011</v>
      </c>
      <c r="D524" t="s">
        <v>2035</v>
      </c>
      <c r="E524" t="s">
        <v>2039</v>
      </c>
      <c r="F524">
        <v>60</v>
      </c>
      <c r="G524" s="1">
        <v>44865</v>
      </c>
      <c r="H524" t="s">
        <v>2042</v>
      </c>
      <c r="I524" s="2">
        <v>47521.71</v>
      </c>
      <c r="J524">
        <v>3</v>
      </c>
      <c r="K524">
        <v>80.28</v>
      </c>
      <c r="L524">
        <v>3</v>
      </c>
      <c r="M524">
        <v>14</v>
      </c>
      <c r="N524">
        <v>38</v>
      </c>
      <c r="O524" t="s">
        <v>2048</v>
      </c>
      <c r="P524" t="s">
        <v>2063</v>
      </c>
      <c r="Q524" s="2">
        <f>Employee_Data[[#This Row],[Monthly Salary]]*12</f>
        <v>570260.52</v>
      </c>
    </row>
    <row r="525" spans="1:17" x14ac:dyDescent="0.25">
      <c r="A525" t="s">
        <v>539</v>
      </c>
      <c r="B525" t="s">
        <v>1538</v>
      </c>
      <c r="C525" t="s">
        <v>2015</v>
      </c>
      <c r="D525" t="s">
        <v>2027</v>
      </c>
      <c r="E525" t="s">
        <v>2038</v>
      </c>
      <c r="F525">
        <v>44</v>
      </c>
      <c r="G525" s="1">
        <v>43241</v>
      </c>
      <c r="H525" t="s">
        <v>2040</v>
      </c>
      <c r="I525" s="2">
        <v>46125.26</v>
      </c>
      <c r="J525">
        <v>2</v>
      </c>
      <c r="K525">
        <v>89.7</v>
      </c>
      <c r="L525">
        <v>7</v>
      </c>
      <c r="M525">
        <v>67</v>
      </c>
      <c r="N525">
        <v>55</v>
      </c>
      <c r="O525" t="s">
        <v>2049</v>
      </c>
      <c r="P525" t="s">
        <v>2062</v>
      </c>
      <c r="Q525" s="2">
        <f>Employee_Data[[#This Row],[Monthly Salary]]*12</f>
        <v>553503.12</v>
      </c>
    </row>
    <row r="526" spans="1:17" x14ac:dyDescent="0.25">
      <c r="A526" t="s">
        <v>540</v>
      </c>
      <c r="B526" t="s">
        <v>1539</v>
      </c>
      <c r="C526" t="s">
        <v>2009</v>
      </c>
      <c r="D526" t="s">
        <v>2017</v>
      </c>
      <c r="E526" t="s">
        <v>2039</v>
      </c>
      <c r="F526">
        <v>52</v>
      </c>
      <c r="G526" s="1">
        <v>45305</v>
      </c>
      <c r="H526" t="s">
        <v>2042</v>
      </c>
      <c r="I526" s="2">
        <v>97036.78</v>
      </c>
      <c r="J526">
        <v>2</v>
      </c>
      <c r="K526">
        <v>93.21</v>
      </c>
      <c r="L526">
        <v>1</v>
      </c>
      <c r="M526">
        <v>21</v>
      </c>
      <c r="N526">
        <v>13</v>
      </c>
      <c r="O526" t="s">
        <v>2043</v>
      </c>
      <c r="P526" t="s">
        <v>2062</v>
      </c>
      <c r="Q526" s="2">
        <f>Employee_Data[[#This Row],[Monthly Salary]]*12</f>
        <v>1164441.3599999999</v>
      </c>
    </row>
    <row r="527" spans="1:17" x14ac:dyDescent="0.25">
      <c r="A527" t="s">
        <v>541</v>
      </c>
      <c r="B527" t="s">
        <v>1165</v>
      </c>
      <c r="C527" t="s">
        <v>2012</v>
      </c>
      <c r="D527" t="s">
        <v>2021</v>
      </c>
      <c r="E527" t="s">
        <v>2038</v>
      </c>
      <c r="F527">
        <v>28</v>
      </c>
      <c r="G527" s="1">
        <v>44858</v>
      </c>
      <c r="H527" t="s">
        <v>2040</v>
      </c>
      <c r="I527" s="2">
        <v>36760.04</v>
      </c>
      <c r="J527">
        <v>4</v>
      </c>
      <c r="K527">
        <v>89.52</v>
      </c>
      <c r="L527">
        <v>3</v>
      </c>
      <c r="M527">
        <v>60</v>
      </c>
      <c r="N527">
        <v>47</v>
      </c>
      <c r="O527" t="s">
        <v>2046</v>
      </c>
      <c r="P527" t="s">
        <v>2062</v>
      </c>
      <c r="Q527" s="2">
        <f>Employee_Data[[#This Row],[Monthly Salary]]*12</f>
        <v>441120.48</v>
      </c>
    </row>
    <row r="528" spans="1:17" x14ac:dyDescent="0.25">
      <c r="A528" t="s">
        <v>542</v>
      </c>
      <c r="B528" t="s">
        <v>1540</v>
      </c>
      <c r="C528" t="s">
        <v>2016</v>
      </c>
      <c r="D528" t="s">
        <v>2034</v>
      </c>
      <c r="E528" t="s">
        <v>2038</v>
      </c>
      <c r="F528">
        <v>30</v>
      </c>
      <c r="G528" s="1">
        <v>44084</v>
      </c>
      <c r="H528" t="s">
        <v>2041</v>
      </c>
      <c r="I528" s="2">
        <v>107027.77</v>
      </c>
      <c r="J528">
        <v>1</v>
      </c>
      <c r="K528">
        <v>85.78</v>
      </c>
      <c r="L528">
        <v>5</v>
      </c>
      <c r="M528">
        <v>57</v>
      </c>
      <c r="N528">
        <v>24</v>
      </c>
      <c r="O528" t="s">
        <v>2054</v>
      </c>
      <c r="P528" t="s">
        <v>2063</v>
      </c>
      <c r="Q528" s="2">
        <f>Employee_Data[[#This Row],[Monthly Salary]]*12</f>
        <v>1284333.24</v>
      </c>
    </row>
    <row r="529" spans="1:17" x14ac:dyDescent="0.25">
      <c r="A529" t="s">
        <v>543</v>
      </c>
      <c r="B529" t="s">
        <v>1541</v>
      </c>
      <c r="C529" t="s">
        <v>2010</v>
      </c>
      <c r="D529" t="s">
        <v>2018</v>
      </c>
      <c r="E529" t="s">
        <v>2038</v>
      </c>
      <c r="F529">
        <v>48</v>
      </c>
      <c r="G529" s="1">
        <v>43416</v>
      </c>
      <c r="H529" t="s">
        <v>2041</v>
      </c>
      <c r="I529" s="2">
        <v>111804.2</v>
      </c>
      <c r="J529">
        <v>3</v>
      </c>
      <c r="K529">
        <v>86.7</v>
      </c>
      <c r="L529">
        <v>7</v>
      </c>
      <c r="M529">
        <v>34</v>
      </c>
      <c r="N529">
        <v>51</v>
      </c>
      <c r="O529" t="s">
        <v>2047</v>
      </c>
      <c r="P529" t="s">
        <v>2062</v>
      </c>
      <c r="Q529" s="2">
        <f>Employee_Data[[#This Row],[Monthly Salary]]*12</f>
        <v>1341650.3999999999</v>
      </c>
    </row>
    <row r="530" spans="1:17" x14ac:dyDescent="0.25">
      <c r="A530" t="s">
        <v>544</v>
      </c>
      <c r="B530" t="s">
        <v>1542</v>
      </c>
      <c r="C530" t="s">
        <v>2016</v>
      </c>
      <c r="D530" t="s">
        <v>2034</v>
      </c>
      <c r="E530" t="s">
        <v>2039</v>
      </c>
      <c r="F530">
        <v>58</v>
      </c>
      <c r="G530" s="1">
        <v>43495</v>
      </c>
      <c r="H530" t="s">
        <v>2040</v>
      </c>
      <c r="I530" s="2">
        <v>71995.23</v>
      </c>
      <c r="J530">
        <v>2</v>
      </c>
      <c r="K530">
        <v>86.27</v>
      </c>
      <c r="L530">
        <v>6</v>
      </c>
      <c r="M530">
        <v>1</v>
      </c>
      <c r="N530">
        <v>43</v>
      </c>
      <c r="O530" t="s">
        <v>2057</v>
      </c>
      <c r="P530" t="s">
        <v>2062</v>
      </c>
      <c r="Q530" s="2">
        <f>Employee_Data[[#This Row],[Monthly Salary]]*12</f>
        <v>863942.76</v>
      </c>
    </row>
    <row r="531" spans="1:17" x14ac:dyDescent="0.25">
      <c r="A531" t="s">
        <v>545</v>
      </c>
      <c r="B531" t="s">
        <v>1543</v>
      </c>
      <c r="C531" t="s">
        <v>2010</v>
      </c>
      <c r="D531" t="s">
        <v>2024</v>
      </c>
      <c r="E531" t="s">
        <v>2039</v>
      </c>
      <c r="F531">
        <v>54</v>
      </c>
      <c r="G531" s="1">
        <v>44769</v>
      </c>
      <c r="H531" t="s">
        <v>2040</v>
      </c>
      <c r="I531" s="2">
        <v>88549.96</v>
      </c>
      <c r="J531">
        <v>3</v>
      </c>
      <c r="K531">
        <v>84.39</v>
      </c>
      <c r="L531">
        <v>3</v>
      </c>
      <c r="M531">
        <v>36</v>
      </c>
      <c r="N531">
        <v>16</v>
      </c>
      <c r="O531" t="s">
        <v>2059</v>
      </c>
      <c r="P531" t="s">
        <v>2062</v>
      </c>
      <c r="Q531" s="2">
        <f>Employee_Data[[#This Row],[Monthly Salary]]*12</f>
        <v>1062599.52</v>
      </c>
    </row>
    <row r="532" spans="1:17" x14ac:dyDescent="0.25">
      <c r="A532" t="s">
        <v>546</v>
      </c>
      <c r="B532" t="s">
        <v>1544</v>
      </c>
      <c r="C532" t="s">
        <v>2009</v>
      </c>
      <c r="D532" t="s">
        <v>2017</v>
      </c>
      <c r="E532" t="s">
        <v>2039</v>
      </c>
      <c r="F532">
        <v>59</v>
      </c>
      <c r="G532" s="1">
        <v>43814</v>
      </c>
      <c r="H532" t="s">
        <v>2041</v>
      </c>
      <c r="I532" s="2">
        <v>32179.01</v>
      </c>
      <c r="J532">
        <v>1</v>
      </c>
      <c r="K532">
        <v>81.73</v>
      </c>
      <c r="L532">
        <v>6</v>
      </c>
      <c r="M532">
        <v>77</v>
      </c>
      <c r="N532">
        <v>8</v>
      </c>
      <c r="O532" t="s">
        <v>2061</v>
      </c>
      <c r="P532" t="s">
        <v>2062</v>
      </c>
      <c r="Q532" s="2">
        <f>Employee_Data[[#This Row],[Monthly Salary]]*12</f>
        <v>386148.12</v>
      </c>
    </row>
    <row r="533" spans="1:17" x14ac:dyDescent="0.25">
      <c r="A533" t="s">
        <v>547</v>
      </c>
      <c r="B533" t="s">
        <v>1545</v>
      </c>
      <c r="C533" t="s">
        <v>2015</v>
      </c>
      <c r="D533" t="s">
        <v>2033</v>
      </c>
      <c r="E533" t="s">
        <v>2039</v>
      </c>
      <c r="F533">
        <v>37</v>
      </c>
      <c r="G533" s="1">
        <v>42499</v>
      </c>
      <c r="H533" t="s">
        <v>2042</v>
      </c>
      <c r="I533" s="2">
        <v>66695.56</v>
      </c>
      <c r="J533">
        <v>1</v>
      </c>
      <c r="K533">
        <v>92.78</v>
      </c>
      <c r="L533">
        <v>9</v>
      </c>
      <c r="M533">
        <v>35</v>
      </c>
      <c r="N533">
        <v>49</v>
      </c>
      <c r="O533" t="s">
        <v>1505</v>
      </c>
      <c r="P533" t="s">
        <v>2062</v>
      </c>
      <c r="Q533" s="2">
        <f>Employee_Data[[#This Row],[Monthly Salary]]*12</f>
        <v>800346.72</v>
      </c>
    </row>
    <row r="534" spans="1:17" x14ac:dyDescent="0.25">
      <c r="A534" t="s">
        <v>548</v>
      </c>
      <c r="B534" t="s">
        <v>1546</v>
      </c>
      <c r="C534" t="s">
        <v>2012</v>
      </c>
      <c r="D534" t="s">
        <v>2020</v>
      </c>
      <c r="E534" t="s">
        <v>2039</v>
      </c>
      <c r="F534">
        <v>25</v>
      </c>
      <c r="G534" s="1">
        <v>42651</v>
      </c>
      <c r="H534" t="s">
        <v>2042</v>
      </c>
      <c r="I534" s="2">
        <v>97710.6</v>
      </c>
      <c r="J534">
        <v>4</v>
      </c>
      <c r="K534">
        <v>87.77</v>
      </c>
      <c r="L534">
        <v>9</v>
      </c>
      <c r="M534">
        <v>7</v>
      </c>
      <c r="N534">
        <v>16</v>
      </c>
      <c r="O534" t="s">
        <v>2055</v>
      </c>
      <c r="P534" t="s">
        <v>2062</v>
      </c>
      <c r="Q534" s="2">
        <f>Employee_Data[[#This Row],[Monthly Salary]]*12</f>
        <v>1172527.2000000002</v>
      </c>
    </row>
    <row r="535" spans="1:17" x14ac:dyDescent="0.25">
      <c r="A535" t="s">
        <v>549</v>
      </c>
      <c r="B535" t="s">
        <v>1547</v>
      </c>
      <c r="C535" t="s">
        <v>2009</v>
      </c>
      <c r="D535" t="s">
        <v>2030</v>
      </c>
      <c r="E535" t="s">
        <v>2039</v>
      </c>
      <c r="F535">
        <v>60</v>
      </c>
      <c r="G535" s="1">
        <v>44999</v>
      </c>
      <c r="H535" t="s">
        <v>2042</v>
      </c>
      <c r="I535" s="2">
        <v>37844.22</v>
      </c>
      <c r="J535">
        <v>4</v>
      </c>
      <c r="K535">
        <v>82.17</v>
      </c>
      <c r="L535">
        <v>2</v>
      </c>
      <c r="M535">
        <v>69</v>
      </c>
      <c r="N535">
        <v>49</v>
      </c>
      <c r="O535" t="s">
        <v>1505</v>
      </c>
      <c r="P535" t="s">
        <v>2062</v>
      </c>
      <c r="Q535" s="2">
        <f>Employee_Data[[#This Row],[Monthly Salary]]*12</f>
        <v>454130.64</v>
      </c>
    </row>
    <row r="536" spans="1:17" x14ac:dyDescent="0.25">
      <c r="A536" t="s">
        <v>550</v>
      </c>
      <c r="B536" t="s">
        <v>1548</v>
      </c>
      <c r="C536" t="s">
        <v>2009</v>
      </c>
      <c r="D536" t="s">
        <v>2030</v>
      </c>
      <c r="E536" t="s">
        <v>2038</v>
      </c>
      <c r="F536">
        <v>27</v>
      </c>
      <c r="G536" s="1">
        <v>42895</v>
      </c>
      <c r="H536" t="s">
        <v>2040</v>
      </c>
      <c r="I536" s="2">
        <v>27291.95</v>
      </c>
      <c r="J536">
        <v>5</v>
      </c>
      <c r="K536">
        <v>94.55</v>
      </c>
      <c r="L536">
        <v>8</v>
      </c>
      <c r="M536">
        <v>57</v>
      </c>
      <c r="N536">
        <v>1</v>
      </c>
      <c r="O536" t="s">
        <v>2050</v>
      </c>
      <c r="P536" t="s">
        <v>2062</v>
      </c>
      <c r="Q536" s="2">
        <f>Employee_Data[[#This Row],[Monthly Salary]]*12</f>
        <v>327503.40000000002</v>
      </c>
    </row>
    <row r="537" spans="1:17" x14ac:dyDescent="0.25">
      <c r="A537" t="s">
        <v>551</v>
      </c>
      <c r="B537" t="s">
        <v>1549</v>
      </c>
      <c r="C537" t="s">
        <v>2010</v>
      </c>
      <c r="D537" t="s">
        <v>2018</v>
      </c>
      <c r="E537" t="s">
        <v>2038</v>
      </c>
      <c r="F537">
        <v>38</v>
      </c>
      <c r="G537" s="1">
        <v>45824</v>
      </c>
      <c r="H537" t="s">
        <v>2040</v>
      </c>
      <c r="I537" s="2">
        <v>90005.52</v>
      </c>
      <c r="J537">
        <v>4</v>
      </c>
      <c r="K537">
        <v>91.49</v>
      </c>
      <c r="L537">
        <v>0</v>
      </c>
      <c r="M537">
        <v>65</v>
      </c>
      <c r="N537">
        <v>45</v>
      </c>
      <c r="O537" t="s">
        <v>2050</v>
      </c>
      <c r="P537" t="s">
        <v>2062</v>
      </c>
      <c r="Q537" s="2">
        <f>Employee_Data[[#This Row],[Monthly Salary]]*12</f>
        <v>1080066.24</v>
      </c>
    </row>
    <row r="538" spans="1:17" x14ac:dyDescent="0.25">
      <c r="A538" t="s">
        <v>552</v>
      </c>
      <c r="B538" t="s">
        <v>1550</v>
      </c>
      <c r="C538" t="s">
        <v>2016</v>
      </c>
      <c r="D538" t="s">
        <v>2032</v>
      </c>
      <c r="E538" t="s">
        <v>2039</v>
      </c>
      <c r="F538">
        <v>21</v>
      </c>
      <c r="G538" s="1">
        <v>44045</v>
      </c>
      <c r="H538" t="s">
        <v>2042</v>
      </c>
      <c r="I538" s="2">
        <v>115415.53</v>
      </c>
      <c r="J538">
        <v>4</v>
      </c>
      <c r="K538">
        <v>82.42</v>
      </c>
      <c r="L538">
        <v>5</v>
      </c>
      <c r="M538">
        <v>68</v>
      </c>
      <c r="N538">
        <v>59</v>
      </c>
      <c r="O538" t="s">
        <v>2053</v>
      </c>
      <c r="P538" t="s">
        <v>2062</v>
      </c>
      <c r="Q538" s="2">
        <f>Employee_Data[[#This Row],[Monthly Salary]]*12</f>
        <v>1384986.3599999999</v>
      </c>
    </row>
    <row r="539" spans="1:17" x14ac:dyDescent="0.25">
      <c r="A539" t="s">
        <v>553</v>
      </c>
      <c r="B539" t="s">
        <v>1551</v>
      </c>
      <c r="C539" t="s">
        <v>2011</v>
      </c>
      <c r="D539" t="s">
        <v>2035</v>
      </c>
      <c r="E539" t="s">
        <v>2039</v>
      </c>
      <c r="F539">
        <v>26</v>
      </c>
      <c r="G539" s="1">
        <v>44257</v>
      </c>
      <c r="H539" t="s">
        <v>2042</v>
      </c>
      <c r="I539" s="2">
        <v>73462.63</v>
      </c>
      <c r="J539">
        <v>3</v>
      </c>
      <c r="K539">
        <v>81.61</v>
      </c>
      <c r="L539">
        <v>4</v>
      </c>
      <c r="M539">
        <v>58</v>
      </c>
      <c r="N539">
        <v>48</v>
      </c>
      <c r="O539" t="s">
        <v>2051</v>
      </c>
      <c r="P539" t="s">
        <v>2062</v>
      </c>
      <c r="Q539" s="2">
        <f>Employee_Data[[#This Row],[Monthly Salary]]*12</f>
        <v>881551.56</v>
      </c>
    </row>
    <row r="540" spans="1:17" x14ac:dyDescent="0.25">
      <c r="A540" t="s">
        <v>554</v>
      </c>
      <c r="B540" t="s">
        <v>1552</v>
      </c>
      <c r="C540" t="s">
        <v>2015</v>
      </c>
      <c r="D540" t="s">
        <v>2027</v>
      </c>
      <c r="E540" t="s">
        <v>2039</v>
      </c>
      <c r="F540">
        <v>45</v>
      </c>
      <c r="G540" s="1">
        <v>44777</v>
      </c>
      <c r="H540" t="s">
        <v>2041</v>
      </c>
      <c r="I540" s="2">
        <v>39100.32</v>
      </c>
      <c r="J540">
        <v>4</v>
      </c>
      <c r="K540">
        <v>97.93</v>
      </c>
      <c r="L540">
        <v>3</v>
      </c>
      <c r="M540">
        <v>80</v>
      </c>
      <c r="N540">
        <v>44</v>
      </c>
      <c r="O540" t="s">
        <v>2053</v>
      </c>
      <c r="P540" t="s">
        <v>2062</v>
      </c>
      <c r="Q540" s="2">
        <f>Employee_Data[[#This Row],[Monthly Salary]]*12</f>
        <v>469203.83999999997</v>
      </c>
    </row>
    <row r="541" spans="1:17" x14ac:dyDescent="0.25">
      <c r="A541" t="s">
        <v>555</v>
      </c>
      <c r="B541" t="s">
        <v>1553</v>
      </c>
      <c r="C541" t="s">
        <v>2013</v>
      </c>
      <c r="D541" t="s">
        <v>2025</v>
      </c>
      <c r="E541" t="s">
        <v>2039</v>
      </c>
      <c r="F541">
        <v>23</v>
      </c>
      <c r="G541" s="1">
        <v>45824</v>
      </c>
      <c r="H541" t="s">
        <v>2040</v>
      </c>
      <c r="I541" s="2">
        <v>22536.46</v>
      </c>
      <c r="J541">
        <v>5</v>
      </c>
      <c r="K541">
        <v>84.77</v>
      </c>
      <c r="L541">
        <v>0</v>
      </c>
      <c r="M541">
        <v>49</v>
      </c>
      <c r="N541">
        <v>4</v>
      </c>
      <c r="O541" t="s">
        <v>2046</v>
      </c>
      <c r="P541" t="s">
        <v>2062</v>
      </c>
      <c r="Q541" s="2">
        <f>Employee_Data[[#This Row],[Monthly Salary]]*12</f>
        <v>270437.52</v>
      </c>
    </row>
    <row r="542" spans="1:17" x14ac:dyDescent="0.25">
      <c r="A542" t="s">
        <v>556</v>
      </c>
      <c r="B542" t="s">
        <v>1554</v>
      </c>
      <c r="C542" t="s">
        <v>2013</v>
      </c>
      <c r="D542" t="s">
        <v>2022</v>
      </c>
      <c r="E542" t="s">
        <v>2039</v>
      </c>
      <c r="F542">
        <v>23</v>
      </c>
      <c r="G542" s="1">
        <v>44364</v>
      </c>
      <c r="H542" t="s">
        <v>2042</v>
      </c>
      <c r="I542" s="2">
        <v>25605.45</v>
      </c>
      <c r="J542">
        <v>1</v>
      </c>
      <c r="K542">
        <v>88.11</v>
      </c>
      <c r="L542">
        <v>4</v>
      </c>
      <c r="M542">
        <v>27</v>
      </c>
      <c r="N542">
        <v>51</v>
      </c>
      <c r="O542" t="s">
        <v>2052</v>
      </c>
      <c r="P542" t="s">
        <v>2062</v>
      </c>
      <c r="Q542" s="2">
        <f>Employee_Data[[#This Row],[Monthly Salary]]*12</f>
        <v>307265.40000000002</v>
      </c>
    </row>
    <row r="543" spans="1:17" x14ac:dyDescent="0.25">
      <c r="A543" t="s">
        <v>557</v>
      </c>
      <c r="B543" t="s">
        <v>1555</v>
      </c>
      <c r="C543" t="s">
        <v>2015</v>
      </c>
      <c r="D543" t="s">
        <v>2027</v>
      </c>
      <c r="E543" t="s">
        <v>2039</v>
      </c>
      <c r="F543">
        <v>25</v>
      </c>
      <c r="G543" s="1">
        <v>42790</v>
      </c>
      <c r="H543" t="s">
        <v>2040</v>
      </c>
      <c r="I543" s="2">
        <v>93545.97</v>
      </c>
      <c r="J543">
        <v>4</v>
      </c>
      <c r="K543">
        <v>93.08</v>
      </c>
      <c r="L543">
        <v>8</v>
      </c>
      <c r="M543">
        <v>60</v>
      </c>
      <c r="N543">
        <v>58</v>
      </c>
      <c r="O543" t="s">
        <v>2058</v>
      </c>
      <c r="P543" t="s">
        <v>2062</v>
      </c>
      <c r="Q543" s="2">
        <f>Employee_Data[[#This Row],[Monthly Salary]]*12</f>
        <v>1122551.6400000001</v>
      </c>
    </row>
    <row r="544" spans="1:17" x14ac:dyDescent="0.25">
      <c r="A544" t="s">
        <v>558</v>
      </c>
      <c r="B544" t="s">
        <v>1556</v>
      </c>
      <c r="C544" t="s">
        <v>2015</v>
      </c>
      <c r="D544" t="s">
        <v>2033</v>
      </c>
      <c r="E544" t="s">
        <v>2039</v>
      </c>
      <c r="F544">
        <v>24</v>
      </c>
      <c r="G544" s="1">
        <v>45018</v>
      </c>
      <c r="H544" t="s">
        <v>2042</v>
      </c>
      <c r="I544" s="2">
        <v>102073.92</v>
      </c>
      <c r="J544">
        <v>1</v>
      </c>
      <c r="K544">
        <v>89.12</v>
      </c>
      <c r="L544">
        <v>2</v>
      </c>
      <c r="M544">
        <v>21</v>
      </c>
      <c r="N544">
        <v>53</v>
      </c>
      <c r="O544" t="s">
        <v>2043</v>
      </c>
      <c r="P544" t="s">
        <v>2062</v>
      </c>
      <c r="Q544" s="2">
        <f>Employee_Data[[#This Row],[Monthly Salary]]*12</f>
        <v>1224887.04</v>
      </c>
    </row>
    <row r="545" spans="1:17" x14ac:dyDescent="0.25">
      <c r="A545" t="s">
        <v>559</v>
      </c>
      <c r="B545" t="s">
        <v>1557</v>
      </c>
      <c r="C545" t="s">
        <v>2009</v>
      </c>
      <c r="D545" t="s">
        <v>2017</v>
      </c>
      <c r="E545" t="s">
        <v>2038</v>
      </c>
      <c r="F545">
        <v>59</v>
      </c>
      <c r="G545" s="1">
        <v>44768</v>
      </c>
      <c r="H545" t="s">
        <v>2041</v>
      </c>
      <c r="I545" s="2">
        <v>42057.25</v>
      </c>
      <c r="J545">
        <v>2</v>
      </c>
      <c r="K545">
        <v>88.52</v>
      </c>
      <c r="L545">
        <v>3</v>
      </c>
      <c r="M545">
        <v>51</v>
      </c>
      <c r="N545">
        <v>20</v>
      </c>
      <c r="O545" t="s">
        <v>2047</v>
      </c>
      <c r="P545" t="s">
        <v>2063</v>
      </c>
      <c r="Q545" s="2">
        <f>Employee_Data[[#This Row],[Monthly Salary]]*12</f>
        <v>504687</v>
      </c>
    </row>
    <row r="546" spans="1:17" x14ac:dyDescent="0.25">
      <c r="A546" t="s">
        <v>560</v>
      </c>
      <c r="B546" t="s">
        <v>1558</v>
      </c>
      <c r="C546" t="s">
        <v>2015</v>
      </c>
      <c r="D546" t="s">
        <v>2026</v>
      </c>
      <c r="E546" t="s">
        <v>2039</v>
      </c>
      <c r="F546">
        <v>23</v>
      </c>
      <c r="G546" s="1">
        <v>45102</v>
      </c>
      <c r="H546" t="s">
        <v>2041</v>
      </c>
      <c r="I546" s="2">
        <v>37344.76</v>
      </c>
      <c r="J546">
        <v>1</v>
      </c>
      <c r="K546">
        <v>82.41</v>
      </c>
      <c r="L546">
        <v>2</v>
      </c>
      <c r="M546">
        <v>18</v>
      </c>
      <c r="N546">
        <v>48</v>
      </c>
      <c r="O546" t="s">
        <v>1505</v>
      </c>
      <c r="P546" t="s">
        <v>2062</v>
      </c>
      <c r="Q546" s="2">
        <f>Employee_Data[[#This Row],[Monthly Salary]]*12</f>
        <v>448137.12</v>
      </c>
    </row>
    <row r="547" spans="1:17" x14ac:dyDescent="0.25">
      <c r="A547" t="s">
        <v>561</v>
      </c>
      <c r="B547" t="s">
        <v>1559</v>
      </c>
      <c r="C547" t="s">
        <v>2012</v>
      </c>
      <c r="D547" t="s">
        <v>2021</v>
      </c>
      <c r="E547" t="s">
        <v>2038</v>
      </c>
      <c r="F547">
        <v>36</v>
      </c>
      <c r="G547" s="1">
        <v>45943</v>
      </c>
      <c r="H547" t="s">
        <v>2041</v>
      </c>
      <c r="I547" s="2">
        <v>24069.89</v>
      </c>
      <c r="J547">
        <v>1</v>
      </c>
      <c r="K547">
        <v>95.82</v>
      </c>
      <c r="L547">
        <v>0</v>
      </c>
      <c r="M547">
        <v>80</v>
      </c>
      <c r="N547">
        <v>39</v>
      </c>
      <c r="O547" t="s">
        <v>2061</v>
      </c>
      <c r="P547" t="s">
        <v>2062</v>
      </c>
      <c r="Q547" s="2">
        <f>Employee_Data[[#This Row],[Monthly Salary]]*12</f>
        <v>288838.68</v>
      </c>
    </row>
    <row r="548" spans="1:17" x14ac:dyDescent="0.25">
      <c r="A548" t="s">
        <v>562</v>
      </c>
      <c r="B548" t="s">
        <v>1560</v>
      </c>
      <c r="C548" t="s">
        <v>2010</v>
      </c>
      <c r="D548" t="s">
        <v>2024</v>
      </c>
      <c r="E548" t="s">
        <v>2039</v>
      </c>
      <c r="F548">
        <v>21</v>
      </c>
      <c r="G548" s="1">
        <v>43834</v>
      </c>
      <c r="H548" t="s">
        <v>2040</v>
      </c>
      <c r="I548" s="2">
        <v>37941.29</v>
      </c>
      <c r="J548">
        <v>1</v>
      </c>
      <c r="K548">
        <v>94.13</v>
      </c>
      <c r="L548">
        <v>5</v>
      </c>
      <c r="M548">
        <v>75</v>
      </c>
      <c r="N548">
        <v>56</v>
      </c>
      <c r="O548" t="s">
        <v>2051</v>
      </c>
      <c r="P548" t="s">
        <v>2062</v>
      </c>
      <c r="Q548" s="2">
        <f>Employee_Data[[#This Row],[Monthly Salary]]*12</f>
        <v>455295.48</v>
      </c>
    </row>
    <row r="549" spans="1:17" x14ac:dyDescent="0.25">
      <c r="A549" t="s">
        <v>563</v>
      </c>
      <c r="B549" t="s">
        <v>1561</v>
      </c>
      <c r="C549" t="s">
        <v>2013</v>
      </c>
      <c r="D549" t="s">
        <v>2025</v>
      </c>
      <c r="E549" t="s">
        <v>2039</v>
      </c>
      <c r="F549">
        <v>30</v>
      </c>
      <c r="G549" s="1">
        <v>43261</v>
      </c>
      <c r="H549" t="s">
        <v>2041</v>
      </c>
      <c r="I549" s="2">
        <v>47094.97</v>
      </c>
      <c r="J549">
        <v>4</v>
      </c>
      <c r="K549">
        <v>88.24</v>
      </c>
      <c r="L549">
        <v>7</v>
      </c>
      <c r="M549">
        <v>22</v>
      </c>
      <c r="N549">
        <v>39</v>
      </c>
      <c r="O549" t="s">
        <v>2049</v>
      </c>
      <c r="P549" t="s">
        <v>2062</v>
      </c>
      <c r="Q549" s="2">
        <f>Employee_Data[[#This Row],[Monthly Salary]]*12</f>
        <v>565139.64</v>
      </c>
    </row>
    <row r="550" spans="1:17" x14ac:dyDescent="0.25">
      <c r="A550" t="s">
        <v>564</v>
      </c>
      <c r="B550" t="s">
        <v>1562</v>
      </c>
      <c r="C550" t="s">
        <v>2013</v>
      </c>
      <c r="D550" t="s">
        <v>2025</v>
      </c>
      <c r="E550" t="s">
        <v>2038</v>
      </c>
      <c r="F550">
        <v>43</v>
      </c>
      <c r="G550" s="1">
        <v>42335</v>
      </c>
      <c r="H550" t="s">
        <v>2042</v>
      </c>
      <c r="I550" s="2">
        <v>20457</v>
      </c>
      <c r="J550">
        <v>2</v>
      </c>
      <c r="K550">
        <v>83.84</v>
      </c>
      <c r="L550">
        <v>10</v>
      </c>
      <c r="M550">
        <v>67</v>
      </c>
      <c r="N550">
        <v>6</v>
      </c>
      <c r="O550" t="s">
        <v>2058</v>
      </c>
      <c r="P550" t="s">
        <v>2062</v>
      </c>
      <c r="Q550" s="2">
        <f>Employee_Data[[#This Row],[Monthly Salary]]*12</f>
        <v>245484</v>
      </c>
    </row>
    <row r="551" spans="1:17" x14ac:dyDescent="0.25">
      <c r="A551" t="s">
        <v>565</v>
      </c>
      <c r="B551" t="s">
        <v>1563</v>
      </c>
      <c r="C551" t="s">
        <v>2014</v>
      </c>
      <c r="D551" t="s">
        <v>2029</v>
      </c>
      <c r="E551" t="s">
        <v>2039</v>
      </c>
      <c r="F551">
        <v>38</v>
      </c>
      <c r="G551" s="1">
        <v>42938</v>
      </c>
      <c r="H551" t="s">
        <v>2040</v>
      </c>
      <c r="I551" s="2">
        <v>39371.9</v>
      </c>
      <c r="J551">
        <v>2</v>
      </c>
      <c r="K551">
        <v>93.7</v>
      </c>
      <c r="L551">
        <v>8</v>
      </c>
      <c r="M551">
        <v>60</v>
      </c>
      <c r="N551">
        <v>31</v>
      </c>
      <c r="O551" t="s">
        <v>2048</v>
      </c>
      <c r="P551" t="s">
        <v>2062</v>
      </c>
      <c r="Q551" s="2">
        <f>Employee_Data[[#This Row],[Monthly Salary]]*12</f>
        <v>472462.80000000005</v>
      </c>
    </row>
    <row r="552" spans="1:17" x14ac:dyDescent="0.25">
      <c r="A552" t="s">
        <v>566</v>
      </c>
      <c r="B552" t="s">
        <v>1564</v>
      </c>
      <c r="C552" t="s">
        <v>2010</v>
      </c>
      <c r="D552" t="s">
        <v>2018</v>
      </c>
      <c r="E552" t="s">
        <v>2038</v>
      </c>
      <c r="F552">
        <v>39</v>
      </c>
      <c r="G552" s="1">
        <v>45750</v>
      </c>
      <c r="H552" t="s">
        <v>2040</v>
      </c>
      <c r="I552" s="2">
        <v>63467.16</v>
      </c>
      <c r="J552">
        <v>3</v>
      </c>
      <c r="K552">
        <v>92.34</v>
      </c>
      <c r="L552">
        <v>0</v>
      </c>
      <c r="M552">
        <v>58</v>
      </c>
      <c r="N552">
        <v>2</v>
      </c>
      <c r="O552" t="s">
        <v>2047</v>
      </c>
      <c r="P552" t="s">
        <v>2062</v>
      </c>
      <c r="Q552" s="2">
        <f>Employee_Data[[#This Row],[Monthly Salary]]*12</f>
        <v>761605.92</v>
      </c>
    </row>
    <row r="553" spans="1:17" x14ac:dyDescent="0.25">
      <c r="A553" t="s">
        <v>567</v>
      </c>
      <c r="B553" t="s">
        <v>1565</v>
      </c>
      <c r="C553" t="s">
        <v>2015</v>
      </c>
      <c r="D553" t="s">
        <v>2033</v>
      </c>
      <c r="E553" t="s">
        <v>2039</v>
      </c>
      <c r="F553">
        <v>52</v>
      </c>
      <c r="G553" s="1">
        <v>45746</v>
      </c>
      <c r="H553" t="s">
        <v>2041</v>
      </c>
      <c r="I553" s="2">
        <v>31606.51</v>
      </c>
      <c r="J553">
        <v>2</v>
      </c>
      <c r="K553">
        <v>94.43</v>
      </c>
      <c r="L553">
        <v>0</v>
      </c>
      <c r="M553">
        <v>75</v>
      </c>
      <c r="N553">
        <v>37</v>
      </c>
      <c r="O553" t="s">
        <v>2054</v>
      </c>
      <c r="P553" t="s">
        <v>2062</v>
      </c>
      <c r="Q553" s="2">
        <f>Employee_Data[[#This Row],[Monthly Salary]]*12</f>
        <v>379278.12</v>
      </c>
    </row>
    <row r="554" spans="1:17" x14ac:dyDescent="0.25">
      <c r="A554" t="s">
        <v>568</v>
      </c>
      <c r="B554" t="s">
        <v>1566</v>
      </c>
      <c r="C554" t="s">
        <v>2012</v>
      </c>
      <c r="D554" t="s">
        <v>2021</v>
      </c>
      <c r="E554" t="s">
        <v>2039</v>
      </c>
      <c r="F554">
        <v>41</v>
      </c>
      <c r="G554" s="1">
        <v>44696</v>
      </c>
      <c r="H554" t="s">
        <v>2040</v>
      </c>
      <c r="I554" s="2">
        <v>29806.41</v>
      </c>
      <c r="J554">
        <v>4</v>
      </c>
      <c r="K554">
        <v>97.4</v>
      </c>
      <c r="L554">
        <v>3</v>
      </c>
      <c r="M554">
        <v>48</v>
      </c>
      <c r="N554">
        <v>57</v>
      </c>
      <c r="O554" t="s">
        <v>2044</v>
      </c>
      <c r="P554" t="s">
        <v>2062</v>
      </c>
      <c r="Q554" s="2">
        <f>Employee_Data[[#This Row],[Monthly Salary]]*12</f>
        <v>357676.92</v>
      </c>
    </row>
    <row r="555" spans="1:17" x14ac:dyDescent="0.25">
      <c r="A555" t="s">
        <v>569</v>
      </c>
      <c r="B555" t="s">
        <v>1567</v>
      </c>
      <c r="C555" t="s">
        <v>2013</v>
      </c>
      <c r="D555" t="s">
        <v>2025</v>
      </c>
      <c r="E555" t="s">
        <v>2038</v>
      </c>
      <c r="F555">
        <v>30</v>
      </c>
      <c r="G555" s="1">
        <v>45779</v>
      </c>
      <c r="H555" t="s">
        <v>2040</v>
      </c>
      <c r="I555" s="2">
        <v>112788.71</v>
      </c>
      <c r="J555">
        <v>4</v>
      </c>
      <c r="K555">
        <v>83.56</v>
      </c>
      <c r="L555">
        <v>0</v>
      </c>
      <c r="M555">
        <v>47</v>
      </c>
      <c r="N555">
        <v>8</v>
      </c>
      <c r="O555" t="s">
        <v>2056</v>
      </c>
      <c r="P555" t="s">
        <v>2062</v>
      </c>
      <c r="Q555" s="2">
        <f>Employee_Data[[#This Row],[Monthly Salary]]*12</f>
        <v>1353464.52</v>
      </c>
    </row>
    <row r="556" spans="1:17" x14ac:dyDescent="0.25">
      <c r="A556" t="s">
        <v>570</v>
      </c>
      <c r="B556" t="s">
        <v>1568</v>
      </c>
      <c r="C556" t="s">
        <v>2012</v>
      </c>
      <c r="D556" t="s">
        <v>2020</v>
      </c>
      <c r="E556" t="s">
        <v>2039</v>
      </c>
      <c r="F556">
        <v>42</v>
      </c>
      <c r="G556" s="1">
        <v>43356</v>
      </c>
      <c r="H556" t="s">
        <v>2040</v>
      </c>
      <c r="I556" s="2">
        <v>23209.46</v>
      </c>
      <c r="J556">
        <v>5</v>
      </c>
      <c r="K556">
        <v>81.19</v>
      </c>
      <c r="L556">
        <v>7</v>
      </c>
      <c r="M556">
        <v>17</v>
      </c>
      <c r="N556">
        <v>7</v>
      </c>
      <c r="O556" t="s">
        <v>2056</v>
      </c>
      <c r="P556" t="s">
        <v>2062</v>
      </c>
      <c r="Q556" s="2">
        <f>Employee_Data[[#This Row],[Monthly Salary]]*12</f>
        <v>278513.52</v>
      </c>
    </row>
    <row r="557" spans="1:17" x14ac:dyDescent="0.25">
      <c r="A557" t="s">
        <v>571</v>
      </c>
      <c r="B557" t="s">
        <v>1569</v>
      </c>
      <c r="C557" t="s">
        <v>2015</v>
      </c>
      <c r="D557" t="s">
        <v>2026</v>
      </c>
      <c r="E557" t="s">
        <v>2039</v>
      </c>
      <c r="F557">
        <v>39</v>
      </c>
      <c r="G557" s="1">
        <v>43970</v>
      </c>
      <c r="H557" t="s">
        <v>2041</v>
      </c>
      <c r="I557" s="2">
        <v>35678.81</v>
      </c>
      <c r="J557">
        <v>5</v>
      </c>
      <c r="K557">
        <v>98.11</v>
      </c>
      <c r="L557">
        <v>5</v>
      </c>
      <c r="M557">
        <v>73</v>
      </c>
      <c r="N557">
        <v>35</v>
      </c>
      <c r="O557" t="s">
        <v>2044</v>
      </c>
      <c r="P557" t="s">
        <v>2062</v>
      </c>
      <c r="Q557" s="2">
        <f>Employee_Data[[#This Row],[Monthly Salary]]*12</f>
        <v>428145.72</v>
      </c>
    </row>
    <row r="558" spans="1:17" x14ac:dyDescent="0.25">
      <c r="A558" t="s">
        <v>572</v>
      </c>
      <c r="B558" t="s">
        <v>1570</v>
      </c>
      <c r="C558" t="s">
        <v>2013</v>
      </c>
      <c r="D558" t="s">
        <v>2025</v>
      </c>
      <c r="E558" t="s">
        <v>2038</v>
      </c>
      <c r="F558">
        <v>50</v>
      </c>
      <c r="G558" s="1">
        <v>45311</v>
      </c>
      <c r="H558" t="s">
        <v>2042</v>
      </c>
      <c r="I558" s="2">
        <v>21450.39</v>
      </c>
      <c r="J558">
        <v>4</v>
      </c>
      <c r="K558">
        <v>94.72</v>
      </c>
      <c r="L558">
        <v>1</v>
      </c>
      <c r="M558">
        <v>31</v>
      </c>
      <c r="N558">
        <v>15</v>
      </c>
      <c r="O558" t="s">
        <v>2054</v>
      </c>
      <c r="P558" t="s">
        <v>2062</v>
      </c>
      <c r="Q558" s="2">
        <f>Employee_Data[[#This Row],[Monthly Salary]]*12</f>
        <v>257404.68</v>
      </c>
    </row>
    <row r="559" spans="1:17" x14ac:dyDescent="0.25">
      <c r="A559" t="s">
        <v>573</v>
      </c>
      <c r="B559" t="s">
        <v>1571</v>
      </c>
      <c r="C559" t="s">
        <v>2014</v>
      </c>
      <c r="D559" t="s">
        <v>2028</v>
      </c>
      <c r="E559" t="s">
        <v>2039</v>
      </c>
      <c r="F559">
        <v>57</v>
      </c>
      <c r="G559" s="1">
        <v>45383</v>
      </c>
      <c r="H559" t="s">
        <v>2040</v>
      </c>
      <c r="I559" s="2">
        <v>61777.19</v>
      </c>
      <c r="J559">
        <v>1</v>
      </c>
      <c r="K559">
        <v>80.8</v>
      </c>
      <c r="L559">
        <v>1</v>
      </c>
      <c r="M559">
        <v>60</v>
      </c>
      <c r="N559">
        <v>46</v>
      </c>
      <c r="O559" t="s">
        <v>2052</v>
      </c>
      <c r="P559" t="s">
        <v>2062</v>
      </c>
      <c r="Q559" s="2">
        <f>Employee_Data[[#This Row],[Monthly Salary]]*12</f>
        <v>741326.28</v>
      </c>
    </row>
    <row r="560" spans="1:17" x14ac:dyDescent="0.25">
      <c r="A560" t="s">
        <v>574</v>
      </c>
      <c r="B560" t="s">
        <v>1572</v>
      </c>
      <c r="C560" t="s">
        <v>2016</v>
      </c>
      <c r="D560" t="s">
        <v>2034</v>
      </c>
      <c r="E560" t="s">
        <v>2039</v>
      </c>
      <c r="F560">
        <v>49</v>
      </c>
      <c r="G560" s="1">
        <v>44196</v>
      </c>
      <c r="H560" t="s">
        <v>2042</v>
      </c>
      <c r="I560" s="2">
        <v>44051.15</v>
      </c>
      <c r="J560">
        <v>5</v>
      </c>
      <c r="K560">
        <v>95.06</v>
      </c>
      <c r="L560">
        <v>5</v>
      </c>
      <c r="M560">
        <v>52</v>
      </c>
      <c r="N560">
        <v>60</v>
      </c>
      <c r="O560" t="s">
        <v>2059</v>
      </c>
      <c r="P560" t="s">
        <v>2062</v>
      </c>
      <c r="Q560" s="2">
        <f>Employee_Data[[#This Row],[Monthly Salary]]*12</f>
        <v>528613.80000000005</v>
      </c>
    </row>
    <row r="561" spans="1:17" x14ac:dyDescent="0.25">
      <c r="A561" t="s">
        <v>575</v>
      </c>
      <c r="B561" t="s">
        <v>1573</v>
      </c>
      <c r="C561" t="s">
        <v>2011</v>
      </c>
      <c r="D561" t="s">
        <v>2019</v>
      </c>
      <c r="E561" t="s">
        <v>2039</v>
      </c>
      <c r="F561">
        <v>22</v>
      </c>
      <c r="G561" s="1">
        <v>44663</v>
      </c>
      <c r="H561" t="s">
        <v>2042</v>
      </c>
      <c r="I561" s="2">
        <v>86903.56</v>
      </c>
      <c r="J561">
        <v>2</v>
      </c>
      <c r="K561">
        <v>94.07</v>
      </c>
      <c r="L561">
        <v>3</v>
      </c>
      <c r="M561">
        <v>73</v>
      </c>
      <c r="N561">
        <v>47</v>
      </c>
      <c r="O561" t="s">
        <v>2043</v>
      </c>
      <c r="P561" t="s">
        <v>2062</v>
      </c>
      <c r="Q561" s="2">
        <f>Employee_Data[[#This Row],[Monthly Salary]]*12</f>
        <v>1042842.72</v>
      </c>
    </row>
    <row r="562" spans="1:17" x14ac:dyDescent="0.25">
      <c r="A562" t="s">
        <v>576</v>
      </c>
      <c r="B562" t="s">
        <v>1574</v>
      </c>
      <c r="C562" t="s">
        <v>2013</v>
      </c>
      <c r="D562" t="s">
        <v>2022</v>
      </c>
      <c r="E562" t="s">
        <v>2039</v>
      </c>
      <c r="F562">
        <v>46</v>
      </c>
      <c r="G562" s="1">
        <v>43148</v>
      </c>
      <c r="H562" t="s">
        <v>2040</v>
      </c>
      <c r="I562" s="2">
        <v>98985.87</v>
      </c>
      <c r="J562">
        <v>3</v>
      </c>
      <c r="K562">
        <v>92.54</v>
      </c>
      <c r="L562">
        <v>7</v>
      </c>
      <c r="M562">
        <v>0</v>
      </c>
      <c r="N562">
        <v>55</v>
      </c>
      <c r="O562" t="s">
        <v>2045</v>
      </c>
      <c r="P562" t="s">
        <v>2062</v>
      </c>
      <c r="Q562" s="2">
        <f>Employee_Data[[#This Row],[Monthly Salary]]*12</f>
        <v>1187830.44</v>
      </c>
    </row>
    <row r="563" spans="1:17" x14ac:dyDescent="0.25">
      <c r="A563" t="s">
        <v>577</v>
      </c>
      <c r="B563" t="s">
        <v>1575</v>
      </c>
      <c r="C563" t="s">
        <v>2012</v>
      </c>
      <c r="D563" t="s">
        <v>2021</v>
      </c>
      <c r="E563" t="s">
        <v>2038</v>
      </c>
      <c r="F563">
        <v>48</v>
      </c>
      <c r="G563" s="1">
        <v>45279</v>
      </c>
      <c r="H563" t="s">
        <v>2042</v>
      </c>
      <c r="I563" s="2">
        <v>89805.5</v>
      </c>
      <c r="J563">
        <v>5</v>
      </c>
      <c r="K563">
        <v>90.85</v>
      </c>
      <c r="L563">
        <v>2</v>
      </c>
      <c r="M563">
        <v>26</v>
      </c>
      <c r="N563">
        <v>50</v>
      </c>
      <c r="O563" t="s">
        <v>2045</v>
      </c>
      <c r="P563" t="s">
        <v>2062</v>
      </c>
      <c r="Q563" s="2">
        <f>Employee_Data[[#This Row],[Monthly Salary]]*12</f>
        <v>1077666</v>
      </c>
    </row>
    <row r="564" spans="1:17" x14ac:dyDescent="0.25">
      <c r="A564" t="s">
        <v>578</v>
      </c>
      <c r="B564" t="s">
        <v>1576</v>
      </c>
      <c r="C564" t="s">
        <v>2012</v>
      </c>
      <c r="D564" t="s">
        <v>2021</v>
      </c>
      <c r="E564" t="s">
        <v>2038</v>
      </c>
      <c r="F564">
        <v>24</v>
      </c>
      <c r="G564" s="1">
        <v>44113</v>
      </c>
      <c r="H564" t="s">
        <v>2040</v>
      </c>
      <c r="I564" s="2">
        <v>58295.5</v>
      </c>
      <c r="J564">
        <v>4</v>
      </c>
      <c r="K564">
        <v>92.38</v>
      </c>
      <c r="L564">
        <v>5</v>
      </c>
      <c r="M564">
        <v>46</v>
      </c>
      <c r="N564">
        <v>23</v>
      </c>
      <c r="O564" t="s">
        <v>2048</v>
      </c>
      <c r="P564" t="s">
        <v>2062</v>
      </c>
      <c r="Q564" s="2">
        <f>Employee_Data[[#This Row],[Monthly Salary]]*12</f>
        <v>699546</v>
      </c>
    </row>
    <row r="565" spans="1:17" x14ac:dyDescent="0.25">
      <c r="A565" t="s">
        <v>579</v>
      </c>
      <c r="B565" t="s">
        <v>1577</v>
      </c>
      <c r="C565" t="s">
        <v>2009</v>
      </c>
      <c r="D565" t="s">
        <v>2036</v>
      </c>
      <c r="E565" t="s">
        <v>2039</v>
      </c>
      <c r="F565">
        <v>29</v>
      </c>
      <c r="G565" s="1">
        <v>43809</v>
      </c>
      <c r="H565" t="s">
        <v>2042</v>
      </c>
      <c r="I565" s="2">
        <v>43863.27</v>
      </c>
      <c r="J565">
        <v>1</v>
      </c>
      <c r="K565">
        <v>92.98</v>
      </c>
      <c r="L565">
        <v>6</v>
      </c>
      <c r="M565">
        <v>74</v>
      </c>
      <c r="N565">
        <v>55</v>
      </c>
      <c r="O565" t="s">
        <v>2059</v>
      </c>
      <c r="P565" t="s">
        <v>2062</v>
      </c>
      <c r="Q565" s="2">
        <f>Employee_Data[[#This Row],[Monthly Salary]]*12</f>
        <v>526359.24</v>
      </c>
    </row>
    <row r="566" spans="1:17" x14ac:dyDescent="0.25">
      <c r="A566" t="s">
        <v>580</v>
      </c>
      <c r="B566" t="s">
        <v>1578</v>
      </c>
      <c r="C566" t="s">
        <v>2014</v>
      </c>
      <c r="D566" t="s">
        <v>2029</v>
      </c>
      <c r="E566" t="s">
        <v>2038</v>
      </c>
      <c r="F566">
        <v>38</v>
      </c>
      <c r="G566" s="1">
        <v>44571</v>
      </c>
      <c r="H566" t="s">
        <v>2041</v>
      </c>
      <c r="I566" s="2">
        <v>88022.67</v>
      </c>
      <c r="J566">
        <v>3</v>
      </c>
      <c r="K566">
        <v>81.09</v>
      </c>
      <c r="L566">
        <v>3</v>
      </c>
      <c r="M566">
        <v>47</v>
      </c>
      <c r="N566">
        <v>22</v>
      </c>
      <c r="O566" t="s">
        <v>2056</v>
      </c>
      <c r="P566" t="s">
        <v>2062</v>
      </c>
      <c r="Q566" s="2">
        <f>Employee_Data[[#This Row],[Monthly Salary]]*12</f>
        <v>1056272.04</v>
      </c>
    </row>
    <row r="567" spans="1:17" x14ac:dyDescent="0.25">
      <c r="A567" t="s">
        <v>581</v>
      </c>
      <c r="B567" t="s">
        <v>1579</v>
      </c>
      <c r="C567" t="s">
        <v>2009</v>
      </c>
      <c r="D567" t="s">
        <v>2030</v>
      </c>
      <c r="E567" t="s">
        <v>2038</v>
      </c>
      <c r="F567">
        <v>49</v>
      </c>
      <c r="G567" s="1">
        <v>45693</v>
      </c>
      <c r="H567" t="s">
        <v>2041</v>
      </c>
      <c r="I567" s="2">
        <v>56814.59</v>
      </c>
      <c r="J567">
        <v>1</v>
      </c>
      <c r="K567">
        <v>83.77</v>
      </c>
      <c r="L567">
        <v>0</v>
      </c>
      <c r="M567">
        <v>58</v>
      </c>
      <c r="N567">
        <v>5</v>
      </c>
      <c r="O567" t="s">
        <v>2045</v>
      </c>
      <c r="P567" t="s">
        <v>2062</v>
      </c>
      <c r="Q567" s="2">
        <f>Employee_Data[[#This Row],[Monthly Salary]]*12</f>
        <v>681775.08</v>
      </c>
    </row>
    <row r="568" spans="1:17" x14ac:dyDescent="0.25">
      <c r="A568" t="s">
        <v>582</v>
      </c>
      <c r="B568" t="s">
        <v>1580</v>
      </c>
      <c r="C568" t="s">
        <v>2015</v>
      </c>
      <c r="D568" t="s">
        <v>2026</v>
      </c>
      <c r="E568" t="s">
        <v>2039</v>
      </c>
      <c r="F568">
        <v>27</v>
      </c>
      <c r="G568" s="1">
        <v>45171</v>
      </c>
      <c r="H568" t="s">
        <v>2040</v>
      </c>
      <c r="I568" s="2">
        <v>47594.27</v>
      </c>
      <c r="J568">
        <v>2</v>
      </c>
      <c r="K568">
        <v>89.93</v>
      </c>
      <c r="L568">
        <v>2</v>
      </c>
      <c r="M568">
        <v>26</v>
      </c>
      <c r="N568">
        <v>33</v>
      </c>
      <c r="O568" t="s">
        <v>2057</v>
      </c>
      <c r="P568" t="s">
        <v>2062</v>
      </c>
      <c r="Q568" s="2">
        <f>Employee_Data[[#This Row],[Monthly Salary]]*12</f>
        <v>571131.24</v>
      </c>
    </row>
    <row r="569" spans="1:17" x14ac:dyDescent="0.25">
      <c r="A569" t="s">
        <v>583</v>
      </c>
      <c r="B569" t="s">
        <v>1581</v>
      </c>
      <c r="C569" t="s">
        <v>2015</v>
      </c>
      <c r="D569" t="s">
        <v>2026</v>
      </c>
      <c r="E569" t="s">
        <v>2038</v>
      </c>
      <c r="F569">
        <v>47</v>
      </c>
      <c r="G569" s="1">
        <v>42732</v>
      </c>
      <c r="H569" t="s">
        <v>2042</v>
      </c>
      <c r="I569" s="2">
        <v>93770.92</v>
      </c>
      <c r="J569">
        <v>1</v>
      </c>
      <c r="K569">
        <v>85.83</v>
      </c>
      <c r="L569">
        <v>9</v>
      </c>
      <c r="M569">
        <v>8</v>
      </c>
      <c r="N569">
        <v>1</v>
      </c>
      <c r="O569" t="s">
        <v>2044</v>
      </c>
      <c r="P569" t="s">
        <v>2062</v>
      </c>
      <c r="Q569" s="2">
        <f>Employee_Data[[#This Row],[Monthly Salary]]*12</f>
        <v>1125251.04</v>
      </c>
    </row>
    <row r="570" spans="1:17" x14ac:dyDescent="0.25">
      <c r="A570" t="s">
        <v>584</v>
      </c>
      <c r="B570" t="s">
        <v>1582</v>
      </c>
      <c r="C570" t="s">
        <v>2012</v>
      </c>
      <c r="D570" t="s">
        <v>2020</v>
      </c>
      <c r="E570" t="s">
        <v>2038</v>
      </c>
      <c r="F570">
        <v>41</v>
      </c>
      <c r="G570" s="1">
        <v>45405</v>
      </c>
      <c r="H570" t="s">
        <v>2042</v>
      </c>
      <c r="I570" s="2">
        <v>79335.73</v>
      </c>
      <c r="J570">
        <v>5</v>
      </c>
      <c r="K570">
        <v>96.84</v>
      </c>
      <c r="L570">
        <v>1</v>
      </c>
      <c r="M570">
        <v>56</v>
      </c>
      <c r="N570">
        <v>29</v>
      </c>
      <c r="O570" t="s">
        <v>2051</v>
      </c>
      <c r="P570" t="s">
        <v>2062</v>
      </c>
      <c r="Q570" s="2">
        <f>Employee_Data[[#This Row],[Monthly Salary]]*12</f>
        <v>952028.76</v>
      </c>
    </row>
    <row r="571" spans="1:17" x14ac:dyDescent="0.25">
      <c r="A571" t="s">
        <v>585</v>
      </c>
      <c r="B571" t="s">
        <v>1583</v>
      </c>
      <c r="C571" t="s">
        <v>2011</v>
      </c>
      <c r="D571" t="s">
        <v>2019</v>
      </c>
      <c r="E571" t="s">
        <v>2038</v>
      </c>
      <c r="F571">
        <v>35</v>
      </c>
      <c r="G571" s="1">
        <v>43260</v>
      </c>
      <c r="H571" t="s">
        <v>2042</v>
      </c>
      <c r="I571" s="2">
        <v>57190.23</v>
      </c>
      <c r="J571">
        <v>3</v>
      </c>
      <c r="K571">
        <v>95.39</v>
      </c>
      <c r="L571">
        <v>7</v>
      </c>
      <c r="M571">
        <v>6</v>
      </c>
      <c r="N571">
        <v>9</v>
      </c>
      <c r="O571" t="s">
        <v>2053</v>
      </c>
      <c r="P571" t="s">
        <v>2062</v>
      </c>
      <c r="Q571" s="2">
        <f>Employee_Data[[#This Row],[Monthly Salary]]*12</f>
        <v>686282.76</v>
      </c>
    </row>
    <row r="572" spans="1:17" x14ac:dyDescent="0.25">
      <c r="A572" t="s">
        <v>586</v>
      </c>
      <c r="B572" t="s">
        <v>1584</v>
      </c>
      <c r="C572" t="s">
        <v>2015</v>
      </c>
      <c r="D572" t="s">
        <v>2027</v>
      </c>
      <c r="E572" t="s">
        <v>2039</v>
      </c>
      <c r="F572">
        <v>55</v>
      </c>
      <c r="G572" s="1">
        <v>45280</v>
      </c>
      <c r="H572" t="s">
        <v>2042</v>
      </c>
      <c r="I572" s="2">
        <v>38228.050000000003</v>
      </c>
      <c r="J572">
        <v>2</v>
      </c>
      <c r="K572">
        <v>96.79</v>
      </c>
      <c r="L572">
        <v>2</v>
      </c>
      <c r="M572">
        <v>19</v>
      </c>
      <c r="N572">
        <v>10</v>
      </c>
      <c r="O572" t="s">
        <v>2044</v>
      </c>
      <c r="P572" t="s">
        <v>2062</v>
      </c>
      <c r="Q572" s="2">
        <f>Employee_Data[[#This Row],[Monthly Salary]]*12</f>
        <v>458736.60000000003</v>
      </c>
    </row>
    <row r="573" spans="1:17" x14ac:dyDescent="0.25">
      <c r="A573" t="s">
        <v>587</v>
      </c>
      <c r="B573" t="s">
        <v>1585</v>
      </c>
      <c r="C573" t="s">
        <v>2012</v>
      </c>
      <c r="D573" t="s">
        <v>2021</v>
      </c>
      <c r="E573" t="s">
        <v>2038</v>
      </c>
      <c r="F573">
        <v>37</v>
      </c>
      <c r="G573" s="1">
        <v>44902</v>
      </c>
      <c r="H573" t="s">
        <v>2042</v>
      </c>
      <c r="I573" s="2">
        <v>38449.660000000003</v>
      </c>
      <c r="J573">
        <v>5</v>
      </c>
      <c r="K573">
        <v>94.14</v>
      </c>
      <c r="L573">
        <v>3</v>
      </c>
      <c r="M573">
        <v>40</v>
      </c>
      <c r="N573">
        <v>22</v>
      </c>
      <c r="O573" t="s">
        <v>2060</v>
      </c>
      <c r="P573" t="s">
        <v>2062</v>
      </c>
      <c r="Q573" s="2">
        <f>Employee_Data[[#This Row],[Monthly Salary]]*12</f>
        <v>461395.92000000004</v>
      </c>
    </row>
    <row r="574" spans="1:17" x14ac:dyDescent="0.25">
      <c r="A574" t="s">
        <v>588</v>
      </c>
      <c r="B574" t="s">
        <v>1586</v>
      </c>
      <c r="C574" t="s">
        <v>2015</v>
      </c>
      <c r="D574" t="s">
        <v>2027</v>
      </c>
      <c r="E574" t="s">
        <v>2038</v>
      </c>
      <c r="F574">
        <v>28</v>
      </c>
      <c r="G574" s="1">
        <v>45639</v>
      </c>
      <c r="H574" t="s">
        <v>2040</v>
      </c>
      <c r="I574" s="2">
        <v>60456.23</v>
      </c>
      <c r="J574">
        <v>4</v>
      </c>
      <c r="K574">
        <v>95.37</v>
      </c>
      <c r="L574">
        <v>1</v>
      </c>
      <c r="M574">
        <v>58</v>
      </c>
      <c r="N574">
        <v>59</v>
      </c>
      <c r="O574" t="s">
        <v>2054</v>
      </c>
      <c r="P574" t="s">
        <v>2062</v>
      </c>
      <c r="Q574" s="2">
        <f>Employee_Data[[#This Row],[Monthly Salary]]*12</f>
        <v>725474.76</v>
      </c>
    </row>
    <row r="575" spans="1:17" x14ac:dyDescent="0.25">
      <c r="A575" t="s">
        <v>589</v>
      </c>
      <c r="B575" t="s">
        <v>1587</v>
      </c>
      <c r="C575" t="s">
        <v>2012</v>
      </c>
      <c r="D575" t="s">
        <v>2020</v>
      </c>
      <c r="E575" t="s">
        <v>2038</v>
      </c>
      <c r="F575">
        <v>39</v>
      </c>
      <c r="G575" s="1">
        <v>43845</v>
      </c>
      <c r="H575" t="s">
        <v>2041</v>
      </c>
      <c r="I575" s="2">
        <v>86688.77</v>
      </c>
      <c r="J575">
        <v>5</v>
      </c>
      <c r="K575">
        <v>94.57</v>
      </c>
      <c r="L575">
        <v>5</v>
      </c>
      <c r="M575">
        <v>56</v>
      </c>
      <c r="N575">
        <v>21</v>
      </c>
      <c r="O575" t="s">
        <v>2047</v>
      </c>
      <c r="P575" t="s">
        <v>2062</v>
      </c>
      <c r="Q575" s="2">
        <f>Employee_Data[[#This Row],[Monthly Salary]]*12</f>
        <v>1040265.24</v>
      </c>
    </row>
    <row r="576" spans="1:17" x14ac:dyDescent="0.25">
      <c r="A576" t="s">
        <v>590</v>
      </c>
      <c r="B576" t="s">
        <v>1588</v>
      </c>
      <c r="C576" t="s">
        <v>2010</v>
      </c>
      <c r="D576" t="s">
        <v>2018</v>
      </c>
      <c r="E576" t="s">
        <v>2039</v>
      </c>
      <c r="F576">
        <v>40</v>
      </c>
      <c r="G576" s="1">
        <v>42578</v>
      </c>
      <c r="H576" t="s">
        <v>2040</v>
      </c>
      <c r="I576" s="2">
        <v>60162.99</v>
      </c>
      <c r="J576">
        <v>2</v>
      </c>
      <c r="K576">
        <v>88.92</v>
      </c>
      <c r="L576">
        <v>9</v>
      </c>
      <c r="M576">
        <v>11</v>
      </c>
      <c r="N576">
        <v>20</v>
      </c>
      <c r="O576" t="s">
        <v>2049</v>
      </c>
      <c r="P576" t="s">
        <v>2062</v>
      </c>
      <c r="Q576" s="2">
        <f>Employee_Data[[#This Row],[Monthly Salary]]*12</f>
        <v>721955.88</v>
      </c>
    </row>
    <row r="577" spans="1:17" x14ac:dyDescent="0.25">
      <c r="A577" t="s">
        <v>591</v>
      </c>
      <c r="B577" t="s">
        <v>1589</v>
      </c>
      <c r="C577" t="s">
        <v>2014</v>
      </c>
      <c r="D577" t="s">
        <v>2028</v>
      </c>
      <c r="E577" t="s">
        <v>2039</v>
      </c>
      <c r="F577">
        <v>38</v>
      </c>
      <c r="G577" s="1">
        <v>44363</v>
      </c>
      <c r="H577" t="s">
        <v>2040</v>
      </c>
      <c r="I577" s="2">
        <v>22254.86</v>
      </c>
      <c r="J577">
        <v>5</v>
      </c>
      <c r="K577">
        <v>96.99</v>
      </c>
      <c r="L577">
        <v>4</v>
      </c>
      <c r="M577">
        <v>11</v>
      </c>
      <c r="N577">
        <v>32</v>
      </c>
      <c r="O577" t="s">
        <v>2061</v>
      </c>
      <c r="P577" t="s">
        <v>2062</v>
      </c>
      <c r="Q577" s="2">
        <f>Employee_Data[[#This Row],[Monthly Salary]]*12</f>
        <v>267058.32</v>
      </c>
    </row>
    <row r="578" spans="1:17" x14ac:dyDescent="0.25">
      <c r="A578" t="s">
        <v>592</v>
      </c>
      <c r="B578" t="s">
        <v>1590</v>
      </c>
      <c r="C578" t="s">
        <v>2012</v>
      </c>
      <c r="D578" t="s">
        <v>2021</v>
      </c>
      <c r="E578" t="s">
        <v>2038</v>
      </c>
      <c r="F578">
        <v>46</v>
      </c>
      <c r="G578" s="1">
        <v>43910</v>
      </c>
      <c r="H578" t="s">
        <v>2040</v>
      </c>
      <c r="I578" s="2">
        <v>91596.38</v>
      </c>
      <c r="J578">
        <v>4</v>
      </c>
      <c r="K578">
        <v>87.39</v>
      </c>
      <c r="L578">
        <v>5</v>
      </c>
      <c r="M578">
        <v>47</v>
      </c>
      <c r="N578">
        <v>0</v>
      </c>
      <c r="O578" t="s">
        <v>2051</v>
      </c>
      <c r="P578" t="s">
        <v>2062</v>
      </c>
      <c r="Q578" s="2">
        <f>Employee_Data[[#This Row],[Monthly Salary]]*12</f>
        <v>1099156.56</v>
      </c>
    </row>
    <row r="579" spans="1:17" x14ac:dyDescent="0.25">
      <c r="A579" t="s">
        <v>593</v>
      </c>
      <c r="B579" t="s">
        <v>1591</v>
      </c>
      <c r="C579" t="s">
        <v>2011</v>
      </c>
      <c r="D579" t="s">
        <v>2035</v>
      </c>
      <c r="E579" t="s">
        <v>2039</v>
      </c>
      <c r="F579">
        <v>34</v>
      </c>
      <c r="G579" s="1">
        <v>45877</v>
      </c>
      <c r="H579" t="s">
        <v>2041</v>
      </c>
      <c r="I579" s="2">
        <v>108780.49</v>
      </c>
      <c r="J579">
        <v>4</v>
      </c>
      <c r="K579">
        <v>96.07</v>
      </c>
      <c r="L579">
        <v>0</v>
      </c>
      <c r="M579">
        <v>36</v>
      </c>
      <c r="N579">
        <v>10</v>
      </c>
      <c r="O579" t="s">
        <v>1505</v>
      </c>
      <c r="P579" t="s">
        <v>2062</v>
      </c>
      <c r="Q579" s="2">
        <f>Employee_Data[[#This Row],[Monthly Salary]]*12</f>
        <v>1305365.8800000001</v>
      </c>
    </row>
    <row r="580" spans="1:17" x14ac:dyDescent="0.25">
      <c r="A580" t="s">
        <v>594</v>
      </c>
      <c r="B580" t="s">
        <v>1592</v>
      </c>
      <c r="C580" t="s">
        <v>2016</v>
      </c>
      <c r="D580" t="s">
        <v>2032</v>
      </c>
      <c r="E580" t="s">
        <v>2039</v>
      </c>
      <c r="F580">
        <v>30</v>
      </c>
      <c r="G580" s="1">
        <v>45412</v>
      </c>
      <c r="H580" t="s">
        <v>2040</v>
      </c>
      <c r="I580" s="2">
        <v>50323.11</v>
      </c>
      <c r="J580">
        <v>5</v>
      </c>
      <c r="K580">
        <v>99.73</v>
      </c>
      <c r="L580">
        <v>1</v>
      </c>
      <c r="M580">
        <v>8</v>
      </c>
      <c r="N580">
        <v>59</v>
      </c>
      <c r="O580" t="s">
        <v>2043</v>
      </c>
      <c r="P580" t="s">
        <v>2062</v>
      </c>
      <c r="Q580" s="2">
        <f>Employee_Data[[#This Row],[Monthly Salary]]*12</f>
        <v>603877.32000000007</v>
      </c>
    </row>
    <row r="581" spans="1:17" x14ac:dyDescent="0.25">
      <c r="A581" t="s">
        <v>595</v>
      </c>
      <c r="B581" t="s">
        <v>1593</v>
      </c>
      <c r="C581" t="s">
        <v>2009</v>
      </c>
      <c r="D581" t="s">
        <v>2017</v>
      </c>
      <c r="E581" t="s">
        <v>2038</v>
      </c>
      <c r="F581">
        <v>38</v>
      </c>
      <c r="G581" s="1">
        <v>44138</v>
      </c>
      <c r="H581" t="s">
        <v>2042</v>
      </c>
      <c r="I581" s="2">
        <v>37489.300000000003</v>
      </c>
      <c r="J581">
        <v>4</v>
      </c>
      <c r="K581">
        <v>94.2</v>
      </c>
      <c r="L581">
        <v>5</v>
      </c>
      <c r="M581">
        <v>17</v>
      </c>
      <c r="N581">
        <v>12</v>
      </c>
      <c r="O581" t="s">
        <v>2048</v>
      </c>
      <c r="P581" t="s">
        <v>2062</v>
      </c>
      <c r="Q581" s="2">
        <f>Employee_Data[[#This Row],[Monthly Salary]]*12</f>
        <v>449871.60000000003</v>
      </c>
    </row>
    <row r="582" spans="1:17" x14ac:dyDescent="0.25">
      <c r="A582" t="s">
        <v>596</v>
      </c>
      <c r="B582" t="s">
        <v>1594</v>
      </c>
      <c r="C582" t="s">
        <v>2011</v>
      </c>
      <c r="D582" t="s">
        <v>2031</v>
      </c>
      <c r="E582" t="s">
        <v>2038</v>
      </c>
      <c r="F582">
        <v>23</v>
      </c>
      <c r="G582" s="1">
        <v>43183</v>
      </c>
      <c r="H582" t="s">
        <v>2042</v>
      </c>
      <c r="I582" s="2">
        <v>103458.52</v>
      </c>
      <c r="J582">
        <v>3</v>
      </c>
      <c r="K582">
        <v>89.88</v>
      </c>
      <c r="L582">
        <v>7</v>
      </c>
      <c r="M582">
        <v>59</v>
      </c>
      <c r="N582">
        <v>14</v>
      </c>
      <c r="O582" t="s">
        <v>2057</v>
      </c>
      <c r="P582" t="s">
        <v>2062</v>
      </c>
      <c r="Q582" s="2">
        <f>Employee_Data[[#This Row],[Monthly Salary]]*12</f>
        <v>1241502.24</v>
      </c>
    </row>
    <row r="583" spans="1:17" x14ac:dyDescent="0.25">
      <c r="A583" t="s">
        <v>597</v>
      </c>
      <c r="B583" t="s">
        <v>1595</v>
      </c>
      <c r="C583" t="s">
        <v>2015</v>
      </c>
      <c r="D583" t="s">
        <v>2026</v>
      </c>
      <c r="E583" t="s">
        <v>2038</v>
      </c>
      <c r="F583">
        <v>51</v>
      </c>
      <c r="G583" s="1">
        <v>45541</v>
      </c>
      <c r="H583" t="s">
        <v>2040</v>
      </c>
      <c r="I583" s="2">
        <v>85381.3</v>
      </c>
      <c r="J583">
        <v>3</v>
      </c>
      <c r="K583">
        <v>88.34</v>
      </c>
      <c r="L583">
        <v>1</v>
      </c>
      <c r="M583">
        <v>62</v>
      </c>
      <c r="N583">
        <v>58</v>
      </c>
      <c r="O583" t="s">
        <v>2044</v>
      </c>
      <c r="P583" t="s">
        <v>2062</v>
      </c>
      <c r="Q583" s="2">
        <f>Employee_Data[[#This Row],[Monthly Salary]]*12</f>
        <v>1024575.6000000001</v>
      </c>
    </row>
    <row r="584" spans="1:17" x14ac:dyDescent="0.25">
      <c r="A584" t="s">
        <v>598</v>
      </c>
      <c r="B584" t="s">
        <v>1596</v>
      </c>
      <c r="C584" t="s">
        <v>2011</v>
      </c>
      <c r="D584" t="s">
        <v>2035</v>
      </c>
      <c r="E584" t="s">
        <v>2039</v>
      </c>
      <c r="F584">
        <v>59</v>
      </c>
      <c r="G584" s="1">
        <v>44284</v>
      </c>
      <c r="H584" t="s">
        <v>2041</v>
      </c>
      <c r="I584" s="2">
        <v>56175.95</v>
      </c>
      <c r="J584">
        <v>4</v>
      </c>
      <c r="K584">
        <v>91.31</v>
      </c>
      <c r="L584">
        <v>4</v>
      </c>
      <c r="M584">
        <v>33</v>
      </c>
      <c r="N584">
        <v>40</v>
      </c>
      <c r="O584" t="s">
        <v>2050</v>
      </c>
      <c r="P584" t="s">
        <v>2063</v>
      </c>
      <c r="Q584" s="2">
        <f>Employee_Data[[#This Row],[Monthly Salary]]*12</f>
        <v>674111.39999999991</v>
      </c>
    </row>
    <row r="585" spans="1:17" x14ac:dyDescent="0.25">
      <c r="A585" t="s">
        <v>599</v>
      </c>
      <c r="B585" t="s">
        <v>1597</v>
      </c>
      <c r="C585" t="s">
        <v>2009</v>
      </c>
      <c r="D585" t="s">
        <v>2030</v>
      </c>
      <c r="E585" t="s">
        <v>2039</v>
      </c>
      <c r="F585">
        <v>37</v>
      </c>
      <c r="G585" s="1">
        <v>42443</v>
      </c>
      <c r="H585" t="s">
        <v>2040</v>
      </c>
      <c r="I585" s="2">
        <v>78165.45</v>
      </c>
      <c r="J585">
        <v>2</v>
      </c>
      <c r="K585">
        <v>86.39</v>
      </c>
      <c r="L585">
        <v>9</v>
      </c>
      <c r="M585">
        <v>17</v>
      </c>
      <c r="N585">
        <v>22</v>
      </c>
      <c r="O585" t="s">
        <v>2048</v>
      </c>
      <c r="P585" t="s">
        <v>2062</v>
      </c>
      <c r="Q585" s="2">
        <f>Employee_Data[[#This Row],[Monthly Salary]]*12</f>
        <v>937985.39999999991</v>
      </c>
    </row>
    <row r="586" spans="1:17" x14ac:dyDescent="0.25">
      <c r="A586" t="s">
        <v>600</v>
      </c>
      <c r="B586" t="s">
        <v>1598</v>
      </c>
      <c r="C586" t="s">
        <v>2012</v>
      </c>
      <c r="D586" t="s">
        <v>2020</v>
      </c>
      <c r="E586" t="s">
        <v>2038</v>
      </c>
      <c r="F586">
        <v>24</v>
      </c>
      <c r="G586" s="1">
        <v>43324</v>
      </c>
      <c r="H586" t="s">
        <v>2042</v>
      </c>
      <c r="I586" s="2">
        <v>49166.41</v>
      </c>
      <c r="J586">
        <v>1</v>
      </c>
      <c r="K586">
        <v>90.28</v>
      </c>
      <c r="L586">
        <v>7</v>
      </c>
      <c r="M586">
        <v>80</v>
      </c>
      <c r="N586">
        <v>11</v>
      </c>
      <c r="O586" t="s">
        <v>2047</v>
      </c>
      <c r="P586" t="s">
        <v>2062</v>
      </c>
      <c r="Q586" s="2">
        <f>Employee_Data[[#This Row],[Monthly Salary]]*12</f>
        <v>589996.92000000004</v>
      </c>
    </row>
    <row r="587" spans="1:17" x14ac:dyDescent="0.25">
      <c r="A587" t="s">
        <v>601</v>
      </c>
      <c r="B587" t="s">
        <v>1599</v>
      </c>
      <c r="C587" t="s">
        <v>2015</v>
      </c>
      <c r="D587" t="s">
        <v>2027</v>
      </c>
      <c r="E587" t="s">
        <v>2038</v>
      </c>
      <c r="F587">
        <v>41</v>
      </c>
      <c r="G587" s="1">
        <v>45732</v>
      </c>
      <c r="H587" t="s">
        <v>2041</v>
      </c>
      <c r="I587" s="2">
        <v>99987.72</v>
      </c>
      <c r="J587">
        <v>3</v>
      </c>
      <c r="K587">
        <v>93.71</v>
      </c>
      <c r="L587">
        <v>0</v>
      </c>
      <c r="M587">
        <v>46</v>
      </c>
      <c r="N587">
        <v>6</v>
      </c>
      <c r="O587" t="s">
        <v>2046</v>
      </c>
      <c r="P587" t="s">
        <v>2062</v>
      </c>
      <c r="Q587" s="2">
        <f>Employee_Data[[#This Row],[Monthly Salary]]*12</f>
        <v>1199852.6400000001</v>
      </c>
    </row>
    <row r="588" spans="1:17" x14ac:dyDescent="0.25">
      <c r="A588" t="s">
        <v>602</v>
      </c>
      <c r="B588" t="s">
        <v>1600</v>
      </c>
      <c r="C588" t="s">
        <v>2015</v>
      </c>
      <c r="D588" t="s">
        <v>2033</v>
      </c>
      <c r="E588" t="s">
        <v>2039</v>
      </c>
      <c r="F588">
        <v>54</v>
      </c>
      <c r="G588" s="1">
        <v>43743</v>
      </c>
      <c r="H588" t="s">
        <v>2042</v>
      </c>
      <c r="I588" s="2">
        <v>57301.42</v>
      </c>
      <c r="J588">
        <v>4</v>
      </c>
      <c r="K588">
        <v>88.24</v>
      </c>
      <c r="L588">
        <v>6</v>
      </c>
      <c r="M588">
        <v>20</v>
      </c>
      <c r="N588">
        <v>6</v>
      </c>
      <c r="O588" t="s">
        <v>2059</v>
      </c>
      <c r="P588" t="s">
        <v>2062</v>
      </c>
      <c r="Q588" s="2">
        <f>Employee_Data[[#This Row],[Monthly Salary]]*12</f>
        <v>687617.04</v>
      </c>
    </row>
    <row r="589" spans="1:17" x14ac:dyDescent="0.25">
      <c r="A589" t="s">
        <v>603</v>
      </c>
      <c r="B589" t="s">
        <v>1601</v>
      </c>
      <c r="C589" t="s">
        <v>2014</v>
      </c>
      <c r="D589" t="s">
        <v>2023</v>
      </c>
      <c r="E589" t="s">
        <v>2039</v>
      </c>
      <c r="F589">
        <v>47</v>
      </c>
      <c r="G589" s="1">
        <v>44988</v>
      </c>
      <c r="H589" t="s">
        <v>2042</v>
      </c>
      <c r="I589" s="2">
        <v>111603.12</v>
      </c>
      <c r="J589">
        <v>1</v>
      </c>
      <c r="K589">
        <v>96.38</v>
      </c>
      <c r="L589">
        <v>2</v>
      </c>
      <c r="M589">
        <v>2</v>
      </c>
      <c r="N589">
        <v>30</v>
      </c>
      <c r="O589" t="s">
        <v>2053</v>
      </c>
      <c r="P589" t="s">
        <v>2062</v>
      </c>
      <c r="Q589" s="2">
        <f>Employee_Data[[#This Row],[Monthly Salary]]*12</f>
        <v>1339237.44</v>
      </c>
    </row>
    <row r="590" spans="1:17" x14ac:dyDescent="0.25">
      <c r="A590" t="s">
        <v>604</v>
      </c>
      <c r="B590" t="s">
        <v>1602</v>
      </c>
      <c r="C590" t="s">
        <v>2012</v>
      </c>
      <c r="D590" t="s">
        <v>2021</v>
      </c>
      <c r="E590" t="s">
        <v>2038</v>
      </c>
      <c r="F590">
        <v>59</v>
      </c>
      <c r="G590" s="1">
        <v>45096</v>
      </c>
      <c r="H590" t="s">
        <v>2041</v>
      </c>
      <c r="I590" s="2">
        <v>96358.95</v>
      </c>
      <c r="J590">
        <v>3</v>
      </c>
      <c r="K590">
        <v>83.44</v>
      </c>
      <c r="L590">
        <v>2</v>
      </c>
      <c r="M590">
        <v>38</v>
      </c>
      <c r="N590">
        <v>1</v>
      </c>
      <c r="O590" t="s">
        <v>2047</v>
      </c>
      <c r="P590" t="s">
        <v>2062</v>
      </c>
      <c r="Q590" s="2">
        <f>Employee_Data[[#This Row],[Monthly Salary]]*12</f>
        <v>1156307.3999999999</v>
      </c>
    </row>
    <row r="591" spans="1:17" x14ac:dyDescent="0.25">
      <c r="A591" t="s">
        <v>605</v>
      </c>
      <c r="B591" t="s">
        <v>1603</v>
      </c>
      <c r="C591" t="s">
        <v>2015</v>
      </c>
      <c r="D591" t="s">
        <v>2027</v>
      </c>
      <c r="E591" t="s">
        <v>2039</v>
      </c>
      <c r="F591">
        <v>40</v>
      </c>
      <c r="G591" s="1">
        <v>43581</v>
      </c>
      <c r="H591" t="s">
        <v>2040</v>
      </c>
      <c r="I591" s="2">
        <v>40984.1</v>
      </c>
      <c r="J591">
        <v>1</v>
      </c>
      <c r="K591">
        <v>88.5</v>
      </c>
      <c r="L591">
        <v>6</v>
      </c>
      <c r="M591">
        <v>14</v>
      </c>
      <c r="N591">
        <v>4</v>
      </c>
      <c r="O591" t="s">
        <v>2057</v>
      </c>
      <c r="P591" t="s">
        <v>2062</v>
      </c>
      <c r="Q591" s="2">
        <f>Employee_Data[[#This Row],[Monthly Salary]]*12</f>
        <v>491809.19999999995</v>
      </c>
    </row>
    <row r="592" spans="1:17" x14ac:dyDescent="0.25">
      <c r="A592" t="s">
        <v>606</v>
      </c>
      <c r="B592" t="s">
        <v>1604</v>
      </c>
      <c r="C592" t="s">
        <v>2016</v>
      </c>
      <c r="D592" t="s">
        <v>2032</v>
      </c>
      <c r="E592" t="s">
        <v>2039</v>
      </c>
      <c r="F592">
        <v>27</v>
      </c>
      <c r="G592" s="1">
        <v>45890</v>
      </c>
      <c r="H592" t="s">
        <v>2040</v>
      </c>
      <c r="I592" s="2">
        <v>99305.52</v>
      </c>
      <c r="J592">
        <v>5</v>
      </c>
      <c r="K592">
        <v>91.86</v>
      </c>
      <c r="L592">
        <v>0</v>
      </c>
      <c r="M592">
        <v>60</v>
      </c>
      <c r="N592">
        <v>7</v>
      </c>
      <c r="O592" t="s">
        <v>2055</v>
      </c>
      <c r="P592" t="s">
        <v>2062</v>
      </c>
      <c r="Q592" s="2">
        <f>Employee_Data[[#This Row],[Monthly Salary]]*12</f>
        <v>1191666.24</v>
      </c>
    </row>
    <row r="593" spans="1:17" x14ac:dyDescent="0.25">
      <c r="A593" t="s">
        <v>607</v>
      </c>
      <c r="B593" t="s">
        <v>1605</v>
      </c>
      <c r="C593" t="s">
        <v>2011</v>
      </c>
      <c r="D593" t="s">
        <v>2031</v>
      </c>
      <c r="E593" t="s">
        <v>2039</v>
      </c>
      <c r="F593">
        <v>27</v>
      </c>
      <c r="G593" s="1">
        <v>44328</v>
      </c>
      <c r="H593" t="s">
        <v>2040</v>
      </c>
      <c r="I593" s="2">
        <v>112009.81</v>
      </c>
      <c r="J593">
        <v>2</v>
      </c>
      <c r="K593">
        <v>91.75</v>
      </c>
      <c r="L593">
        <v>4</v>
      </c>
      <c r="M593">
        <v>25</v>
      </c>
      <c r="N593">
        <v>11</v>
      </c>
      <c r="O593" t="s">
        <v>2053</v>
      </c>
      <c r="P593" t="s">
        <v>2062</v>
      </c>
      <c r="Q593" s="2">
        <f>Employee_Data[[#This Row],[Monthly Salary]]*12</f>
        <v>1344117.72</v>
      </c>
    </row>
    <row r="594" spans="1:17" x14ac:dyDescent="0.25">
      <c r="A594" t="s">
        <v>608</v>
      </c>
      <c r="B594" t="s">
        <v>1606</v>
      </c>
      <c r="C594" t="s">
        <v>2015</v>
      </c>
      <c r="D594" t="s">
        <v>2027</v>
      </c>
      <c r="E594" t="s">
        <v>2038</v>
      </c>
      <c r="F594">
        <v>58</v>
      </c>
      <c r="G594" s="1">
        <v>45344</v>
      </c>
      <c r="H594" t="s">
        <v>2042</v>
      </c>
      <c r="I594" s="2">
        <v>55220.33</v>
      </c>
      <c r="J594">
        <v>5</v>
      </c>
      <c r="K594">
        <v>95.62</v>
      </c>
      <c r="L594">
        <v>1</v>
      </c>
      <c r="M594">
        <v>78</v>
      </c>
      <c r="N594">
        <v>15</v>
      </c>
      <c r="O594" t="s">
        <v>2052</v>
      </c>
      <c r="P594" t="s">
        <v>2062</v>
      </c>
      <c r="Q594" s="2">
        <f>Employee_Data[[#This Row],[Monthly Salary]]*12</f>
        <v>662643.96</v>
      </c>
    </row>
    <row r="595" spans="1:17" x14ac:dyDescent="0.25">
      <c r="A595" t="s">
        <v>609</v>
      </c>
      <c r="B595" t="s">
        <v>1607</v>
      </c>
      <c r="C595" t="s">
        <v>2009</v>
      </c>
      <c r="D595" t="s">
        <v>2036</v>
      </c>
      <c r="E595" t="s">
        <v>2039</v>
      </c>
      <c r="F595">
        <v>54</v>
      </c>
      <c r="G595" s="1">
        <v>44742</v>
      </c>
      <c r="H595" t="s">
        <v>2040</v>
      </c>
      <c r="I595" s="2">
        <v>91581.16</v>
      </c>
      <c r="J595">
        <v>3</v>
      </c>
      <c r="K595">
        <v>83.44</v>
      </c>
      <c r="L595">
        <v>3</v>
      </c>
      <c r="M595">
        <v>68</v>
      </c>
      <c r="N595">
        <v>0</v>
      </c>
      <c r="O595" t="s">
        <v>2047</v>
      </c>
      <c r="P595" t="s">
        <v>2063</v>
      </c>
      <c r="Q595" s="2">
        <f>Employee_Data[[#This Row],[Monthly Salary]]*12</f>
        <v>1098973.92</v>
      </c>
    </row>
    <row r="596" spans="1:17" x14ac:dyDescent="0.25">
      <c r="A596" t="s">
        <v>610</v>
      </c>
      <c r="B596" t="s">
        <v>1608</v>
      </c>
      <c r="C596" t="s">
        <v>2013</v>
      </c>
      <c r="D596" t="s">
        <v>2022</v>
      </c>
      <c r="E596" t="s">
        <v>2039</v>
      </c>
      <c r="F596">
        <v>49</v>
      </c>
      <c r="G596" s="1">
        <v>43375</v>
      </c>
      <c r="H596" t="s">
        <v>2041</v>
      </c>
      <c r="I596" s="2">
        <v>115774.77</v>
      </c>
      <c r="J596">
        <v>2</v>
      </c>
      <c r="K596">
        <v>96.69</v>
      </c>
      <c r="L596">
        <v>7</v>
      </c>
      <c r="M596">
        <v>48</v>
      </c>
      <c r="N596">
        <v>27</v>
      </c>
      <c r="O596" t="s">
        <v>2059</v>
      </c>
      <c r="P596" t="s">
        <v>2062</v>
      </c>
      <c r="Q596" s="2">
        <f>Employee_Data[[#This Row],[Monthly Salary]]*12</f>
        <v>1389297.24</v>
      </c>
    </row>
    <row r="597" spans="1:17" x14ac:dyDescent="0.25">
      <c r="A597" t="s">
        <v>611</v>
      </c>
      <c r="B597" t="s">
        <v>1609</v>
      </c>
      <c r="C597" t="s">
        <v>2016</v>
      </c>
      <c r="D597" t="s">
        <v>2032</v>
      </c>
      <c r="E597" t="s">
        <v>2038</v>
      </c>
      <c r="F597">
        <v>28</v>
      </c>
      <c r="G597" s="1">
        <v>42829</v>
      </c>
      <c r="H597" t="s">
        <v>2042</v>
      </c>
      <c r="I597" s="2">
        <v>31031.62</v>
      </c>
      <c r="J597">
        <v>2</v>
      </c>
      <c r="K597">
        <v>89.92</v>
      </c>
      <c r="L597">
        <v>8</v>
      </c>
      <c r="M597">
        <v>46</v>
      </c>
      <c r="N597">
        <v>45</v>
      </c>
      <c r="O597" t="s">
        <v>2051</v>
      </c>
      <c r="P597" t="s">
        <v>2062</v>
      </c>
      <c r="Q597" s="2">
        <f>Employee_Data[[#This Row],[Monthly Salary]]*12</f>
        <v>372379.44</v>
      </c>
    </row>
    <row r="598" spans="1:17" x14ac:dyDescent="0.25">
      <c r="A598" t="s">
        <v>612</v>
      </c>
      <c r="B598" t="s">
        <v>1105</v>
      </c>
      <c r="C598" t="s">
        <v>2010</v>
      </c>
      <c r="D598" t="s">
        <v>2018</v>
      </c>
      <c r="E598" t="s">
        <v>2038</v>
      </c>
      <c r="F598">
        <v>52</v>
      </c>
      <c r="G598" s="1">
        <v>43029</v>
      </c>
      <c r="H598" t="s">
        <v>2040</v>
      </c>
      <c r="I598" s="2">
        <v>58478.11</v>
      </c>
      <c r="J598">
        <v>4</v>
      </c>
      <c r="K598">
        <v>92.01</v>
      </c>
      <c r="L598">
        <v>8</v>
      </c>
      <c r="M598">
        <v>39</v>
      </c>
      <c r="N598">
        <v>43</v>
      </c>
      <c r="O598" t="s">
        <v>2056</v>
      </c>
      <c r="P598" t="s">
        <v>2062</v>
      </c>
      <c r="Q598" s="2">
        <f>Employee_Data[[#This Row],[Monthly Salary]]*12</f>
        <v>701737.32000000007</v>
      </c>
    </row>
    <row r="599" spans="1:17" x14ac:dyDescent="0.25">
      <c r="A599" t="s">
        <v>613</v>
      </c>
      <c r="B599" t="s">
        <v>1610</v>
      </c>
      <c r="C599" t="s">
        <v>2016</v>
      </c>
      <c r="D599" t="s">
        <v>2034</v>
      </c>
      <c r="E599" t="s">
        <v>2038</v>
      </c>
      <c r="F599">
        <v>33</v>
      </c>
      <c r="G599" s="1">
        <v>44901</v>
      </c>
      <c r="H599" t="s">
        <v>2040</v>
      </c>
      <c r="I599" s="2">
        <v>109475.46</v>
      </c>
      <c r="J599">
        <v>4</v>
      </c>
      <c r="K599">
        <v>98.78</v>
      </c>
      <c r="L599">
        <v>3</v>
      </c>
      <c r="M599">
        <v>47</v>
      </c>
      <c r="N599">
        <v>11</v>
      </c>
      <c r="O599" t="s">
        <v>2057</v>
      </c>
      <c r="P599" t="s">
        <v>2063</v>
      </c>
      <c r="Q599" s="2">
        <f>Employee_Data[[#This Row],[Monthly Salary]]*12</f>
        <v>1313705.52</v>
      </c>
    </row>
    <row r="600" spans="1:17" x14ac:dyDescent="0.25">
      <c r="A600" t="s">
        <v>614</v>
      </c>
      <c r="B600" t="s">
        <v>1611</v>
      </c>
      <c r="C600" t="s">
        <v>2013</v>
      </c>
      <c r="D600" t="s">
        <v>2025</v>
      </c>
      <c r="E600" t="s">
        <v>2038</v>
      </c>
      <c r="F600">
        <v>49</v>
      </c>
      <c r="G600" s="1">
        <v>45327</v>
      </c>
      <c r="H600" t="s">
        <v>2041</v>
      </c>
      <c r="I600" s="2">
        <v>85854.83</v>
      </c>
      <c r="J600">
        <v>1</v>
      </c>
      <c r="K600">
        <v>82.38</v>
      </c>
      <c r="L600">
        <v>1</v>
      </c>
      <c r="M600">
        <v>50</v>
      </c>
      <c r="N600">
        <v>25</v>
      </c>
      <c r="O600" t="s">
        <v>2043</v>
      </c>
      <c r="P600" t="s">
        <v>2063</v>
      </c>
      <c r="Q600" s="2">
        <f>Employee_Data[[#This Row],[Monthly Salary]]*12</f>
        <v>1030257.96</v>
      </c>
    </row>
    <row r="601" spans="1:17" x14ac:dyDescent="0.25">
      <c r="A601" t="s">
        <v>615</v>
      </c>
      <c r="B601" t="s">
        <v>1612</v>
      </c>
      <c r="C601" t="s">
        <v>2015</v>
      </c>
      <c r="D601" t="s">
        <v>2033</v>
      </c>
      <c r="E601" t="s">
        <v>2038</v>
      </c>
      <c r="F601">
        <v>33</v>
      </c>
      <c r="G601" s="1">
        <v>43379</v>
      </c>
      <c r="H601" t="s">
        <v>2042</v>
      </c>
      <c r="I601" s="2">
        <v>40026.35</v>
      </c>
      <c r="J601">
        <v>4</v>
      </c>
      <c r="K601">
        <v>82.46</v>
      </c>
      <c r="L601">
        <v>7</v>
      </c>
      <c r="M601">
        <v>54</v>
      </c>
      <c r="N601">
        <v>46</v>
      </c>
      <c r="O601" t="s">
        <v>2050</v>
      </c>
      <c r="P601" t="s">
        <v>2062</v>
      </c>
      <c r="Q601" s="2">
        <f>Employee_Data[[#This Row],[Monthly Salary]]*12</f>
        <v>480316.19999999995</v>
      </c>
    </row>
    <row r="602" spans="1:17" x14ac:dyDescent="0.25">
      <c r="A602" t="s">
        <v>616</v>
      </c>
      <c r="B602" t="s">
        <v>1613</v>
      </c>
      <c r="C602" t="s">
        <v>2011</v>
      </c>
      <c r="D602" t="s">
        <v>2031</v>
      </c>
      <c r="E602" t="s">
        <v>2038</v>
      </c>
      <c r="F602">
        <v>43</v>
      </c>
      <c r="G602" s="1">
        <v>44257</v>
      </c>
      <c r="H602" t="s">
        <v>2042</v>
      </c>
      <c r="I602" s="2">
        <v>86667.7</v>
      </c>
      <c r="J602">
        <v>4</v>
      </c>
      <c r="K602">
        <v>99.75</v>
      </c>
      <c r="L602">
        <v>4</v>
      </c>
      <c r="M602">
        <v>65</v>
      </c>
      <c r="N602">
        <v>17</v>
      </c>
      <c r="O602" t="s">
        <v>2060</v>
      </c>
      <c r="P602" t="s">
        <v>2062</v>
      </c>
      <c r="Q602" s="2">
        <f>Employee_Data[[#This Row],[Monthly Salary]]*12</f>
        <v>1040012.3999999999</v>
      </c>
    </row>
    <row r="603" spans="1:17" x14ac:dyDescent="0.25">
      <c r="A603" t="s">
        <v>617</v>
      </c>
      <c r="B603" t="s">
        <v>1614</v>
      </c>
      <c r="C603" t="s">
        <v>2009</v>
      </c>
      <c r="D603" t="s">
        <v>2017</v>
      </c>
      <c r="E603" t="s">
        <v>2038</v>
      </c>
      <c r="F603">
        <v>52</v>
      </c>
      <c r="G603" s="1">
        <v>42362</v>
      </c>
      <c r="H603" t="s">
        <v>2042</v>
      </c>
      <c r="I603" s="2">
        <v>43082.18</v>
      </c>
      <c r="J603">
        <v>2</v>
      </c>
      <c r="K603">
        <v>80.59</v>
      </c>
      <c r="L603">
        <v>10</v>
      </c>
      <c r="M603">
        <v>6</v>
      </c>
      <c r="N603">
        <v>53</v>
      </c>
      <c r="O603" t="s">
        <v>2045</v>
      </c>
      <c r="P603" t="s">
        <v>2062</v>
      </c>
      <c r="Q603" s="2">
        <f>Employee_Data[[#This Row],[Monthly Salary]]*12</f>
        <v>516986.16000000003</v>
      </c>
    </row>
    <row r="604" spans="1:17" x14ac:dyDescent="0.25">
      <c r="A604" t="s">
        <v>618</v>
      </c>
      <c r="B604" t="s">
        <v>1615</v>
      </c>
      <c r="C604" t="s">
        <v>2010</v>
      </c>
      <c r="D604" t="s">
        <v>2018</v>
      </c>
      <c r="E604" t="s">
        <v>2038</v>
      </c>
      <c r="F604">
        <v>59</v>
      </c>
      <c r="G604" s="1">
        <v>45378</v>
      </c>
      <c r="H604" t="s">
        <v>2041</v>
      </c>
      <c r="I604" s="2">
        <v>52695.59</v>
      </c>
      <c r="J604">
        <v>3</v>
      </c>
      <c r="K604">
        <v>92.44</v>
      </c>
      <c r="L604">
        <v>1</v>
      </c>
      <c r="M604">
        <v>12</v>
      </c>
      <c r="N604">
        <v>48</v>
      </c>
      <c r="O604" t="s">
        <v>2045</v>
      </c>
      <c r="P604" t="s">
        <v>2062</v>
      </c>
      <c r="Q604" s="2">
        <f>Employee_Data[[#This Row],[Monthly Salary]]*12</f>
        <v>632347.07999999996</v>
      </c>
    </row>
    <row r="605" spans="1:17" x14ac:dyDescent="0.25">
      <c r="A605" t="s">
        <v>619</v>
      </c>
      <c r="B605" t="s">
        <v>1616</v>
      </c>
      <c r="C605" t="s">
        <v>2013</v>
      </c>
      <c r="D605" t="s">
        <v>2022</v>
      </c>
      <c r="E605" t="s">
        <v>2039</v>
      </c>
      <c r="F605">
        <v>39</v>
      </c>
      <c r="G605" s="1">
        <v>45060</v>
      </c>
      <c r="H605" t="s">
        <v>2041</v>
      </c>
      <c r="I605" s="2">
        <v>69789.899999999994</v>
      </c>
      <c r="J605">
        <v>5</v>
      </c>
      <c r="K605">
        <v>85.23</v>
      </c>
      <c r="L605">
        <v>2</v>
      </c>
      <c r="M605">
        <v>43</v>
      </c>
      <c r="N605">
        <v>51</v>
      </c>
      <c r="O605" t="s">
        <v>2046</v>
      </c>
      <c r="P605" t="s">
        <v>2062</v>
      </c>
      <c r="Q605" s="2">
        <f>Employee_Data[[#This Row],[Monthly Salary]]*12</f>
        <v>837478.79999999993</v>
      </c>
    </row>
    <row r="606" spans="1:17" x14ac:dyDescent="0.25">
      <c r="A606" t="s">
        <v>620</v>
      </c>
      <c r="B606" t="s">
        <v>1617</v>
      </c>
      <c r="C606" t="s">
        <v>2010</v>
      </c>
      <c r="D606" t="s">
        <v>2024</v>
      </c>
      <c r="E606" t="s">
        <v>2039</v>
      </c>
      <c r="F606">
        <v>45</v>
      </c>
      <c r="G606" s="1">
        <v>44117</v>
      </c>
      <c r="H606" t="s">
        <v>2042</v>
      </c>
      <c r="I606" s="2">
        <v>51455.92</v>
      </c>
      <c r="J606">
        <v>4</v>
      </c>
      <c r="K606">
        <v>88.85</v>
      </c>
      <c r="L606">
        <v>5</v>
      </c>
      <c r="M606">
        <v>4</v>
      </c>
      <c r="N606">
        <v>2</v>
      </c>
      <c r="O606" t="s">
        <v>2048</v>
      </c>
      <c r="P606" t="s">
        <v>2062</v>
      </c>
      <c r="Q606" s="2">
        <f>Employee_Data[[#This Row],[Monthly Salary]]*12</f>
        <v>617471.04</v>
      </c>
    </row>
    <row r="607" spans="1:17" x14ac:dyDescent="0.25">
      <c r="A607" t="s">
        <v>621</v>
      </c>
      <c r="B607" t="s">
        <v>1618</v>
      </c>
      <c r="C607" t="s">
        <v>2011</v>
      </c>
      <c r="D607" t="s">
        <v>2031</v>
      </c>
      <c r="E607" t="s">
        <v>2039</v>
      </c>
      <c r="F607">
        <v>52</v>
      </c>
      <c r="G607" s="1">
        <v>45144</v>
      </c>
      <c r="H607" t="s">
        <v>2042</v>
      </c>
      <c r="I607" s="2">
        <v>33448.82</v>
      </c>
      <c r="J607">
        <v>4</v>
      </c>
      <c r="K607">
        <v>89.75</v>
      </c>
      <c r="L607">
        <v>2</v>
      </c>
      <c r="M607">
        <v>14</v>
      </c>
      <c r="N607">
        <v>36</v>
      </c>
      <c r="O607" t="s">
        <v>2050</v>
      </c>
      <c r="P607" t="s">
        <v>2062</v>
      </c>
      <c r="Q607" s="2">
        <f>Employee_Data[[#This Row],[Monthly Salary]]*12</f>
        <v>401385.83999999997</v>
      </c>
    </row>
    <row r="608" spans="1:17" x14ac:dyDescent="0.25">
      <c r="A608" t="s">
        <v>622</v>
      </c>
      <c r="B608" t="s">
        <v>1619</v>
      </c>
      <c r="C608" t="s">
        <v>2013</v>
      </c>
      <c r="D608" t="s">
        <v>2022</v>
      </c>
      <c r="E608" t="s">
        <v>2039</v>
      </c>
      <c r="F608">
        <v>53</v>
      </c>
      <c r="G608" s="1">
        <v>45477</v>
      </c>
      <c r="H608" t="s">
        <v>2040</v>
      </c>
      <c r="I608" s="2">
        <v>59138.48</v>
      </c>
      <c r="J608">
        <v>4</v>
      </c>
      <c r="K608">
        <v>91.82</v>
      </c>
      <c r="L608">
        <v>1</v>
      </c>
      <c r="M608">
        <v>48</v>
      </c>
      <c r="N608">
        <v>39</v>
      </c>
      <c r="O608" t="s">
        <v>2053</v>
      </c>
      <c r="P608" t="s">
        <v>2062</v>
      </c>
      <c r="Q608" s="2">
        <f>Employee_Data[[#This Row],[Monthly Salary]]*12</f>
        <v>709661.76</v>
      </c>
    </row>
    <row r="609" spans="1:17" x14ac:dyDescent="0.25">
      <c r="A609" t="s">
        <v>623</v>
      </c>
      <c r="B609" t="s">
        <v>1620</v>
      </c>
      <c r="C609" t="s">
        <v>2011</v>
      </c>
      <c r="D609" t="s">
        <v>2035</v>
      </c>
      <c r="E609" t="s">
        <v>2039</v>
      </c>
      <c r="F609">
        <v>22</v>
      </c>
      <c r="G609" s="1">
        <v>44582</v>
      </c>
      <c r="H609" t="s">
        <v>2041</v>
      </c>
      <c r="I609" s="2">
        <v>24511.85</v>
      </c>
      <c r="J609">
        <v>3</v>
      </c>
      <c r="K609">
        <v>86.98</v>
      </c>
      <c r="L609">
        <v>3</v>
      </c>
      <c r="M609">
        <v>74</v>
      </c>
      <c r="N609">
        <v>1</v>
      </c>
      <c r="O609" t="s">
        <v>2054</v>
      </c>
      <c r="P609" t="s">
        <v>2062</v>
      </c>
      <c r="Q609" s="2">
        <f>Employee_Data[[#This Row],[Monthly Salary]]*12</f>
        <v>294142.19999999995</v>
      </c>
    </row>
    <row r="610" spans="1:17" x14ac:dyDescent="0.25">
      <c r="A610" t="s">
        <v>624</v>
      </c>
      <c r="B610" t="s">
        <v>1621</v>
      </c>
      <c r="C610" t="s">
        <v>2016</v>
      </c>
      <c r="D610" t="s">
        <v>2034</v>
      </c>
      <c r="E610" t="s">
        <v>2038</v>
      </c>
      <c r="F610">
        <v>47</v>
      </c>
      <c r="G610" s="1">
        <v>45045</v>
      </c>
      <c r="H610" t="s">
        <v>2042</v>
      </c>
      <c r="I610" s="2">
        <v>25644.92</v>
      </c>
      <c r="J610">
        <v>2</v>
      </c>
      <c r="K610">
        <v>84.95</v>
      </c>
      <c r="L610">
        <v>2</v>
      </c>
      <c r="M610">
        <v>39</v>
      </c>
      <c r="N610">
        <v>37</v>
      </c>
      <c r="O610" t="s">
        <v>2045</v>
      </c>
      <c r="P610" t="s">
        <v>2063</v>
      </c>
      <c r="Q610" s="2">
        <f>Employee_Data[[#This Row],[Monthly Salary]]*12</f>
        <v>307739.03999999998</v>
      </c>
    </row>
    <row r="611" spans="1:17" x14ac:dyDescent="0.25">
      <c r="A611" t="s">
        <v>625</v>
      </c>
      <c r="B611" t="s">
        <v>1622</v>
      </c>
      <c r="C611" t="s">
        <v>2009</v>
      </c>
      <c r="D611" t="s">
        <v>2030</v>
      </c>
      <c r="E611" t="s">
        <v>2039</v>
      </c>
      <c r="F611">
        <v>42</v>
      </c>
      <c r="G611" s="1">
        <v>43841</v>
      </c>
      <c r="H611" t="s">
        <v>2040</v>
      </c>
      <c r="I611" s="2">
        <v>21971.200000000001</v>
      </c>
      <c r="J611">
        <v>3</v>
      </c>
      <c r="K611">
        <v>80.75</v>
      </c>
      <c r="L611">
        <v>5</v>
      </c>
      <c r="M611">
        <v>54</v>
      </c>
      <c r="N611">
        <v>36</v>
      </c>
      <c r="O611" t="s">
        <v>2052</v>
      </c>
      <c r="P611" t="s">
        <v>2063</v>
      </c>
      <c r="Q611" s="2">
        <f>Employee_Data[[#This Row],[Monthly Salary]]*12</f>
        <v>263654.40000000002</v>
      </c>
    </row>
    <row r="612" spans="1:17" x14ac:dyDescent="0.25">
      <c r="A612" t="s">
        <v>626</v>
      </c>
      <c r="B612" t="s">
        <v>1623</v>
      </c>
      <c r="C612" t="s">
        <v>2011</v>
      </c>
      <c r="D612" t="s">
        <v>2019</v>
      </c>
      <c r="E612" t="s">
        <v>2038</v>
      </c>
      <c r="F612">
        <v>58</v>
      </c>
      <c r="G612" s="1">
        <v>44468</v>
      </c>
      <c r="H612" t="s">
        <v>2040</v>
      </c>
      <c r="I612" s="2">
        <v>118576.48</v>
      </c>
      <c r="J612">
        <v>4</v>
      </c>
      <c r="K612">
        <v>91.41</v>
      </c>
      <c r="L612">
        <v>4</v>
      </c>
      <c r="M612">
        <v>41</v>
      </c>
      <c r="N612">
        <v>36</v>
      </c>
      <c r="O612" t="s">
        <v>2047</v>
      </c>
      <c r="P612" t="s">
        <v>2062</v>
      </c>
      <c r="Q612" s="2">
        <f>Employee_Data[[#This Row],[Monthly Salary]]*12</f>
        <v>1422917.76</v>
      </c>
    </row>
    <row r="613" spans="1:17" x14ac:dyDescent="0.25">
      <c r="A613" t="s">
        <v>627</v>
      </c>
      <c r="B613" t="s">
        <v>1624</v>
      </c>
      <c r="C613" t="s">
        <v>2009</v>
      </c>
      <c r="D613" t="s">
        <v>2036</v>
      </c>
      <c r="E613" t="s">
        <v>2039</v>
      </c>
      <c r="F613">
        <v>42</v>
      </c>
      <c r="G613" s="1">
        <v>43032</v>
      </c>
      <c r="H613" t="s">
        <v>2042</v>
      </c>
      <c r="I613" s="2">
        <v>70276.850000000006</v>
      </c>
      <c r="J613">
        <v>3</v>
      </c>
      <c r="K613">
        <v>83.33</v>
      </c>
      <c r="L613">
        <v>8</v>
      </c>
      <c r="M613">
        <v>38</v>
      </c>
      <c r="N613">
        <v>23</v>
      </c>
      <c r="O613" t="s">
        <v>1505</v>
      </c>
      <c r="P613" t="s">
        <v>2062</v>
      </c>
      <c r="Q613" s="2">
        <f>Employee_Data[[#This Row],[Monthly Salary]]*12</f>
        <v>843322.20000000007</v>
      </c>
    </row>
    <row r="614" spans="1:17" x14ac:dyDescent="0.25">
      <c r="A614" t="s">
        <v>628</v>
      </c>
      <c r="B614" t="s">
        <v>1625</v>
      </c>
      <c r="C614" t="s">
        <v>2009</v>
      </c>
      <c r="D614" t="s">
        <v>2036</v>
      </c>
      <c r="E614" t="s">
        <v>2039</v>
      </c>
      <c r="F614">
        <v>39</v>
      </c>
      <c r="G614" s="1">
        <v>44481</v>
      </c>
      <c r="H614" t="s">
        <v>2042</v>
      </c>
      <c r="I614" s="2">
        <v>24753.14</v>
      </c>
      <c r="J614">
        <v>5</v>
      </c>
      <c r="K614">
        <v>88.04</v>
      </c>
      <c r="L614">
        <v>4</v>
      </c>
      <c r="M614">
        <v>28</v>
      </c>
      <c r="N614">
        <v>39</v>
      </c>
      <c r="O614" t="s">
        <v>2045</v>
      </c>
      <c r="P614" t="s">
        <v>2062</v>
      </c>
      <c r="Q614" s="2">
        <f>Employee_Data[[#This Row],[Monthly Salary]]*12</f>
        <v>297037.68</v>
      </c>
    </row>
    <row r="615" spans="1:17" x14ac:dyDescent="0.25">
      <c r="A615" t="s">
        <v>629</v>
      </c>
      <c r="B615" t="s">
        <v>1626</v>
      </c>
      <c r="C615" t="s">
        <v>2009</v>
      </c>
      <c r="D615" t="s">
        <v>2036</v>
      </c>
      <c r="E615" t="s">
        <v>2038</v>
      </c>
      <c r="F615">
        <v>38</v>
      </c>
      <c r="G615" s="1">
        <v>43168</v>
      </c>
      <c r="H615" t="s">
        <v>2040</v>
      </c>
      <c r="I615" s="2">
        <v>76642.83</v>
      </c>
      <c r="J615">
        <v>5</v>
      </c>
      <c r="K615">
        <v>89.51</v>
      </c>
      <c r="L615">
        <v>7</v>
      </c>
      <c r="M615">
        <v>26</v>
      </c>
      <c r="N615">
        <v>22</v>
      </c>
      <c r="O615" t="s">
        <v>2045</v>
      </c>
      <c r="P615" t="s">
        <v>2062</v>
      </c>
      <c r="Q615" s="2">
        <f>Employee_Data[[#This Row],[Monthly Salary]]*12</f>
        <v>919713.96</v>
      </c>
    </row>
    <row r="616" spans="1:17" x14ac:dyDescent="0.25">
      <c r="A616" t="s">
        <v>630</v>
      </c>
      <c r="B616" t="s">
        <v>1627</v>
      </c>
      <c r="C616" t="s">
        <v>2011</v>
      </c>
      <c r="D616" t="s">
        <v>2031</v>
      </c>
      <c r="E616" t="s">
        <v>2038</v>
      </c>
      <c r="F616">
        <v>48</v>
      </c>
      <c r="G616" s="1">
        <v>45845</v>
      </c>
      <c r="H616" t="s">
        <v>2041</v>
      </c>
      <c r="I616" s="2">
        <v>73994.759999999995</v>
      </c>
      <c r="J616">
        <v>2</v>
      </c>
      <c r="K616">
        <v>88.29</v>
      </c>
      <c r="L616">
        <v>0</v>
      </c>
      <c r="M616">
        <v>32</v>
      </c>
      <c r="N616">
        <v>39</v>
      </c>
      <c r="O616" t="s">
        <v>2052</v>
      </c>
      <c r="P616" t="s">
        <v>2062</v>
      </c>
      <c r="Q616" s="2">
        <f>Employee_Data[[#This Row],[Monthly Salary]]*12</f>
        <v>887937.11999999988</v>
      </c>
    </row>
    <row r="617" spans="1:17" x14ac:dyDescent="0.25">
      <c r="A617" t="s">
        <v>631</v>
      </c>
      <c r="B617" t="s">
        <v>1628</v>
      </c>
      <c r="C617" t="s">
        <v>2015</v>
      </c>
      <c r="D617" t="s">
        <v>2033</v>
      </c>
      <c r="E617" t="s">
        <v>2039</v>
      </c>
      <c r="F617">
        <v>57</v>
      </c>
      <c r="G617" s="1">
        <v>44314</v>
      </c>
      <c r="H617" t="s">
        <v>2042</v>
      </c>
      <c r="I617" s="2">
        <v>41295.279999999999</v>
      </c>
      <c r="J617">
        <v>4</v>
      </c>
      <c r="K617">
        <v>85.36</v>
      </c>
      <c r="L617">
        <v>4</v>
      </c>
      <c r="M617">
        <v>68</v>
      </c>
      <c r="N617">
        <v>51</v>
      </c>
      <c r="O617" t="s">
        <v>2058</v>
      </c>
      <c r="P617" t="s">
        <v>2063</v>
      </c>
      <c r="Q617" s="2">
        <f>Employee_Data[[#This Row],[Monthly Salary]]*12</f>
        <v>495543.36</v>
      </c>
    </row>
    <row r="618" spans="1:17" x14ac:dyDescent="0.25">
      <c r="A618" t="s">
        <v>632</v>
      </c>
      <c r="B618" t="s">
        <v>1629</v>
      </c>
      <c r="C618" t="s">
        <v>2016</v>
      </c>
      <c r="D618" t="s">
        <v>2032</v>
      </c>
      <c r="E618" t="s">
        <v>2039</v>
      </c>
      <c r="F618">
        <v>44</v>
      </c>
      <c r="G618" s="1">
        <v>45499</v>
      </c>
      <c r="H618" t="s">
        <v>2042</v>
      </c>
      <c r="I618" s="2">
        <v>34774.370000000003</v>
      </c>
      <c r="J618">
        <v>2</v>
      </c>
      <c r="K618">
        <v>94.93</v>
      </c>
      <c r="L618">
        <v>1</v>
      </c>
      <c r="M618">
        <v>38</v>
      </c>
      <c r="N618">
        <v>54</v>
      </c>
      <c r="O618" t="s">
        <v>1505</v>
      </c>
      <c r="P618" t="s">
        <v>2062</v>
      </c>
      <c r="Q618" s="2">
        <f>Employee_Data[[#This Row],[Monthly Salary]]*12</f>
        <v>417292.44000000006</v>
      </c>
    </row>
    <row r="619" spans="1:17" x14ac:dyDescent="0.25">
      <c r="A619" t="s">
        <v>633</v>
      </c>
      <c r="B619" t="s">
        <v>1630</v>
      </c>
      <c r="C619" t="s">
        <v>2009</v>
      </c>
      <c r="D619" t="s">
        <v>2036</v>
      </c>
      <c r="E619" t="s">
        <v>2039</v>
      </c>
      <c r="F619">
        <v>47</v>
      </c>
      <c r="G619" s="1">
        <v>44860</v>
      </c>
      <c r="H619" t="s">
        <v>2042</v>
      </c>
      <c r="I619" s="2">
        <v>102371.07</v>
      </c>
      <c r="J619">
        <v>2</v>
      </c>
      <c r="K619">
        <v>85.13</v>
      </c>
      <c r="L619">
        <v>3</v>
      </c>
      <c r="M619">
        <v>76</v>
      </c>
      <c r="N619">
        <v>15</v>
      </c>
      <c r="O619" t="s">
        <v>2061</v>
      </c>
      <c r="P619" t="s">
        <v>2062</v>
      </c>
      <c r="Q619" s="2">
        <f>Employee_Data[[#This Row],[Monthly Salary]]*12</f>
        <v>1228452.8400000001</v>
      </c>
    </row>
    <row r="620" spans="1:17" x14ac:dyDescent="0.25">
      <c r="A620" t="s">
        <v>634</v>
      </c>
      <c r="B620" t="s">
        <v>1631</v>
      </c>
      <c r="C620" t="s">
        <v>2015</v>
      </c>
      <c r="D620" t="s">
        <v>2033</v>
      </c>
      <c r="E620" t="s">
        <v>2039</v>
      </c>
      <c r="F620">
        <v>36</v>
      </c>
      <c r="G620" s="1">
        <v>43091</v>
      </c>
      <c r="H620" t="s">
        <v>2042</v>
      </c>
      <c r="I620" s="2">
        <v>66415.97</v>
      </c>
      <c r="J620">
        <v>5</v>
      </c>
      <c r="K620">
        <v>99.83</v>
      </c>
      <c r="L620">
        <v>8</v>
      </c>
      <c r="M620">
        <v>54</v>
      </c>
      <c r="N620">
        <v>41</v>
      </c>
      <c r="O620" t="s">
        <v>2049</v>
      </c>
      <c r="P620" t="s">
        <v>2062</v>
      </c>
      <c r="Q620" s="2">
        <f>Employee_Data[[#This Row],[Monthly Salary]]*12</f>
        <v>796991.64</v>
      </c>
    </row>
    <row r="621" spans="1:17" x14ac:dyDescent="0.25">
      <c r="A621" t="s">
        <v>635</v>
      </c>
      <c r="B621" t="s">
        <v>1632</v>
      </c>
      <c r="C621" t="s">
        <v>2011</v>
      </c>
      <c r="D621" t="s">
        <v>2019</v>
      </c>
      <c r="E621" t="s">
        <v>2039</v>
      </c>
      <c r="F621">
        <v>37</v>
      </c>
      <c r="G621" s="1">
        <v>44304</v>
      </c>
      <c r="H621" t="s">
        <v>2042</v>
      </c>
      <c r="I621" s="2">
        <v>85867.07</v>
      </c>
      <c r="J621">
        <v>2</v>
      </c>
      <c r="K621">
        <v>92.89</v>
      </c>
      <c r="L621">
        <v>4</v>
      </c>
      <c r="M621">
        <v>5</v>
      </c>
      <c r="N621">
        <v>46</v>
      </c>
      <c r="O621" t="s">
        <v>2050</v>
      </c>
      <c r="P621" t="s">
        <v>2062</v>
      </c>
      <c r="Q621" s="2">
        <f>Employee_Data[[#This Row],[Monthly Salary]]*12</f>
        <v>1030404.8400000001</v>
      </c>
    </row>
    <row r="622" spans="1:17" x14ac:dyDescent="0.25">
      <c r="A622" t="s">
        <v>636</v>
      </c>
      <c r="B622" t="s">
        <v>1633</v>
      </c>
      <c r="C622" t="s">
        <v>2010</v>
      </c>
      <c r="D622" t="s">
        <v>2018</v>
      </c>
      <c r="E622" t="s">
        <v>2038</v>
      </c>
      <c r="F622">
        <v>59</v>
      </c>
      <c r="G622" s="1">
        <v>45344</v>
      </c>
      <c r="H622" t="s">
        <v>2042</v>
      </c>
      <c r="I622" s="2">
        <v>106717.18</v>
      </c>
      <c r="J622">
        <v>4</v>
      </c>
      <c r="K622">
        <v>97.94</v>
      </c>
      <c r="L622">
        <v>1</v>
      </c>
      <c r="M622">
        <v>11</v>
      </c>
      <c r="N622">
        <v>25</v>
      </c>
      <c r="O622" t="s">
        <v>2060</v>
      </c>
      <c r="P622" t="s">
        <v>2062</v>
      </c>
      <c r="Q622" s="2">
        <f>Employee_Data[[#This Row],[Monthly Salary]]*12</f>
        <v>1280606.1599999999</v>
      </c>
    </row>
    <row r="623" spans="1:17" x14ac:dyDescent="0.25">
      <c r="A623" t="s">
        <v>637</v>
      </c>
      <c r="B623" t="s">
        <v>1634</v>
      </c>
      <c r="C623" t="s">
        <v>2009</v>
      </c>
      <c r="D623" t="s">
        <v>2036</v>
      </c>
      <c r="E623" t="s">
        <v>2038</v>
      </c>
      <c r="F623">
        <v>52</v>
      </c>
      <c r="G623" s="1">
        <v>44634</v>
      </c>
      <c r="H623" t="s">
        <v>2040</v>
      </c>
      <c r="I623" s="2">
        <v>43807.69</v>
      </c>
      <c r="J623">
        <v>1</v>
      </c>
      <c r="K623">
        <v>95.46</v>
      </c>
      <c r="L623">
        <v>3</v>
      </c>
      <c r="M623">
        <v>40</v>
      </c>
      <c r="N623">
        <v>21</v>
      </c>
      <c r="O623" t="s">
        <v>2043</v>
      </c>
      <c r="P623" t="s">
        <v>2062</v>
      </c>
      <c r="Q623" s="2">
        <f>Employee_Data[[#This Row],[Monthly Salary]]*12</f>
        <v>525692.28</v>
      </c>
    </row>
    <row r="624" spans="1:17" x14ac:dyDescent="0.25">
      <c r="A624" t="s">
        <v>638</v>
      </c>
      <c r="B624" t="s">
        <v>1635</v>
      </c>
      <c r="C624" t="s">
        <v>2014</v>
      </c>
      <c r="D624" t="s">
        <v>2029</v>
      </c>
      <c r="E624" t="s">
        <v>2039</v>
      </c>
      <c r="F624">
        <v>30</v>
      </c>
      <c r="G624" s="1">
        <v>42881</v>
      </c>
      <c r="H624" t="s">
        <v>2040</v>
      </c>
      <c r="I624" s="2">
        <v>37515.43</v>
      </c>
      <c r="J624">
        <v>3</v>
      </c>
      <c r="K624">
        <v>88.79</v>
      </c>
      <c r="L624">
        <v>8</v>
      </c>
      <c r="M624">
        <v>32</v>
      </c>
      <c r="N624">
        <v>55</v>
      </c>
      <c r="O624" t="s">
        <v>2043</v>
      </c>
      <c r="P624" t="s">
        <v>2062</v>
      </c>
      <c r="Q624" s="2">
        <f>Employee_Data[[#This Row],[Monthly Salary]]*12</f>
        <v>450185.16000000003</v>
      </c>
    </row>
    <row r="625" spans="1:17" x14ac:dyDescent="0.25">
      <c r="A625" t="s">
        <v>639</v>
      </c>
      <c r="B625" t="s">
        <v>1636</v>
      </c>
      <c r="C625" t="s">
        <v>2012</v>
      </c>
      <c r="D625" t="s">
        <v>2021</v>
      </c>
      <c r="E625" t="s">
        <v>2038</v>
      </c>
      <c r="F625">
        <v>55</v>
      </c>
      <c r="G625" s="1">
        <v>44596</v>
      </c>
      <c r="H625" t="s">
        <v>2042</v>
      </c>
      <c r="I625" s="2">
        <v>67485.41</v>
      </c>
      <c r="J625">
        <v>2</v>
      </c>
      <c r="K625">
        <v>99.27</v>
      </c>
      <c r="L625">
        <v>3</v>
      </c>
      <c r="M625">
        <v>18</v>
      </c>
      <c r="N625">
        <v>23</v>
      </c>
      <c r="O625" t="s">
        <v>2050</v>
      </c>
      <c r="P625" t="s">
        <v>2062</v>
      </c>
      <c r="Q625" s="2">
        <f>Employee_Data[[#This Row],[Monthly Salary]]*12</f>
        <v>809824.92</v>
      </c>
    </row>
    <row r="626" spans="1:17" x14ac:dyDescent="0.25">
      <c r="A626" t="s">
        <v>640</v>
      </c>
      <c r="B626" t="s">
        <v>1637</v>
      </c>
      <c r="C626" t="s">
        <v>2011</v>
      </c>
      <c r="D626" t="s">
        <v>2019</v>
      </c>
      <c r="E626" t="s">
        <v>2039</v>
      </c>
      <c r="F626">
        <v>24</v>
      </c>
      <c r="G626" s="1">
        <v>42881</v>
      </c>
      <c r="H626" t="s">
        <v>2041</v>
      </c>
      <c r="I626" s="2">
        <v>111745.73</v>
      </c>
      <c r="J626">
        <v>2</v>
      </c>
      <c r="K626">
        <v>85.06</v>
      </c>
      <c r="L626">
        <v>8</v>
      </c>
      <c r="M626">
        <v>49</v>
      </c>
      <c r="N626">
        <v>19</v>
      </c>
      <c r="O626" t="s">
        <v>2053</v>
      </c>
      <c r="P626" t="s">
        <v>2063</v>
      </c>
      <c r="Q626" s="2">
        <f>Employee_Data[[#This Row],[Monthly Salary]]*12</f>
        <v>1340948.76</v>
      </c>
    </row>
    <row r="627" spans="1:17" x14ac:dyDescent="0.25">
      <c r="A627" t="s">
        <v>641</v>
      </c>
      <c r="B627" t="s">
        <v>1638</v>
      </c>
      <c r="C627" t="s">
        <v>2009</v>
      </c>
      <c r="D627" t="s">
        <v>2036</v>
      </c>
      <c r="E627" t="s">
        <v>2039</v>
      </c>
      <c r="F627">
        <v>49</v>
      </c>
      <c r="G627" s="1">
        <v>44528</v>
      </c>
      <c r="H627" t="s">
        <v>2042</v>
      </c>
      <c r="I627" s="2">
        <v>20786.61</v>
      </c>
      <c r="J627">
        <v>4</v>
      </c>
      <c r="K627">
        <v>98.55</v>
      </c>
      <c r="L627">
        <v>4</v>
      </c>
      <c r="M627">
        <v>32</v>
      </c>
      <c r="N627">
        <v>19</v>
      </c>
      <c r="O627" t="s">
        <v>2045</v>
      </c>
      <c r="P627" t="s">
        <v>2063</v>
      </c>
      <c r="Q627" s="2">
        <f>Employee_Data[[#This Row],[Monthly Salary]]*12</f>
        <v>249439.32</v>
      </c>
    </row>
    <row r="628" spans="1:17" x14ac:dyDescent="0.25">
      <c r="A628" t="s">
        <v>642</v>
      </c>
      <c r="B628" t="s">
        <v>1639</v>
      </c>
      <c r="C628" t="s">
        <v>2014</v>
      </c>
      <c r="D628" t="s">
        <v>2029</v>
      </c>
      <c r="E628" t="s">
        <v>2039</v>
      </c>
      <c r="F628">
        <v>31</v>
      </c>
      <c r="G628" s="1">
        <v>44972</v>
      </c>
      <c r="H628" t="s">
        <v>2042</v>
      </c>
      <c r="I628" s="2">
        <v>83135.27</v>
      </c>
      <c r="J628">
        <v>4</v>
      </c>
      <c r="K628">
        <v>95.79</v>
      </c>
      <c r="L628">
        <v>2</v>
      </c>
      <c r="M628">
        <v>35</v>
      </c>
      <c r="N628">
        <v>55</v>
      </c>
      <c r="O628" t="s">
        <v>2045</v>
      </c>
      <c r="P628" t="s">
        <v>2062</v>
      </c>
      <c r="Q628" s="2">
        <f>Employee_Data[[#This Row],[Monthly Salary]]*12</f>
        <v>997623.24</v>
      </c>
    </row>
    <row r="629" spans="1:17" x14ac:dyDescent="0.25">
      <c r="A629" t="s">
        <v>643</v>
      </c>
      <c r="B629" t="s">
        <v>1640</v>
      </c>
      <c r="C629" t="s">
        <v>2013</v>
      </c>
      <c r="D629" t="s">
        <v>2022</v>
      </c>
      <c r="E629" t="s">
        <v>2038</v>
      </c>
      <c r="F629">
        <v>42</v>
      </c>
      <c r="G629" s="1">
        <v>44065</v>
      </c>
      <c r="H629" t="s">
        <v>2041</v>
      </c>
      <c r="I629" s="2">
        <v>62236.6</v>
      </c>
      <c r="J629">
        <v>1</v>
      </c>
      <c r="K629">
        <v>96.49</v>
      </c>
      <c r="L629">
        <v>5</v>
      </c>
      <c r="M629">
        <v>33</v>
      </c>
      <c r="N629">
        <v>32</v>
      </c>
      <c r="O629" t="s">
        <v>2045</v>
      </c>
      <c r="P629" t="s">
        <v>2062</v>
      </c>
      <c r="Q629" s="2">
        <f>Employee_Data[[#This Row],[Monthly Salary]]*12</f>
        <v>746839.2</v>
      </c>
    </row>
    <row r="630" spans="1:17" x14ac:dyDescent="0.25">
      <c r="A630" t="s">
        <v>644</v>
      </c>
      <c r="B630" t="s">
        <v>1641</v>
      </c>
      <c r="C630" t="s">
        <v>2012</v>
      </c>
      <c r="D630" t="s">
        <v>2020</v>
      </c>
      <c r="E630" t="s">
        <v>2039</v>
      </c>
      <c r="F630">
        <v>24</v>
      </c>
      <c r="G630" s="1">
        <v>45318</v>
      </c>
      <c r="H630" t="s">
        <v>2041</v>
      </c>
      <c r="I630" s="2">
        <v>84159.25</v>
      </c>
      <c r="J630">
        <v>4</v>
      </c>
      <c r="K630">
        <v>95.82</v>
      </c>
      <c r="L630">
        <v>1</v>
      </c>
      <c r="M630">
        <v>17</v>
      </c>
      <c r="N630">
        <v>0</v>
      </c>
      <c r="O630" t="s">
        <v>2061</v>
      </c>
      <c r="P630" t="s">
        <v>2062</v>
      </c>
      <c r="Q630" s="2">
        <f>Employee_Data[[#This Row],[Monthly Salary]]*12</f>
        <v>1009911</v>
      </c>
    </row>
    <row r="631" spans="1:17" x14ac:dyDescent="0.25">
      <c r="A631" t="s">
        <v>645</v>
      </c>
      <c r="B631" t="s">
        <v>1642</v>
      </c>
      <c r="C631" t="s">
        <v>2011</v>
      </c>
      <c r="D631" t="s">
        <v>2035</v>
      </c>
      <c r="E631" t="s">
        <v>2039</v>
      </c>
      <c r="F631">
        <v>28</v>
      </c>
      <c r="G631" s="1">
        <v>42588</v>
      </c>
      <c r="H631" t="s">
        <v>2040</v>
      </c>
      <c r="I631" s="2">
        <v>44960.36</v>
      </c>
      <c r="J631">
        <v>2</v>
      </c>
      <c r="K631">
        <v>96.94</v>
      </c>
      <c r="L631">
        <v>9</v>
      </c>
      <c r="M631">
        <v>52</v>
      </c>
      <c r="N631">
        <v>50</v>
      </c>
      <c r="O631" t="s">
        <v>2054</v>
      </c>
      <c r="P631" t="s">
        <v>2062</v>
      </c>
      <c r="Q631" s="2">
        <f>Employee_Data[[#This Row],[Monthly Salary]]*12</f>
        <v>539524.32000000007</v>
      </c>
    </row>
    <row r="632" spans="1:17" x14ac:dyDescent="0.25">
      <c r="A632" t="s">
        <v>646</v>
      </c>
      <c r="B632" t="s">
        <v>1643</v>
      </c>
      <c r="C632" t="s">
        <v>2015</v>
      </c>
      <c r="D632" t="s">
        <v>2026</v>
      </c>
      <c r="E632" t="s">
        <v>2039</v>
      </c>
      <c r="F632">
        <v>58</v>
      </c>
      <c r="G632" s="1">
        <v>43074</v>
      </c>
      <c r="H632" t="s">
        <v>2042</v>
      </c>
      <c r="I632" s="2">
        <v>99952.87</v>
      </c>
      <c r="J632">
        <v>2</v>
      </c>
      <c r="K632">
        <v>81.69</v>
      </c>
      <c r="L632">
        <v>8</v>
      </c>
      <c r="M632">
        <v>47</v>
      </c>
      <c r="N632">
        <v>11</v>
      </c>
      <c r="O632" t="s">
        <v>2061</v>
      </c>
      <c r="P632" t="s">
        <v>2063</v>
      </c>
      <c r="Q632" s="2">
        <f>Employee_Data[[#This Row],[Monthly Salary]]*12</f>
        <v>1199434.44</v>
      </c>
    </row>
    <row r="633" spans="1:17" x14ac:dyDescent="0.25">
      <c r="A633" t="s">
        <v>647</v>
      </c>
      <c r="B633" t="s">
        <v>1644</v>
      </c>
      <c r="C633" t="s">
        <v>2014</v>
      </c>
      <c r="D633" t="s">
        <v>2023</v>
      </c>
      <c r="E633" t="s">
        <v>2039</v>
      </c>
      <c r="F633">
        <v>56</v>
      </c>
      <c r="G633" s="1">
        <v>44961</v>
      </c>
      <c r="H633" t="s">
        <v>2041</v>
      </c>
      <c r="I633" s="2">
        <v>81200.320000000007</v>
      </c>
      <c r="J633">
        <v>2</v>
      </c>
      <c r="K633">
        <v>98.14</v>
      </c>
      <c r="L633">
        <v>2</v>
      </c>
      <c r="M633">
        <v>59</v>
      </c>
      <c r="N633">
        <v>12</v>
      </c>
      <c r="O633" t="s">
        <v>2055</v>
      </c>
      <c r="P633" t="s">
        <v>2062</v>
      </c>
      <c r="Q633" s="2">
        <f>Employee_Data[[#This Row],[Monthly Salary]]*12</f>
        <v>974403.84000000008</v>
      </c>
    </row>
    <row r="634" spans="1:17" x14ac:dyDescent="0.25">
      <c r="A634" t="s">
        <v>648</v>
      </c>
      <c r="B634" t="s">
        <v>1645</v>
      </c>
      <c r="C634" t="s">
        <v>2015</v>
      </c>
      <c r="D634" t="s">
        <v>2033</v>
      </c>
      <c r="E634" t="s">
        <v>2038</v>
      </c>
      <c r="F634">
        <v>60</v>
      </c>
      <c r="G634" s="1">
        <v>44178</v>
      </c>
      <c r="H634" t="s">
        <v>2042</v>
      </c>
      <c r="I634" s="2">
        <v>80039.27</v>
      </c>
      <c r="J634">
        <v>2</v>
      </c>
      <c r="K634">
        <v>81.78</v>
      </c>
      <c r="L634">
        <v>5</v>
      </c>
      <c r="M634">
        <v>47</v>
      </c>
      <c r="N634">
        <v>10</v>
      </c>
      <c r="O634" t="s">
        <v>2043</v>
      </c>
      <c r="P634" t="s">
        <v>2062</v>
      </c>
      <c r="Q634" s="2">
        <f>Employee_Data[[#This Row],[Monthly Salary]]*12</f>
        <v>960471.24</v>
      </c>
    </row>
    <row r="635" spans="1:17" x14ac:dyDescent="0.25">
      <c r="A635" t="s">
        <v>649</v>
      </c>
      <c r="B635" t="s">
        <v>1646</v>
      </c>
      <c r="C635" t="s">
        <v>2016</v>
      </c>
      <c r="D635" t="s">
        <v>2034</v>
      </c>
      <c r="E635" t="s">
        <v>2038</v>
      </c>
      <c r="F635">
        <v>28</v>
      </c>
      <c r="G635" s="1">
        <v>44542</v>
      </c>
      <c r="H635" t="s">
        <v>2040</v>
      </c>
      <c r="I635" s="2">
        <v>91356.37</v>
      </c>
      <c r="J635">
        <v>2</v>
      </c>
      <c r="K635">
        <v>98.92</v>
      </c>
      <c r="L635">
        <v>4</v>
      </c>
      <c r="M635">
        <v>34</v>
      </c>
      <c r="N635">
        <v>18</v>
      </c>
      <c r="O635" t="s">
        <v>2050</v>
      </c>
      <c r="P635" t="s">
        <v>2062</v>
      </c>
      <c r="Q635" s="2">
        <f>Employee_Data[[#This Row],[Monthly Salary]]*12</f>
        <v>1096276.44</v>
      </c>
    </row>
    <row r="636" spans="1:17" x14ac:dyDescent="0.25">
      <c r="A636" t="s">
        <v>650</v>
      </c>
      <c r="B636" t="s">
        <v>1647</v>
      </c>
      <c r="C636" t="s">
        <v>2016</v>
      </c>
      <c r="D636" t="s">
        <v>2032</v>
      </c>
      <c r="E636" t="s">
        <v>2039</v>
      </c>
      <c r="F636">
        <v>39</v>
      </c>
      <c r="G636" s="1">
        <v>43331</v>
      </c>
      <c r="H636" t="s">
        <v>2041</v>
      </c>
      <c r="I636" s="2">
        <v>87718.87</v>
      </c>
      <c r="J636">
        <v>4</v>
      </c>
      <c r="K636">
        <v>83.61</v>
      </c>
      <c r="L636">
        <v>7</v>
      </c>
      <c r="M636">
        <v>18</v>
      </c>
      <c r="N636">
        <v>1</v>
      </c>
      <c r="O636" t="s">
        <v>2051</v>
      </c>
      <c r="P636" t="s">
        <v>2063</v>
      </c>
      <c r="Q636" s="2">
        <f>Employee_Data[[#This Row],[Monthly Salary]]*12</f>
        <v>1052626.44</v>
      </c>
    </row>
    <row r="637" spans="1:17" x14ac:dyDescent="0.25">
      <c r="A637" t="s">
        <v>651</v>
      </c>
      <c r="B637" t="s">
        <v>1648</v>
      </c>
      <c r="C637" t="s">
        <v>2014</v>
      </c>
      <c r="D637" t="s">
        <v>2028</v>
      </c>
      <c r="E637" t="s">
        <v>2038</v>
      </c>
      <c r="F637">
        <v>36</v>
      </c>
      <c r="G637" s="1">
        <v>43757</v>
      </c>
      <c r="H637" t="s">
        <v>2042</v>
      </c>
      <c r="I637" s="2">
        <v>78290.31</v>
      </c>
      <c r="J637">
        <v>4</v>
      </c>
      <c r="K637">
        <v>81.709999999999994</v>
      </c>
      <c r="L637">
        <v>6</v>
      </c>
      <c r="M637">
        <v>60</v>
      </c>
      <c r="N637">
        <v>8</v>
      </c>
      <c r="O637" t="s">
        <v>2054</v>
      </c>
      <c r="P637" t="s">
        <v>2063</v>
      </c>
      <c r="Q637" s="2">
        <f>Employee_Data[[#This Row],[Monthly Salary]]*12</f>
        <v>939483.72</v>
      </c>
    </row>
    <row r="638" spans="1:17" x14ac:dyDescent="0.25">
      <c r="A638" t="s">
        <v>652</v>
      </c>
      <c r="B638" t="s">
        <v>1649</v>
      </c>
      <c r="C638" t="s">
        <v>2016</v>
      </c>
      <c r="D638" t="s">
        <v>2032</v>
      </c>
      <c r="E638" t="s">
        <v>2038</v>
      </c>
      <c r="F638">
        <v>48</v>
      </c>
      <c r="G638" s="1">
        <v>43629</v>
      </c>
      <c r="H638" t="s">
        <v>2041</v>
      </c>
      <c r="I638" s="2">
        <v>79719.59</v>
      </c>
      <c r="J638">
        <v>1</v>
      </c>
      <c r="K638">
        <v>81.91</v>
      </c>
      <c r="L638">
        <v>6</v>
      </c>
      <c r="M638">
        <v>7</v>
      </c>
      <c r="N638">
        <v>3</v>
      </c>
      <c r="O638" t="s">
        <v>2054</v>
      </c>
      <c r="P638" t="s">
        <v>2063</v>
      </c>
      <c r="Q638" s="2">
        <f>Employee_Data[[#This Row],[Monthly Salary]]*12</f>
        <v>956635.08</v>
      </c>
    </row>
    <row r="639" spans="1:17" x14ac:dyDescent="0.25">
      <c r="A639" t="s">
        <v>653</v>
      </c>
      <c r="B639" t="s">
        <v>1650</v>
      </c>
      <c r="C639" t="s">
        <v>2013</v>
      </c>
      <c r="D639" t="s">
        <v>2022</v>
      </c>
      <c r="E639" t="s">
        <v>2039</v>
      </c>
      <c r="F639">
        <v>21</v>
      </c>
      <c r="G639" s="1">
        <v>45068</v>
      </c>
      <c r="H639" t="s">
        <v>2042</v>
      </c>
      <c r="I639" s="2">
        <v>70454.2</v>
      </c>
      <c r="J639">
        <v>4</v>
      </c>
      <c r="K639">
        <v>86.05</v>
      </c>
      <c r="L639">
        <v>2</v>
      </c>
      <c r="M639">
        <v>50</v>
      </c>
      <c r="N639">
        <v>42</v>
      </c>
      <c r="O639" t="s">
        <v>2053</v>
      </c>
      <c r="P639" t="s">
        <v>2062</v>
      </c>
      <c r="Q639" s="2">
        <f>Employee_Data[[#This Row],[Monthly Salary]]*12</f>
        <v>845450.39999999991</v>
      </c>
    </row>
    <row r="640" spans="1:17" x14ac:dyDescent="0.25">
      <c r="A640" t="s">
        <v>654</v>
      </c>
      <c r="B640" t="s">
        <v>1651</v>
      </c>
      <c r="C640" t="s">
        <v>2010</v>
      </c>
      <c r="D640" t="s">
        <v>2037</v>
      </c>
      <c r="E640" t="s">
        <v>2039</v>
      </c>
      <c r="F640">
        <v>37</v>
      </c>
      <c r="G640" s="1">
        <v>44927</v>
      </c>
      <c r="H640" t="s">
        <v>2040</v>
      </c>
      <c r="I640" s="2">
        <v>70374.67</v>
      </c>
      <c r="J640">
        <v>3</v>
      </c>
      <c r="K640">
        <v>97.56</v>
      </c>
      <c r="L640">
        <v>2</v>
      </c>
      <c r="M640">
        <v>16</v>
      </c>
      <c r="N640">
        <v>5</v>
      </c>
      <c r="O640" t="s">
        <v>2054</v>
      </c>
      <c r="P640" t="s">
        <v>2062</v>
      </c>
      <c r="Q640" s="2">
        <f>Employee_Data[[#This Row],[Monthly Salary]]*12</f>
        <v>844496.04</v>
      </c>
    </row>
    <row r="641" spans="1:17" x14ac:dyDescent="0.25">
      <c r="A641" t="s">
        <v>655</v>
      </c>
      <c r="B641" t="s">
        <v>1652</v>
      </c>
      <c r="C641" t="s">
        <v>2016</v>
      </c>
      <c r="D641" t="s">
        <v>2032</v>
      </c>
      <c r="E641" t="s">
        <v>2038</v>
      </c>
      <c r="F641">
        <v>28</v>
      </c>
      <c r="G641" s="1">
        <v>42858</v>
      </c>
      <c r="H641" t="s">
        <v>2042</v>
      </c>
      <c r="I641" s="2">
        <v>24416.22</v>
      </c>
      <c r="J641">
        <v>2</v>
      </c>
      <c r="K641">
        <v>89.98</v>
      </c>
      <c r="L641">
        <v>8</v>
      </c>
      <c r="M641">
        <v>35</v>
      </c>
      <c r="N641">
        <v>47</v>
      </c>
      <c r="O641" t="s">
        <v>2053</v>
      </c>
      <c r="P641" t="s">
        <v>2063</v>
      </c>
      <c r="Q641" s="2">
        <f>Employee_Data[[#This Row],[Monthly Salary]]*12</f>
        <v>292994.64</v>
      </c>
    </row>
    <row r="642" spans="1:17" x14ac:dyDescent="0.25">
      <c r="A642" t="s">
        <v>656</v>
      </c>
      <c r="B642" t="s">
        <v>1653</v>
      </c>
      <c r="C642" t="s">
        <v>2011</v>
      </c>
      <c r="D642" t="s">
        <v>2035</v>
      </c>
      <c r="E642" t="s">
        <v>2038</v>
      </c>
      <c r="F642">
        <v>54</v>
      </c>
      <c r="G642" s="1">
        <v>44162</v>
      </c>
      <c r="H642" t="s">
        <v>2042</v>
      </c>
      <c r="I642" s="2">
        <v>63577.54</v>
      </c>
      <c r="J642">
        <v>2</v>
      </c>
      <c r="K642">
        <v>86.31</v>
      </c>
      <c r="L642">
        <v>5</v>
      </c>
      <c r="M642">
        <v>62</v>
      </c>
      <c r="N642">
        <v>48</v>
      </c>
      <c r="O642" t="s">
        <v>2060</v>
      </c>
      <c r="P642" t="s">
        <v>2062</v>
      </c>
      <c r="Q642" s="2">
        <f>Employee_Data[[#This Row],[Monthly Salary]]*12</f>
        <v>762930.48</v>
      </c>
    </row>
    <row r="643" spans="1:17" x14ac:dyDescent="0.25">
      <c r="A643" t="s">
        <v>657</v>
      </c>
      <c r="B643" t="s">
        <v>1654</v>
      </c>
      <c r="C643" t="s">
        <v>2013</v>
      </c>
      <c r="D643" t="s">
        <v>2025</v>
      </c>
      <c r="E643" t="s">
        <v>2039</v>
      </c>
      <c r="F643">
        <v>30</v>
      </c>
      <c r="G643" s="1">
        <v>43130</v>
      </c>
      <c r="H643" t="s">
        <v>2040</v>
      </c>
      <c r="I643" s="2">
        <v>42986.05</v>
      </c>
      <c r="J643">
        <v>1</v>
      </c>
      <c r="K643">
        <v>89.4</v>
      </c>
      <c r="L643">
        <v>7</v>
      </c>
      <c r="M643">
        <v>20</v>
      </c>
      <c r="N643">
        <v>45</v>
      </c>
      <c r="O643" t="s">
        <v>2056</v>
      </c>
      <c r="P643" t="s">
        <v>2062</v>
      </c>
      <c r="Q643" s="2">
        <f>Employee_Data[[#This Row],[Monthly Salary]]*12</f>
        <v>515832.60000000003</v>
      </c>
    </row>
    <row r="644" spans="1:17" x14ac:dyDescent="0.25">
      <c r="A644" t="s">
        <v>658</v>
      </c>
      <c r="B644" t="s">
        <v>1655</v>
      </c>
      <c r="C644" t="s">
        <v>2013</v>
      </c>
      <c r="D644" t="s">
        <v>2025</v>
      </c>
      <c r="E644" t="s">
        <v>2038</v>
      </c>
      <c r="F644">
        <v>43</v>
      </c>
      <c r="G644" s="1">
        <v>45803</v>
      </c>
      <c r="H644" t="s">
        <v>2041</v>
      </c>
      <c r="I644" s="2">
        <v>76085.45</v>
      </c>
      <c r="J644">
        <v>4</v>
      </c>
      <c r="K644">
        <v>89.86</v>
      </c>
      <c r="L644">
        <v>0</v>
      </c>
      <c r="M644">
        <v>18</v>
      </c>
      <c r="N644">
        <v>7</v>
      </c>
      <c r="O644" t="s">
        <v>2053</v>
      </c>
      <c r="P644" t="s">
        <v>2062</v>
      </c>
      <c r="Q644" s="2">
        <f>Employee_Data[[#This Row],[Monthly Salary]]*12</f>
        <v>913025.39999999991</v>
      </c>
    </row>
    <row r="645" spans="1:17" x14ac:dyDescent="0.25">
      <c r="A645" t="s">
        <v>659</v>
      </c>
      <c r="B645" t="s">
        <v>1656</v>
      </c>
      <c r="C645" t="s">
        <v>2011</v>
      </c>
      <c r="D645" t="s">
        <v>2019</v>
      </c>
      <c r="E645" t="s">
        <v>2039</v>
      </c>
      <c r="F645">
        <v>53</v>
      </c>
      <c r="G645" s="1">
        <v>43626</v>
      </c>
      <c r="H645" t="s">
        <v>2042</v>
      </c>
      <c r="I645" s="2">
        <v>76324.740000000005</v>
      </c>
      <c r="J645">
        <v>5</v>
      </c>
      <c r="K645">
        <v>84.25</v>
      </c>
      <c r="L645">
        <v>6</v>
      </c>
      <c r="M645">
        <v>0</v>
      </c>
      <c r="N645">
        <v>33</v>
      </c>
      <c r="O645" t="s">
        <v>2043</v>
      </c>
      <c r="P645" t="s">
        <v>2062</v>
      </c>
      <c r="Q645" s="2">
        <f>Employee_Data[[#This Row],[Monthly Salary]]*12</f>
        <v>915896.88000000012</v>
      </c>
    </row>
    <row r="646" spans="1:17" x14ac:dyDescent="0.25">
      <c r="A646" t="s">
        <v>660</v>
      </c>
      <c r="B646" t="s">
        <v>1657</v>
      </c>
      <c r="C646" t="s">
        <v>2009</v>
      </c>
      <c r="D646" t="s">
        <v>2017</v>
      </c>
      <c r="E646" t="s">
        <v>2038</v>
      </c>
      <c r="F646">
        <v>27</v>
      </c>
      <c r="G646" s="1">
        <v>45051</v>
      </c>
      <c r="H646" t="s">
        <v>2042</v>
      </c>
      <c r="I646" s="2">
        <v>22596.22</v>
      </c>
      <c r="J646">
        <v>1</v>
      </c>
      <c r="K646">
        <v>87.88</v>
      </c>
      <c r="L646">
        <v>2</v>
      </c>
      <c r="M646">
        <v>75</v>
      </c>
      <c r="N646">
        <v>59</v>
      </c>
      <c r="O646" t="s">
        <v>2047</v>
      </c>
      <c r="P646" t="s">
        <v>2062</v>
      </c>
      <c r="Q646" s="2">
        <f>Employee_Data[[#This Row],[Monthly Salary]]*12</f>
        <v>271154.64</v>
      </c>
    </row>
    <row r="647" spans="1:17" x14ac:dyDescent="0.25">
      <c r="A647" t="s">
        <v>661</v>
      </c>
      <c r="B647" t="s">
        <v>1658</v>
      </c>
      <c r="C647" t="s">
        <v>2015</v>
      </c>
      <c r="D647" t="s">
        <v>2033</v>
      </c>
      <c r="E647" t="s">
        <v>2039</v>
      </c>
      <c r="F647">
        <v>50</v>
      </c>
      <c r="G647" s="1">
        <v>43068</v>
      </c>
      <c r="H647" t="s">
        <v>2041</v>
      </c>
      <c r="I647" s="2">
        <v>85953.93</v>
      </c>
      <c r="J647">
        <v>4</v>
      </c>
      <c r="K647">
        <v>92.57</v>
      </c>
      <c r="L647">
        <v>8</v>
      </c>
      <c r="M647">
        <v>34</v>
      </c>
      <c r="N647">
        <v>38</v>
      </c>
      <c r="O647" t="s">
        <v>2057</v>
      </c>
      <c r="P647" t="s">
        <v>2062</v>
      </c>
      <c r="Q647" s="2">
        <f>Employee_Data[[#This Row],[Monthly Salary]]*12</f>
        <v>1031447.1599999999</v>
      </c>
    </row>
    <row r="648" spans="1:17" x14ac:dyDescent="0.25">
      <c r="A648" t="s">
        <v>662</v>
      </c>
      <c r="B648" t="s">
        <v>1659</v>
      </c>
      <c r="C648" t="s">
        <v>2010</v>
      </c>
      <c r="D648" t="s">
        <v>2037</v>
      </c>
      <c r="E648" t="s">
        <v>2038</v>
      </c>
      <c r="F648">
        <v>41</v>
      </c>
      <c r="G648" s="1">
        <v>44257</v>
      </c>
      <c r="H648" t="s">
        <v>2041</v>
      </c>
      <c r="I648" s="2">
        <v>119982.11</v>
      </c>
      <c r="J648">
        <v>5</v>
      </c>
      <c r="K648">
        <v>82.59</v>
      </c>
      <c r="L648">
        <v>4</v>
      </c>
      <c r="M648">
        <v>6</v>
      </c>
      <c r="N648">
        <v>51</v>
      </c>
      <c r="O648" t="s">
        <v>2051</v>
      </c>
      <c r="P648" t="s">
        <v>2062</v>
      </c>
      <c r="Q648" s="2">
        <f>Employee_Data[[#This Row],[Monthly Salary]]*12</f>
        <v>1439785.32</v>
      </c>
    </row>
    <row r="649" spans="1:17" x14ac:dyDescent="0.25">
      <c r="A649" t="s">
        <v>663</v>
      </c>
      <c r="B649" t="s">
        <v>1660</v>
      </c>
      <c r="C649" t="s">
        <v>2010</v>
      </c>
      <c r="D649" t="s">
        <v>2037</v>
      </c>
      <c r="E649" t="s">
        <v>2039</v>
      </c>
      <c r="F649">
        <v>56</v>
      </c>
      <c r="G649" s="1">
        <v>43845</v>
      </c>
      <c r="H649" t="s">
        <v>2041</v>
      </c>
      <c r="I649" s="2">
        <v>58139.09</v>
      </c>
      <c r="J649">
        <v>4</v>
      </c>
      <c r="K649">
        <v>85.1</v>
      </c>
      <c r="L649">
        <v>5</v>
      </c>
      <c r="M649">
        <v>30</v>
      </c>
      <c r="N649">
        <v>49</v>
      </c>
      <c r="O649" t="s">
        <v>2061</v>
      </c>
      <c r="P649" t="s">
        <v>2062</v>
      </c>
      <c r="Q649" s="2">
        <f>Employee_Data[[#This Row],[Monthly Salary]]*12</f>
        <v>697669.08</v>
      </c>
    </row>
    <row r="650" spans="1:17" x14ac:dyDescent="0.25">
      <c r="A650" t="s">
        <v>664</v>
      </c>
      <c r="B650" t="s">
        <v>1661</v>
      </c>
      <c r="C650" t="s">
        <v>2014</v>
      </c>
      <c r="D650" t="s">
        <v>2023</v>
      </c>
      <c r="E650" t="s">
        <v>2038</v>
      </c>
      <c r="F650">
        <v>46</v>
      </c>
      <c r="G650" s="1">
        <v>42469</v>
      </c>
      <c r="H650" t="s">
        <v>2042</v>
      </c>
      <c r="I650" s="2">
        <v>84716.800000000003</v>
      </c>
      <c r="J650">
        <v>2</v>
      </c>
      <c r="K650">
        <v>82.41</v>
      </c>
      <c r="L650">
        <v>9</v>
      </c>
      <c r="M650">
        <v>62</v>
      </c>
      <c r="N650">
        <v>51</v>
      </c>
      <c r="O650" t="s">
        <v>1505</v>
      </c>
      <c r="P650" t="s">
        <v>2062</v>
      </c>
      <c r="Q650" s="2">
        <f>Employee_Data[[#This Row],[Monthly Salary]]*12</f>
        <v>1016601.6000000001</v>
      </c>
    </row>
    <row r="651" spans="1:17" x14ac:dyDescent="0.25">
      <c r="A651" t="s">
        <v>665</v>
      </c>
      <c r="B651" t="s">
        <v>1662</v>
      </c>
      <c r="C651" t="s">
        <v>2011</v>
      </c>
      <c r="D651" t="s">
        <v>2031</v>
      </c>
      <c r="E651" t="s">
        <v>2039</v>
      </c>
      <c r="F651">
        <v>43</v>
      </c>
      <c r="G651" s="1">
        <v>45520</v>
      </c>
      <c r="H651" t="s">
        <v>2041</v>
      </c>
      <c r="I651" s="2">
        <v>29611.15</v>
      </c>
      <c r="J651">
        <v>3</v>
      </c>
      <c r="K651">
        <v>90.25</v>
      </c>
      <c r="L651">
        <v>1</v>
      </c>
      <c r="M651">
        <v>62</v>
      </c>
      <c r="N651">
        <v>28</v>
      </c>
      <c r="O651" t="s">
        <v>2061</v>
      </c>
      <c r="P651" t="s">
        <v>2062</v>
      </c>
      <c r="Q651" s="2">
        <f>Employee_Data[[#This Row],[Monthly Salary]]*12</f>
        <v>355333.80000000005</v>
      </c>
    </row>
    <row r="652" spans="1:17" x14ac:dyDescent="0.25">
      <c r="A652" t="s">
        <v>666</v>
      </c>
      <c r="B652" t="s">
        <v>1663</v>
      </c>
      <c r="C652" t="s">
        <v>2016</v>
      </c>
      <c r="D652" t="s">
        <v>2032</v>
      </c>
      <c r="E652" t="s">
        <v>2038</v>
      </c>
      <c r="F652">
        <v>44</v>
      </c>
      <c r="G652" s="1">
        <v>42642</v>
      </c>
      <c r="H652" t="s">
        <v>2041</v>
      </c>
      <c r="I652" s="2">
        <v>38635.58</v>
      </c>
      <c r="J652">
        <v>4</v>
      </c>
      <c r="K652">
        <v>81.86</v>
      </c>
      <c r="L652">
        <v>9</v>
      </c>
      <c r="M652">
        <v>65</v>
      </c>
      <c r="N652">
        <v>21</v>
      </c>
      <c r="O652" t="s">
        <v>2056</v>
      </c>
      <c r="P652" t="s">
        <v>2062</v>
      </c>
      <c r="Q652" s="2">
        <f>Employee_Data[[#This Row],[Monthly Salary]]*12</f>
        <v>463626.96</v>
      </c>
    </row>
    <row r="653" spans="1:17" x14ac:dyDescent="0.25">
      <c r="A653" t="s">
        <v>667</v>
      </c>
      <c r="B653" t="s">
        <v>1664</v>
      </c>
      <c r="C653" t="s">
        <v>2015</v>
      </c>
      <c r="D653" t="s">
        <v>2026</v>
      </c>
      <c r="E653" t="s">
        <v>2039</v>
      </c>
      <c r="F653">
        <v>39</v>
      </c>
      <c r="G653" s="1">
        <v>44700</v>
      </c>
      <c r="H653" t="s">
        <v>2042</v>
      </c>
      <c r="I653" s="2">
        <v>63735.55</v>
      </c>
      <c r="J653">
        <v>4</v>
      </c>
      <c r="K653">
        <v>86.01</v>
      </c>
      <c r="L653">
        <v>3</v>
      </c>
      <c r="M653">
        <v>16</v>
      </c>
      <c r="N653">
        <v>43</v>
      </c>
      <c r="O653" t="s">
        <v>2051</v>
      </c>
      <c r="P653" t="s">
        <v>2062</v>
      </c>
      <c r="Q653" s="2">
        <f>Employee_Data[[#This Row],[Monthly Salary]]*12</f>
        <v>764826.60000000009</v>
      </c>
    </row>
    <row r="654" spans="1:17" x14ac:dyDescent="0.25">
      <c r="A654" t="s">
        <v>668</v>
      </c>
      <c r="B654" t="s">
        <v>1665</v>
      </c>
      <c r="C654" t="s">
        <v>2016</v>
      </c>
      <c r="D654" t="s">
        <v>2034</v>
      </c>
      <c r="E654" t="s">
        <v>2039</v>
      </c>
      <c r="F654">
        <v>56</v>
      </c>
      <c r="G654" s="1">
        <v>45585</v>
      </c>
      <c r="H654" t="s">
        <v>2040</v>
      </c>
      <c r="I654" s="2">
        <v>111730.2</v>
      </c>
      <c r="J654">
        <v>5</v>
      </c>
      <c r="K654">
        <v>82.15</v>
      </c>
      <c r="L654">
        <v>1</v>
      </c>
      <c r="M654">
        <v>54</v>
      </c>
      <c r="N654">
        <v>26</v>
      </c>
      <c r="O654" t="s">
        <v>2047</v>
      </c>
      <c r="P654" t="s">
        <v>2062</v>
      </c>
      <c r="Q654" s="2">
        <f>Employee_Data[[#This Row],[Monthly Salary]]*12</f>
        <v>1340762.3999999999</v>
      </c>
    </row>
    <row r="655" spans="1:17" x14ac:dyDescent="0.25">
      <c r="A655" t="s">
        <v>669</v>
      </c>
      <c r="B655" t="s">
        <v>1666</v>
      </c>
      <c r="C655" t="s">
        <v>2011</v>
      </c>
      <c r="D655" t="s">
        <v>2035</v>
      </c>
      <c r="E655" t="s">
        <v>2038</v>
      </c>
      <c r="F655">
        <v>58</v>
      </c>
      <c r="G655" s="1">
        <v>44269</v>
      </c>
      <c r="H655" t="s">
        <v>2040</v>
      </c>
      <c r="I655" s="2">
        <v>96864.68</v>
      </c>
      <c r="J655">
        <v>1</v>
      </c>
      <c r="K655">
        <v>82.28</v>
      </c>
      <c r="L655">
        <v>4</v>
      </c>
      <c r="M655">
        <v>59</v>
      </c>
      <c r="N655">
        <v>11</v>
      </c>
      <c r="O655" t="s">
        <v>2048</v>
      </c>
      <c r="P655" t="s">
        <v>2062</v>
      </c>
      <c r="Q655" s="2">
        <f>Employee_Data[[#This Row],[Monthly Salary]]*12</f>
        <v>1162376.1599999999</v>
      </c>
    </row>
    <row r="656" spans="1:17" x14ac:dyDescent="0.25">
      <c r="A656" t="s">
        <v>670</v>
      </c>
      <c r="B656" t="s">
        <v>1667</v>
      </c>
      <c r="C656" t="s">
        <v>2010</v>
      </c>
      <c r="D656" t="s">
        <v>2018</v>
      </c>
      <c r="E656" t="s">
        <v>2038</v>
      </c>
      <c r="F656">
        <v>40</v>
      </c>
      <c r="G656" s="1">
        <v>44573</v>
      </c>
      <c r="H656" t="s">
        <v>2042</v>
      </c>
      <c r="I656" s="2">
        <v>78720.84</v>
      </c>
      <c r="J656">
        <v>4</v>
      </c>
      <c r="K656">
        <v>95.15</v>
      </c>
      <c r="L656">
        <v>3</v>
      </c>
      <c r="M656">
        <v>57</v>
      </c>
      <c r="N656">
        <v>39</v>
      </c>
      <c r="O656" t="s">
        <v>2055</v>
      </c>
      <c r="P656" t="s">
        <v>2062</v>
      </c>
      <c r="Q656" s="2">
        <f>Employee_Data[[#This Row],[Monthly Salary]]*12</f>
        <v>944650.08</v>
      </c>
    </row>
    <row r="657" spans="1:17" x14ac:dyDescent="0.25">
      <c r="A657" t="s">
        <v>671</v>
      </c>
      <c r="B657" t="s">
        <v>1668</v>
      </c>
      <c r="C657" t="s">
        <v>2015</v>
      </c>
      <c r="D657" t="s">
        <v>2033</v>
      </c>
      <c r="E657" t="s">
        <v>2039</v>
      </c>
      <c r="F657">
        <v>26</v>
      </c>
      <c r="G657" s="1">
        <v>42756</v>
      </c>
      <c r="H657" t="s">
        <v>2041</v>
      </c>
      <c r="I657" s="2">
        <v>118218.62</v>
      </c>
      <c r="J657">
        <v>3</v>
      </c>
      <c r="K657">
        <v>97.43</v>
      </c>
      <c r="L657">
        <v>8</v>
      </c>
      <c r="M657">
        <v>13</v>
      </c>
      <c r="N657">
        <v>27</v>
      </c>
      <c r="O657" t="s">
        <v>2046</v>
      </c>
      <c r="P657" t="s">
        <v>2062</v>
      </c>
      <c r="Q657" s="2">
        <f>Employee_Data[[#This Row],[Monthly Salary]]*12</f>
        <v>1418623.44</v>
      </c>
    </row>
    <row r="658" spans="1:17" x14ac:dyDescent="0.25">
      <c r="A658" t="s">
        <v>672</v>
      </c>
      <c r="B658" t="s">
        <v>1669</v>
      </c>
      <c r="C658" t="s">
        <v>2016</v>
      </c>
      <c r="D658" t="s">
        <v>2032</v>
      </c>
      <c r="E658" t="s">
        <v>2039</v>
      </c>
      <c r="F658">
        <v>31</v>
      </c>
      <c r="G658" s="1">
        <v>42550</v>
      </c>
      <c r="H658" t="s">
        <v>2041</v>
      </c>
      <c r="I658" s="2">
        <v>67711.990000000005</v>
      </c>
      <c r="J658">
        <v>4</v>
      </c>
      <c r="K658">
        <v>97.38</v>
      </c>
      <c r="L658">
        <v>9</v>
      </c>
      <c r="M658">
        <v>77</v>
      </c>
      <c r="N658">
        <v>46</v>
      </c>
      <c r="O658" t="s">
        <v>2050</v>
      </c>
      <c r="P658" t="s">
        <v>2062</v>
      </c>
      <c r="Q658" s="2">
        <f>Employee_Data[[#This Row],[Monthly Salary]]*12</f>
        <v>812543.88000000012</v>
      </c>
    </row>
    <row r="659" spans="1:17" x14ac:dyDescent="0.25">
      <c r="A659" t="s">
        <v>673</v>
      </c>
      <c r="B659" t="s">
        <v>1670</v>
      </c>
      <c r="C659" t="s">
        <v>2012</v>
      </c>
      <c r="D659" t="s">
        <v>2020</v>
      </c>
      <c r="E659" t="s">
        <v>2038</v>
      </c>
      <c r="F659">
        <v>26</v>
      </c>
      <c r="G659" s="1">
        <v>44083</v>
      </c>
      <c r="H659" t="s">
        <v>2040</v>
      </c>
      <c r="I659" s="2">
        <v>33511.39</v>
      </c>
      <c r="J659">
        <v>2</v>
      </c>
      <c r="K659">
        <v>82.24</v>
      </c>
      <c r="L659">
        <v>5</v>
      </c>
      <c r="M659">
        <v>2</v>
      </c>
      <c r="N659">
        <v>44</v>
      </c>
      <c r="O659" t="s">
        <v>2059</v>
      </c>
      <c r="P659" t="s">
        <v>2063</v>
      </c>
      <c r="Q659" s="2">
        <f>Employee_Data[[#This Row],[Monthly Salary]]*12</f>
        <v>402136.68</v>
      </c>
    </row>
    <row r="660" spans="1:17" x14ac:dyDescent="0.25">
      <c r="A660" t="s">
        <v>674</v>
      </c>
      <c r="B660" t="s">
        <v>1671</v>
      </c>
      <c r="C660" t="s">
        <v>2014</v>
      </c>
      <c r="D660" t="s">
        <v>2029</v>
      </c>
      <c r="E660" t="s">
        <v>2039</v>
      </c>
      <c r="F660">
        <v>36</v>
      </c>
      <c r="G660" s="1">
        <v>44802</v>
      </c>
      <c r="H660" t="s">
        <v>2042</v>
      </c>
      <c r="I660" s="2">
        <v>104208.97</v>
      </c>
      <c r="J660">
        <v>5</v>
      </c>
      <c r="K660">
        <v>83.82</v>
      </c>
      <c r="L660">
        <v>3</v>
      </c>
      <c r="M660">
        <v>38</v>
      </c>
      <c r="N660">
        <v>49</v>
      </c>
      <c r="O660" t="s">
        <v>2056</v>
      </c>
      <c r="P660" t="s">
        <v>2062</v>
      </c>
      <c r="Q660" s="2">
        <f>Employee_Data[[#This Row],[Monthly Salary]]*12</f>
        <v>1250507.6400000001</v>
      </c>
    </row>
    <row r="661" spans="1:17" x14ac:dyDescent="0.25">
      <c r="A661" t="s">
        <v>675</v>
      </c>
      <c r="B661" t="s">
        <v>1672</v>
      </c>
      <c r="C661" t="s">
        <v>2016</v>
      </c>
      <c r="D661" t="s">
        <v>2032</v>
      </c>
      <c r="E661" t="s">
        <v>2039</v>
      </c>
      <c r="F661">
        <v>31</v>
      </c>
      <c r="G661" s="1">
        <v>44027</v>
      </c>
      <c r="H661" t="s">
        <v>2040</v>
      </c>
      <c r="I661" s="2">
        <v>93878.12</v>
      </c>
      <c r="J661">
        <v>4</v>
      </c>
      <c r="K661">
        <v>99.28</v>
      </c>
      <c r="L661">
        <v>5</v>
      </c>
      <c r="M661">
        <v>60</v>
      </c>
      <c r="N661">
        <v>1</v>
      </c>
      <c r="O661" t="s">
        <v>2056</v>
      </c>
      <c r="P661" t="s">
        <v>2062</v>
      </c>
      <c r="Q661" s="2">
        <f>Employee_Data[[#This Row],[Monthly Salary]]*12</f>
        <v>1126537.44</v>
      </c>
    </row>
    <row r="662" spans="1:17" x14ac:dyDescent="0.25">
      <c r="A662" t="s">
        <v>676</v>
      </c>
      <c r="B662" t="s">
        <v>1673</v>
      </c>
      <c r="C662" t="s">
        <v>2014</v>
      </c>
      <c r="D662" t="s">
        <v>2029</v>
      </c>
      <c r="E662" t="s">
        <v>2038</v>
      </c>
      <c r="F662">
        <v>24</v>
      </c>
      <c r="G662" s="1">
        <v>43268</v>
      </c>
      <c r="H662" t="s">
        <v>2042</v>
      </c>
      <c r="I662" s="2">
        <v>20787.43</v>
      </c>
      <c r="J662">
        <v>4</v>
      </c>
      <c r="K662">
        <v>99.59</v>
      </c>
      <c r="L662">
        <v>7</v>
      </c>
      <c r="M662">
        <v>63</v>
      </c>
      <c r="N662">
        <v>47</v>
      </c>
      <c r="O662" t="s">
        <v>2043</v>
      </c>
      <c r="P662" t="s">
        <v>2062</v>
      </c>
      <c r="Q662" s="2">
        <f>Employee_Data[[#This Row],[Monthly Salary]]*12</f>
        <v>249449.16</v>
      </c>
    </row>
    <row r="663" spans="1:17" x14ac:dyDescent="0.25">
      <c r="A663" t="s">
        <v>677</v>
      </c>
      <c r="B663" t="s">
        <v>1674</v>
      </c>
      <c r="C663" t="s">
        <v>2011</v>
      </c>
      <c r="D663" t="s">
        <v>2019</v>
      </c>
      <c r="E663" t="s">
        <v>2038</v>
      </c>
      <c r="F663">
        <v>46</v>
      </c>
      <c r="G663" s="1">
        <v>42713</v>
      </c>
      <c r="H663" t="s">
        <v>2042</v>
      </c>
      <c r="I663" s="2">
        <v>71335.570000000007</v>
      </c>
      <c r="J663">
        <v>5</v>
      </c>
      <c r="K663">
        <v>98.71</v>
      </c>
      <c r="L663">
        <v>9</v>
      </c>
      <c r="M663">
        <v>62</v>
      </c>
      <c r="N663">
        <v>14</v>
      </c>
      <c r="O663" t="s">
        <v>2049</v>
      </c>
      <c r="P663" t="s">
        <v>2062</v>
      </c>
      <c r="Q663" s="2">
        <f>Employee_Data[[#This Row],[Monthly Salary]]*12</f>
        <v>856026.84000000008</v>
      </c>
    </row>
    <row r="664" spans="1:17" x14ac:dyDescent="0.25">
      <c r="A664" t="s">
        <v>678</v>
      </c>
      <c r="B664" t="s">
        <v>1675</v>
      </c>
      <c r="C664" t="s">
        <v>2016</v>
      </c>
      <c r="D664" t="s">
        <v>2034</v>
      </c>
      <c r="E664" t="s">
        <v>2039</v>
      </c>
      <c r="F664">
        <v>38</v>
      </c>
      <c r="G664" s="1">
        <v>43785</v>
      </c>
      <c r="H664" t="s">
        <v>2041</v>
      </c>
      <c r="I664" s="2">
        <v>61713.75</v>
      </c>
      <c r="J664">
        <v>4</v>
      </c>
      <c r="K664">
        <v>82.34</v>
      </c>
      <c r="L664">
        <v>6</v>
      </c>
      <c r="M664">
        <v>79</v>
      </c>
      <c r="N664">
        <v>60</v>
      </c>
      <c r="O664" t="s">
        <v>2053</v>
      </c>
      <c r="P664" t="s">
        <v>2062</v>
      </c>
      <c r="Q664" s="2">
        <f>Employee_Data[[#This Row],[Monthly Salary]]*12</f>
        <v>740565</v>
      </c>
    </row>
    <row r="665" spans="1:17" x14ac:dyDescent="0.25">
      <c r="A665" t="s">
        <v>679</v>
      </c>
      <c r="B665" t="s">
        <v>1676</v>
      </c>
      <c r="C665" t="s">
        <v>2016</v>
      </c>
      <c r="D665" t="s">
        <v>2032</v>
      </c>
      <c r="E665" t="s">
        <v>2039</v>
      </c>
      <c r="F665">
        <v>39</v>
      </c>
      <c r="G665" s="1">
        <v>45120</v>
      </c>
      <c r="H665" t="s">
        <v>2041</v>
      </c>
      <c r="I665" s="2">
        <v>39220.129999999997</v>
      </c>
      <c r="J665">
        <v>3</v>
      </c>
      <c r="K665">
        <v>88.76</v>
      </c>
      <c r="L665">
        <v>2</v>
      </c>
      <c r="M665">
        <v>64</v>
      </c>
      <c r="N665">
        <v>14</v>
      </c>
      <c r="O665" t="s">
        <v>2043</v>
      </c>
      <c r="P665" t="s">
        <v>2063</v>
      </c>
      <c r="Q665" s="2">
        <f>Employee_Data[[#This Row],[Monthly Salary]]*12</f>
        <v>470641.55999999994</v>
      </c>
    </row>
    <row r="666" spans="1:17" x14ac:dyDescent="0.25">
      <c r="A666" t="s">
        <v>680</v>
      </c>
      <c r="B666" t="s">
        <v>1677</v>
      </c>
      <c r="C666" t="s">
        <v>2012</v>
      </c>
      <c r="D666" t="s">
        <v>2020</v>
      </c>
      <c r="E666" t="s">
        <v>2039</v>
      </c>
      <c r="F666">
        <v>39</v>
      </c>
      <c r="G666" s="1">
        <v>43394</v>
      </c>
      <c r="H666" t="s">
        <v>2041</v>
      </c>
      <c r="I666" s="2">
        <v>91138.52</v>
      </c>
      <c r="J666">
        <v>4</v>
      </c>
      <c r="K666">
        <v>96.66</v>
      </c>
      <c r="L666">
        <v>7</v>
      </c>
      <c r="M666">
        <v>46</v>
      </c>
      <c r="N666">
        <v>50</v>
      </c>
      <c r="O666" t="s">
        <v>2050</v>
      </c>
      <c r="P666" t="s">
        <v>2062</v>
      </c>
      <c r="Q666" s="2">
        <f>Employee_Data[[#This Row],[Monthly Salary]]*12</f>
        <v>1093662.24</v>
      </c>
    </row>
    <row r="667" spans="1:17" x14ac:dyDescent="0.25">
      <c r="A667" t="s">
        <v>681</v>
      </c>
      <c r="B667" t="s">
        <v>1678</v>
      </c>
      <c r="C667" t="s">
        <v>2015</v>
      </c>
      <c r="D667" t="s">
        <v>2027</v>
      </c>
      <c r="E667" t="s">
        <v>2039</v>
      </c>
      <c r="F667">
        <v>39</v>
      </c>
      <c r="G667" s="1">
        <v>43321</v>
      </c>
      <c r="H667" t="s">
        <v>2041</v>
      </c>
      <c r="I667" s="2">
        <v>94925.43</v>
      </c>
      <c r="J667">
        <v>4</v>
      </c>
      <c r="K667">
        <v>82.58</v>
      </c>
      <c r="L667">
        <v>7</v>
      </c>
      <c r="M667">
        <v>25</v>
      </c>
      <c r="N667">
        <v>10</v>
      </c>
      <c r="O667" t="s">
        <v>2058</v>
      </c>
      <c r="P667" t="s">
        <v>2062</v>
      </c>
      <c r="Q667" s="2">
        <f>Employee_Data[[#This Row],[Monthly Salary]]*12</f>
        <v>1139105.1599999999</v>
      </c>
    </row>
    <row r="668" spans="1:17" x14ac:dyDescent="0.25">
      <c r="A668" t="s">
        <v>682</v>
      </c>
      <c r="B668" t="s">
        <v>1679</v>
      </c>
      <c r="C668" t="s">
        <v>2016</v>
      </c>
      <c r="D668" t="s">
        <v>2034</v>
      </c>
      <c r="E668" t="s">
        <v>2038</v>
      </c>
      <c r="F668">
        <v>36</v>
      </c>
      <c r="G668" s="1">
        <v>43913</v>
      </c>
      <c r="H668" t="s">
        <v>2040</v>
      </c>
      <c r="I668" s="2">
        <v>75683.05</v>
      </c>
      <c r="J668">
        <v>1</v>
      </c>
      <c r="K668">
        <v>87.18</v>
      </c>
      <c r="L668">
        <v>5</v>
      </c>
      <c r="M668">
        <v>33</v>
      </c>
      <c r="N668">
        <v>22</v>
      </c>
      <c r="O668" t="s">
        <v>2048</v>
      </c>
      <c r="P668" t="s">
        <v>2062</v>
      </c>
      <c r="Q668" s="2">
        <f>Employee_Data[[#This Row],[Monthly Salary]]*12</f>
        <v>908196.60000000009</v>
      </c>
    </row>
    <row r="669" spans="1:17" x14ac:dyDescent="0.25">
      <c r="A669" t="s">
        <v>683</v>
      </c>
      <c r="B669" t="s">
        <v>1680</v>
      </c>
      <c r="C669" t="s">
        <v>2010</v>
      </c>
      <c r="D669" t="s">
        <v>2018</v>
      </c>
      <c r="E669" t="s">
        <v>2038</v>
      </c>
      <c r="F669">
        <v>48</v>
      </c>
      <c r="G669" s="1">
        <v>43973</v>
      </c>
      <c r="H669" t="s">
        <v>2040</v>
      </c>
      <c r="I669" s="2">
        <v>81756.289999999994</v>
      </c>
      <c r="J669">
        <v>1</v>
      </c>
      <c r="K669">
        <v>91.24</v>
      </c>
      <c r="L669">
        <v>5</v>
      </c>
      <c r="M669">
        <v>62</v>
      </c>
      <c r="N669">
        <v>16</v>
      </c>
      <c r="O669" t="s">
        <v>2054</v>
      </c>
      <c r="P669" t="s">
        <v>2062</v>
      </c>
      <c r="Q669" s="2">
        <f>Employee_Data[[#This Row],[Monthly Salary]]*12</f>
        <v>981075.48</v>
      </c>
    </row>
    <row r="670" spans="1:17" x14ac:dyDescent="0.25">
      <c r="A670" t="s">
        <v>684</v>
      </c>
      <c r="B670" t="s">
        <v>1681</v>
      </c>
      <c r="C670" t="s">
        <v>2010</v>
      </c>
      <c r="D670" t="s">
        <v>2037</v>
      </c>
      <c r="E670" t="s">
        <v>2038</v>
      </c>
      <c r="F670">
        <v>30</v>
      </c>
      <c r="G670" s="1">
        <v>44384</v>
      </c>
      <c r="H670" t="s">
        <v>2041</v>
      </c>
      <c r="I670" s="2">
        <v>107369.57</v>
      </c>
      <c r="J670">
        <v>5</v>
      </c>
      <c r="K670">
        <v>93.39</v>
      </c>
      <c r="L670">
        <v>4</v>
      </c>
      <c r="M670">
        <v>6</v>
      </c>
      <c r="N670">
        <v>59</v>
      </c>
      <c r="O670" t="s">
        <v>2056</v>
      </c>
      <c r="P670" t="s">
        <v>2062</v>
      </c>
      <c r="Q670" s="2">
        <f>Employee_Data[[#This Row],[Monthly Salary]]*12</f>
        <v>1288434.8400000001</v>
      </c>
    </row>
    <row r="671" spans="1:17" x14ac:dyDescent="0.25">
      <c r="A671" t="s">
        <v>685</v>
      </c>
      <c r="B671" t="s">
        <v>1682</v>
      </c>
      <c r="C671" t="s">
        <v>2009</v>
      </c>
      <c r="D671" t="s">
        <v>2017</v>
      </c>
      <c r="E671" t="s">
        <v>2039</v>
      </c>
      <c r="F671">
        <v>56</v>
      </c>
      <c r="G671" s="1">
        <v>45886</v>
      </c>
      <c r="H671" t="s">
        <v>2040</v>
      </c>
      <c r="I671" s="2">
        <v>70730.570000000007</v>
      </c>
      <c r="J671">
        <v>2</v>
      </c>
      <c r="K671">
        <v>92.6</v>
      </c>
      <c r="L671">
        <v>0</v>
      </c>
      <c r="M671">
        <v>26</v>
      </c>
      <c r="N671">
        <v>58</v>
      </c>
      <c r="O671" t="s">
        <v>2053</v>
      </c>
      <c r="P671" t="s">
        <v>2062</v>
      </c>
      <c r="Q671" s="2">
        <f>Employee_Data[[#This Row],[Monthly Salary]]*12</f>
        <v>848766.84000000008</v>
      </c>
    </row>
    <row r="672" spans="1:17" x14ac:dyDescent="0.25">
      <c r="A672" t="s">
        <v>686</v>
      </c>
      <c r="B672" t="s">
        <v>1683</v>
      </c>
      <c r="C672" t="s">
        <v>2011</v>
      </c>
      <c r="D672" t="s">
        <v>2031</v>
      </c>
      <c r="E672" t="s">
        <v>2038</v>
      </c>
      <c r="F672">
        <v>53</v>
      </c>
      <c r="G672" s="1">
        <v>42647</v>
      </c>
      <c r="H672" t="s">
        <v>2042</v>
      </c>
      <c r="I672" s="2">
        <v>93255.19</v>
      </c>
      <c r="J672">
        <v>1</v>
      </c>
      <c r="K672">
        <v>83.09</v>
      </c>
      <c r="L672">
        <v>9</v>
      </c>
      <c r="M672">
        <v>46</v>
      </c>
      <c r="N672">
        <v>21</v>
      </c>
      <c r="O672" t="s">
        <v>2060</v>
      </c>
      <c r="P672" t="s">
        <v>2062</v>
      </c>
      <c r="Q672" s="2">
        <f>Employee_Data[[#This Row],[Monthly Salary]]*12</f>
        <v>1119062.28</v>
      </c>
    </row>
    <row r="673" spans="1:17" x14ac:dyDescent="0.25">
      <c r="A673" t="s">
        <v>687</v>
      </c>
      <c r="B673" t="s">
        <v>1684</v>
      </c>
      <c r="C673" t="s">
        <v>2014</v>
      </c>
      <c r="D673" t="s">
        <v>2029</v>
      </c>
      <c r="E673" t="s">
        <v>2038</v>
      </c>
      <c r="F673">
        <v>21</v>
      </c>
      <c r="G673" s="1">
        <v>45869</v>
      </c>
      <c r="H673" t="s">
        <v>2040</v>
      </c>
      <c r="I673" s="2">
        <v>103481.34</v>
      </c>
      <c r="J673">
        <v>4</v>
      </c>
      <c r="K673">
        <v>86.83</v>
      </c>
      <c r="L673">
        <v>0</v>
      </c>
      <c r="M673">
        <v>64</v>
      </c>
      <c r="N673">
        <v>10</v>
      </c>
      <c r="O673" t="s">
        <v>2045</v>
      </c>
      <c r="P673" t="s">
        <v>2062</v>
      </c>
      <c r="Q673" s="2">
        <f>Employee_Data[[#This Row],[Monthly Salary]]*12</f>
        <v>1241776.08</v>
      </c>
    </row>
    <row r="674" spans="1:17" x14ac:dyDescent="0.25">
      <c r="A674" t="s">
        <v>688</v>
      </c>
      <c r="B674" t="s">
        <v>1685</v>
      </c>
      <c r="C674" t="s">
        <v>2016</v>
      </c>
      <c r="D674" t="s">
        <v>2034</v>
      </c>
      <c r="E674" t="s">
        <v>2039</v>
      </c>
      <c r="F674">
        <v>30</v>
      </c>
      <c r="G674" s="1">
        <v>42318</v>
      </c>
      <c r="H674" t="s">
        <v>2041</v>
      </c>
      <c r="I674" s="2">
        <v>62172.22</v>
      </c>
      <c r="J674">
        <v>2</v>
      </c>
      <c r="K674">
        <v>82.76</v>
      </c>
      <c r="L674">
        <v>10</v>
      </c>
      <c r="M674">
        <v>54</v>
      </c>
      <c r="N674">
        <v>26</v>
      </c>
      <c r="O674" t="s">
        <v>1505</v>
      </c>
      <c r="P674" t="s">
        <v>2063</v>
      </c>
      <c r="Q674" s="2">
        <f>Employee_Data[[#This Row],[Monthly Salary]]*12</f>
        <v>746066.64</v>
      </c>
    </row>
    <row r="675" spans="1:17" x14ac:dyDescent="0.25">
      <c r="A675" t="s">
        <v>689</v>
      </c>
      <c r="B675" t="s">
        <v>1686</v>
      </c>
      <c r="C675" t="s">
        <v>2012</v>
      </c>
      <c r="D675" t="s">
        <v>2021</v>
      </c>
      <c r="E675" t="s">
        <v>2038</v>
      </c>
      <c r="F675">
        <v>30</v>
      </c>
      <c r="G675" s="1">
        <v>45234</v>
      </c>
      <c r="H675" t="s">
        <v>2040</v>
      </c>
      <c r="I675" s="2">
        <v>91762.57</v>
      </c>
      <c r="J675">
        <v>5</v>
      </c>
      <c r="K675">
        <v>98.87</v>
      </c>
      <c r="L675">
        <v>2</v>
      </c>
      <c r="M675">
        <v>10</v>
      </c>
      <c r="N675">
        <v>21</v>
      </c>
      <c r="O675" t="s">
        <v>2054</v>
      </c>
      <c r="P675" t="s">
        <v>2062</v>
      </c>
      <c r="Q675" s="2">
        <f>Employee_Data[[#This Row],[Monthly Salary]]*12</f>
        <v>1101150.8400000001</v>
      </c>
    </row>
    <row r="676" spans="1:17" x14ac:dyDescent="0.25">
      <c r="A676" t="s">
        <v>690</v>
      </c>
      <c r="B676" t="s">
        <v>1687</v>
      </c>
      <c r="C676" t="s">
        <v>2015</v>
      </c>
      <c r="D676" t="s">
        <v>2026</v>
      </c>
      <c r="E676" t="s">
        <v>2039</v>
      </c>
      <c r="F676">
        <v>46</v>
      </c>
      <c r="G676" s="1">
        <v>42522</v>
      </c>
      <c r="H676" t="s">
        <v>2040</v>
      </c>
      <c r="I676" s="2">
        <v>86017.62</v>
      </c>
      <c r="J676">
        <v>2</v>
      </c>
      <c r="K676">
        <v>98.05</v>
      </c>
      <c r="L676">
        <v>9</v>
      </c>
      <c r="M676">
        <v>7</v>
      </c>
      <c r="N676">
        <v>40</v>
      </c>
      <c r="O676" t="s">
        <v>2052</v>
      </c>
      <c r="P676" t="s">
        <v>2063</v>
      </c>
      <c r="Q676" s="2">
        <f>Employee_Data[[#This Row],[Monthly Salary]]*12</f>
        <v>1032211.44</v>
      </c>
    </row>
    <row r="677" spans="1:17" x14ac:dyDescent="0.25">
      <c r="A677" t="s">
        <v>691</v>
      </c>
      <c r="B677" t="s">
        <v>1688</v>
      </c>
      <c r="C677" t="s">
        <v>2016</v>
      </c>
      <c r="D677" t="s">
        <v>2034</v>
      </c>
      <c r="E677" t="s">
        <v>2038</v>
      </c>
      <c r="F677">
        <v>41</v>
      </c>
      <c r="G677" s="1">
        <v>44908</v>
      </c>
      <c r="H677" t="s">
        <v>2042</v>
      </c>
      <c r="I677" s="2">
        <v>20790.22</v>
      </c>
      <c r="J677">
        <v>3</v>
      </c>
      <c r="K677">
        <v>98</v>
      </c>
      <c r="L677">
        <v>3</v>
      </c>
      <c r="M677">
        <v>78</v>
      </c>
      <c r="N677">
        <v>58</v>
      </c>
      <c r="O677" t="s">
        <v>2060</v>
      </c>
      <c r="P677" t="s">
        <v>2062</v>
      </c>
      <c r="Q677" s="2">
        <f>Employee_Data[[#This Row],[Monthly Salary]]*12</f>
        <v>249482.64</v>
      </c>
    </row>
    <row r="678" spans="1:17" x14ac:dyDescent="0.25">
      <c r="A678" t="s">
        <v>692</v>
      </c>
      <c r="B678" t="s">
        <v>1689</v>
      </c>
      <c r="C678" t="s">
        <v>2013</v>
      </c>
      <c r="D678" t="s">
        <v>2025</v>
      </c>
      <c r="E678" t="s">
        <v>2038</v>
      </c>
      <c r="F678">
        <v>43</v>
      </c>
      <c r="G678" s="1">
        <v>44291</v>
      </c>
      <c r="H678" t="s">
        <v>2041</v>
      </c>
      <c r="I678" s="2">
        <v>60450.57</v>
      </c>
      <c r="J678">
        <v>2</v>
      </c>
      <c r="K678">
        <v>97.62</v>
      </c>
      <c r="L678">
        <v>4</v>
      </c>
      <c r="M678">
        <v>10</v>
      </c>
      <c r="N678">
        <v>2</v>
      </c>
      <c r="O678" t="s">
        <v>2046</v>
      </c>
      <c r="P678" t="s">
        <v>2062</v>
      </c>
      <c r="Q678" s="2">
        <f>Employee_Data[[#This Row],[Monthly Salary]]*12</f>
        <v>725406.84</v>
      </c>
    </row>
    <row r="679" spans="1:17" x14ac:dyDescent="0.25">
      <c r="A679" t="s">
        <v>693</v>
      </c>
      <c r="B679" t="s">
        <v>1690</v>
      </c>
      <c r="C679" t="s">
        <v>2015</v>
      </c>
      <c r="D679" t="s">
        <v>2027</v>
      </c>
      <c r="E679" t="s">
        <v>2038</v>
      </c>
      <c r="F679">
        <v>34</v>
      </c>
      <c r="G679" s="1">
        <v>45422</v>
      </c>
      <c r="H679" t="s">
        <v>2040</v>
      </c>
      <c r="I679" s="2">
        <v>71167.16</v>
      </c>
      <c r="J679">
        <v>3</v>
      </c>
      <c r="K679">
        <v>90.43</v>
      </c>
      <c r="L679">
        <v>1</v>
      </c>
      <c r="M679">
        <v>20</v>
      </c>
      <c r="N679">
        <v>1</v>
      </c>
      <c r="O679" t="s">
        <v>2057</v>
      </c>
      <c r="P679" t="s">
        <v>2063</v>
      </c>
      <c r="Q679" s="2">
        <f>Employee_Data[[#This Row],[Monthly Salary]]*12</f>
        <v>854005.92</v>
      </c>
    </row>
    <row r="680" spans="1:17" x14ac:dyDescent="0.25">
      <c r="A680" t="s">
        <v>694</v>
      </c>
      <c r="B680" t="s">
        <v>1691</v>
      </c>
      <c r="C680" t="s">
        <v>2011</v>
      </c>
      <c r="D680" t="s">
        <v>2019</v>
      </c>
      <c r="E680" t="s">
        <v>2038</v>
      </c>
      <c r="F680">
        <v>48</v>
      </c>
      <c r="G680" s="1">
        <v>45507</v>
      </c>
      <c r="H680" t="s">
        <v>2041</v>
      </c>
      <c r="I680" s="2">
        <v>31044.19</v>
      </c>
      <c r="J680">
        <v>1</v>
      </c>
      <c r="K680">
        <v>96.83</v>
      </c>
      <c r="L680">
        <v>1</v>
      </c>
      <c r="M680">
        <v>33</v>
      </c>
      <c r="N680">
        <v>40</v>
      </c>
      <c r="O680" t="s">
        <v>2052</v>
      </c>
      <c r="P680" t="s">
        <v>2062</v>
      </c>
      <c r="Q680" s="2">
        <f>Employee_Data[[#This Row],[Monthly Salary]]*12</f>
        <v>372530.27999999997</v>
      </c>
    </row>
    <row r="681" spans="1:17" x14ac:dyDescent="0.25">
      <c r="A681" t="s">
        <v>695</v>
      </c>
      <c r="B681" t="s">
        <v>1692</v>
      </c>
      <c r="C681" t="s">
        <v>2010</v>
      </c>
      <c r="D681" t="s">
        <v>2037</v>
      </c>
      <c r="E681" t="s">
        <v>2039</v>
      </c>
      <c r="F681">
        <v>49</v>
      </c>
      <c r="G681" s="1">
        <v>44057</v>
      </c>
      <c r="H681" t="s">
        <v>2042</v>
      </c>
      <c r="I681" s="2">
        <v>77243.53</v>
      </c>
      <c r="J681">
        <v>1</v>
      </c>
      <c r="K681">
        <v>89.06</v>
      </c>
      <c r="L681">
        <v>5</v>
      </c>
      <c r="M681">
        <v>30</v>
      </c>
      <c r="N681">
        <v>51</v>
      </c>
      <c r="O681" t="s">
        <v>2043</v>
      </c>
      <c r="P681" t="s">
        <v>2062</v>
      </c>
      <c r="Q681" s="2">
        <f>Employee_Data[[#This Row],[Monthly Salary]]*12</f>
        <v>926922.36</v>
      </c>
    </row>
    <row r="682" spans="1:17" x14ac:dyDescent="0.25">
      <c r="A682" t="s">
        <v>696</v>
      </c>
      <c r="B682" t="s">
        <v>1693</v>
      </c>
      <c r="C682" t="s">
        <v>2014</v>
      </c>
      <c r="D682" t="s">
        <v>2029</v>
      </c>
      <c r="E682" t="s">
        <v>2038</v>
      </c>
      <c r="F682">
        <v>39</v>
      </c>
      <c r="G682" s="1">
        <v>45141</v>
      </c>
      <c r="H682" t="s">
        <v>2041</v>
      </c>
      <c r="I682" s="2">
        <v>98478.93</v>
      </c>
      <c r="J682">
        <v>5</v>
      </c>
      <c r="K682">
        <v>93.45</v>
      </c>
      <c r="L682">
        <v>2</v>
      </c>
      <c r="M682">
        <v>48</v>
      </c>
      <c r="N682">
        <v>33</v>
      </c>
      <c r="O682" t="s">
        <v>2044</v>
      </c>
      <c r="P682" t="s">
        <v>2062</v>
      </c>
      <c r="Q682" s="2">
        <f>Employee_Data[[#This Row],[Monthly Salary]]*12</f>
        <v>1181747.1599999999</v>
      </c>
    </row>
    <row r="683" spans="1:17" x14ac:dyDescent="0.25">
      <c r="A683" t="s">
        <v>697</v>
      </c>
      <c r="B683" t="s">
        <v>1694</v>
      </c>
      <c r="C683" t="s">
        <v>2014</v>
      </c>
      <c r="D683" t="s">
        <v>2029</v>
      </c>
      <c r="E683" t="s">
        <v>2038</v>
      </c>
      <c r="F683">
        <v>27</v>
      </c>
      <c r="G683" s="1">
        <v>44191</v>
      </c>
      <c r="H683" t="s">
        <v>2040</v>
      </c>
      <c r="I683" s="2">
        <v>91164.04</v>
      </c>
      <c r="J683">
        <v>4</v>
      </c>
      <c r="K683">
        <v>81.64</v>
      </c>
      <c r="L683">
        <v>5</v>
      </c>
      <c r="M683">
        <v>7</v>
      </c>
      <c r="N683">
        <v>27</v>
      </c>
      <c r="O683" t="s">
        <v>2060</v>
      </c>
      <c r="P683" t="s">
        <v>2062</v>
      </c>
      <c r="Q683" s="2">
        <f>Employee_Data[[#This Row],[Monthly Salary]]*12</f>
        <v>1093968.48</v>
      </c>
    </row>
    <row r="684" spans="1:17" x14ac:dyDescent="0.25">
      <c r="A684" t="s">
        <v>698</v>
      </c>
      <c r="B684" t="s">
        <v>1695</v>
      </c>
      <c r="C684" t="s">
        <v>2013</v>
      </c>
      <c r="D684" t="s">
        <v>2025</v>
      </c>
      <c r="E684" t="s">
        <v>2038</v>
      </c>
      <c r="F684">
        <v>54</v>
      </c>
      <c r="G684" s="1">
        <v>45368</v>
      </c>
      <c r="H684" t="s">
        <v>2042</v>
      </c>
      <c r="I684" s="2">
        <v>78823.95</v>
      </c>
      <c r="J684">
        <v>5</v>
      </c>
      <c r="K684">
        <v>95.58</v>
      </c>
      <c r="L684">
        <v>1</v>
      </c>
      <c r="M684">
        <v>33</v>
      </c>
      <c r="N684">
        <v>37</v>
      </c>
      <c r="O684" t="s">
        <v>2050</v>
      </c>
      <c r="P684" t="s">
        <v>2062</v>
      </c>
      <c r="Q684" s="2">
        <f>Employee_Data[[#This Row],[Monthly Salary]]*12</f>
        <v>945887.39999999991</v>
      </c>
    </row>
    <row r="685" spans="1:17" x14ac:dyDescent="0.25">
      <c r="A685" t="s">
        <v>699</v>
      </c>
      <c r="B685" t="s">
        <v>1696</v>
      </c>
      <c r="C685" t="s">
        <v>2013</v>
      </c>
      <c r="D685" t="s">
        <v>2022</v>
      </c>
      <c r="E685" t="s">
        <v>2038</v>
      </c>
      <c r="F685">
        <v>31</v>
      </c>
      <c r="G685" s="1">
        <v>43238</v>
      </c>
      <c r="H685" t="s">
        <v>2040</v>
      </c>
      <c r="I685" s="2">
        <v>70578.59</v>
      </c>
      <c r="J685">
        <v>4</v>
      </c>
      <c r="K685">
        <v>94.22</v>
      </c>
      <c r="L685">
        <v>7</v>
      </c>
      <c r="M685">
        <v>16</v>
      </c>
      <c r="N685">
        <v>45</v>
      </c>
      <c r="O685" t="s">
        <v>2052</v>
      </c>
      <c r="P685" t="s">
        <v>2063</v>
      </c>
      <c r="Q685" s="2">
        <f>Employee_Data[[#This Row],[Monthly Salary]]*12</f>
        <v>846943.08</v>
      </c>
    </row>
    <row r="686" spans="1:17" x14ac:dyDescent="0.25">
      <c r="A686" t="s">
        <v>700</v>
      </c>
      <c r="B686" t="s">
        <v>1697</v>
      </c>
      <c r="C686" t="s">
        <v>2009</v>
      </c>
      <c r="D686" t="s">
        <v>2036</v>
      </c>
      <c r="E686" t="s">
        <v>2039</v>
      </c>
      <c r="F686">
        <v>50</v>
      </c>
      <c r="G686" s="1">
        <v>44455</v>
      </c>
      <c r="H686" t="s">
        <v>2042</v>
      </c>
      <c r="I686" s="2">
        <v>23260.74</v>
      </c>
      <c r="J686">
        <v>2</v>
      </c>
      <c r="K686">
        <v>98.88</v>
      </c>
      <c r="L686">
        <v>4</v>
      </c>
      <c r="M686">
        <v>47</v>
      </c>
      <c r="N686">
        <v>58</v>
      </c>
      <c r="O686" t="s">
        <v>2047</v>
      </c>
      <c r="P686" t="s">
        <v>2062</v>
      </c>
      <c r="Q686" s="2">
        <f>Employee_Data[[#This Row],[Monthly Salary]]*12</f>
        <v>279128.88</v>
      </c>
    </row>
    <row r="687" spans="1:17" x14ac:dyDescent="0.25">
      <c r="A687" t="s">
        <v>701</v>
      </c>
      <c r="B687" t="s">
        <v>1698</v>
      </c>
      <c r="C687" t="s">
        <v>2016</v>
      </c>
      <c r="D687" t="s">
        <v>2032</v>
      </c>
      <c r="E687" t="s">
        <v>2039</v>
      </c>
      <c r="F687">
        <v>44</v>
      </c>
      <c r="G687" s="1">
        <v>44384</v>
      </c>
      <c r="H687" t="s">
        <v>2041</v>
      </c>
      <c r="I687" s="2">
        <v>48959.06</v>
      </c>
      <c r="J687">
        <v>5</v>
      </c>
      <c r="K687">
        <v>83.07</v>
      </c>
      <c r="L687">
        <v>4</v>
      </c>
      <c r="M687">
        <v>47</v>
      </c>
      <c r="N687">
        <v>19</v>
      </c>
      <c r="O687" t="s">
        <v>2053</v>
      </c>
      <c r="P687" t="s">
        <v>2062</v>
      </c>
      <c r="Q687" s="2">
        <f>Employee_Data[[#This Row],[Monthly Salary]]*12</f>
        <v>587508.72</v>
      </c>
    </row>
    <row r="688" spans="1:17" x14ac:dyDescent="0.25">
      <c r="A688" t="s">
        <v>702</v>
      </c>
      <c r="B688" t="s">
        <v>1699</v>
      </c>
      <c r="C688" t="s">
        <v>2013</v>
      </c>
      <c r="D688" t="s">
        <v>2025</v>
      </c>
      <c r="E688" t="s">
        <v>2039</v>
      </c>
      <c r="F688">
        <v>30</v>
      </c>
      <c r="G688" s="1">
        <v>44213</v>
      </c>
      <c r="H688" t="s">
        <v>2041</v>
      </c>
      <c r="I688" s="2">
        <v>62175.7</v>
      </c>
      <c r="J688">
        <v>3</v>
      </c>
      <c r="K688">
        <v>97.78</v>
      </c>
      <c r="L688">
        <v>4</v>
      </c>
      <c r="M688">
        <v>27</v>
      </c>
      <c r="N688">
        <v>11</v>
      </c>
      <c r="O688" t="s">
        <v>2050</v>
      </c>
      <c r="P688" t="s">
        <v>2062</v>
      </c>
      <c r="Q688" s="2">
        <f>Employee_Data[[#This Row],[Monthly Salary]]*12</f>
        <v>746108.39999999991</v>
      </c>
    </row>
    <row r="689" spans="1:17" x14ac:dyDescent="0.25">
      <c r="A689" t="s">
        <v>703</v>
      </c>
      <c r="B689" t="s">
        <v>1700</v>
      </c>
      <c r="C689" t="s">
        <v>2012</v>
      </c>
      <c r="D689" t="s">
        <v>2021</v>
      </c>
      <c r="E689" t="s">
        <v>2039</v>
      </c>
      <c r="F689">
        <v>47</v>
      </c>
      <c r="G689" s="1">
        <v>45360</v>
      </c>
      <c r="H689" t="s">
        <v>2042</v>
      </c>
      <c r="I689" s="2">
        <v>77305.91</v>
      </c>
      <c r="J689">
        <v>5</v>
      </c>
      <c r="K689">
        <v>89.05</v>
      </c>
      <c r="L689">
        <v>1</v>
      </c>
      <c r="M689">
        <v>43</v>
      </c>
      <c r="N689">
        <v>50</v>
      </c>
      <c r="O689" t="s">
        <v>2061</v>
      </c>
      <c r="P689" t="s">
        <v>2062</v>
      </c>
      <c r="Q689" s="2">
        <f>Employee_Data[[#This Row],[Monthly Salary]]*12</f>
        <v>927670.92</v>
      </c>
    </row>
    <row r="690" spans="1:17" x14ac:dyDescent="0.25">
      <c r="A690" t="s">
        <v>704</v>
      </c>
      <c r="B690" t="s">
        <v>1701</v>
      </c>
      <c r="C690" t="s">
        <v>2015</v>
      </c>
      <c r="D690" t="s">
        <v>2033</v>
      </c>
      <c r="E690" t="s">
        <v>2038</v>
      </c>
      <c r="F690">
        <v>49</v>
      </c>
      <c r="G690" s="1">
        <v>44041</v>
      </c>
      <c r="H690" t="s">
        <v>2041</v>
      </c>
      <c r="I690" s="2">
        <v>64907.47</v>
      </c>
      <c r="J690">
        <v>3</v>
      </c>
      <c r="K690">
        <v>81.790000000000006</v>
      </c>
      <c r="L690">
        <v>5</v>
      </c>
      <c r="M690">
        <v>79</v>
      </c>
      <c r="N690">
        <v>42</v>
      </c>
      <c r="O690" t="s">
        <v>2058</v>
      </c>
      <c r="P690" t="s">
        <v>2062</v>
      </c>
      <c r="Q690" s="2">
        <f>Employee_Data[[#This Row],[Monthly Salary]]*12</f>
        <v>778889.64</v>
      </c>
    </row>
    <row r="691" spans="1:17" x14ac:dyDescent="0.25">
      <c r="A691" t="s">
        <v>705</v>
      </c>
      <c r="B691" t="s">
        <v>1702</v>
      </c>
      <c r="C691" t="s">
        <v>2014</v>
      </c>
      <c r="D691" t="s">
        <v>2029</v>
      </c>
      <c r="E691" t="s">
        <v>2038</v>
      </c>
      <c r="F691">
        <v>55</v>
      </c>
      <c r="G691" s="1">
        <v>45532</v>
      </c>
      <c r="H691" t="s">
        <v>2040</v>
      </c>
      <c r="I691" s="2">
        <v>115807.95</v>
      </c>
      <c r="J691">
        <v>4</v>
      </c>
      <c r="K691">
        <v>94.72</v>
      </c>
      <c r="L691">
        <v>1</v>
      </c>
      <c r="M691">
        <v>11</v>
      </c>
      <c r="N691">
        <v>55</v>
      </c>
      <c r="O691" t="s">
        <v>2048</v>
      </c>
      <c r="P691" t="s">
        <v>2062</v>
      </c>
      <c r="Q691" s="2">
        <f>Employee_Data[[#This Row],[Monthly Salary]]*12</f>
        <v>1389695.4</v>
      </c>
    </row>
    <row r="692" spans="1:17" x14ac:dyDescent="0.25">
      <c r="A692" t="s">
        <v>706</v>
      </c>
      <c r="B692" t="s">
        <v>1703</v>
      </c>
      <c r="C692" t="s">
        <v>2011</v>
      </c>
      <c r="D692" t="s">
        <v>2031</v>
      </c>
      <c r="E692" t="s">
        <v>2039</v>
      </c>
      <c r="F692">
        <v>56</v>
      </c>
      <c r="G692" s="1">
        <v>42830</v>
      </c>
      <c r="H692" t="s">
        <v>2040</v>
      </c>
      <c r="I692" s="2">
        <v>39242.67</v>
      </c>
      <c r="J692">
        <v>5</v>
      </c>
      <c r="K692">
        <v>90.84</v>
      </c>
      <c r="L692">
        <v>8</v>
      </c>
      <c r="M692">
        <v>6</v>
      </c>
      <c r="N692">
        <v>36</v>
      </c>
      <c r="O692" t="s">
        <v>2052</v>
      </c>
      <c r="P692" t="s">
        <v>2062</v>
      </c>
      <c r="Q692" s="2">
        <f>Employee_Data[[#This Row],[Monthly Salary]]*12</f>
        <v>470912.04</v>
      </c>
    </row>
    <row r="693" spans="1:17" x14ac:dyDescent="0.25">
      <c r="A693" t="s">
        <v>707</v>
      </c>
      <c r="B693" t="s">
        <v>1704</v>
      </c>
      <c r="C693" t="s">
        <v>2013</v>
      </c>
      <c r="D693" t="s">
        <v>2025</v>
      </c>
      <c r="E693" t="s">
        <v>2039</v>
      </c>
      <c r="F693">
        <v>55</v>
      </c>
      <c r="G693" s="1">
        <v>44753</v>
      </c>
      <c r="H693" t="s">
        <v>2040</v>
      </c>
      <c r="I693" s="2">
        <v>116237.68</v>
      </c>
      <c r="J693">
        <v>3</v>
      </c>
      <c r="K693">
        <v>95.74</v>
      </c>
      <c r="L693">
        <v>3</v>
      </c>
      <c r="M693">
        <v>31</v>
      </c>
      <c r="N693">
        <v>53</v>
      </c>
      <c r="O693" t="s">
        <v>2043</v>
      </c>
      <c r="P693" t="s">
        <v>2062</v>
      </c>
      <c r="Q693" s="2">
        <f>Employee_Data[[#This Row],[Monthly Salary]]*12</f>
        <v>1394852.16</v>
      </c>
    </row>
    <row r="694" spans="1:17" x14ac:dyDescent="0.25">
      <c r="A694" t="s">
        <v>708</v>
      </c>
      <c r="B694" t="s">
        <v>1705</v>
      </c>
      <c r="C694" t="s">
        <v>2012</v>
      </c>
      <c r="D694" t="s">
        <v>2020</v>
      </c>
      <c r="E694" t="s">
        <v>2039</v>
      </c>
      <c r="F694">
        <v>52</v>
      </c>
      <c r="G694" s="1">
        <v>43115</v>
      </c>
      <c r="H694" t="s">
        <v>2040</v>
      </c>
      <c r="I694" s="2">
        <v>53995.66</v>
      </c>
      <c r="J694">
        <v>2</v>
      </c>
      <c r="K694">
        <v>88.3</v>
      </c>
      <c r="L694">
        <v>7</v>
      </c>
      <c r="M694">
        <v>67</v>
      </c>
      <c r="N694">
        <v>20</v>
      </c>
      <c r="O694" t="s">
        <v>2061</v>
      </c>
      <c r="P694" t="s">
        <v>2062</v>
      </c>
      <c r="Q694" s="2">
        <f>Employee_Data[[#This Row],[Monthly Salary]]*12</f>
        <v>647947.92000000004</v>
      </c>
    </row>
    <row r="695" spans="1:17" x14ac:dyDescent="0.25">
      <c r="A695" t="s">
        <v>709</v>
      </c>
      <c r="B695" t="s">
        <v>1706</v>
      </c>
      <c r="C695" t="s">
        <v>2009</v>
      </c>
      <c r="D695" t="s">
        <v>2017</v>
      </c>
      <c r="E695" t="s">
        <v>2039</v>
      </c>
      <c r="F695">
        <v>39</v>
      </c>
      <c r="G695" s="1">
        <v>44744</v>
      </c>
      <c r="H695" t="s">
        <v>2040</v>
      </c>
      <c r="I695" s="2">
        <v>38266.89</v>
      </c>
      <c r="J695">
        <v>1</v>
      </c>
      <c r="K695">
        <v>83.08</v>
      </c>
      <c r="L695">
        <v>3</v>
      </c>
      <c r="M695">
        <v>52</v>
      </c>
      <c r="N695">
        <v>43</v>
      </c>
      <c r="O695" t="s">
        <v>2048</v>
      </c>
      <c r="P695" t="s">
        <v>2062</v>
      </c>
      <c r="Q695" s="2">
        <f>Employee_Data[[#This Row],[Monthly Salary]]*12</f>
        <v>459202.68</v>
      </c>
    </row>
    <row r="696" spans="1:17" x14ac:dyDescent="0.25">
      <c r="A696" t="s">
        <v>710</v>
      </c>
      <c r="B696" t="s">
        <v>1707</v>
      </c>
      <c r="C696" t="s">
        <v>2012</v>
      </c>
      <c r="D696" t="s">
        <v>2021</v>
      </c>
      <c r="E696" t="s">
        <v>2039</v>
      </c>
      <c r="F696">
        <v>24</v>
      </c>
      <c r="G696" s="1">
        <v>43992</v>
      </c>
      <c r="H696" t="s">
        <v>2042</v>
      </c>
      <c r="I696" s="2">
        <v>58993.97</v>
      </c>
      <c r="J696">
        <v>3</v>
      </c>
      <c r="K696">
        <v>82.85</v>
      </c>
      <c r="L696">
        <v>5</v>
      </c>
      <c r="M696">
        <v>41</v>
      </c>
      <c r="N696">
        <v>16</v>
      </c>
      <c r="O696" t="s">
        <v>2061</v>
      </c>
      <c r="P696" t="s">
        <v>2063</v>
      </c>
      <c r="Q696" s="2">
        <f>Employee_Data[[#This Row],[Monthly Salary]]*12</f>
        <v>707927.64</v>
      </c>
    </row>
    <row r="697" spans="1:17" x14ac:dyDescent="0.25">
      <c r="A697" t="s">
        <v>711</v>
      </c>
      <c r="B697" t="s">
        <v>1708</v>
      </c>
      <c r="C697" t="s">
        <v>2009</v>
      </c>
      <c r="D697" t="s">
        <v>2017</v>
      </c>
      <c r="E697" t="s">
        <v>2039</v>
      </c>
      <c r="F697">
        <v>36</v>
      </c>
      <c r="G697" s="1">
        <v>45936</v>
      </c>
      <c r="H697" t="s">
        <v>2041</v>
      </c>
      <c r="I697" s="2">
        <v>78602.91</v>
      </c>
      <c r="J697">
        <v>4</v>
      </c>
      <c r="K697">
        <v>90.17</v>
      </c>
      <c r="L697">
        <v>0</v>
      </c>
      <c r="M697">
        <v>64</v>
      </c>
      <c r="N697">
        <v>24</v>
      </c>
      <c r="O697" t="s">
        <v>2047</v>
      </c>
      <c r="P697" t="s">
        <v>2062</v>
      </c>
      <c r="Q697" s="2">
        <f>Employee_Data[[#This Row],[Monthly Salary]]*12</f>
        <v>943234.92</v>
      </c>
    </row>
    <row r="698" spans="1:17" x14ac:dyDescent="0.25">
      <c r="A698" t="s">
        <v>712</v>
      </c>
      <c r="B698" t="s">
        <v>1709</v>
      </c>
      <c r="C698" t="s">
        <v>2012</v>
      </c>
      <c r="D698" t="s">
        <v>2020</v>
      </c>
      <c r="E698" t="s">
        <v>2038</v>
      </c>
      <c r="F698">
        <v>25</v>
      </c>
      <c r="G698" s="1">
        <v>44254</v>
      </c>
      <c r="H698" t="s">
        <v>2042</v>
      </c>
      <c r="I698" s="2">
        <v>22890.639999999999</v>
      </c>
      <c r="J698">
        <v>2</v>
      </c>
      <c r="K698">
        <v>98.27</v>
      </c>
      <c r="L698">
        <v>4</v>
      </c>
      <c r="M698">
        <v>2</v>
      </c>
      <c r="N698">
        <v>17</v>
      </c>
      <c r="O698" t="s">
        <v>2046</v>
      </c>
      <c r="P698" t="s">
        <v>2063</v>
      </c>
      <c r="Q698" s="2">
        <f>Employee_Data[[#This Row],[Monthly Salary]]*12</f>
        <v>274687.68</v>
      </c>
    </row>
    <row r="699" spans="1:17" x14ac:dyDescent="0.25">
      <c r="A699" t="s">
        <v>713</v>
      </c>
      <c r="B699" t="s">
        <v>1710</v>
      </c>
      <c r="C699" t="s">
        <v>2009</v>
      </c>
      <c r="D699" t="s">
        <v>2017</v>
      </c>
      <c r="E699" t="s">
        <v>2039</v>
      </c>
      <c r="F699">
        <v>40</v>
      </c>
      <c r="G699" s="1">
        <v>43593</v>
      </c>
      <c r="H699" t="s">
        <v>2041</v>
      </c>
      <c r="I699" s="2">
        <v>60674.59</v>
      </c>
      <c r="J699">
        <v>1</v>
      </c>
      <c r="K699">
        <v>96.93</v>
      </c>
      <c r="L699">
        <v>6</v>
      </c>
      <c r="M699">
        <v>64</v>
      </c>
      <c r="N699">
        <v>13</v>
      </c>
      <c r="O699" t="s">
        <v>2060</v>
      </c>
      <c r="P699" t="s">
        <v>2062</v>
      </c>
      <c r="Q699" s="2">
        <f>Employee_Data[[#This Row],[Monthly Salary]]*12</f>
        <v>728095.08</v>
      </c>
    </row>
    <row r="700" spans="1:17" x14ac:dyDescent="0.25">
      <c r="A700" t="s">
        <v>714</v>
      </c>
      <c r="B700" t="s">
        <v>1711</v>
      </c>
      <c r="C700" t="s">
        <v>2015</v>
      </c>
      <c r="D700" t="s">
        <v>2033</v>
      </c>
      <c r="E700" t="s">
        <v>2038</v>
      </c>
      <c r="F700">
        <v>56</v>
      </c>
      <c r="G700" s="1">
        <v>42864</v>
      </c>
      <c r="H700" t="s">
        <v>2042</v>
      </c>
      <c r="I700" s="2">
        <v>24179.21</v>
      </c>
      <c r="J700">
        <v>4</v>
      </c>
      <c r="K700">
        <v>99.22</v>
      </c>
      <c r="L700">
        <v>8</v>
      </c>
      <c r="M700">
        <v>79</v>
      </c>
      <c r="N700">
        <v>18</v>
      </c>
      <c r="O700" t="s">
        <v>2048</v>
      </c>
      <c r="P700" t="s">
        <v>2062</v>
      </c>
      <c r="Q700" s="2">
        <f>Employee_Data[[#This Row],[Monthly Salary]]*12</f>
        <v>290150.52</v>
      </c>
    </row>
    <row r="701" spans="1:17" x14ac:dyDescent="0.25">
      <c r="A701" t="s">
        <v>715</v>
      </c>
      <c r="B701" t="s">
        <v>1712</v>
      </c>
      <c r="C701" t="s">
        <v>2013</v>
      </c>
      <c r="D701" t="s">
        <v>2022</v>
      </c>
      <c r="E701" t="s">
        <v>2038</v>
      </c>
      <c r="F701">
        <v>45</v>
      </c>
      <c r="G701" s="1">
        <v>42553</v>
      </c>
      <c r="H701" t="s">
        <v>2042</v>
      </c>
      <c r="I701" s="2">
        <v>104243.87</v>
      </c>
      <c r="J701">
        <v>2</v>
      </c>
      <c r="K701">
        <v>91.7</v>
      </c>
      <c r="L701">
        <v>9</v>
      </c>
      <c r="M701">
        <v>65</v>
      </c>
      <c r="N701">
        <v>18</v>
      </c>
      <c r="O701" t="s">
        <v>2049</v>
      </c>
      <c r="P701" t="s">
        <v>2062</v>
      </c>
      <c r="Q701" s="2">
        <f>Employee_Data[[#This Row],[Monthly Salary]]*12</f>
        <v>1250926.44</v>
      </c>
    </row>
    <row r="702" spans="1:17" x14ac:dyDescent="0.25">
      <c r="A702" t="s">
        <v>716</v>
      </c>
      <c r="B702" t="s">
        <v>1713</v>
      </c>
      <c r="C702" t="s">
        <v>2009</v>
      </c>
      <c r="D702" t="s">
        <v>2030</v>
      </c>
      <c r="E702" t="s">
        <v>2039</v>
      </c>
      <c r="F702">
        <v>46</v>
      </c>
      <c r="G702" s="1">
        <v>43845</v>
      </c>
      <c r="H702" t="s">
        <v>2041</v>
      </c>
      <c r="I702" s="2">
        <v>32297.7</v>
      </c>
      <c r="J702">
        <v>2</v>
      </c>
      <c r="K702">
        <v>94.5</v>
      </c>
      <c r="L702">
        <v>5</v>
      </c>
      <c r="M702">
        <v>35</v>
      </c>
      <c r="N702">
        <v>56</v>
      </c>
      <c r="O702" t="s">
        <v>1505</v>
      </c>
      <c r="P702" t="s">
        <v>2062</v>
      </c>
      <c r="Q702" s="2">
        <f>Employee_Data[[#This Row],[Monthly Salary]]*12</f>
        <v>387572.4</v>
      </c>
    </row>
    <row r="703" spans="1:17" x14ac:dyDescent="0.25">
      <c r="A703" t="s">
        <v>717</v>
      </c>
      <c r="B703" t="s">
        <v>1714</v>
      </c>
      <c r="C703" t="s">
        <v>2012</v>
      </c>
      <c r="D703" t="s">
        <v>2020</v>
      </c>
      <c r="E703" t="s">
        <v>2038</v>
      </c>
      <c r="F703">
        <v>49</v>
      </c>
      <c r="G703" s="1">
        <v>44159</v>
      </c>
      <c r="H703" t="s">
        <v>2042</v>
      </c>
      <c r="I703" s="2">
        <v>44592.83</v>
      </c>
      <c r="J703">
        <v>3</v>
      </c>
      <c r="K703">
        <v>86.83</v>
      </c>
      <c r="L703">
        <v>5</v>
      </c>
      <c r="M703">
        <v>58</v>
      </c>
      <c r="N703">
        <v>38</v>
      </c>
      <c r="O703" t="s">
        <v>2054</v>
      </c>
      <c r="P703" t="s">
        <v>2062</v>
      </c>
      <c r="Q703" s="2">
        <f>Employee_Data[[#This Row],[Monthly Salary]]*12</f>
        <v>535113.96</v>
      </c>
    </row>
    <row r="704" spans="1:17" x14ac:dyDescent="0.25">
      <c r="A704" t="s">
        <v>718</v>
      </c>
      <c r="B704" t="s">
        <v>1715</v>
      </c>
      <c r="C704" t="s">
        <v>2015</v>
      </c>
      <c r="D704" t="s">
        <v>2027</v>
      </c>
      <c r="E704" t="s">
        <v>2039</v>
      </c>
      <c r="F704">
        <v>59</v>
      </c>
      <c r="G704" s="1">
        <v>44815</v>
      </c>
      <c r="H704" t="s">
        <v>2042</v>
      </c>
      <c r="I704" s="2">
        <v>20427.919999999998</v>
      </c>
      <c r="J704">
        <v>1</v>
      </c>
      <c r="K704">
        <v>93.45</v>
      </c>
      <c r="L704">
        <v>3</v>
      </c>
      <c r="M704">
        <v>52</v>
      </c>
      <c r="N704">
        <v>35</v>
      </c>
      <c r="O704" t="s">
        <v>2050</v>
      </c>
      <c r="P704" t="s">
        <v>2062</v>
      </c>
      <c r="Q704" s="2">
        <f>Employee_Data[[#This Row],[Monthly Salary]]*12</f>
        <v>245135.03999999998</v>
      </c>
    </row>
    <row r="705" spans="1:17" x14ac:dyDescent="0.25">
      <c r="A705" t="s">
        <v>719</v>
      </c>
      <c r="B705" t="s">
        <v>1716</v>
      </c>
      <c r="C705" t="s">
        <v>2009</v>
      </c>
      <c r="D705" t="s">
        <v>2036</v>
      </c>
      <c r="E705" t="s">
        <v>2039</v>
      </c>
      <c r="F705">
        <v>55</v>
      </c>
      <c r="G705" s="1">
        <v>42891</v>
      </c>
      <c r="H705" t="s">
        <v>2040</v>
      </c>
      <c r="I705" s="2">
        <v>109257.22</v>
      </c>
      <c r="J705">
        <v>4</v>
      </c>
      <c r="K705">
        <v>93.44</v>
      </c>
      <c r="L705">
        <v>8</v>
      </c>
      <c r="M705">
        <v>45</v>
      </c>
      <c r="N705">
        <v>52</v>
      </c>
      <c r="O705" t="s">
        <v>2061</v>
      </c>
      <c r="P705" t="s">
        <v>2062</v>
      </c>
      <c r="Q705" s="2">
        <f>Employee_Data[[#This Row],[Monthly Salary]]*12</f>
        <v>1311086.6400000001</v>
      </c>
    </row>
    <row r="706" spans="1:17" x14ac:dyDescent="0.25">
      <c r="A706" t="s">
        <v>720</v>
      </c>
      <c r="B706" t="s">
        <v>1717</v>
      </c>
      <c r="C706" t="s">
        <v>2012</v>
      </c>
      <c r="D706" t="s">
        <v>2020</v>
      </c>
      <c r="E706" t="s">
        <v>2039</v>
      </c>
      <c r="F706">
        <v>21</v>
      </c>
      <c r="G706" s="1">
        <v>42377</v>
      </c>
      <c r="H706" t="s">
        <v>2040</v>
      </c>
      <c r="I706" s="2">
        <v>66269.25</v>
      </c>
      <c r="J706">
        <v>2</v>
      </c>
      <c r="K706">
        <v>88.89</v>
      </c>
      <c r="L706">
        <v>9</v>
      </c>
      <c r="M706">
        <v>28</v>
      </c>
      <c r="N706">
        <v>47</v>
      </c>
      <c r="O706" t="s">
        <v>2057</v>
      </c>
      <c r="P706" t="s">
        <v>2062</v>
      </c>
      <c r="Q706" s="2">
        <f>Employee_Data[[#This Row],[Monthly Salary]]*12</f>
        <v>795231</v>
      </c>
    </row>
    <row r="707" spans="1:17" x14ac:dyDescent="0.25">
      <c r="A707" t="s">
        <v>721</v>
      </c>
      <c r="B707" t="s">
        <v>1718</v>
      </c>
      <c r="C707" t="s">
        <v>2012</v>
      </c>
      <c r="D707" t="s">
        <v>2021</v>
      </c>
      <c r="E707" t="s">
        <v>2039</v>
      </c>
      <c r="F707">
        <v>60</v>
      </c>
      <c r="G707" s="1">
        <v>43534</v>
      </c>
      <c r="H707" t="s">
        <v>2041</v>
      </c>
      <c r="I707" s="2">
        <v>50317.85</v>
      </c>
      <c r="J707">
        <v>2</v>
      </c>
      <c r="K707">
        <v>84.69</v>
      </c>
      <c r="L707">
        <v>6</v>
      </c>
      <c r="M707">
        <v>63</v>
      </c>
      <c r="N707">
        <v>23</v>
      </c>
      <c r="O707" t="s">
        <v>2049</v>
      </c>
      <c r="P707" t="s">
        <v>2062</v>
      </c>
      <c r="Q707" s="2">
        <f>Employee_Data[[#This Row],[Monthly Salary]]*12</f>
        <v>603814.19999999995</v>
      </c>
    </row>
    <row r="708" spans="1:17" x14ac:dyDescent="0.25">
      <c r="A708" t="s">
        <v>722</v>
      </c>
      <c r="B708" t="s">
        <v>1719</v>
      </c>
      <c r="C708" t="s">
        <v>2014</v>
      </c>
      <c r="D708" t="s">
        <v>2023</v>
      </c>
      <c r="E708" t="s">
        <v>2039</v>
      </c>
      <c r="F708">
        <v>46</v>
      </c>
      <c r="G708" s="1">
        <v>42825</v>
      </c>
      <c r="H708" t="s">
        <v>2040</v>
      </c>
      <c r="I708" s="2">
        <v>106991.62</v>
      </c>
      <c r="J708">
        <v>5</v>
      </c>
      <c r="K708">
        <v>90.01</v>
      </c>
      <c r="L708">
        <v>8</v>
      </c>
      <c r="M708">
        <v>21</v>
      </c>
      <c r="N708">
        <v>35</v>
      </c>
      <c r="O708" t="s">
        <v>2059</v>
      </c>
      <c r="P708" t="s">
        <v>2062</v>
      </c>
      <c r="Q708" s="2">
        <f>Employee_Data[[#This Row],[Monthly Salary]]*12</f>
        <v>1283899.44</v>
      </c>
    </row>
    <row r="709" spans="1:17" x14ac:dyDescent="0.25">
      <c r="A709" t="s">
        <v>723</v>
      </c>
      <c r="B709" t="s">
        <v>1720</v>
      </c>
      <c r="C709" t="s">
        <v>2015</v>
      </c>
      <c r="D709" t="s">
        <v>2033</v>
      </c>
      <c r="E709" t="s">
        <v>2039</v>
      </c>
      <c r="F709">
        <v>25</v>
      </c>
      <c r="G709" s="1">
        <v>42438</v>
      </c>
      <c r="H709" t="s">
        <v>2040</v>
      </c>
      <c r="I709" s="2">
        <v>45962.45</v>
      </c>
      <c r="J709">
        <v>5</v>
      </c>
      <c r="K709">
        <v>97.11</v>
      </c>
      <c r="L709">
        <v>9</v>
      </c>
      <c r="M709">
        <v>66</v>
      </c>
      <c r="N709">
        <v>46</v>
      </c>
      <c r="O709" t="s">
        <v>2055</v>
      </c>
      <c r="P709" t="s">
        <v>2062</v>
      </c>
      <c r="Q709" s="2">
        <f>Employee_Data[[#This Row],[Monthly Salary]]*12</f>
        <v>551549.39999999991</v>
      </c>
    </row>
    <row r="710" spans="1:17" x14ac:dyDescent="0.25">
      <c r="A710" t="s">
        <v>724</v>
      </c>
      <c r="B710" t="s">
        <v>1721</v>
      </c>
      <c r="C710" t="s">
        <v>2010</v>
      </c>
      <c r="D710" t="s">
        <v>2037</v>
      </c>
      <c r="E710" t="s">
        <v>2038</v>
      </c>
      <c r="F710">
        <v>56</v>
      </c>
      <c r="G710" s="1">
        <v>42874</v>
      </c>
      <c r="H710" t="s">
        <v>2042</v>
      </c>
      <c r="I710" s="2">
        <v>20195.5</v>
      </c>
      <c r="J710">
        <v>4</v>
      </c>
      <c r="K710">
        <v>92.82</v>
      </c>
      <c r="L710">
        <v>8</v>
      </c>
      <c r="M710">
        <v>6</v>
      </c>
      <c r="N710">
        <v>54</v>
      </c>
      <c r="O710" t="s">
        <v>2054</v>
      </c>
      <c r="P710" t="s">
        <v>2062</v>
      </c>
      <c r="Q710" s="2">
        <f>Employee_Data[[#This Row],[Monthly Salary]]*12</f>
        <v>242346</v>
      </c>
    </row>
    <row r="711" spans="1:17" x14ac:dyDescent="0.25">
      <c r="A711" t="s">
        <v>725</v>
      </c>
      <c r="B711" t="s">
        <v>1722</v>
      </c>
      <c r="C711" t="s">
        <v>2016</v>
      </c>
      <c r="D711" t="s">
        <v>2034</v>
      </c>
      <c r="E711" t="s">
        <v>2039</v>
      </c>
      <c r="F711">
        <v>54</v>
      </c>
      <c r="G711" s="1">
        <v>42568</v>
      </c>
      <c r="H711" t="s">
        <v>2042</v>
      </c>
      <c r="I711" s="2">
        <v>69557.47</v>
      </c>
      <c r="J711">
        <v>5</v>
      </c>
      <c r="K711">
        <v>95.18</v>
      </c>
      <c r="L711">
        <v>9</v>
      </c>
      <c r="M711">
        <v>28</v>
      </c>
      <c r="N711">
        <v>3</v>
      </c>
      <c r="O711" t="s">
        <v>2055</v>
      </c>
      <c r="P711" t="s">
        <v>2063</v>
      </c>
      <c r="Q711" s="2">
        <f>Employee_Data[[#This Row],[Monthly Salary]]*12</f>
        <v>834689.64</v>
      </c>
    </row>
    <row r="712" spans="1:17" x14ac:dyDescent="0.25">
      <c r="A712" t="s">
        <v>726</v>
      </c>
      <c r="B712" t="s">
        <v>1723</v>
      </c>
      <c r="C712" t="s">
        <v>2013</v>
      </c>
      <c r="D712" t="s">
        <v>2022</v>
      </c>
      <c r="E712" t="s">
        <v>2039</v>
      </c>
      <c r="F712">
        <v>46</v>
      </c>
      <c r="G712" s="1">
        <v>44994</v>
      </c>
      <c r="H712" t="s">
        <v>2040</v>
      </c>
      <c r="I712" s="2">
        <v>53470.58</v>
      </c>
      <c r="J712">
        <v>5</v>
      </c>
      <c r="K712">
        <v>96.15</v>
      </c>
      <c r="L712">
        <v>2</v>
      </c>
      <c r="M712">
        <v>28</v>
      </c>
      <c r="N712">
        <v>44</v>
      </c>
      <c r="O712" t="s">
        <v>1505</v>
      </c>
      <c r="P712" t="s">
        <v>2063</v>
      </c>
      <c r="Q712" s="2">
        <f>Employee_Data[[#This Row],[Monthly Salary]]*12</f>
        <v>641646.96</v>
      </c>
    </row>
    <row r="713" spans="1:17" x14ac:dyDescent="0.25">
      <c r="A713" t="s">
        <v>727</v>
      </c>
      <c r="B713" t="s">
        <v>1724</v>
      </c>
      <c r="C713" t="s">
        <v>2014</v>
      </c>
      <c r="D713" t="s">
        <v>2023</v>
      </c>
      <c r="E713" t="s">
        <v>2039</v>
      </c>
      <c r="F713">
        <v>42</v>
      </c>
      <c r="G713" s="1">
        <v>44954</v>
      </c>
      <c r="H713" t="s">
        <v>2042</v>
      </c>
      <c r="I713" s="2">
        <v>26284.41</v>
      </c>
      <c r="J713">
        <v>1</v>
      </c>
      <c r="K713">
        <v>80.56</v>
      </c>
      <c r="L713">
        <v>2</v>
      </c>
      <c r="M713">
        <v>55</v>
      </c>
      <c r="N713">
        <v>51</v>
      </c>
      <c r="O713" t="s">
        <v>2057</v>
      </c>
      <c r="P713" t="s">
        <v>2062</v>
      </c>
      <c r="Q713" s="2">
        <f>Employee_Data[[#This Row],[Monthly Salary]]*12</f>
        <v>315412.92</v>
      </c>
    </row>
    <row r="714" spans="1:17" x14ac:dyDescent="0.25">
      <c r="A714" t="s">
        <v>728</v>
      </c>
      <c r="B714" t="s">
        <v>1725</v>
      </c>
      <c r="C714" t="s">
        <v>2012</v>
      </c>
      <c r="D714" t="s">
        <v>2020</v>
      </c>
      <c r="E714" t="s">
        <v>2039</v>
      </c>
      <c r="F714">
        <v>27</v>
      </c>
      <c r="G714" s="1">
        <v>44041</v>
      </c>
      <c r="H714" t="s">
        <v>2042</v>
      </c>
      <c r="I714" s="2">
        <v>43835.92</v>
      </c>
      <c r="J714">
        <v>3</v>
      </c>
      <c r="K714">
        <v>96.65</v>
      </c>
      <c r="L714">
        <v>5</v>
      </c>
      <c r="M714">
        <v>42</v>
      </c>
      <c r="N714">
        <v>33</v>
      </c>
      <c r="O714" t="s">
        <v>2044</v>
      </c>
      <c r="P714" t="s">
        <v>2063</v>
      </c>
      <c r="Q714" s="2">
        <f>Employee_Data[[#This Row],[Monthly Salary]]*12</f>
        <v>526031.04</v>
      </c>
    </row>
    <row r="715" spans="1:17" x14ac:dyDescent="0.25">
      <c r="A715" t="s">
        <v>729</v>
      </c>
      <c r="B715" t="s">
        <v>1726</v>
      </c>
      <c r="C715" t="s">
        <v>2013</v>
      </c>
      <c r="D715" t="s">
        <v>2025</v>
      </c>
      <c r="E715" t="s">
        <v>2038</v>
      </c>
      <c r="F715">
        <v>58</v>
      </c>
      <c r="G715" s="1">
        <v>43830</v>
      </c>
      <c r="H715" t="s">
        <v>2040</v>
      </c>
      <c r="I715" s="2">
        <v>28553.47</v>
      </c>
      <c r="J715">
        <v>1</v>
      </c>
      <c r="K715">
        <v>98.33</v>
      </c>
      <c r="L715">
        <v>6</v>
      </c>
      <c r="M715">
        <v>48</v>
      </c>
      <c r="N715">
        <v>20</v>
      </c>
      <c r="O715" t="s">
        <v>2045</v>
      </c>
      <c r="P715" t="s">
        <v>2062</v>
      </c>
      <c r="Q715" s="2">
        <f>Employee_Data[[#This Row],[Monthly Salary]]*12</f>
        <v>342641.64</v>
      </c>
    </row>
    <row r="716" spans="1:17" x14ac:dyDescent="0.25">
      <c r="A716" t="s">
        <v>730</v>
      </c>
      <c r="B716" t="s">
        <v>1727</v>
      </c>
      <c r="C716" t="s">
        <v>2010</v>
      </c>
      <c r="D716" t="s">
        <v>2024</v>
      </c>
      <c r="E716" t="s">
        <v>2039</v>
      </c>
      <c r="F716">
        <v>40</v>
      </c>
      <c r="G716" s="1">
        <v>45279</v>
      </c>
      <c r="H716" t="s">
        <v>2041</v>
      </c>
      <c r="I716" s="2">
        <v>82618.52</v>
      </c>
      <c r="J716">
        <v>1</v>
      </c>
      <c r="K716">
        <v>82.04</v>
      </c>
      <c r="L716">
        <v>2</v>
      </c>
      <c r="M716">
        <v>7</v>
      </c>
      <c r="N716">
        <v>35</v>
      </c>
      <c r="O716" t="s">
        <v>2049</v>
      </c>
      <c r="P716" t="s">
        <v>2062</v>
      </c>
      <c r="Q716" s="2">
        <f>Employee_Data[[#This Row],[Monthly Salary]]*12</f>
        <v>991422.24</v>
      </c>
    </row>
    <row r="717" spans="1:17" x14ac:dyDescent="0.25">
      <c r="A717" t="s">
        <v>731</v>
      </c>
      <c r="B717" t="s">
        <v>1728</v>
      </c>
      <c r="C717" t="s">
        <v>2016</v>
      </c>
      <c r="D717" t="s">
        <v>2034</v>
      </c>
      <c r="E717" t="s">
        <v>2039</v>
      </c>
      <c r="F717">
        <v>60</v>
      </c>
      <c r="G717" s="1">
        <v>43542</v>
      </c>
      <c r="H717" t="s">
        <v>2042</v>
      </c>
      <c r="I717" s="2">
        <v>43311.199999999997</v>
      </c>
      <c r="J717">
        <v>5</v>
      </c>
      <c r="K717">
        <v>95.75</v>
      </c>
      <c r="L717">
        <v>6</v>
      </c>
      <c r="M717">
        <v>79</v>
      </c>
      <c r="N717">
        <v>0</v>
      </c>
      <c r="O717" t="s">
        <v>2056</v>
      </c>
      <c r="P717" t="s">
        <v>2062</v>
      </c>
      <c r="Q717" s="2">
        <f>Employee_Data[[#This Row],[Monthly Salary]]*12</f>
        <v>519734.39999999997</v>
      </c>
    </row>
    <row r="718" spans="1:17" x14ac:dyDescent="0.25">
      <c r="A718" t="s">
        <v>732</v>
      </c>
      <c r="B718" t="s">
        <v>1729</v>
      </c>
      <c r="C718" t="s">
        <v>2016</v>
      </c>
      <c r="D718" t="s">
        <v>2032</v>
      </c>
      <c r="E718" t="s">
        <v>2038</v>
      </c>
      <c r="F718">
        <v>22</v>
      </c>
      <c r="G718" s="1">
        <v>45681</v>
      </c>
      <c r="H718" t="s">
        <v>2042</v>
      </c>
      <c r="I718" s="2">
        <v>71721.289999999994</v>
      </c>
      <c r="J718">
        <v>5</v>
      </c>
      <c r="K718">
        <v>83.85</v>
      </c>
      <c r="L718">
        <v>0</v>
      </c>
      <c r="M718">
        <v>13</v>
      </c>
      <c r="N718">
        <v>0</v>
      </c>
      <c r="O718" t="s">
        <v>2058</v>
      </c>
      <c r="P718" t="s">
        <v>2062</v>
      </c>
      <c r="Q718" s="2">
        <f>Employee_Data[[#This Row],[Monthly Salary]]*12</f>
        <v>860655.48</v>
      </c>
    </row>
    <row r="719" spans="1:17" x14ac:dyDescent="0.25">
      <c r="A719" t="s">
        <v>733</v>
      </c>
      <c r="B719" t="s">
        <v>1730</v>
      </c>
      <c r="C719" t="s">
        <v>2014</v>
      </c>
      <c r="D719" t="s">
        <v>2028</v>
      </c>
      <c r="E719" t="s">
        <v>2039</v>
      </c>
      <c r="F719">
        <v>53</v>
      </c>
      <c r="G719" s="1">
        <v>44534</v>
      </c>
      <c r="H719" t="s">
        <v>2042</v>
      </c>
      <c r="I719" s="2">
        <v>55539.12</v>
      </c>
      <c r="J719">
        <v>4</v>
      </c>
      <c r="K719">
        <v>94.49</v>
      </c>
      <c r="L719">
        <v>4</v>
      </c>
      <c r="M719">
        <v>56</v>
      </c>
      <c r="N719">
        <v>11</v>
      </c>
      <c r="O719" t="s">
        <v>2044</v>
      </c>
      <c r="P719" t="s">
        <v>2062</v>
      </c>
      <c r="Q719" s="2">
        <f>Employee_Data[[#This Row],[Monthly Salary]]*12</f>
        <v>666469.44000000006</v>
      </c>
    </row>
    <row r="720" spans="1:17" x14ac:dyDescent="0.25">
      <c r="A720" t="s">
        <v>734</v>
      </c>
      <c r="B720" t="s">
        <v>1731</v>
      </c>
      <c r="C720" t="s">
        <v>2010</v>
      </c>
      <c r="D720" t="s">
        <v>2018</v>
      </c>
      <c r="E720" t="s">
        <v>2039</v>
      </c>
      <c r="F720">
        <v>40</v>
      </c>
      <c r="G720" s="1">
        <v>45817</v>
      </c>
      <c r="H720" t="s">
        <v>2041</v>
      </c>
      <c r="I720" s="2">
        <v>63584.81</v>
      </c>
      <c r="J720">
        <v>3</v>
      </c>
      <c r="K720">
        <v>86.22</v>
      </c>
      <c r="L720">
        <v>0</v>
      </c>
      <c r="M720">
        <v>69</v>
      </c>
      <c r="N720">
        <v>49</v>
      </c>
      <c r="O720" t="s">
        <v>2060</v>
      </c>
      <c r="P720" t="s">
        <v>2062</v>
      </c>
      <c r="Q720" s="2">
        <f>Employee_Data[[#This Row],[Monthly Salary]]*12</f>
        <v>763017.72</v>
      </c>
    </row>
    <row r="721" spans="1:17" x14ac:dyDescent="0.25">
      <c r="A721" t="s">
        <v>735</v>
      </c>
      <c r="B721" t="s">
        <v>1732</v>
      </c>
      <c r="C721" t="s">
        <v>2011</v>
      </c>
      <c r="D721" t="s">
        <v>2031</v>
      </c>
      <c r="E721" t="s">
        <v>2038</v>
      </c>
      <c r="F721">
        <v>39</v>
      </c>
      <c r="G721" s="1">
        <v>44284</v>
      </c>
      <c r="H721" t="s">
        <v>2042</v>
      </c>
      <c r="I721" s="2">
        <v>117027.11</v>
      </c>
      <c r="J721">
        <v>5</v>
      </c>
      <c r="K721">
        <v>91.73</v>
      </c>
      <c r="L721">
        <v>4</v>
      </c>
      <c r="M721">
        <v>18</v>
      </c>
      <c r="N721">
        <v>3</v>
      </c>
      <c r="O721" t="s">
        <v>2044</v>
      </c>
      <c r="P721" t="s">
        <v>2062</v>
      </c>
      <c r="Q721" s="2">
        <f>Employee_Data[[#This Row],[Monthly Salary]]*12</f>
        <v>1404325.32</v>
      </c>
    </row>
    <row r="722" spans="1:17" x14ac:dyDescent="0.25">
      <c r="A722" t="s">
        <v>736</v>
      </c>
      <c r="B722" t="s">
        <v>1733</v>
      </c>
      <c r="C722" t="s">
        <v>2010</v>
      </c>
      <c r="D722" t="s">
        <v>2024</v>
      </c>
      <c r="E722" t="s">
        <v>2038</v>
      </c>
      <c r="F722">
        <v>33</v>
      </c>
      <c r="G722" s="1">
        <v>44048</v>
      </c>
      <c r="H722" t="s">
        <v>2040</v>
      </c>
      <c r="I722" s="2">
        <v>84055.48</v>
      </c>
      <c r="J722">
        <v>2</v>
      </c>
      <c r="K722">
        <v>95.71</v>
      </c>
      <c r="L722">
        <v>5</v>
      </c>
      <c r="M722">
        <v>43</v>
      </c>
      <c r="N722">
        <v>12</v>
      </c>
      <c r="O722" t="s">
        <v>2050</v>
      </c>
      <c r="P722" t="s">
        <v>2062</v>
      </c>
      <c r="Q722" s="2">
        <f>Employee_Data[[#This Row],[Monthly Salary]]*12</f>
        <v>1008665.76</v>
      </c>
    </row>
    <row r="723" spans="1:17" x14ac:dyDescent="0.25">
      <c r="A723" t="s">
        <v>737</v>
      </c>
      <c r="B723" t="s">
        <v>1734</v>
      </c>
      <c r="C723" t="s">
        <v>2013</v>
      </c>
      <c r="D723" t="s">
        <v>2022</v>
      </c>
      <c r="E723" t="s">
        <v>2038</v>
      </c>
      <c r="F723">
        <v>60</v>
      </c>
      <c r="G723" s="1">
        <v>45931</v>
      </c>
      <c r="H723" t="s">
        <v>2042</v>
      </c>
      <c r="I723" s="2">
        <v>61869.53</v>
      </c>
      <c r="J723">
        <v>2</v>
      </c>
      <c r="K723">
        <v>82.1</v>
      </c>
      <c r="L723">
        <v>0</v>
      </c>
      <c r="M723">
        <v>5</v>
      </c>
      <c r="N723">
        <v>31</v>
      </c>
      <c r="O723" t="s">
        <v>2044</v>
      </c>
      <c r="P723" t="s">
        <v>2063</v>
      </c>
      <c r="Q723" s="2">
        <f>Employee_Data[[#This Row],[Monthly Salary]]*12</f>
        <v>742434.36</v>
      </c>
    </row>
    <row r="724" spans="1:17" x14ac:dyDescent="0.25">
      <c r="A724" t="s">
        <v>738</v>
      </c>
      <c r="B724" t="s">
        <v>1735</v>
      </c>
      <c r="C724" t="s">
        <v>2014</v>
      </c>
      <c r="D724" t="s">
        <v>2028</v>
      </c>
      <c r="E724" t="s">
        <v>2039</v>
      </c>
      <c r="F724">
        <v>50</v>
      </c>
      <c r="G724" s="1">
        <v>42650</v>
      </c>
      <c r="H724" t="s">
        <v>2041</v>
      </c>
      <c r="I724" s="2">
        <v>41313.85</v>
      </c>
      <c r="J724">
        <v>4</v>
      </c>
      <c r="K724">
        <v>94.69</v>
      </c>
      <c r="L724">
        <v>9</v>
      </c>
      <c r="M724">
        <v>42</v>
      </c>
      <c r="N724">
        <v>51</v>
      </c>
      <c r="O724" t="s">
        <v>2061</v>
      </c>
      <c r="P724" t="s">
        <v>2062</v>
      </c>
      <c r="Q724" s="2">
        <f>Employee_Data[[#This Row],[Monthly Salary]]*12</f>
        <v>495766.19999999995</v>
      </c>
    </row>
    <row r="725" spans="1:17" x14ac:dyDescent="0.25">
      <c r="A725" t="s">
        <v>739</v>
      </c>
      <c r="B725" t="s">
        <v>1736</v>
      </c>
      <c r="C725" t="s">
        <v>2015</v>
      </c>
      <c r="D725" t="s">
        <v>2033</v>
      </c>
      <c r="E725" t="s">
        <v>2038</v>
      </c>
      <c r="F725">
        <v>21</v>
      </c>
      <c r="G725" s="1">
        <v>44716</v>
      </c>
      <c r="H725" t="s">
        <v>2040</v>
      </c>
      <c r="I725" s="2">
        <v>55788.67</v>
      </c>
      <c r="J725">
        <v>5</v>
      </c>
      <c r="K725">
        <v>82.3</v>
      </c>
      <c r="L725">
        <v>3</v>
      </c>
      <c r="M725">
        <v>37</v>
      </c>
      <c r="N725">
        <v>28</v>
      </c>
      <c r="O725" t="s">
        <v>2059</v>
      </c>
      <c r="P725" t="s">
        <v>2062</v>
      </c>
      <c r="Q725" s="2">
        <f>Employee_Data[[#This Row],[Monthly Salary]]*12</f>
        <v>669464.04</v>
      </c>
    </row>
    <row r="726" spans="1:17" x14ac:dyDescent="0.25">
      <c r="A726" t="s">
        <v>740</v>
      </c>
      <c r="B726" t="s">
        <v>1737</v>
      </c>
      <c r="C726" t="s">
        <v>2012</v>
      </c>
      <c r="D726" t="s">
        <v>2021</v>
      </c>
      <c r="E726" t="s">
        <v>2039</v>
      </c>
      <c r="F726">
        <v>33</v>
      </c>
      <c r="G726" s="1">
        <v>43397</v>
      </c>
      <c r="H726" t="s">
        <v>2040</v>
      </c>
      <c r="I726" s="2">
        <v>48410.09</v>
      </c>
      <c r="J726">
        <v>2</v>
      </c>
      <c r="K726">
        <v>97.71</v>
      </c>
      <c r="L726">
        <v>7</v>
      </c>
      <c r="M726">
        <v>22</v>
      </c>
      <c r="N726">
        <v>21</v>
      </c>
      <c r="O726" t="s">
        <v>2046</v>
      </c>
      <c r="P726" t="s">
        <v>2062</v>
      </c>
      <c r="Q726" s="2">
        <f>Employee_Data[[#This Row],[Monthly Salary]]*12</f>
        <v>580921.07999999996</v>
      </c>
    </row>
    <row r="727" spans="1:17" x14ac:dyDescent="0.25">
      <c r="A727" t="s">
        <v>741</v>
      </c>
      <c r="B727" t="s">
        <v>1738</v>
      </c>
      <c r="C727" t="s">
        <v>2014</v>
      </c>
      <c r="D727" t="s">
        <v>2023</v>
      </c>
      <c r="E727" t="s">
        <v>2039</v>
      </c>
      <c r="F727">
        <v>37</v>
      </c>
      <c r="G727" s="1">
        <v>44532</v>
      </c>
      <c r="H727" t="s">
        <v>2040</v>
      </c>
      <c r="I727" s="2">
        <v>22099.38</v>
      </c>
      <c r="J727">
        <v>2</v>
      </c>
      <c r="K727">
        <v>87.58</v>
      </c>
      <c r="L727">
        <v>4</v>
      </c>
      <c r="M727">
        <v>14</v>
      </c>
      <c r="N727">
        <v>21</v>
      </c>
      <c r="O727" t="s">
        <v>2059</v>
      </c>
      <c r="P727" t="s">
        <v>2062</v>
      </c>
      <c r="Q727" s="2">
        <f>Employee_Data[[#This Row],[Monthly Salary]]*12</f>
        <v>265192.56</v>
      </c>
    </row>
    <row r="728" spans="1:17" x14ac:dyDescent="0.25">
      <c r="A728" t="s">
        <v>742</v>
      </c>
      <c r="B728" t="s">
        <v>1739</v>
      </c>
      <c r="C728" t="s">
        <v>2014</v>
      </c>
      <c r="D728" t="s">
        <v>2029</v>
      </c>
      <c r="E728" t="s">
        <v>2038</v>
      </c>
      <c r="F728">
        <v>31</v>
      </c>
      <c r="G728" s="1">
        <v>45830</v>
      </c>
      <c r="H728" t="s">
        <v>2041</v>
      </c>
      <c r="I728" s="2">
        <v>117710.18</v>
      </c>
      <c r="J728">
        <v>5</v>
      </c>
      <c r="K728">
        <v>97.63</v>
      </c>
      <c r="L728">
        <v>0</v>
      </c>
      <c r="M728">
        <v>8</v>
      </c>
      <c r="N728">
        <v>7</v>
      </c>
      <c r="O728" t="s">
        <v>2060</v>
      </c>
      <c r="P728" t="s">
        <v>2063</v>
      </c>
      <c r="Q728" s="2">
        <f>Employee_Data[[#This Row],[Monthly Salary]]*12</f>
        <v>1412522.16</v>
      </c>
    </row>
    <row r="729" spans="1:17" x14ac:dyDescent="0.25">
      <c r="A729" t="s">
        <v>743</v>
      </c>
      <c r="B729" t="s">
        <v>1740</v>
      </c>
      <c r="C729" t="s">
        <v>2015</v>
      </c>
      <c r="D729" t="s">
        <v>2033</v>
      </c>
      <c r="E729" t="s">
        <v>2039</v>
      </c>
      <c r="F729">
        <v>55</v>
      </c>
      <c r="G729" s="1">
        <v>45361</v>
      </c>
      <c r="H729" t="s">
        <v>2042</v>
      </c>
      <c r="I729" s="2">
        <v>89435.39</v>
      </c>
      <c r="J729">
        <v>3</v>
      </c>
      <c r="K729">
        <v>91.99</v>
      </c>
      <c r="L729">
        <v>1</v>
      </c>
      <c r="M729">
        <v>31</v>
      </c>
      <c r="N729">
        <v>58</v>
      </c>
      <c r="O729" t="s">
        <v>2049</v>
      </c>
      <c r="P729" t="s">
        <v>2062</v>
      </c>
      <c r="Q729" s="2">
        <f>Employee_Data[[#This Row],[Monthly Salary]]*12</f>
        <v>1073224.68</v>
      </c>
    </row>
    <row r="730" spans="1:17" x14ac:dyDescent="0.25">
      <c r="A730" t="s">
        <v>744</v>
      </c>
      <c r="B730" t="s">
        <v>1741</v>
      </c>
      <c r="C730" t="s">
        <v>2014</v>
      </c>
      <c r="D730" t="s">
        <v>2028</v>
      </c>
      <c r="E730" t="s">
        <v>2038</v>
      </c>
      <c r="F730">
        <v>30</v>
      </c>
      <c r="G730" s="1">
        <v>42652</v>
      </c>
      <c r="H730" t="s">
        <v>2042</v>
      </c>
      <c r="I730" s="2">
        <v>44717.16</v>
      </c>
      <c r="J730">
        <v>3</v>
      </c>
      <c r="K730">
        <v>97.46</v>
      </c>
      <c r="L730">
        <v>9</v>
      </c>
      <c r="M730">
        <v>65</v>
      </c>
      <c r="N730">
        <v>37</v>
      </c>
      <c r="O730" t="s">
        <v>2050</v>
      </c>
      <c r="P730" t="s">
        <v>2062</v>
      </c>
      <c r="Q730" s="2">
        <f>Employee_Data[[#This Row],[Monthly Salary]]*12</f>
        <v>536605.92000000004</v>
      </c>
    </row>
    <row r="731" spans="1:17" x14ac:dyDescent="0.25">
      <c r="A731" t="s">
        <v>745</v>
      </c>
      <c r="B731" t="s">
        <v>1742</v>
      </c>
      <c r="C731" t="s">
        <v>2009</v>
      </c>
      <c r="D731" t="s">
        <v>2030</v>
      </c>
      <c r="E731" t="s">
        <v>2039</v>
      </c>
      <c r="F731">
        <v>31</v>
      </c>
      <c r="G731" s="1">
        <v>42307</v>
      </c>
      <c r="H731" t="s">
        <v>2041</v>
      </c>
      <c r="I731" s="2">
        <v>58811.58</v>
      </c>
      <c r="J731">
        <v>5</v>
      </c>
      <c r="K731">
        <v>87.49</v>
      </c>
      <c r="L731">
        <v>10</v>
      </c>
      <c r="M731">
        <v>66</v>
      </c>
      <c r="N731">
        <v>29</v>
      </c>
      <c r="O731" t="s">
        <v>2048</v>
      </c>
      <c r="P731" t="s">
        <v>2062</v>
      </c>
      <c r="Q731" s="2">
        <f>Employee_Data[[#This Row],[Monthly Salary]]*12</f>
        <v>705738.96</v>
      </c>
    </row>
    <row r="732" spans="1:17" x14ac:dyDescent="0.25">
      <c r="A732" t="s">
        <v>746</v>
      </c>
      <c r="B732" t="s">
        <v>1743</v>
      </c>
      <c r="C732" t="s">
        <v>2012</v>
      </c>
      <c r="D732" t="s">
        <v>2020</v>
      </c>
      <c r="E732" t="s">
        <v>2038</v>
      </c>
      <c r="F732">
        <v>51</v>
      </c>
      <c r="G732" s="1">
        <v>44420</v>
      </c>
      <c r="H732" t="s">
        <v>2042</v>
      </c>
      <c r="I732" s="2">
        <v>78118.67</v>
      </c>
      <c r="J732">
        <v>5</v>
      </c>
      <c r="K732">
        <v>92.99</v>
      </c>
      <c r="L732">
        <v>4</v>
      </c>
      <c r="M732">
        <v>26</v>
      </c>
      <c r="N732">
        <v>14</v>
      </c>
      <c r="O732" t="s">
        <v>2059</v>
      </c>
      <c r="P732" t="s">
        <v>2062</v>
      </c>
      <c r="Q732" s="2">
        <f>Employee_Data[[#This Row],[Monthly Salary]]*12</f>
        <v>937424.04</v>
      </c>
    </row>
    <row r="733" spans="1:17" x14ac:dyDescent="0.25">
      <c r="A733" t="s">
        <v>747</v>
      </c>
      <c r="B733" t="s">
        <v>1744</v>
      </c>
      <c r="C733" t="s">
        <v>2014</v>
      </c>
      <c r="D733" t="s">
        <v>2029</v>
      </c>
      <c r="E733" t="s">
        <v>2039</v>
      </c>
      <c r="F733">
        <v>40</v>
      </c>
      <c r="G733" s="1">
        <v>44313</v>
      </c>
      <c r="H733" t="s">
        <v>2042</v>
      </c>
      <c r="I733" s="2">
        <v>108870.89</v>
      </c>
      <c r="J733">
        <v>5</v>
      </c>
      <c r="K733">
        <v>83.14</v>
      </c>
      <c r="L733">
        <v>4</v>
      </c>
      <c r="M733">
        <v>47</v>
      </c>
      <c r="N733">
        <v>16</v>
      </c>
      <c r="O733" t="s">
        <v>2046</v>
      </c>
      <c r="P733" t="s">
        <v>2062</v>
      </c>
      <c r="Q733" s="2">
        <f>Employee_Data[[#This Row],[Monthly Salary]]*12</f>
        <v>1306450.68</v>
      </c>
    </row>
    <row r="734" spans="1:17" x14ac:dyDescent="0.25">
      <c r="A734" t="s">
        <v>748</v>
      </c>
      <c r="B734" t="s">
        <v>1745</v>
      </c>
      <c r="C734" t="s">
        <v>2009</v>
      </c>
      <c r="D734" t="s">
        <v>2030</v>
      </c>
      <c r="E734" t="s">
        <v>2038</v>
      </c>
      <c r="F734">
        <v>54</v>
      </c>
      <c r="G734" s="1">
        <v>43183</v>
      </c>
      <c r="H734" t="s">
        <v>2042</v>
      </c>
      <c r="I734" s="2">
        <v>43017.760000000002</v>
      </c>
      <c r="J734">
        <v>1</v>
      </c>
      <c r="K734">
        <v>89.31</v>
      </c>
      <c r="L734">
        <v>7</v>
      </c>
      <c r="M734">
        <v>79</v>
      </c>
      <c r="N734">
        <v>21</v>
      </c>
      <c r="O734" t="s">
        <v>1505</v>
      </c>
      <c r="P734" t="s">
        <v>2062</v>
      </c>
      <c r="Q734" s="2">
        <f>Employee_Data[[#This Row],[Monthly Salary]]*12</f>
        <v>516213.12</v>
      </c>
    </row>
    <row r="735" spans="1:17" x14ac:dyDescent="0.25">
      <c r="A735" t="s">
        <v>749</v>
      </c>
      <c r="B735" t="s">
        <v>1746</v>
      </c>
      <c r="C735" t="s">
        <v>2016</v>
      </c>
      <c r="D735" t="s">
        <v>2034</v>
      </c>
      <c r="E735" t="s">
        <v>2038</v>
      </c>
      <c r="F735">
        <v>52</v>
      </c>
      <c r="G735" s="1">
        <v>42753</v>
      </c>
      <c r="H735" t="s">
        <v>2042</v>
      </c>
      <c r="I735" s="2">
        <v>47301.95</v>
      </c>
      <c r="J735">
        <v>1</v>
      </c>
      <c r="K735">
        <v>83.59</v>
      </c>
      <c r="L735">
        <v>8</v>
      </c>
      <c r="M735">
        <v>29</v>
      </c>
      <c r="N735">
        <v>16</v>
      </c>
      <c r="O735" t="s">
        <v>2045</v>
      </c>
      <c r="P735" t="s">
        <v>2062</v>
      </c>
      <c r="Q735" s="2">
        <f>Employee_Data[[#This Row],[Monthly Salary]]*12</f>
        <v>567623.39999999991</v>
      </c>
    </row>
    <row r="736" spans="1:17" x14ac:dyDescent="0.25">
      <c r="A736" t="s">
        <v>750</v>
      </c>
      <c r="B736" t="s">
        <v>1747</v>
      </c>
      <c r="C736" t="s">
        <v>2009</v>
      </c>
      <c r="D736" t="s">
        <v>2030</v>
      </c>
      <c r="E736" t="s">
        <v>2039</v>
      </c>
      <c r="F736">
        <v>38</v>
      </c>
      <c r="G736" s="1">
        <v>42930</v>
      </c>
      <c r="H736" t="s">
        <v>2040</v>
      </c>
      <c r="I736" s="2">
        <v>29840.91</v>
      </c>
      <c r="J736">
        <v>1</v>
      </c>
      <c r="K736">
        <v>87.2</v>
      </c>
      <c r="L736">
        <v>8</v>
      </c>
      <c r="M736">
        <v>69</v>
      </c>
      <c r="N736">
        <v>12</v>
      </c>
      <c r="O736" t="s">
        <v>2054</v>
      </c>
      <c r="P736" t="s">
        <v>2062</v>
      </c>
      <c r="Q736" s="2">
        <f>Employee_Data[[#This Row],[Monthly Salary]]*12</f>
        <v>358090.92</v>
      </c>
    </row>
    <row r="737" spans="1:17" x14ac:dyDescent="0.25">
      <c r="A737" t="s">
        <v>751</v>
      </c>
      <c r="B737" t="s">
        <v>1748</v>
      </c>
      <c r="C737" t="s">
        <v>2012</v>
      </c>
      <c r="D737" t="s">
        <v>2020</v>
      </c>
      <c r="E737" t="s">
        <v>2038</v>
      </c>
      <c r="F737">
        <v>38</v>
      </c>
      <c r="G737" s="1">
        <v>45017</v>
      </c>
      <c r="H737" t="s">
        <v>2040</v>
      </c>
      <c r="I737" s="2">
        <v>90564.26</v>
      </c>
      <c r="J737">
        <v>2</v>
      </c>
      <c r="K737">
        <v>99.97</v>
      </c>
      <c r="L737">
        <v>2</v>
      </c>
      <c r="M737">
        <v>69</v>
      </c>
      <c r="N737">
        <v>58</v>
      </c>
      <c r="O737" t="s">
        <v>2055</v>
      </c>
      <c r="P737" t="s">
        <v>2062</v>
      </c>
      <c r="Q737" s="2">
        <f>Employee_Data[[#This Row],[Monthly Salary]]*12</f>
        <v>1086771.1199999999</v>
      </c>
    </row>
    <row r="738" spans="1:17" x14ac:dyDescent="0.25">
      <c r="A738" t="s">
        <v>752</v>
      </c>
      <c r="B738" t="s">
        <v>1749</v>
      </c>
      <c r="C738" t="s">
        <v>2011</v>
      </c>
      <c r="D738" t="s">
        <v>2035</v>
      </c>
      <c r="E738" t="s">
        <v>2038</v>
      </c>
      <c r="F738">
        <v>46</v>
      </c>
      <c r="G738" s="1">
        <v>43385</v>
      </c>
      <c r="H738" t="s">
        <v>2042</v>
      </c>
      <c r="I738" s="2">
        <v>102186.13</v>
      </c>
      <c r="J738">
        <v>1</v>
      </c>
      <c r="K738">
        <v>89.44</v>
      </c>
      <c r="L738">
        <v>7</v>
      </c>
      <c r="M738">
        <v>65</v>
      </c>
      <c r="N738">
        <v>48</v>
      </c>
      <c r="O738" t="s">
        <v>2060</v>
      </c>
      <c r="P738" t="s">
        <v>2063</v>
      </c>
      <c r="Q738" s="2">
        <f>Employee_Data[[#This Row],[Monthly Salary]]*12</f>
        <v>1226233.56</v>
      </c>
    </row>
    <row r="739" spans="1:17" x14ac:dyDescent="0.25">
      <c r="A739" t="s">
        <v>753</v>
      </c>
      <c r="B739" t="s">
        <v>1750</v>
      </c>
      <c r="C739" t="s">
        <v>2014</v>
      </c>
      <c r="D739" t="s">
        <v>2023</v>
      </c>
      <c r="E739" t="s">
        <v>2039</v>
      </c>
      <c r="F739">
        <v>51</v>
      </c>
      <c r="G739" s="1">
        <v>44520</v>
      </c>
      <c r="H739" t="s">
        <v>2040</v>
      </c>
      <c r="I739" s="2">
        <v>71582.539999999994</v>
      </c>
      <c r="J739">
        <v>5</v>
      </c>
      <c r="K739">
        <v>95.15</v>
      </c>
      <c r="L739">
        <v>4</v>
      </c>
      <c r="M739">
        <v>59</v>
      </c>
      <c r="N739">
        <v>21</v>
      </c>
      <c r="O739" t="s">
        <v>2045</v>
      </c>
      <c r="P739" t="s">
        <v>2062</v>
      </c>
      <c r="Q739" s="2">
        <f>Employee_Data[[#This Row],[Monthly Salary]]*12</f>
        <v>858990.48</v>
      </c>
    </row>
    <row r="740" spans="1:17" x14ac:dyDescent="0.25">
      <c r="A740" t="s">
        <v>754</v>
      </c>
      <c r="B740" t="s">
        <v>1751</v>
      </c>
      <c r="C740" t="s">
        <v>2014</v>
      </c>
      <c r="D740" t="s">
        <v>2029</v>
      </c>
      <c r="E740" t="s">
        <v>2038</v>
      </c>
      <c r="F740">
        <v>34</v>
      </c>
      <c r="G740" s="1">
        <v>44209</v>
      </c>
      <c r="H740" t="s">
        <v>2042</v>
      </c>
      <c r="I740" s="2">
        <v>64997.19</v>
      </c>
      <c r="J740">
        <v>5</v>
      </c>
      <c r="K740">
        <v>80.599999999999994</v>
      </c>
      <c r="L740">
        <v>4</v>
      </c>
      <c r="M740">
        <v>17</v>
      </c>
      <c r="N740">
        <v>36</v>
      </c>
      <c r="O740" t="s">
        <v>2060</v>
      </c>
      <c r="P740" t="s">
        <v>2062</v>
      </c>
      <c r="Q740" s="2">
        <f>Employee_Data[[#This Row],[Monthly Salary]]*12</f>
        <v>779966.28</v>
      </c>
    </row>
    <row r="741" spans="1:17" x14ac:dyDescent="0.25">
      <c r="A741" t="s">
        <v>755</v>
      </c>
      <c r="B741" t="s">
        <v>1752</v>
      </c>
      <c r="C741" t="s">
        <v>2010</v>
      </c>
      <c r="D741" t="s">
        <v>2024</v>
      </c>
      <c r="E741" t="s">
        <v>2038</v>
      </c>
      <c r="F741">
        <v>42</v>
      </c>
      <c r="G741" s="1">
        <v>42314</v>
      </c>
      <c r="H741" t="s">
        <v>2040</v>
      </c>
      <c r="I741" s="2">
        <v>61914.73</v>
      </c>
      <c r="J741">
        <v>4</v>
      </c>
      <c r="K741">
        <v>95.26</v>
      </c>
      <c r="L741">
        <v>10</v>
      </c>
      <c r="M741">
        <v>68</v>
      </c>
      <c r="N741">
        <v>19</v>
      </c>
      <c r="O741" t="s">
        <v>2054</v>
      </c>
      <c r="P741" t="s">
        <v>2062</v>
      </c>
      <c r="Q741" s="2">
        <f>Employee_Data[[#This Row],[Monthly Salary]]*12</f>
        <v>742976.76</v>
      </c>
    </row>
    <row r="742" spans="1:17" x14ac:dyDescent="0.25">
      <c r="A742" t="s">
        <v>756</v>
      </c>
      <c r="B742" t="s">
        <v>1753</v>
      </c>
      <c r="C742" t="s">
        <v>2010</v>
      </c>
      <c r="D742" t="s">
        <v>2018</v>
      </c>
      <c r="E742" t="s">
        <v>2039</v>
      </c>
      <c r="F742">
        <v>42</v>
      </c>
      <c r="G742" s="1">
        <v>45829</v>
      </c>
      <c r="H742" t="s">
        <v>2041</v>
      </c>
      <c r="I742" s="2">
        <v>82983.929999999993</v>
      </c>
      <c r="J742">
        <v>5</v>
      </c>
      <c r="K742">
        <v>98.28</v>
      </c>
      <c r="L742">
        <v>0</v>
      </c>
      <c r="M742">
        <v>73</v>
      </c>
      <c r="N742">
        <v>55</v>
      </c>
      <c r="O742" t="s">
        <v>2061</v>
      </c>
      <c r="P742" t="s">
        <v>2063</v>
      </c>
      <c r="Q742" s="2">
        <f>Employee_Data[[#This Row],[Monthly Salary]]*12</f>
        <v>995807.15999999992</v>
      </c>
    </row>
    <row r="743" spans="1:17" x14ac:dyDescent="0.25">
      <c r="A743" t="s">
        <v>757</v>
      </c>
      <c r="B743" t="s">
        <v>1754</v>
      </c>
      <c r="C743" t="s">
        <v>2014</v>
      </c>
      <c r="D743" t="s">
        <v>2029</v>
      </c>
      <c r="E743" t="s">
        <v>2039</v>
      </c>
      <c r="F743">
        <v>55</v>
      </c>
      <c r="G743" s="1">
        <v>43675</v>
      </c>
      <c r="H743" t="s">
        <v>2042</v>
      </c>
      <c r="I743" s="2">
        <v>38833.870000000003</v>
      </c>
      <c r="J743">
        <v>1</v>
      </c>
      <c r="K743">
        <v>86.58</v>
      </c>
      <c r="L743">
        <v>6</v>
      </c>
      <c r="M743">
        <v>57</v>
      </c>
      <c r="N743">
        <v>40</v>
      </c>
      <c r="O743" t="s">
        <v>2051</v>
      </c>
      <c r="P743" t="s">
        <v>2062</v>
      </c>
      <c r="Q743" s="2">
        <f>Employee_Data[[#This Row],[Monthly Salary]]*12</f>
        <v>466006.44000000006</v>
      </c>
    </row>
    <row r="744" spans="1:17" x14ac:dyDescent="0.25">
      <c r="A744" t="s">
        <v>758</v>
      </c>
      <c r="B744" t="s">
        <v>1755</v>
      </c>
      <c r="C744" t="s">
        <v>2009</v>
      </c>
      <c r="D744" t="s">
        <v>2036</v>
      </c>
      <c r="E744" t="s">
        <v>2039</v>
      </c>
      <c r="F744">
        <v>23</v>
      </c>
      <c r="G744" s="1">
        <v>44360</v>
      </c>
      <c r="H744" t="s">
        <v>2041</v>
      </c>
      <c r="I744" s="2">
        <v>80336.39</v>
      </c>
      <c r="J744">
        <v>1</v>
      </c>
      <c r="K744">
        <v>83.73</v>
      </c>
      <c r="L744">
        <v>4</v>
      </c>
      <c r="M744">
        <v>8</v>
      </c>
      <c r="N744">
        <v>58</v>
      </c>
      <c r="O744" t="s">
        <v>2061</v>
      </c>
      <c r="P744" t="s">
        <v>2062</v>
      </c>
      <c r="Q744" s="2">
        <f>Employee_Data[[#This Row],[Monthly Salary]]*12</f>
        <v>964036.67999999993</v>
      </c>
    </row>
    <row r="745" spans="1:17" x14ac:dyDescent="0.25">
      <c r="A745" t="s">
        <v>759</v>
      </c>
      <c r="B745" t="s">
        <v>1756</v>
      </c>
      <c r="C745" t="s">
        <v>2014</v>
      </c>
      <c r="D745" t="s">
        <v>2029</v>
      </c>
      <c r="E745" t="s">
        <v>2039</v>
      </c>
      <c r="F745">
        <v>50</v>
      </c>
      <c r="G745" s="1">
        <v>43346</v>
      </c>
      <c r="H745" t="s">
        <v>2040</v>
      </c>
      <c r="I745" s="2">
        <v>56865.23</v>
      </c>
      <c r="J745">
        <v>1</v>
      </c>
      <c r="K745">
        <v>83.44</v>
      </c>
      <c r="L745">
        <v>7</v>
      </c>
      <c r="M745">
        <v>52</v>
      </c>
      <c r="N745">
        <v>25</v>
      </c>
      <c r="O745" t="s">
        <v>2048</v>
      </c>
      <c r="P745" t="s">
        <v>2063</v>
      </c>
      <c r="Q745" s="2">
        <f>Employee_Data[[#This Row],[Monthly Salary]]*12</f>
        <v>682382.76</v>
      </c>
    </row>
    <row r="746" spans="1:17" x14ac:dyDescent="0.25">
      <c r="A746" t="s">
        <v>760</v>
      </c>
      <c r="B746" t="s">
        <v>1757</v>
      </c>
      <c r="C746" t="s">
        <v>2015</v>
      </c>
      <c r="D746" t="s">
        <v>2027</v>
      </c>
      <c r="E746" t="s">
        <v>2038</v>
      </c>
      <c r="F746">
        <v>51</v>
      </c>
      <c r="G746" s="1">
        <v>44389</v>
      </c>
      <c r="H746" t="s">
        <v>2041</v>
      </c>
      <c r="I746" s="2">
        <v>26876.3</v>
      </c>
      <c r="J746">
        <v>2</v>
      </c>
      <c r="K746">
        <v>82.6</v>
      </c>
      <c r="L746">
        <v>4</v>
      </c>
      <c r="M746">
        <v>26</v>
      </c>
      <c r="N746">
        <v>19</v>
      </c>
      <c r="O746" t="s">
        <v>1505</v>
      </c>
      <c r="P746" t="s">
        <v>2062</v>
      </c>
      <c r="Q746" s="2">
        <f>Employee_Data[[#This Row],[Monthly Salary]]*12</f>
        <v>322515.59999999998</v>
      </c>
    </row>
    <row r="747" spans="1:17" x14ac:dyDescent="0.25">
      <c r="A747" t="s">
        <v>761</v>
      </c>
      <c r="B747" t="s">
        <v>1758</v>
      </c>
      <c r="C747" t="s">
        <v>2013</v>
      </c>
      <c r="D747" t="s">
        <v>2025</v>
      </c>
      <c r="E747" t="s">
        <v>2038</v>
      </c>
      <c r="F747">
        <v>58</v>
      </c>
      <c r="G747" s="1">
        <v>42724</v>
      </c>
      <c r="H747" t="s">
        <v>2040</v>
      </c>
      <c r="I747" s="2">
        <v>70247.5</v>
      </c>
      <c r="J747">
        <v>4</v>
      </c>
      <c r="K747">
        <v>85.51</v>
      </c>
      <c r="L747">
        <v>9</v>
      </c>
      <c r="M747">
        <v>0</v>
      </c>
      <c r="N747">
        <v>9</v>
      </c>
      <c r="O747" t="s">
        <v>2056</v>
      </c>
      <c r="P747" t="s">
        <v>2062</v>
      </c>
      <c r="Q747" s="2">
        <f>Employee_Data[[#This Row],[Monthly Salary]]*12</f>
        <v>842970</v>
      </c>
    </row>
    <row r="748" spans="1:17" x14ac:dyDescent="0.25">
      <c r="A748" t="s">
        <v>762</v>
      </c>
      <c r="B748" t="s">
        <v>1759</v>
      </c>
      <c r="C748" t="s">
        <v>2016</v>
      </c>
      <c r="D748" t="s">
        <v>2032</v>
      </c>
      <c r="E748" t="s">
        <v>2038</v>
      </c>
      <c r="F748">
        <v>57</v>
      </c>
      <c r="G748" s="1">
        <v>42602</v>
      </c>
      <c r="H748" t="s">
        <v>2042</v>
      </c>
      <c r="I748" s="2">
        <v>66020.460000000006</v>
      </c>
      <c r="J748">
        <v>5</v>
      </c>
      <c r="K748">
        <v>80.78</v>
      </c>
      <c r="L748">
        <v>9</v>
      </c>
      <c r="M748">
        <v>11</v>
      </c>
      <c r="N748">
        <v>18</v>
      </c>
      <c r="O748" t="s">
        <v>2056</v>
      </c>
      <c r="P748" t="s">
        <v>2062</v>
      </c>
      <c r="Q748" s="2">
        <f>Employee_Data[[#This Row],[Monthly Salary]]*12</f>
        <v>792245.52</v>
      </c>
    </row>
    <row r="749" spans="1:17" x14ac:dyDescent="0.25">
      <c r="A749" t="s">
        <v>763</v>
      </c>
      <c r="B749" t="s">
        <v>1760</v>
      </c>
      <c r="C749" t="s">
        <v>2011</v>
      </c>
      <c r="D749" t="s">
        <v>2035</v>
      </c>
      <c r="E749" t="s">
        <v>2039</v>
      </c>
      <c r="F749">
        <v>47</v>
      </c>
      <c r="G749" s="1">
        <v>44875</v>
      </c>
      <c r="H749" t="s">
        <v>2040</v>
      </c>
      <c r="I749" s="2">
        <v>37957.81</v>
      </c>
      <c r="J749">
        <v>5</v>
      </c>
      <c r="K749">
        <v>94.66</v>
      </c>
      <c r="L749">
        <v>3</v>
      </c>
      <c r="M749">
        <v>58</v>
      </c>
      <c r="N749">
        <v>24</v>
      </c>
      <c r="O749" t="s">
        <v>2048</v>
      </c>
      <c r="P749" t="s">
        <v>2062</v>
      </c>
      <c r="Q749" s="2">
        <f>Employee_Data[[#This Row],[Monthly Salary]]*12</f>
        <v>455493.72</v>
      </c>
    </row>
    <row r="750" spans="1:17" x14ac:dyDescent="0.25">
      <c r="A750" t="s">
        <v>764</v>
      </c>
      <c r="B750" t="s">
        <v>1761</v>
      </c>
      <c r="C750" t="s">
        <v>2009</v>
      </c>
      <c r="D750" t="s">
        <v>2030</v>
      </c>
      <c r="E750" t="s">
        <v>2039</v>
      </c>
      <c r="F750">
        <v>36</v>
      </c>
      <c r="G750" s="1">
        <v>45282</v>
      </c>
      <c r="H750" t="s">
        <v>2040</v>
      </c>
      <c r="I750" s="2">
        <v>47377.63</v>
      </c>
      <c r="J750">
        <v>5</v>
      </c>
      <c r="K750">
        <v>85.84</v>
      </c>
      <c r="L750">
        <v>2</v>
      </c>
      <c r="M750">
        <v>8</v>
      </c>
      <c r="N750">
        <v>44</v>
      </c>
      <c r="O750" t="s">
        <v>2059</v>
      </c>
      <c r="P750" t="s">
        <v>2063</v>
      </c>
      <c r="Q750" s="2">
        <f>Employee_Data[[#This Row],[Monthly Salary]]*12</f>
        <v>568531.55999999994</v>
      </c>
    </row>
    <row r="751" spans="1:17" x14ac:dyDescent="0.25">
      <c r="A751" t="s">
        <v>765</v>
      </c>
      <c r="B751" t="s">
        <v>1762</v>
      </c>
      <c r="C751" t="s">
        <v>2016</v>
      </c>
      <c r="D751" t="s">
        <v>2032</v>
      </c>
      <c r="E751" t="s">
        <v>2038</v>
      </c>
      <c r="F751">
        <v>25</v>
      </c>
      <c r="G751" s="1">
        <v>43704</v>
      </c>
      <c r="H751" t="s">
        <v>2040</v>
      </c>
      <c r="I751" s="2">
        <v>70439.48</v>
      </c>
      <c r="J751">
        <v>3</v>
      </c>
      <c r="K751">
        <v>88.2</v>
      </c>
      <c r="L751">
        <v>6</v>
      </c>
      <c r="M751">
        <v>21</v>
      </c>
      <c r="N751">
        <v>16</v>
      </c>
      <c r="O751" t="s">
        <v>2059</v>
      </c>
      <c r="P751" t="s">
        <v>2062</v>
      </c>
      <c r="Q751" s="2">
        <f>Employee_Data[[#This Row],[Monthly Salary]]*12</f>
        <v>845273.76</v>
      </c>
    </row>
    <row r="752" spans="1:17" x14ac:dyDescent="0.25">
      <c r="A752" t="s">
        <v>766</v>
      </c>
      <c r="B752" t="s">
        <v>1763</v>
      </c>
      <c r="C752" t="s">
        <v>2013</v>
      </c>
      <c r="D752" t="s">
        <v>2025</v>
      </c>
      <c r="E752" t="s">
        <v>2039</v>
      </c>
      <c r="F752">
        <v>50</v>
      </c>
      <c r="G752" s="1">
        <v>44135</v>
      </c>
      <c r="H752" t="s">
        <v>2042</v>
      </c>
      <c r="I752" s="2">
        <v>54365.77</v>
      </c>
      <c r="J752">
        <v>4</v>
      </c>
      <c r="K752">
        <v>97.12</v>
      </c>
      <c r="L752">
        <v>5</v>
      </c>
      <c r="M752">
        <v>50</v>
      </c>
      <c r="N752">
        <v>2</v>
      </c>
      <c r="O752" t="s">
        <v>2057</v>
      </c>
      <c r="P752" t="s">
        <v>2062</v>
      </c>
      <c r="Q752" s="2">
        <f>Employee_Data[[#This Row],[Monthly Salary]]*12</f>
        <v>652389.24</v>
      </c>
    </row>
    <row r="753" spans="1:17" x14ac:dyDescent="0.25">
      <c r="A753" t="s">
        <v>767</v>
      </c>
      <c r="B753" t="s">
        <v>1764</v>
      </c>
      <c r="C753" t="s">
        <v>2015</v>
      </c>
      <c r="D753" t="s">
        <v>2026</v>
      </c>
      <c r="E753" t="s">
        <v>2038</v>
      </c>
      <c r="F753">
        <v>52</v>
      </c>
      <c r="G753" s="1">
        <v>44426</v>
      </c>
      <c r="H753" t="s">
        <v>2042</v>
      </c>
      <c r="I753" s="2">
        <v>26823.72</v>
      </c>
      <c r="J753">
        <v>5</v>
      </c>
      <c r="K753">
        <v>93.14</v>
      </c>
      <c r="L753">
        <v>4</v>
      </c>
      <c r="M753">
        <v>56</v>
      </c>
      <c r="N753">
        <v>8</v>
      </c>
      <c r="O753" t="s">
        <v>2050</v>
      </c>
      <c r="P753" t="s">
        <v>2062</v>
      </c>
      <c r="Q753" s="2">
        <f>Employee_Data[[#This Row],[Monthly Salary]]*12</f>
        <v>321884.64</v>
      </c>
    </row>
    <row r="754" spans="1:17" x14ac:dyDescent="0.25">
      <c r="A754" t="s">
        <v>768</v>
      </c>
      <c r="B754" t="s">
        <v>1765</v>
      </c>
      <c r="C754" t="s">
        <v>2015</v>
      </c>
      <c r="D754" t="s">
        <v>2033</v>
      </c>
      <c r="E754" t="s">
        <v>2039</v>
      </c>
      <c r="F754">
        <v>59</v>
      </c>
      <c r="G754" s="1">
        <v>45702</v>
      </c>
      <c r="H754" t="s">
        <v>2040</v>
      </c>
      <c r="I754" s="2">
        <v>37723.660000000003</v>
      </c>
      <c r="J754">
        <v>1</v>
      </c>
      <c r="K754">
        <v>90.69</v>
      </c>
      <c r="L754">
        <v>0</v>
      </c>
      <c r="M754">
        <v>50</v>
      </c>
      <c r="N754">
        <v>10</v>
      </c>
      <c r="O754" t="s">
        <v>2045</v>
      </c>
      <c r="P754" t="s">
        <v>2062</v>
      </c>
      <c r="Q754" s="2">
        <f>Employee_Data[[#This Row],[Monthly Salary]]*12</f>
        <v>452683.92000000004</v>
      </c>
    </row>
    <row r="755" spans="1:17" x14ac:dyDescent="0.25">
      <c r="A755" t="s">
        <v>769</v>
      </c>
      <c r="B755" t="s">
        <v>1766</v>
      </c>
      <c r="C755" t="s">
        <v>2010</v>
      </c>
      <c r="D755" t="s">
        <v>2037</v>
      </c>
      <c r="E755" t="s">
        <v>2038</v>
      </c>
      <c r="F755">
        <v>30</v>
      </c>
      <c r="G755" s="1">
        <v>45302</v>
      </c>
      <c r="H755" t="s">
        <v>2042</v>
      </c>
      <c r="I755" s="2">
        <v>55808.7</v>
      </c>
      <c r="J755">
        <v>2</v>
      </c>
      <c r="K755">
        <v>94.29</v>
      </c>
      <c r="L755">
        <v>1</v>
      </c>
      <c r="M755">
        <v>68</v>
      </c>
      <c r="N755">
        <v>13</v>
      </c>
      <c r="O755" t="s">
        <v>2056</v>
      </c>
      <c r="P755" t="s">
        <v>2062</v>
      </c>
      <c r="Q755" s="2">
        <f>Employee_Data[[#This Row],[Monthly Salary]]*12</f>
        <v>669704.39999999991</v>
      </c>
    </row>
    <row r="756" spans="1:17" x14ac:dyDescent="0.25">
      <c r="A756" t="s">
        <v>770</v>
      </c>
      <c r="B756" t="s">
        <v>1767</v>
      </c>
      <c r="C756" t="s">
        <v>2009</v>
      </c>
      <c r="D756" t="s">
        <v>2030</v>
      </c>
      <c r="E756" t="s">
        <v>2038</v>
      </c>
      <c r="F756">
        <v>49</v>
      </c>
      <c r="G756" s="1">
        <v>45001</v>
      </c>
      <c r="H756" t="s">
        <v>2040</v>
      </c>
      <c r="I756" s="2">
        <v>79820.539999999994</v>
      </c>
      <c r="J756">
        <v>1</v>
      </c>
      <c r="K756">
        <v>95.45</v>
      </c>
      <c r="L756">
        <v>2</v>
      </c>
      <c r="M756">
        <v>25</v>
      </c>
      <c r="N756">
        <v>59</v>
      </c>
      <c r="O756" t="s">
        <v>2044</v>
      </c>
      <c r="P756" t="s">
        <v>2062</v>
      </c>
      <c r="Q756" s="2">
        <f>Employee_Data[[#This Row],[Monthly Salary]]*12</f>
        <v>957846.48</v>
      </c>
    </row>
    <row r="757" spans="1:17" x14ac:dyDescent="0.25">
      <c r="A757" t="s">
        <v>771</v>
      </c>
      <c r="B757" t="s">
        <v>1768</v>
      </c>
      <c r="C757" t="s">
        <v>2014</v>
      </c>
      <c r="D757" t="s">
        <v>2023</v>
      </c>
      <c r="E757" t="s">
        <v>2039</v>
      </c>
      <c r="F757">
        <v>22</v>
      </c>
      <c r="G757" s="1">
        <v>43483</v>
      </c>
      <c r="H757" t="s">
        <v>2042</v>
      </c>
      <c r="I757" s="2">
        <v>22794.42</v>
      </c>
      <c r="J757">
        <v>1</v>
      </c>
      <c r="K757">
        <v>86.74</v>
      </c>
      <c r="L757">
        <v>6</v>
      </c>
      <c r="M757">
        <v>24</v>
      </c>
      <c r="N757">
        <v>43</v>
      </c>
      <c r="O757" t="s">
        <v>2045</v>
      </c>
      <c r="P757" t="s">
        <v>2062</v>
      </c>
      <c r="Q757" s="2">
        <f>Employee_Data[[#This Row],[Monthly Salary]]*12</f>
        <v>273533.03999999998</v>
      </c>
    </row>
    <row r="758" spans="1:17" x14ac:dyDescent="0.25">
      <c r="A758" t="s">
        <v>772</v>
      </c>
      <c r="B758" t="s">
        <v>1769</v>
      </c>
      <c r="C758" t="s">
        <v>2009</v>
      </c>
      <c r="D758" t="s">
        <v>2036</v>
      </c>
      <c r="E758" t="s">
        <v>2039</v>
      </c>
      <c r="F758">
        <v>31</v>
      </c>
      <c r="G758" s="1">
        <v>45659</v>
      </c>
      <c r="H758" t="s">
        <v>2040</v>
      </c>
      <c r="I758" s="2">
        <v>61568</v>
      </c>
      <c r="J758">
        <v>1</v>
      </c>
      <c r="K758">
        <v>96.31</v>
      </c>
      <c r="L758">
        <v>0</v>
      </c>
      <c r="M758">
        <v>41</v>
      </c>
      <c r="N758">
        <v>35</v>
      </c>
      <c r="O758" t="s">
        <v>2059</v>
      </c>
      <c r="P758" t="s">
        <v>2062</v>
      </c>
      <c r="Q758" s="2">
        <f>Employee_Data[[#This Row],[Monthly Salary]]*12</f>
        <v>738816</v>
      </c>
    </row>
    <row r="759" spans="1:17" x14ac:dyDescent="0.25">
      <c r="A759" t="s">
        <v>773</v>
      </c>
      <c r="B759" t="s">
        <v>1770</v>
      </c>
      <c r="C759" t="s">
        <v>2016</v>
      </c>
      <c r="D759" t="s">
        <v>2034</v>
      </c>
      <c r="E759" t="s">
        <v>2039</v>
      </c>
      <c r="F759">
        <v>35</v>
      </c>
      <c r="G759" s="1">
        <v>42611</v>
      </c>
      <c r="H759" t="s">
        <v>2040</v>
      </c>
      <c r="I759" s="2">
        <v>30588.53</v>
      </c>
      <c r="J759">
        <v>3</v>
      </c>
      <c r="K759">
        <v>83.47</v>
      </c>
      <c r="L759">
        <v>9</v>
      </c>
      <c r="M759">
        <v>51</v>
      </c>
      <c r="N759">
        <v>41</v>
      </c>
      <c r="O759" t="s">
        <v>2054</v>
      </c>
      <c r="P759" t="s">
        <v>2062</v>
      </c>
      <c r="Q759" s="2">
        <f>Employee_Data[[#This Row],[Monthly Salary]]*12</f>
        <v>367062.36</v>
      </c>
    </row>
    <row r="760" spans="1:17" x14ac:dyDescent="0.25">
      <c r="A760" t="s">
        <v>774</v>
      </c>
      <c r="B760" t="s">
        <v>1771</v>
      </c>
      <c r="C760" t="s">
        <v>2014</v>
      </c>
      <c r="D760" t="s">
        <v>2029</v>
      </c>
      <c r="E760" t="s">
        <v>2039</v>
      </c>
      <c r="F760">
        <v>25</v>
      </c>
      <c r="G760" s="1">
        <v>42641</v>
      </c>
      <c r="H760" t="s">
        <v>2041</v>
      </c>
      <c r="I760" s="2">
        <v>101508.49</v>
      </c>
      <c r="J760">
        <v>5</v>
      </c>
      <c r="K760">
        <v>87.38</v>
      </c>
      <c r="L760">
        <v>9</v>
      </c>
      <c r="M760">
        <v>8</v>
      </c>
      <c r="N760">
        <v>56</v>
      </c>
      <c r="O760" t="s">
        <v>2059</v>
      </c>
      <c r="P760" t="s">
        <v>2062</v>
      </c>
      <c r="Q760" s="2">
        <f>Employee_Data[[#This Row],[Monthly Salary]]*12</f>
        <v>1218101.8800000001</v>
      </c>
    </row>
    <row r="761" spans="1:17" x14ac:dyDescent="0.25">
      <c r="A761" t="s">
        <v>775</v>
      </c>
      <c r="B761" t="s">
        <v>1772</v>
      </c>
      <c r="C761" t="s">
        <v>2013</v>
      </c>
      <c r="D761" t="s">
        <v>2025</v>
      </c>
      <c r="E761" t="s">
        <v>2039</v>
      </c>
      <c r="F761">
        <v>37</v>
      </c>
      <c r="G761" s="1">
        <v>45287</v>
      </c>
      <c r="H761" t="s">
        <v>2040</v>
      </c>
      <c r="I761" s="2">
        <v>79986.710000000006</v>
      </c>
      <c r="J761">
        <v>4</v>
      </c>
      <c r="K761">
        <v>93.56</v>
      </c>
      <c r="L761">
        <v>2</v>
      </c>
      <c r="M761">
        <v>17</v>
      </c>
      <c r="N761">
        <v>21</v>
      </c>
      <c r="O761" t="s">
        <v>2048</v>
      </c>
      <c r="P761" t="s">
        <v>2062</v>
      </c>
      <c r="Q761" s="2">
        <f>Employee_Data[[#This Row],[Monthly Salary]]*12</f>
        <v>959840.52</v>
      </c>
    </row>
    <row r="762" spans="1:17" x14ac:dyDescent="0.25">
      <c r="A762" t="s">
        <v>776</v>
      </c>
      <c r="B762" t="s">
        <v>1773</v>
      </c>
      <c r="C762" t="s">
        <v>2012</v>
      </c>
      <c r="D762" t="s">
        <v>2020</v>
      </c>
      <c r="E762" t="s">
        <v>2039</v>
      </c>
      <c r="F762">
        <v>42</v>
      </c>
      <c r="G762" s="1">
        <v>44116</v>
      </c>
      <c r="H762" t="s">
        <v>2040</v>
      </c>
      <c r="I762" s="2">
        <v>80853.33</v>
      </c>
      <c r="J762">
        <v>5</v>
      </c>
      <c r="K762">
        <v>88.98</v>
      </c>
      <c r="L762">
        <v>5</v>
      </c>
      <c r="M762">
        <v>65</v>
      </c>
      <c r="N762">
        <v>40</v>
      </c>
      <c r="O762" t="s">
        <v>2044</v>
      </c>
      <c r="P762" t="s">
        <v>2062</v>
      </c>
      <c r="Q762" s="2">
        <f>Employee_Data[[#This Row],[Monthly Salary]]*12</f>
        <v>970239.96</v>
      </c>
    </row>
    <row r="763" spans="1:17" x14ac:dyDescent="0.25">
      <c r="A763" t="s">
        <v>777</v>
      </c>
      <c r="B763" t="s">
        <v>1774</v>
      </c>
      <c r="C763" t="s">
        <v>2010</v>
      </c>
      <c r="D763" t="s">
        <v>2018</v>
      </c>
      <c r="E763" t="s">
        <v>2039</v>
      </c>
      <c r="F763">
        <v>60</v>
      </c>
      <c r="G763" s="1">
        <v>44772</v>
      </c>
      <c r="H763" t="s">
        <v>2040</v>
      </c>
      <c r="I763" s="2">
        <v>50884.86</v>
      </c>
      <c r="J763">
        <v>4</v>
      </c>
      <c r="K763">
        <v>95.14</v>
      </c>
      <c r="L763">
        <v>3</v>
      </c>
      <c r="M763">
        <v>79</v>
      </c>
      <c r="N763">
        <v>5</v>
      </c>
      <c r="O763" t="s">
        <v>2049</v>
      </c>
      <c r="P763" t="s">
        <v>2062</v>
      </c>
      <c r="Q763" s="2">
        <f>Employee_Data[[#This Row],[Monthly Salary]]*12</f>
        <v>610618.32000000007</v>
      </c>
    </row>
    <row r="764" spans="1:17" x14ac:dyDescent="0.25">
      <c r="A764" t="s">
        <v>778</v>
      </c>
      <c r="B764" t="s">
        <v>1775</v>
      </c>
      <c r="C764" t="s">
        <v>2013</v>
      </c>
      <c r="D764" t="s">
        <v>2022</v>
      </c>
      <c r="E764" t="s">
        <v>2039</v>
      </c>
      <c r="F764">
        <v>30</v>
      </c>
      <c r="G764" s="1">
        <v>45684</v>
      </c>
      <c r="H764" t="s">
        <v>2042</v>
      </c>
      <c r="I764" s="2">
        <v>40438.53</v>
      </c>
      <c r="J764">
        <v>1</v>
      </c>
      <c r="K764">
        <v>84.76</v>
      </c>
      <c r="L764">
        <v>0</v>
      </c>
      <c r="M764">
        <v>76</v>
      </c>
      <c r="N764">
        <v>60</v>
      </c>
      <c r="O764" t="s">
        <v>2056</v>
      </c>
      <c r="P764" t="s">
        <v>2062</v>
      </c>
      <c r="Q764" s="2">
        <f>Employee_Data[[#This Row],[Monthly Salary]]*12</f>
        <v>485262.36</v>
      </c>
    </row>
    <row r="765" spans="1:17" x14ac:dyDescent="0.25">
      <c r="A765" t="s">
        <v>779</v>
      </c>
      <c r="B765" t="s">
        <v>1776</v>
      </c>
      <c r="C765" t="s">
        <v>2012</v>
      </c>
      <c r="D765" t="s">
        <v>2021</v>
      </c>
      <c r="E765" t="s">
        <v>2038</v>
      </c>
      <c r="F765">
        <v>41</v>
      </c>
      <c r="G765" s="1">
        <v>43462</v>
      </c>
      <c r="H765" t="s">
        <v>2041</v>
      </c>
      <c r="I765" s="2">
        <v>98697.09</v>
      </c>
      <c r="J765">
        <v>1</v>
      </c>
      <c r="K765">
        <v>90.42</v>
      </c>
      <c r="L765">
        <v>7</v>
      </c>
      <c r="M765">
        <v>53</v>
      </c>
      <c r="N765">
        <v>41</v>
      </c>
      <c r="O765" t="s">
        <v>2051</v>
      </c>
      <c r="P765" t="s">
        <v>2062</v>
      </c>
      <c r="Q765" s="2">
        <f>Employee_Data[[#This Row],[Monthly Salary]]*12</f>
        <v>1184365.08</v>
      </c>
    </row>
    <row r="766" spans="1:17" x14ac:dyDescent="0.25">
      <c r="A766" t="s">
        <v>780</v>
      </c>
      <c r="B766" t="s">
        <v>1777</v>
      </c>
      <c r="C766" t="s">
        <v>2014</v>
      </c>
      <c r="D766" t="s">
        <v>2028</v>
      </c>
      <c r="E766" t="s">
        <v>2038</v>
      </c>
      <c r="F766">
        <v>42</v>
      </c>
      <c r="G766" s="1">
        <v>43708</v>
      </c>
      <c r="H766" t="s">
        <v>2040</v>
      </c>
      <c r="I766" s="2">
        <v>40581.74</v>
      </c>
      <c r="J766">
        <v>1</v>
      </c>
      <c r="K766">
        <v>98.13</v>
      </c>
      <c r="L766">
        <v>6</v>
      </c>
      <c r="M766">
        <v>31</v>
      </c>
      <c r="N766">
        <v>51</v>
      </c>
      <c r="O766" t="s">
        <v>2044</v>
      </c>
      <c r="P766" t="s">
        <v>2062</v>
      </c>
      <c r="Q766" s="2">
        <f>Employee_Data[[#This Row],[Monthly Salary]]*12</f>
        <v>486980.88</v>
      </c>
    </row>
    <row r="767" spans="1:17" x14ac:dyDescent="0.25">
      <c r="A767" t="s">
        <v>781</v>
      </c>
      <c r="B767" t="s">
        <v>1778</v>
      </c>
      <c r="C767" t="s">
        <v>2016</v>
      </c>
      <c r="D767" t="s">
        <v>2034</v>
      </c>
      <c r="E767" t="s">
        <v>2039</v>
      </c>
      <c r="F767">
        <v>49</v>
      </c>
      <c r="G767" s="1">
        <v>42903</v>
      </c>
      <c r="H767" t="s">
        <v>2041</v>
      </c>
      <c r="I767" s="2">
        <v>20604.27</v>
      </c>
      <c r="J767">
        <v>4</v>
      </c>
      <c r="K767">
        <v>81.400000000000006</v>
      </c>
      <c r="L767">
        <v>8</v>
      </c>
      <c r="M767">
        <v>24</v>
      </c>
      <c r="N767">
        <v>3</v>
      </c>
      <c r="O767" t="s">
        <v>2060</v>
      </c>
      <c r="P767" t="s">
        <v>2063</v>
      </c>
      <c r="Q767" s="2">
        <f>Employee_Data[[#This Row],[Monthly Salary]]*12</f>
        <v>247251.24</v>
      </c>
    </row>
    <row r="768" spans="1:17" x14ac:dyDescent="0.25">
      <c r="A768" t="s">
        <v>782</v>
      </c>
      <c r="B768" t="s">
        <v>1779</v>
      </c>
      <c r="C768" t="s">
        <v>2015</v>
      </c>
      <c r="D768" t="s">
        <v>2033</v>
      </c>
      <c r="E768" t="s">
        <v>2039</v>
      </c>
      <c r="F768">
        <v>58</v>
      </c>
      <c r="G768" s="1">
        <v>43716</v>
      </c>
      <c r="H768" t="s">
        <v>2041</v>
      </c>
      <c r="I768" s="2">
        <v>103122.09</v>
      </c>
      <c r="J768">
        <v>2</v>
      </c>
      <c r="K768">
        <v>84.73</v>
      </c>
      <c r="L768">
        <v>6</v>
      </c>
      <c r="M768">
        <v>10</v>
      </c>
      <c r="N768">
        <v>27</v>
      </c>
      <c r="O768" t="s">
        <v>2056</v>
      </c>
      <c r="P768" t="s">
        <v>2062</v>
      </c>
      <c r="Q768" s="2">
        <f>Employee_Data[[#This Row],[Monthly Salary]]*12</f>
        <v>1237465.08</v>
      </c>
    </row>
    <row r="769" spans="1:17" x14ac:dyDescent="0.25">
      <c r="A769" t="s">
        <v>783</v>
      </c>
      <c r="B769" t="s">
        <v>1780</v>
      </c>
      <c r="C769" t="s">
        <v>2014</v>
      </c>
      <c r="D769" t="s">
        <v>2023</v>
      </c>
      <c r="E769" t="s">
        <v>2038</v>
      </c>
      <c r="F769">
        <v>32</v>
      </c>
      <c r="G769" s="1">
        <v>44904</v>
      </c>
      <c r="H769" t="s">
        <v>2041</v>
      </c>
      <c r="I769" s="2">
        <v>44896.94</v>
      </c>
      <c r="J769">
        <v>3</v>
      </c>
      <c r="K769">
        <v>91.53</v>
      </c>
      <c r="L769">
        <v>3</v>
      </c>
      <c r="M769">
        <v>25</v>
      </c>
      <c r="N769">
        <v>17</v>
      </c>
      <c r="O769" t="s">
        <v>2050</v>
      </c>
      <c r="P769" t="s">
        <v>2062</v>
      </c>
      <c r="Q769" s="2">
        <f>Employee_Data[[#This Row],[Monthly Salary]]*12</f>
        <v>538763.28</v>
      </c>
    </row>
    <row r="770" spans="1:17" x14ac:dyDescent="0.25">
      <c r="A770" t="s">
        <v>784</v>
      </c>
      <c r="B770" t="s">
        <v>1781</v>
      </c>
      <c r="C770" t="s">
        <v>2012</v>
      </c>
      <c r="D770" t="s">
        <v>2020</v>
      </c>
      <c r="E770" t="s">
        <v>2038</v>
      </c>
      <c r="F770">
        <v>31</v>
      </c>
      <c r="G770" s="1">
        <v>45861</v>
      </c>
      <c r="H770" t="s">
        <v>2042</v>
      </c>
      <c r="I770" s="2">
        <v>64137.61</v>
      </c>
      <c r="J770">
        <v>5</v>
      </c>
      <c r="K770">
        <v>92.19</v>
      </c>
      <c r="L770">
        <v>0</v>
      </c>
      <c r="M770">
        <v>55</v>
      </c>
      <c r="N770">
        <v>48</v>
      </c>
      <c r="O770" t="s">
        <v>2060</v>
      </c>
      <c r="P770" t="s">
        <v>2062</v>
      </c>
      <c r="Q770" s="2">
        <f>Employee_Data[[#This Row],[Monthly Salary]]*12</f>
        <v>769651.32000000007</v>
      </c>
    </row>
    <row r="771" spans="1:17" x14ac:dyDescent="0.25">
      <c r="A771" t="s">
        <v>785</v>
      </c>
      <c r="B771" t="s">
        <v>1782</v>
      </c>
      <c r="C771" t="s">
        <v>2013</v>
      </c>
      <c r="D771" t="s">
        <v>2025</v>
      </c>
      <c r="E771" t="s">
        <v>2038</v>
      </c>
      <c r="F771">
        <v>48</v>
      </c>
      <c r="G771" s="1">
        <v>42518</v>
      </c>
      <c r="H771" t="s">
        <v>2040</v>
      </c>
      <c r="I771" s="2">
        <v>95885.83</v>
      </c>
      <c r="J771">
        <v>3</v>
      </c>
      <c r="K771">
        <v>91.9</v>
      </c>
      <c r="L771">
        <v>9</v>
      </c>
      <c r="M771">
        <v>19</v>
      </c>
      <c r="N771">
        <v>35</v>
      </c>
      <c r="O771" t="s">
        <v>2048</v>
      </c>
      <c r="P771" t="s">
        <v>2062</v>
      </c>
      <c r="Q771" s="2">
        <f>Employee_Data[[#This Row],[Monthly Salary]]*12</f>
        <v>1150629.96</v>
      </c>
    </row>
    <row r="772" spans="1:17" x14ac:dyDescent="0.25">
      <c r="A772" t="s">
        <v>786</v>
      </c>
      <c r="B772" t="s">
        <v>1783</v>
      </c>
      <c r="C772" t="s">
        <v>2013</v>
      </c>
      <c r="D772" t="s">
        <v>2022</v>
      </c>
      <c r="E772" t="s">
        <v>2038</v>
      </c>
      <c r="F772">
        <v>39</v>
      </c>
      <c r="G772" s="1">
        <v>43219</v>
      </c>
      <c r="H772" t="s">
        <v>2042</v>
      </c>
      <c r="I772" s="2">
        <v>76214.210000000006</v>
      </c>
      <c r="J772">
        <v>4</v>
      </c>
      <c r="K772">
        <v>81.44</v>
      </c>
      <c r="L772">
        <v>7</v>
      </c>
      <c r="M772">
        <v>17</v>
      </c>
      <c r="N772">
        <v>45</v>
      </c>
      <c r="O772" t="s">
        <v>2050</v>
      </c>
      <c r="P772" t="s">
        <v>2062</v>
      </c>
      <c r="Q772" s="2">
        <f>Employee_Data[[#This Row],[Monthly Salary]]*12</f>
        <v>914570.52</v>
      </c>
    </row>
    <row r="773" spans="1:17" x14ac:dyDescent="0.25">
      <c r="A773" t="s">
        <v>787</v>
      </c>
      <c r="B773" t="s">
        <v>1784</v>
      </c>
      <c r="C773" t="s">
        <v>2014</v>
      </c>
      <c r="D773" t="s">
        <v>2023</v>
      </c>
      <c r="E773" t="s">
        <v>2039</v>
      </c>
      <c r="F773">
        <v>53</v>
      </c>
      <c r="G773" s="1">
        <v>43341</v>
      </c>
      <c r="H773" t="s">
        <v>2041</v>
      </c>
      <c r="I773" s="2">
        <v>92534.54</v>
      </c>
      <c r="J773">
        <v>4</v>
      </c>
      <c r="K773">
        <v>88.09</v>
      </c>
      <c r="L773">
        <v>7</v>
      </c>
      <c r="M773">
        <v>53</v>
      </c>
      <c r="N773">
        <v>60</v>
      </c>
      <c r="O773" t="s">
        <v>2061</v>
      </c>
      <c r="P773" t="s">
        <v>2063</v>
      </c>
      <c r="Q773" s="2">
        <f>Employee_Data[[#This Row],[Monthly Salary]]*12</f>
        <v>1110414.48</v>
      </c>
    </row>
    <row r="774" spans="1:17" x14ac:dyDescent="0.25">
      <c r="A774" t="s">
        <v>788</v>
      </c>
      <c r="B774" t="s">
        <v>1785</v>
      </c>
      <c r="C774" t="s">
        <v>2012</v>
      </c>
      <c r="D774" t="s">
        <v>2020</v>
      </c>
      <c r="E774" t="s">
        <v>2038</v>
      </c>
      <c r="F774">
        <v>40</v>
      </c>
      <c r="G774" s="1">
        <v>44933</v>
      </c>
      <c r="H774" t="s">
        <v>2041</v>
      </c>
      <c r="I774" s="2">
        <v>118752.21</v>
      </c>
      <c r="J774">
        <v>1</v>
      </c>
      <c r="K774">
        <v>88.18</v>
      </c>
      <c r="L774">
        <v>2</v>
      </c>
      <c r="M774">
        <v>4</v>
      </c>
      <c r="N774">
        <v>58</v>
      </c>
      <c r="O774" t="s">
        <v>2047</v>
      </c>
      <c r="P774" t="s">
        <v>2062</v>
      </c>
      <c r="Q774" s="2">
        <f>Employee_Data[[#This Row],[Monthly Salary]]*12</f>
        <v>1425026.52</v>
      </c>
    </row>
    <row r="775" spans="1:17" x14ac:dyDescent="0.25">
      <c r="A775" t="s">
        <v>789</v>
      </c>
      <c r="B775" t="s">
        <v>1786</v>
      </c>
      <c r="C775" t="s">
        <v>2015</v>
      </c>
      <c r="D775" t="s">
        <v>2033</v>
      </c>
      <c r="E775" t="s">
        <v>2038</v>
      </c>
      <c r="F775">
        <v>37</v>
      </c>
      <c r="G775" s="1">
        <v>43221</v>
      </c>
      <c r="H775" t="s">
        <v>2041</v>
      </c>
      <c r="I775" s="2">
        <v>54857.87</v>
      </c>
      <c r="J775">
        <v>4</v>
      </c>
      <c r="K775">
        <v>92.7</v>
      </c>
      <c r="L775">
        <v>7</v>
      </c>
      <c r="M775">
        <v>47</v>
      </c>
      <c r="N775">
        <v>44</v>
      </c>
      <c r="O775" t="s">
        <v>2049</v>
      </c>
      <c r="P775" t="s">
        <v>2062</v>
      </c>
      <c r="Q775" s="2">
        <f>Employee_Data[[#This Row],[Monthly Salary]]*12</f>
        <v>658294.44000000006</v>
      </c>
    </row>
    <row r="776" spans="1:17" x14ac:dyDescent="0.25">
      <c r="A776" t="s">
        <v>790</v>
      </c>
      <c r="B776" t="s">
        <v>1787</v>
      </c>
      <c r="C776" t="s">
        <v>2016</v>
      </c>
      <c r="D776" t="s">
        <v>2032</v>
      </c>
      <c r="E776" t="s">
        <v>2039</v>
      </c>
      <c r="F776">
        <v>51</v>
      </c>
      <c r="G776" s="1">
        <v>42719</v>
      </c>
      <c r="H776" t="s">
        <v>2040</v>
      </c>
      <c r="I776" s="2">
        <v>112146.85</v>
      </c>
      <c r="J776">
        <v>3</v>
      </c>
      <c r="K776">
        <v>92.62</v>
      </c>
      <c r="L776">
        <v>9</v>
      </c>
      <c r="M776">
        <v>3</v>
      </c>
      <c r="N776">
        <v>44</v>
      </c>
      <c r="O776" t="s">
        <v>2060</v>
      </c>
      <c r="P776" t="s">
        <v>2062</v>
      </c>
      <c r="Q776" s="2">
        <f>Employee_Data[[#This Row],[Monthly Salary]]*12</f>
        <v>1345762.2000000002</v>
      </c>
    </row>
    <row r="777" spans="1:17" x14ac:dyDescent="0.25">
      <c r="A777" t="s">
        <v>791</v>
      </c>
      <c r="B777" t="s">
        <v>1788</v>
      </c>
      <c r="C777" t="s">
        <v>2013</v>
      </c>
      <c r="D777" t="s">
        <v>2025</v>
      </c>
      <c r="E777" t="s">
        <v>2038</v>
      </c>
      <c r="F777">
        <v>36</v>
      </c>
      <c r="G777" s="1">
        <v>44019</v>
      </c>
      <c r="H777" t="s">
        <v>2041</v>
      </c>
      <c r="I777" s="2">
        <v>77834.179999999993</v>
      </c>
      <c r="J777">
        <v>2</v>
      </c>
      <c r="K777">
        <v>80.25</v>
      </c>
      <c r="L777">
        <v>5</v>
      </c>
      <c r="M777">
        <v>11</v>
      </c>
      <c r="N777">
        <v>41</v>
      </c>
      <c r="O777" t="s">
        <v>2061</v>
      </c>
      <c r="P777" t="s">
        <v>2062</v>
      </c>
      <c r="Q777" s="2">
        <f>Employee_Data[[#This Row],[Monthly Salary]]*12</f>
        <v>934010.15999999992</v>
      </c>
    </row>
    <row r="778" spans="1:17" x14ac:dyDescent="0.25">
      <c r="A778" t="s">
        <v>792</v>
      </c>
      <c r="B778" t="s">
        <v>1789</v>
      </c>
      <c r="C778" t="s">
        <v>2009</v>
      </c>
      <c r="D778" t="s">
        <v>2036</v>
      </c>
      <c r="E778" t="s">
        <v>2039</v>
      </c>
      <c r="F778">
        <v>48</v>
      </c>
      <c r="G778" s="1">
        <v>45954</v>
      </c>
      <c r="H778" t="s">
        <v>2040</v>
      </c>
      <c r="I778" s="2">
        <v>102974.96</v>
      </c>
      <c r="J778">
        <v>3</v>
      </c>
      <c r="K778">
        <v>93.84</v>
      </c>
      <c r="L778">
        <v>0</v>
      </c>
      <c r="M778">
        <v>64</v>
      </c>
      <c r="N778">
        <v>34</v>
      </c>
      <c r="O778" t="s">
        <v>2061</v>
      </c>
      <c r="P778" t="s">
        <v>2062</v>
      </c>
      <c r="Q778" s="2">
        <f>Employee_Data[[#This Row],[Monthly Salary]]*12</f>
        <v>1235699.52</v>
      </c>
    </row>
    <row r="779" spans="1:17" x14ac:dyDescent="0.25">
      <c r="A779" t="s">
        <v>793</v>
      </c>
      <c r="B779" t="s">
        <v>1790</v>
      </c>
      <c r="C779" t="s">
        <v>2016</v>
      </c>
      <c r="D779" t="s">
        <v>2032</v>
      </c>
      <c r="E779" t="s">
        <v>2039</v>
      </c>
      <c r="F779">
        <v>57</v>
      </c>
      <c r="G779" s="1">
        <v>43223</v>
      </c>
      <c r="H779" t="s">
        <v>2042</v>
      </c>
      <c r="I779" s="2">
        <v>101422.8</v>
      </c>
      <c r="J779">
        <v>3</v>
      </c>
      <c r="K779">
        <v>94.97</v>
      </c>
      <c r="L779">
        <v>7</v>
      </c>
      <c r="M779">
        <v>50</v>
      </c>
      <c r="N779">
        <v>44</v>
      </c>
      <c r="O779" t="s">
        <v>2051</v>
      </c>
      <c r="P779" t="s">
        <v>2062</v>
      </c>
      <c r="Q779" s="2">
        <f>Employee_Data[[#This Row],[Monthly Salary]]*12</f>
        <v>1217073.6000000001</v>
      </c>
    </row>
    <row r="780" spans="1:17" x14ac:dyDescent="0.25">
      <c r="A780" t="s">
        <v>794</v>
      </c>
      <c r="B780" t="s">
        <v>1791</v>
      </c>
      <c r="C780" t="s">
        <v>2015</v>
      </c>
      <c r="D780" t="s">
        <v>2026</v>
      </c>
      <c r="E780" t="s">
        <v>2039</v>
      </c>
      <c r="F780">
        <v>27</v>
      </c>
      <c r="G780" s="1">
        <v>42925</v>
      </c>
      <c r="H780" t="s">
        <v>2040</v>
      </c>
      <c r="I780" s="2">
        <v>97374.36</v>
      </c>
      <c r="J780">
        <v>4</v>
      </c>
      <c r="K780">
        <v>90.5</v>
      </c>
      <c r="L780">
        <v>8</v>
      </c>
      <c r="M780">
        <v>36</v>
      </c>
      <c r="N780">
        <v>46</v>
      </c>
      <c r="O780" t="s">
        <v>1505</v>
      </c>
      <c r="P780" t="s">
        <v>2062</v>
      </c>
      <c r="Q780" s="2">
        <f>Employee_Data[[#This Row],[Monthly Salary]]*12</f>
        <v>1168492.32</v>
      </c>
    </row>
    <row r="781" spans="1:17" x14ac:dyDescent="0.25">
      <c r="A781" t="s">
        <v>795</v>
      </c>
      <c r="B781" t="s">
        <v>1792</v>
      </c>
      <c r="C781" t="s">
        <v>2012</v>
      </c>
      <c r="D781" t="s">
        <v>2021</v>
      </c>
      <c r="E781" t="s">
        <v>2039</v>
      </c>
      <c r="F781">
        <v>33</v>
      </c>
      <c r="G781" s="1">
        <v>44080</v>
      </c>
      <c r="H781" t="s">
        <v>2042</v>
      </c>
      <c r="I781" s="2">
        <v>38198.43</v>
      </c>
      <c r="J781">
        <v>1</v>
      </c>
      <c r="K781">
        <v>89.01</v>
      </c>
      <c r="L781">
        <v>5</v>
      </c>
      <c r="M781">
        <v>27</v>
      </c>
      <c r="N781">
        <v>11</v>
      </c>
      <c r="O781" t="s">
        <v>2059</v>
      </c>
      <c r="P781" t="s">
        <v>2062</v>
      </c>
      <c r="Q781" s="2">
        <f>Employee_Data[[#This Row],[Monthly Salary]]*12</f>
        <v>458381.16000000003</v>
      </c>
    </row>
    <row r="782" spans="1:17" x14ac:dyDescent="0.25">
      <c r="A782" t="s">
        <v>796</v>
      </c>
      <c r="B782" t="s">
        <v>1793</v>
      </c>
      <c r="C782" t="s">
        <v>2015</v>
      </c>
      <c r="D782" t="s">
        <v>2033</v>
      </c>
      <c r="E782" t="s">
        <v>2038</v>
      </c>
      <c r="F782">
        <v>47</v>
      </c>
      <c r="G782" s="1">
        <v>43944</v>
      </c>
      <c r="H782" t="s">
        <v>2042</v>
      </c>
      <c r="I782" s="2">
        <v>82683.740000000005</v>
      </c>
      <c r="J782">
        <v>5</v>
      </c>
      <c r="K782">
        <v>82.18</v>
      </c>
      <c r="L782">
        <v>5</v>
      </c>
      <c r="M782">
        <v>21</v>
      </c>
      <c r="N782">
        <v>5</v>
      </c>
      <c r="O782" t="s">
        <v>2051</v>
      </c>
      <c r="P782" t="s">
        <v>2062</v>
      </c>
      <c r="Q782" s="2">
        <f>Employee_Data[[#This Row],[Monthly Salary]]*12</f>
        <v>992204.88000000012</v>
      </c>
    </row>
    <row r="783" spans="1:17" x14ac:dyDescent="0.25">
      <c r="A783" t="s">
        <v>797</v>
      </c>
      <c r="B783" t="s">
        <v>1794</v>
      </c>
      <c r="C783" t="s">
        <v>2009</v>
      </c>
      <c r="D783" t="s">
        <v>2030</v>
      </c>
      <c r="E783" t="s">
        <v>2039</v>
      </c>
      <c r="F783">
        <v>42</v>
      </c>
      <c r="G783" s="1">
        <v>42535</v>
      </c>
      <c r="H783" t="s">
        <v>2040</v>
      </c>
      <c r="I783" s="2">
        <v>78564.639999999999</v>
      </c>
      <c r="J783">
        <v>4</v>
      </c>
      <c r="K783">
        <v>89.7</v>
      </c>
      <c r="L783">
        <v>9</v>
      </c>
      <c r="M783">
        <v>12</v>
      </c>
      <c r="N783">
        <v>0</v>
      </c>
      <c r="O783" t="s">
        <v>2049</v>
      </c>
      <c r="P783" t="s">
        <v>2062</v>
      </c>
      <c r="Q783" s="2">
        <f>Employee_Data[[#This Row],[Monthly Salary]]*12</f>
        <v>942775.67999999993</v>
      </c>
    </row>
    <row r="784" spans="1:17" x14ac:dyDescent="0.25">
      <c r="A784" t="s">
        <v>798</v>
      </c>
      <c r="B784" t="s">
        <v>1795</v>
      </c>
      <c r="C784" t="s">
        <v>2010</v>
      </c>
      <c r="D784" t="s">
        <v>2037</v>
      </c>
      <c r="E784" t="s">
        <v>2039</v>
      </c>
      <c r="F784">
        <v>27</v>
      </c>
      <c r="G784" s="1">
        <v>44799</v>
      </c>
      <c r="H784" t="s">
        <v>2040</v>
      </c>
      <c r="I784" s="2">
        <v>72233.45</v>
      </c>
      <c r="J784">
        <v>1</v>
      </c>
      <c r="K784">
        <v>87.51</v>
      </c>
      <c r="L784">
        <v>3</v>
      </c>
      <c r="M784">
        <v>66</v>
      </c>
      <c r="N784">
        <v>48</v>
      </c>
      <c r="O784" t="s">
        <v>2055</v>
      </c>
      <c r="P784" t="s">
        <v>2063</v>
      </c>
      <c r="Q784" s="2">
        <f>Employee_Data[[#This Row],[Monthly Salary]]*12</f>
        <v>866801.39999999991</v>
      </c>
    </row>
    <row r="785" spans="1:17" x14ac:dyDescent="0.25">
      <c r="A785" t="s">
        <v>799</v>
      </c>
      <c r="B785" t="s">
        <v>1796</v>
      </c>
      <c r="C785" t="s">
        <v>2013</v>
      </c>
      <c r="D785" t="s">
        <v>2022</v>
      </c>
      <c r="E785" t="s">
        <v>2038</v>
      </c>
      <c r="F785">
        <v>42</v>
      </c>
      <c r="G785" s="1">
        <v>43779</v>
      </c>
      <c r="H785" t="s">
        <v>2042</v>
      </c>
      <c r="I785" s="2">
        <v>88186</v>
      </c>
      <c r="J785">
        <v>3</v>
      </c>
      <c r="K785">
        <v>99.99</v>
      </c>
      <c r="L785">
        <v>6</v>
      </c>
      <c r="M785">
        <v>30</v>
      </c>
      <c r="N785">
        <v>60</v>
      </c>
      <c r="O785" t="s">
        <v>2053</v>
      </c>
      <c r="P785" t="s">
        <v>2062</v>
      </c>
      <c r="Q785" s="2">
        <f>Employee_Data[[#This Row],[Monthly Salary]]*12</f>
        <v>1058232</v>
      </c>
    </row>
    <row r="786" spans="1:17" x14ac:dyDescent="0.25">
      <c r="A786" t="s">
        <v>800</v>
      </c>
      <c r="B786" t="s">
        <v>1797</v>
      </c>
      <c r="C786" t="s">
        <v>2016</v>
      </c>
      <c r="D786" t="s">
        <v>2032</v>
      </c>
      <c r="E786" t="s">
        <v>2038</v>
      </c>
      <c r="F786">
        <v>42</v>
      </c>
      <c r="G786" s="1">
        <v>44617</v>
      </c>
      <c r="H786" t="s">
        <v>2040</v>
      </c>
      <c r="I786" s="2">
        <v>20308.47</v>
      </c>
      <c r="J786">
        <v>4</v>
      </c>
      <c r="K786">
        <v>94.5</v>
      </c>
      <c r="L786">
        <v>3</v>
      </c>
      <c r="M786">
        <v>17</v>
      </c>
      <c r="N786">
        <v>1</v>
      </c>
      <c r="O786" t="s">
        <v>2058</v>
      </c>
      <c r="P786" t="s">
        <v>2062</v>
      </c>
      <c r="Q786" s="2">
        <f>Employee_Data[[#This Row],[Monthly Salary]]*12</f>
        <v>243701.64</v>
      </c>
    </row>
    <row r="787" spans="1:17" x14ac:dyDescent="0.25">
      <c r="A787" t="s">
        <v>801</v>
      </c>
      <c r="B787" t="s">
        <v>1798</v>
      </c>
      <c r="C787" t="s">
        <v>2011</v>
      </c>
      <c r="D787" t="s">
        <v>2031</v>
      </c>
      <c r="E787" t="s">
        <v>2039</v>
      </c>
      <c r="F787">
        <v>44</v>
      </c>
      <c r="G787" s="1">
        <v>44045</v>
      </c>
      <c r="H787" t="s">
        <v>2042</v>
      </c>
      <c r="I787" s="2">
        <v>81835.17</v>
      </c>
      <c r="J787">
        <v>4</v>
      </c>
      <c r="K787">
        <v>90.3</v>
      </c>
      <c r="L787">
        <v>5</v>
      </c>
      <c r="M787">
        <v>24</v>
      </c>
      <c r="N787">
        <v>0</v>
      </c>
      <c r="O787" t="s">
        <v>2054</v>
      </c>
      <c r="P787" t="s">
        <v>2062</v>
      </c>
      <c r="Q787" s="2">
        <f>Employee_Data[[#This Row],[Monthly Salary]]*12</f>
        <v>982022.04</v>
      </c>
    </row>
    <row r="788" spans="1:17" x14ac:dyDescent="0.25">
      <c r="A788" t="s">
        <v>802</v>
      </c>
      <c r="B788" t="s">
        <v>1799</v>
      </c>
      <c r="C788" t="s">
        <v>2012</v>
      </c>
      <c r="D788" t="s">
        <v>2021</v>
      </c>
      <c r="E788" t="s">
        <v>2038</v>
      </c>
      <c r="F788">
        <v>49</v>
      </c>
      <c r="G788" s="1">
        <v>43719</v>
      </c>
      <c r="H788" t="s">
        <v>2040</v>
      </c>
      <c r="I788" s="2">
        <v>80676.3</v>
      </c>
      <c r="J788">
        <v>4</v>
      </c>
      <c r="K788">
        <v>94.78</v>
      </c>
      <c r="L788">
        <v>6</v>
      </c>
      <c r="M788">
        <v>10</v>
      </c>
      <c r="N788">
        <v>22</v>
      </c>
      <c r="O788" t="s">
        <v>1505</v>
      </c>
      <c r="P788" t="s">
        <v>2063</v>
      </c>
      <c r="Q788" s="2">
        <f>Employee_Data[[#This Row],[Monthly Salary]]*12</f>
        <v>968115.60000000009</v>
      </c>
    </row>
    <row r="789" spans="1:17" x14ac:dyDescent="0.25">
      <c r="A789" t="s">
        <v>803</v>
      </c>
      <c r="B789" t="s">
        <v>1800</v>
      </c>
      <c r="C789" t="s">
        <v>2013</v>
      </c>
      <c r="D789" t="s">
        <v>2025</v>
      </c>
      <c r="E789" t="s">
        <v>2038</v>
      </c>
      <c r="F789">
        <v>39</v>
      </c>
      <c r="G789" s="1">
        <v>44296</v>
      </c>
      <c r="H789" t="s">
        <v>2041</v>
      </c>
      <c r="I789" s="2">
        <v>39507.699999999997</v>
      </c>
      <c r="J789">
        <v>2</v>
      </c>
      <c r="K789">
        <v>97.4</v>
      </c>
      <c r="L789">
        <v>4</v>
      </c>
      <c r="M789">
        <v>73</v>
      </c>
      <c r="N789">
        <v>50</v>
      </c>
      <c r="O789" t="s">
        <v>2052</v>
      </c>
      <c r="P789" t="s">
        <v>2062</v>
      </c>
      <c r="Q789" s="2">
        <f>Employee_Data[[#This Row],[Monthly Salary]]*12</f>
        <v>474092.39999999997</v>
      </c>
    </row>
    <row r="790" spans="1:17" x14ac:dyDescent="0.25">
      <c r="A790" t="s">
        <v>804</v>
      </c>
      <c r="B790" t="s">
        <v>1801</v>
      </c>
      <c r="C790" t="s">
        <v>2013</v>
      </c>
      <c r="D790" t="s">
        <v>2025</v>
      </c>
      <c r="E790" t="s">
        <v>2038</v>
      </c>
      <c r="F790">
        <v>56</v>
      </c>
      <c r="G790" s="1">
        <v>43470</v>
      </c>
      <c r="H790" t="s">
        <v>2042</v>
      </c>
      <c r="I790" s="2">
        <v>36805.29</v>
      </c>
      <c r="J790">
        <v>4</v>
      </c>
      <c r="K790">
        <v>99.1</v>
      </c>
      <c r="L790">
        <v>6</v>
      </c>
      <c r="M790">
        <v>61</v>
      </c>
      <c r="N790">
        <v>42</v>
      </c>
      <c r="O790" t="s">
        <v>2046</v>
      </c>
      <c r="P790" t="s">
        <v>2062</v>
      </c>
      <c r="Q790" s="2">
        <f>Employee_Data[[#This Row],[Monthly Salary]]*12</f>
        <v>441663.48</v>
      </c>
    </row>
    <row r="791" spans="1:17" x14ac:dyDescent="0.25">
      <c r="A791" t="s">
        <v>805</v>
      </c>
      <c r="B791" t="s">
        <v>1802</v>
      </c>
      <c r="C791" t="s">
        <v>2014</v>
      </c>
      <c r="D791" t="s">
        <v>2023</v>
      </c>
      <c r="E791" t="s">
        <v>2039</v>
      </c>
      <c r="F791">
        <v>27</v>
      </c>
      <c r="G791" s="1">
        <v>45313</v>
      </c>
      <c r="H791" t="s">
        <v>2042</v>
      </c>
      <c r="I791" s="2">
        <v>119336.15</v>
      </c>
      <c r="J791">
        <v>1</v>
      </c>
      <c r="K791">
        <v>83.2</v>
      </c>
      <c r="L791">
        <v>1</v>
      </c>
      <c r="M791">
        <v>41</v>
      </c>
      <c r="N791">
        <v>57</v>
      </c>
      <c r="O791" t="s">
        <v>2061</v>
      </c>
      <c r="P791" t="s">
        <v>2062</v>
      </c>
      <c r="Q791" s="2">
        <f>Employee_Data[[#This Row],[Monthly Salary]]*12</f>
        <v>1432033.7999999998</v>
      </c>
    </row>
    <row r="792" spans="1:17" x14ac:dyDescent="0.25">
      <c r="A792" t="s">
        <v>806</v>
      </c>
      <c r="B792" t="s">
        <v>1803</v>
      </c>
      <c r="C792" t="s">
        <v>2014</v>
      </c>
      <c r="D792" t="s">
        <v>2028</v>
      </c>
      <c r="E792" t="s">
        <v>2038</v>
      </c>
      <c r="F792">
        <v>51</v>
      </c>
      <c r="G792" s="1">
        <v>45504</v>
      </c>
      <c r="H792" t="s">
        <v>2041</v>
      </c>
      <c r="I792" s="2">
        <v>32309.81</v>
      </c>
      <c r="J792">
        <v>2</v>
      </c>
      <c r="K792">
        <v>98.45</v>
      </c>
      <c r="L792">
        <v>1</v>
      </c>
      <c r="M792">
        <v>62</v>
      </c>
      <c r="N792">
        <v>5</v>
      </c>
      <c r="O792" t="s">
        <v>2054</v>
      </c>
      <c r="P792" t="s">
        <v>2063</v>
      </c>
      <c r="Q792" s="2">
        <f>Employee_Data[[#This Row],[Monthly Salary]]*12</f>
        <v>387717.72000000003</v>
      </c>
    </row>
    <row r="793" spans="1:17" x14ac:dyDescent="0.25">
      <c r="A793" t="s">
        <v>807</v>
      </c>
      <c r="B793" t="s">
        <v>1804</v>
      </c>
      <c r="C793" t="s">
        <v>2009</v>
      </c>
      <c r="D793" t="s">
        <v>2036</v>
      </c>
      <c r="E793" t="s">
        <v>2038</v>
      </c>
      <c r="F793">
        <v>45</v>
      </c>
      <c r="G793" s="1">
        <v>44809</v>
      </c>
      <c r="H793" t="s">
        <v>2041</v>
      </c>
      <c r="I793" s="2">
        <v>94296.78</v>
      </c>
      <c r="J793">
        <v>4</v>
      </c>
      <c r="K793">
        <v>93.08</v>
      </c>
      <c r="L793">
        <v>3</v>
      </c>
      <c r="M793">
        <v>71</v>
      </c>
      <c r="N793">
        <v>54</v>
      </c>
      <c r="O793" t="s">
        <v>1505</v>
      </c>
      <c r="P793" t="s">
        <v>2062</v>
      </c>
      <c r="Q793" s="2">
        <f>Employee_Data[[#This Row],[Monthly Salary]]*12</f>
        <v>1131561.3599999999</v>
      </c>
    </row>
    <row r="794" spans="1:17" x14ac:dyDescent="0.25">
      <c r="A794" t="s">
        <v>808</v>
      </c>
      <c r="B794" t="s">
        <v>1805</v>
      </c>
      <c r="C794" t="s">
        <v>2014</v>
      </c>
      <c r="D794" t="s">
        <v>2029</v>
      </c>
      <c r="E794" t="s">
        <v>2039</v>
      </c>
      <c r="F794">
        <v>39</v>
      </c>
      <c r="G794" s="1">
        <v>42482</v>
      </c>
      <c r="H794" t="s">
        <v>2040</v>
      </c>
      <c r="I794" s="2">
        <v>31138.25</v>
      </c>
      <c r="J794">
        <v>3</v>
      </c>
      <c r="K794">
        <v>94.81</v>
      </c>
      <c r="L794">
        <v>9</v>
      </c>
      <c r="M794">
        <v>24</v>
      </c>
      <c r="N794">
        <v>47</v>
      </c>
      <c r="O794" t="s">
        <v>2047</v>
      </c>
      <c r="P794" t="s">
        <v>2062</v>
      </c>
      <c r="Q794" s="2">
        <f>Employee_Data[[#This Row],[Monthly Salary]]*12</f>
        <v>373659</v>
      </c>
    </row>
    <row r="795" spans="1:17" x14ac:dyDescent="0.25">
      <c r="A795" t="s">
        <v>809</v>
      </c>
      <c r="B795" t="s">
        <v>1806</v>
      </c>
      <c r="C795" t="s">
        <v>2015</v>
      </c>
      <c r="D795" t="s">
        <v>2026</v>
      </c>
      <c r="E795" t="s">
        <v>2038</v>
      </c>
      <c r="F795">
        <v>57</v>
      </c>
      <c r="G795" s="1">
        <v>42661</v>
      </c>
      <c r="H795" t="s">
        <v>2041</v>
      </c>
      <c r="I795" s="2">
        <v>20167.849999999999</v>
      </c>
      <c r="J795">
        <v>1</v>
      </c>
      <c r="K795">
        <v>91.8</v>
      </c>
      <c r="L795">
        <v>9</v>
      </c>
      <c r="M795">
        <v>24</v>
      </c>
      <c r="N795">
        <v>54</v>
      </c>
      <c r="O795" t="s">
        <v>2061</v>
      </c>
      <c r="P795" t="s">
        <v>2063</v>
      </c>
      <c r="Q795" s="2">
        <f>Employee_Data[[#This Row],[Monthly Salary]]*12</f>
        <v>242014.19999999998</v>
      </c>
    </row>
    <row r="796" spans="1:17" x14ac:dyDescent="0.25">
      <c r="A796" t="s">
        <v>810</v>
      </c>
      <c r="B796" t="s">
        <v>1807</v>
      </c>
      <c r="C796" t="s">
        <v>2012</v>
      </c>
      <c r="D796" t="s">
        <v>2020</v>
      </c>
      <c r="E796" t="s">
        <v>2039</v>
      </c>
      <c r="F796">
        <v>54</v>
      </c>
      <c r="G796" s="1">
        <v>43540</v>
      </c>
      <c r="H796" t="s">
        <v>2041</v>
      </c>
      <c r="I796" s="2">
        <v>80161.759999999995</v>
      </c>
      <c r="J796">
        <v>2</v>
      </c>
      <c r="K796">
        <v>82.13</v>
      </c>
      <c r="L796">
        <v>6</v>
      </c>
      <c r="M796">
        <v>1</v>
      </c>
      <c r="N796">
        <v>34</v>
      </c>
      <c r="O796" t="s">
        <v>2056</v>
      </c>
      <c r="P796" t="s">
        <v>2062</v>
      </c>
      <c r="Q796" s="2">
        <f>Employee_Data[[#This Row],[Monthly Salary]]*12</f>
        <v>961941.11999999988</v>
      </c>
    </row>
    <row r="797" spans="1:17" x14ac:dyDescent="0.25">
      <c r="A797" t="s">
        <v>811</v>
      </c>
      <c r="B797" t="s">
        <v>1808</v>
      </c>
      <c r="C797" t="s">
        <v>2011</v>
      </c>
      <c r="D797" t="s">
        <v>2019</v>
      </c>
      <c r="E797" t="s">
        <v>2038</v>
      </c>
      <c r="F797">
        <v>50</v>
      </c>
      <c r="G797" s="1">
        <v>43072</v>
      </c>
      <c r="H797" t="s">
        <v>2040</v>
      </c>
      <c r="I797" s="2">
        <v>80146.539999999994</v>
      </c>
      <c r="J797">
        <v>2</v>
      </c>
      <c r="K797">
        <v>94.94</v>
      </c>
      <c r="L797">
        <v>8</v>
      </c>
      <c r="M797">
        <v>4</v>
      </c>
      <c r="N797">
        <v>38</v>
      </c>
      <c r="O797" t="s">
        <v>2054</v>
      </c>
      <c r="P797" t="s">
        <v>2062</v>
      </c>
      <c r="Q797" s="2">
        <f>Employee_Data[[#This Row],[Monthly Salary]]*12</f>
        <v>961758.48</v>
      </c>
    </row>
    <row r="798" spans="1:17" x14ac:dyDescent="0.25">
      <c r="A798" t="s">
        <v>812</v>
      </c>
      <c r="B798" t="s">
        <v>1809</v>
      </c>
      <c r="C798" t="s">
        <v>2009</v>
      </c>
      <c r="D798" t="s">
        <v>2030</v>
      </c>
      <c r="E798" t="s">
        <v>2038</v>
      </c>
      <c r="F798">
        <v>34</v>
      </c>
      <c r="G798" s="1">
        <v>45074</v>
      </c>
      <c r="H798" t="s">
        <v>2042</v>
      </c>
      <c r="I798" s="2">
        <v>49149.51</v>
      </c>
      <c r="J798">
        <v>4</v>
      </c>
      <c r="K798">
        <v>81.180000000000007</v>
      </c>
      <c r="L798">
        <v>2</v>
      </c>
      <c r="M798">
        <v>42</v>
      </c>
      <c r="N798">
        <v>9</v>
      </c>
      <c r="O798" t="s">
        <v>2059</v>
      </c>
      <c r="P798" t="s">
        <v>2062</v>
      </c>
      <c r="Q798" s="2">
        <f>Employee_Data[[#This Row],[Monthly Salary]]*12</f>
        <v>589794.12</v>
      </c>
    </row>
    <row r="799" spans="1:17" x14ac:dyDescent="0.25">
      <c r="A799" t="s">
        <v>813</v>
      </c>
      <c r="B799" t="s">
        <v>1810</v>
      </c>
      <c r="C799" t="s">
        <v>2014</v>
      </c>
      <c r="D799" t="s">
        <v>2028</v>
      </c>
      <c r="E799" t="s">
        <v>2039</v>
      </c>
      <c r="F799">
        <v>32</v>
      </c>
      <c r="G799" s="1">
        <v>44476</v>
      </c>
      <c r="H799" t="s">
        <v>2042</v>
      </c>
      <c r="I799" s="2">
        <v>92739.55</v>
      </c>
      <c r="J799">
        <v>3</v>
      </c>
      <c r="K799">
        <v>99.69</v>
      </c>
      <c r="L799">
        <v>4</v>
      </c>
      <c r="M799">
        <v>20</v>
      </c>
      <c r="N799">
        <v>1</v>
      </c>
      <c r="O799" t="s">
        <v>2046</v>
      </c>
      <c r="P799" t="s">
        <v>2062</v>
      </c>
      <c r="Q799" s="2">
        <f>Employee_Data[[#This Row],[Monthly Salary]]*12</f>
        <v>1112874.6000000001</v>
      </c>
    </row>
    <row r="800" spans="1:17" x14ac:dyDescent="0.25">
      <c r="A800" t="s">
        <v>814</v>
      </c>
      <c r="B800" t="s">
        <v>1811</v>
      </c>
      <c r="C800" t="s">
        <v>2016</v>
      </c>
      <c r="D800" t="s">
        <v>2034</v>
      </c>
      <c r="E800" t="s">
        <v>2038</v>
      </c>
      <c r="F800">
        <v>46</v>
      </c>
      <c r="G800" s="1">
        <v>42864</v>
      </c>
      <c r="H800" t="s">
        <v>2042</v>
      </c>
      <c r="I800" s="2">
        <v>27182.32</v>
      </c>
      <c r="J800">
        <v>3</v>
      </c>
      <c r="K800">
        <v>85.65</v>
      </c>
      <c r="L800">
        <v>8</v>
      </c>
      <c r="M800">
        <v>24</v>
      </c>
      <c r="N800">
        <v>44</v>
      </c>
      <c r="O800" t="s">
        <v>2046</v>
      </c>
      <c r="P800" t="s">
        <v>2062</v>
      </c>
      <c r="Q800" s="2">
        <f>Employee_Data[[#This Row],[Monthly Salary]]*12</f>
        <v>326187.83999999997</v>
      </c>
    </row>
    <row r="801" spans="1:17" x14ac:dyDescent="0.25">
      <c r="A801" t="s">
        <v>815</v>
      </c>
      <c r="B801" t="s">
        <v>1812</v>
      </c>
      <c r="C801" t="s">
        <v>2015</v>
      </c>
      <c r="D801" t="s">
        <v>2026</v>
      </c>
      <c r="E801" t="s">
        <v>2039</v>
      </c>
      <c r="F801">
        <v>40</v>
      </c>
      <c r="G801" s="1">
        <v>45858</v>
      </c>
      <c r="H801" t="s">
        <v>2042</v>
      </c>
      <c r="I801" s="2">
        <v>85463.4</v>
      </c>
      <c r="J801">
        <v>5</v>
      </c>
      <c r="K801">
        <v>82.75</v>
      </c>
      <c r="L801">
        <v>0</v>
      </c>
      <c r="M801">
        <v>61</v>
      </c>
      <c r="N801">
        <v>18</v>
      </c>
      <c r="O801" t="s">
        <v>2060</v>
      </c>
      <c r="P801" t="s">
        <v>2062</v>
      </c>
      <c r="Q801" s="2">
        <f>Employee_Data[[#This Row],[Monthly Salary]]*12</f>
        <v>1025560.7999999999</v>
      </c>
    </row>
    <row r="802" spans="1:17" x14ac:dyDescent="0.25">
      <c r="A802" t="s">
        <v>816</v>
      </c>
      <c r="B802" t="s">
        <v>1813</v>
      </c>
      <c r="C802" t="s">
        <v>2014</v>
      </c>
      <c r="D802" t="s">
        <v>2028</v>
      </c>
      <c r="E802" t="s">
        <v>2039</v>
      </c>
      <c r="F802">
        <v>44</v>
      </c>
      <c r="G802" s="1">
        <v>43701</v>
      </c>
      <c r="H802" t="s">
        <v>2041</v>
      </c>
      <c r="I802" s="2">
        <v>105614.13</v>
      </c>
      <c r="J802">
        <v>1</v>
      </c>
      <c r="K802">
        <v>93.57</v>
      </c>
      <c r="L802">
        <v>6</v>
      </c>
      <c r="M802">
        <v>18</v>
      </c>
      <c r="N802">
        <v>24</v>
      </c>
      <c r="O802" t="s">
        <v>1505</v>
      </c>
      <c r="P802" t="s">
        <v>2062</v>
      </c>
      <c r="Q802" s="2">
        <f>Employee_Data[[#This Row],[Monthly Salary]]*12</f>
        <v>1267369.56</v>
      </c>
    </row>
    <row r="803" spans="1:17" x14ac:dyDescent="0.25">
      <c r="A803" t="s">
        <v>817</v>
      </c>
      <c r="B803" t="s">
        <v>1814</v>
      </c>
      <c r="C803" t="s">
        <v>2015</v>
      </c>
      <c r="D803" t="s">
        <v>2033</v>
      </c>
      <c r="E803" t="s">
        <v>2039</v>
      </c>
      <c r="F803">
        <v>43</v>
      </c>
      <c r="G803" s="1">
        <v>42427</v>
      </c>
      <c r="H803" t="s">
        <v>2042</v>
      </c>
      <c r="I803" s="2">
        <v>37963.29</v>
      </c>
      <c r="J803">
        <v>1</v>
      </c>
      <c r="K803">
        <v>82.35</v>
      </c>
      <c r="L803">
        <v>9</v>
      </c>
      <c r="M803">
        <v>65</v>
      </c>
      <c r="N803">
        <v>41</v>
      </c>
      <c r="O803" t="s">
        <v>2054</v>
      </c>
      <c r="P803" t="s">
        <v>2062</v>
      </c>
      <c r="Q803" s="2">
        <f>Employee_Data[[#This Row],[Monthly Salary]]*12</f>
        <v>455559.48</v>
      </c>
    </row>
    <row r="804" spans="1:17" x14ac:dyDescent="0.25">
      <c r="A804" t="s">
        <v>818</v>
      </c>
      <c r="B804" t="s">
        <v>1815</v>
      </c>
      <c r="C804" t="s">
        <v>2015</v>
      </c>
      <c r="D804" t="s">
        <v>2027</v>
      </c>
      <c r="E804" t="s">
        <v>2038</v>
      </c>
      <c r="F804">
        <v>36</v>
      </c>
      <c r="G804" s="1">
        <v>45248</v>
      </c>
      <c r="H804" t="s">
        <v>2040</v>
      </c>
      <c r="I804" s="2">
        <v>31880.25</v>
      </c>
      <c r="J804">
        <v>4</v>
      </c>
      <c r="K804">
        <v>89.77</v>
      </c>
      <c r="L804">
        <v>2</v>
      </c>
      <c r="M804">
        <v>76</v>
      </c>
      <c r="N804">
        <v>11</v>
      </c>
      <c r="O804" t="s">
        <v>2061</v>
      </c>
      <c r="P804" t="s">
        <v>2062</v>
      </c>
      <c r="Q804" s="2">
        <f>Employee_Data[[#This Row],[Monthly Salary]]*12</f>
        <v>382563</v>
      </c>
    </row>
    <row r="805" spans="1:17" x14ac:dyDescent="0.25">
      <c r="A805" t="s">
        <v>819</v>
      </c>
      <c r="B805" t="s">
        <v>1816</v>
      </c>
      <c r="C805" t="s">
        <v>2009</v>
      </c>
      <c r="D805" t="s">
        <v>2030</v>
      </c>
      <c r="E805" t="s">
        <v>2038</v>
      </c>
      <c r="F805">
        <v>38</v>
      </c>
      <c r="G805" s="1">
        <v>42355</v>
      </c>
      <c r="H805" t="s">
        <v>2041</v>
      </c>
      <c r="I805" s="2">
        <v>85319.55</v>
      </c>
      <c r="J805">
        <v>3</v>
      </c>
      <c r="K805">
        <v>80.23</v>
      </c>
      <c r="L805">
        <v>10</v>
      </c>
      <c r="M805">
        <v>14</v>
      </c>
      <c r="N805">
        <v>5</v>
      </c>
      <c r="O805" t="s">
        <v>2047</v>
      </c>
      <c r="P805" t="s">
        <v>2062</v>
      </c>
      <c r="Q805" s="2">
        <f>Employee_Data[[#This Row],[Monthly Salary]]*12</f>
        <v>1023834.6000000001</v>
      </c>
    </row>
    <row r="806" spans="1:17" x14ac:dyDescent="0.25">
      <c r="A806" t="s">
        <v>820</v>
      </c>
      <c r="B806" t="s">
        <v>1817</v>
      </c>
      <c r="C806" t="s">
        <v>2014</v>
      </c>
      <c r="D806" t="s">
        <v>2023</v>
      </c>
      <c r="E806" t="s">
        <v>2038</v>
      </c>
      <c r="F806">
        <v>38</v>
      </c>
      <c r="G806" s="1">
        <v>44014</v>
      </c>
      <c r="H806" t="s">
        <v>2041</v>
      </c>
      <c r="I806" s="2">
        <v>94535.93</v>
      </c>
      <c r="J806">
        <v>5</v>
      </c>
      <c r="K806">
        <v>83.62</v>
      </c>
      <c r="L806">
        <v>5</v>
      </c>
      <c r="M806">
        <v>61</v>
      </c>
      <c r="N806">
        <v>41</v>
      </c>
      <c r="O806" t="s">
        <v>1505</v>
      </c>
      <c r="P806" t="s">
        <v>2062</v>
      </c>
      <c r="Q806" s="2">
        <f>Employee_Data[[#This Row],[Monthly Salary]]*12</f>
        <v>1134431.1599999999</v>
      </c>
    </row>
    <row r="807" spans="1:17" x14ac:dyDescent="0.25">
      <c r="A807" t="s">
        <v>821</v>
      </c>
      <c r="B807" t="s">
        <v>1818</v>
      </c>
      <c r="C807" t="s">
        <v>2015</v>
      </c>
      <c r="D807" t="s">
        <v>2033</v>
      </c>
      <c r="E807" t="s">
        <v>2038</v>
      </c>
      <c r="F807">
        <v>25</v>
      </c>
      <c r="G807" s="1">
        <v>43868</v>
      </c>
      <c r="H807" t="s">
        <v>2041</v>
      </c>
      <c r="I807" s="2">
        <v>110888.05</v>
      </c>
      <c r="J807">
        <v>5</v>
      </c>
      <c r="K807">
        <v>83.7</v>
      </c>
      <c r="L807">
        <v>5</v>
      </c>
      <c r="M807">
        <v>2</v>
      </c>
      <c r="N807">
        <v>25</v>
      </c>
      <c r="O807" t="s">
        <v>2046</v>
      </c>
      <c r="P807" t="s">
        <v>2062</v>
      </c>
      <c r="Q807" s="2">
        <f>Employee_Data[[#This Row],[Monthly Salary]]*12</f>
        <v>1330656.6000000001</v>
      </c>
    </row>
    <row r="808" spans="1:17" x14ac:dyDescent="0.25">
      <c r="A808" t="s">
        <v>822</v>
      </c>
      <c r="B808" t="s">
        <v>1819</v>
      </c>
      <c r="C808" t="s">
        <v>2013</v>
      </c>
      <c r="D808" t="s">
        <v>2025</v>
      </c>
      <c r="E808" t="s">
        <v>2039</v>
      </c>
      <c r="F808">
        <v>34</v>
      </c>
      <c r="G808" s="1">
        <v>44770</v>
      </c>
      <c r="H808" t="s">
        <v>2041</v>
      </c>
      <c r="I808" s="2">
        <v>109760.23</v>
      </c>
      <c r="J808">
        <v>2</v>
      </c>
      <c r="K808">
        <v>97.24</v>
      </c>
      <c r="L808">
        <v>3</v>
      </c>
      <c r="M808">
        <v>23</v>
      </c>
      <c r="N808">
        <v>0</v>
      </c>
      <c r="O808" t="s">
        <v>2046</v>
      </c>
      <c r="P808" t="s">
        <v>2062</v>
      </c>
      <c r="Q808" s="2">
        <f>Employee_Data[[#This Row],[Monthly Salary]]*12</f>
        <v>1317122.76</v>
      </c>
    </row>
    <row r="809" spans="1:17" x14ac:dyDescent="0.25">
      <c r="A809" t="s">
        <v>823</v>
      </c>
      <c r="B809" t="s">
        <v>1820</v>
      </c>
      <c r="C809" t="s">
        <v>2012</v>
      </c>
      <c r="D809" t="s">
        <v>2021</v>
      </c>
      <c r="E809" t="s">
        <v>2039</v>
      </c>
      <c r="F809">
        <v>29</v>
      </c>
      <c r="G809" s="1">
        <v>44628</v>
      </c>
      <c r="H809" t="s">
        <v>2041</v>
      </c>
      <c r="I809" s="2">
        <v>40622.99</v>
      </c>
      <c r="J809">
        <v>2</v>
      </c>
      <c r="K809">
        <v>81.760000000000005</v>
      </c>
      <c r="L809">
        <v>3</v>
      </c>
      <c r="M809">
        <v>32</v>
      </c>
      <c r="N809">
        <v>54</v>
      </c>
      <c r="O809" t="s">
        <v>2049</v>
      </c>
      <c r="P809" t="s">
        <v>2062</v>
      </c>
      <c r="Q809" s="2">
        <f>Employee_Data[[#This Row],[Monthly Salary]]*12</f>
        <v>487475.88</v>
      </c>
    </row>
    <row r="810" spans="1:17" x14ac:dyDescent="0.25">
      <c r="A810" t="s">
        <v>824</v>
      </c>
      <c r="B810" t="s">
        <v>1821</v>
      </c>
      <c r="C810" t="s">
        <v>2009</v>
      </c>
      <c r="D810" t="s">
        <v>2036</v>
      </c>
      <c r="E810" t="s">
        <v>2038</v>
      </c>
      <c r="F810">
        <v>44</v>
      </c>
      <c r="G810" s="1">
        <v>42974</v>
      </c>
      <c r="H810" t="s">
        <v>2041</v>
      </c>
      <c r="I810" s="2">
        <v>37160.32</v>
      </c>
      <c r="J810">
        <v>1</v>
      </c>
      <c r="K810">
        <v>84.97</v>
      </c>
      <c r="L810">
        <v>8</v>
      </c>
      <c r="M810">
        <v>5</v>
      </c>
      <c r="N810">
        <v>60</v>
      </c>
      <c r="O810" t="s">
        <v>2052</v>
      </c>
      <c r="P810" t="s">
        <v>2063</v>
      </c>
      <c r="Q810" s="2">
        <f>Employee_Data[[#This Row],[Monthly Salary]]*12</f>
        <v>445923.83999999997</v>
      </c>
    </row>
    <row r="811" spans="1:17" x14ac:dyDescent="0.25">
      <c r="A811" t="s">
        <v>825</v>
      </c>
      <c r="B811" t="s">
        <v>1111</v>
      </c>
      <c r="C811" t="s">
        <v>2011</v>
      </c>
      <c r="D811" t="s">
        <v>2031</v>
      </c>
      <c r="E811" t="s">
        <v>2038</v>
      </c>
      <c r="F811">
        <v>29</v>
      </c>
      <c r="G811" s="1">
        <v>44023</v>
      </c>
      <c r="H811" t="s">
        <v>2041</v>
      </c>
      <c r="I811" s="2">
        <v>69044.28</v>
      </c>
      <c r="J811">
        <v>3</v>
      </c>
      <c r="K811">
        <v>90.45</v>
      </c>
      <c r="L811">
        <v>5</v>
      </c>
      <c r="M811">
        <v>45</v>
      </c>
      <c r="N811">
        <v>38</v>
      </c>
      <c r="O811" t="s">
        <v>2046</v>
      </c>
      <c r="P811" t="s">
        <v>2062</v>
      </c>
      <c r="Q811" s="2">
        <f>Employee_Data[[#This Row],[Monthly Salary]]*12</f>
        <v>828531.36</v>
      </c>
    </row>
    <row r="812" spans="1:17" x14ac:dyDescent="0.25">
      <c r="A812" t="s">
        <v>826</v>
      </c>
      <c r="B812" t="s">
        <v>1699</v>
      </c>
      <c r="C812" t="s">
        <v>2009</v>
      </c>
      <c r="D812" t="s">
        <v>2036</v>
      </c>
      <c r="E812" t="s">
        <v>2039</v>
      </c>
      <c r="F812">
        <v>36</v>
      </c>
      <c r="G812" s="1">
        <v>44159</v>
      </c>
      <c r="H812" t="s">
        <v>2040</v>
      </c>
      <c r="I812" s="2">
        <v>38807.370000000003</v>
      </c>
      <c r="J812">
        <v>3</v>
      </c>
      <c r="K812">
        <v>97.12</v>
      </c>
      <c r="L812">
        <v>5</v>
      </c>
      <c r="M812">
        <v>27</v>
      </c>
      <c r="N812">
        <v>8</v>
      </c>
      <c r="O812" t="s">
        <v>2058</v>
      </c>
      <c r="P812" t="s">
        <v>2062</v>
      </c>
      <c r="Q812" s="2">
        <f>Employee_Data[[#This Row],[Monthly Salary]]*12</f>
        <v>465688.44000000006</v>
      </c>
    </row>
    <row r="813" spans="1:17" x14ac:dyDescent="0.25">
      <c r="A813" t="s">
        <v>827</v>
      </c>
      <c r="B813" t="s">
        <v>1822</v>
      </c>
      <c r="C813" t="s">
        <v>2012</v>
      </c>
      <c r="D813" t="s">
        <v>2020</v>
      </c>
      <c r="E813" t="s">
        <v>2039</v>
      </c>
      <c r="F813">
        <v>60</v>
      </c>
      <c r="G813" s="1">
        <v>42655</v>
      </c>
      <c r="H813" t="s">
        <v>2042</v>
      </c>
      <c r="I813" s="2">
        <v>27435.97</v>
      </c>
      <c r="J813">
        <v>3</v>
      </c>
      <c r="K813">
        <v>85.21</v>
      </c>
      <c r="L813">
        <v>9</v>
      </c>
      <c r="M813">
        <v>20</v>
      </c>
      <c r="N813">
        <v>25</v>
      </c>
      <c r="O813" t="s">
        <v>2056</v>
      </c>
      <c r="P813" t="s">
        <v>2062</v>
      </c>
      <c r="Q813" s="2">
        <f>Employee_Data[[#This Row],[Monthly Salary]]*12</f>
        <v>329231.64</v>
      </c>
    </row>
    <row r="814" spans="1:17" x14ac:dyDescent="0.25">
      <c r="A814" t="s">
        <v>828</v>
      </c>
      <c r="B814" t="s">
        <v>1823</v>
      </c>
      <c r="C814" t="s">
        <v>2011</v>
      </c>
      <c r="D814" t="s">
        <v>2031</v>
      </c>
      <c r="E814" t="s">
        <v>2038</v>
      </c>
      <c r="F814">
        <v>30</v>
      </c>
      <c r="G814" s="1">
        <v>44288</v>
      </c>
      <c r="H814" t="s">
        <v>2041</v>
      </c>
      <c r="I814" s="2">
        <v>40376.29</v>
      </c>
      <c r="J814">
        <v>3</v>
      </c>
      <c r="K814">
        <v>99.91</v>
      </c>
      <c r="L814">
        <v>4</v>
      </c>
      <c r="M814">
        <v>24</v>
      </c>
      <c r="N814">
        <v>45</v>
      </c>
      <c r="O814" t="s">
        <v>2053</v>
      </c>
      <c r="P814" t="s">
        <v>2062</v>
      </c>
      <c r="Q814" s="2">
        <f>Employee_Data[[#This Row],[Monthly Salary]]*12</f>
        <v>484515.48</v>
      </c>
    </row>
    <row r="815" spans="1:17" x14ac:dyDescent="0.25">
      <c r="A815" t="s">
        <v>829</v>
      </c>
      <c r="B815" t="s">
        <v>1824</v>
      </c>
      <c r="C815" t="s">
        <v>2015</v>
      </c>
      <c r="D815" t="s">
        <v>2026</v>
      </c>
      <c r="E815" t="s">
        <v>2039</v>
      </c>
      <c r="F815">
        <v>41</v>
      </c>
      <c r="G815" s="1">
        <v>44139</v>
      </c>
      <c r="H815" t="s">
        <v>2042</v>
      </c>
      <c r="I815" s="2">
        <v>57894.19</v>
      </c>
      <c r="J815">
        <v>5</v>
      </c>
      <c r="K815">
        <v>84.95</v>
      </c>
      <c r="L815">
        <v>5</v>
      </c>
      <c r="M815">
        <v>34</v>
      </c>
      <c r="N815">
        <v>7</v>
      </c>
      <c r="O815" t="s">
        <v>2046</v>
      </c>
      <c r="P815" t="s">
        <v>2062</v>
      </c>
      <c r="Q815" s="2">
        <f>Employee_Data[[#This Row],[Monthly Salary]]*12</f>
        <v>694730.28</v>
      </c>
    </row>
    <row r="816" spans="1:17" x14ac:dyDescent="0.25">
      <c r="A816" t="s">
        <v>830</v>
      </c>
      <c r="B816" t="s">
        <v>1825</v>
      </c>
      <c r="C816" t="s">
        <v>2016</v>
      </c>
      <c r="D816" t="s">
        <v>2032</v>
      </c>
      <c r="E816" t="s">
        <v>2038</v>
      </c>
      <c r="F816">
        <v>26</v>
      </c>
      <c r="G816" s="1">
        <v>42522</v>
      </c>
      <c r="H816" t="s">
        <v>2042</v>
      </c>
      <c r="I816" s="2">
        <v>110924.54</v>
      </c>
      <c r="J816">
        <v>3</v>
      </c>
      <c r="K816">
        <v>82.93</v>
      </c>
      <c r="L816">
        <v>9</v>
      </c>
      <c r="M816">
        <v>28</v>
      </c>
      <c r="N816">
        <v>17</v>
      </c>
      <c r="O816" t="s">
        <v>2057</v>
      </c>
      <c r="P816" t="s">
        <v>2062</v>
      </c>
      <c r="Q816" s="2">
        <f>Employee_Data[[#This Row],[Monthly Salary]]*12</f>
        <v>1331094.48</v>
      </c>
    </row>
    <row r="817" spans="1:17" x14ac:dyDescent="0.25">
      <c r="A817" t="s">
        <v>831</v>
      </c>
      <c r="B817" t="s">
        <v>1826</v>
      </c>
      <c r="C817" t="s">
        <v>2014</v>
      </c>
      <c r="D817" t="s">
        <v>2029</v>
      </c>
      <c r="E817" t="s">
        <v>2039</v>
      </c>
      <c r="F817">
        <v>28</v>
      </c>
      <c r="G817" s="1">
        <v>44435</v>
      </c>
      <c r="H817" t="s">
        <v>2040</v>
      </c>
      <c r="I817" s="2">
        <v>72647.570000000007</v>
      </c>
      <c r="J817">
        <v>3</v>
      </c>
      <c r="K817">
        <v>91.78</v>
      </c>
      <c r="L817">
        <v>4</v>
      </c>
      <c r="M817">
        <v>62</v>
      </c>
      <c r="N817">
        <v>6</v>
      </c>
      <c r="O817" t="s">
        <v>2052</v>
      </c>
      <c r="P817" t="s">
        <v>2062</v>
      </c>
      <c r="Q817" s="2">
        <f>Employee_Data[[#This Row],[Monthly Salary]]*12</f>
        <v>871770.84000000008</v>
      </c>
    </row>
    <row r="818" spans="1:17" x14ac:dyDescent="0.25">
      <c r="A818" t="s">
        <v>832</v>
      </c>
      <c r="B818" t="s">
        <v>1827</v>
      </c>
      <c r="C818" t="s">
        <v>2011</v>
      </c>
      <c r="D818" t="s">
        <v>2031</v>
      </c>
      <c r="E818" t="s">
        <v>2038</v>
      </c>
      <c r="F818">
        <v>59</v>
      </c>
      <c r="G818" s="1">
        <v>45259</v>
      </c>
      <c r="H818" t="s">
        <v>2040</v>
      </c>
      <c r="I818" s="2">
        <v>109657.02</v>
      </c>
      <c r="J818">
        <v>2</v>
      </c>
      <c r="K818">
        <v>86.36</v>
      </c>
      <c r="L818">
        <v>2</v>
      </c>
      <c r="M818">
        <v>49</v>
      </c>
      <c r="N818">
        <v>11</v>
      </c>
      <c r="O818" t="s">
        <v>2053</v>
      </c>
      <c r="P818" t="s">
        <v>2062</v>
      </c>
      <c r="Q818" s="2">
        <f>Employee_Data[[#This Row],[Monthly Salary]]*12</f>
        <v>1315884.24</v>
      </c>
    </row>
    <row r="819" spans="1:17" x14ac:dyDescent="0.25">
      <c r="A819" t="s">
        <v>833</v>
      </c>
      <c r="B819" t="s">
        <v>1828</v>
      </c>
      <c r="C819" t="s">
        <v>2016</v>
      </c>
      <c r="D819" t="s">
        <v>2034</v>
      </c>
      <c r="E819" t="s">
        <v>2039</v>
      </c>
      <c r="F819">
        <v>37</v>
      </c>
      <c r="G819" s="1">
        <v>43359</v>
      </c>
      <c r="H819" t="s">
        <v>2040</v>
      </c>
      <c r="I819" s="2">
        <v>88665.83</v>
      </c>
      <c r="J819">
        <v>2</v>
      </c>
      <c r="K819">
        <v>93.15</v>
      </c>
      <c r="L819">
        <v>7</v>
      </c>
      <c r="M819">
        <v>18</v>
      </c>
      <c r="N819">
        <v>24</v>
      </c>
      <c r="O819" t="s">
        <v>2043</v>
      </c>
      <c r="P819" t="s">
        <v>2062</v>
      </c>
      <c r="Q819" s="2">
        <f>Employee_Data[[#This Row],[Monthly Salary]]*12</f>
        <v>1063989.96</v>
      </c>
    </row>
    <row r="820" spans="1:17" x14ac:dyDescent="0.25">
      <c r="A820" t="s">
        <v>834</v>
      </c>
      <c r="B820" t="s">
        <v>1829</v>
      </c>
      <c r="C820" t="s">
        <v>2010</v>
      </c>
      <c r="D820" t="s">
        <v>2037</v>
      </c>
      <c r="E820" t="s">
        <v>2038</v>
      </c>
      <c r="F820">
        <v>36</v>
      </c>
      <c r="G820" s="1">
        <v>42909</v>
      </c>
      <c r="H820" t="s">
        <v>2041</v>
      </c>
      <c r="I820" s="2">
        <v>80870.3</v>
      </c>
      <c r="J820">
        <v>4</v>
      </c>
      <c r="K820">
        <v>83.66</v>
      </c>
      <c r="L820">
        <v>8</v>
      </c>
      <c r="M820">
        <v>45</v>
      </c>
      <c r="N820">
        <v>51</v>
      </c>
      <c r="O820" t="s">
        <v>2056</v>
      </c>
      <c r="P820" t="s">
        <v>2062</v>
      </c>
      <c r="Q820" s="2">
        <f>Employee_Data[[#This Row],[Monthly Salary]]*12</f>
        <v>970443.60000000009</v>
      </c>
    </row>
    <row r="821" spans="1:17" x14ac:dyDescent="0.25">
      <c r="A821" t="s">
        <v>835</v>
      </c>
      <c r="B821" t="s">
        <v>1830</v>
      </c>
      <c r="C821" t="s">
        <v>2011</v>
      </c>
      <c r="D821" t="s">
        <v>2035</v>
      </c>
      <c r="E821" t="s">
        <v>2039</v>
      </c>
      <c r="F821">
        <v>40</v>
      </c>
      <c r="G821" s="1">
        <v>45776</v>
      </c>
      <c r="H821" t="s">
        <v>2041</v>
      </c>
      <c r="I821" s="2">
        <v>105792.15</v>
      </c>
      <c r="J821">
        <v>3</v>
      </c>
      <c r="K821">
        <v>88.13</v>
      </c>
      <c r="L821">
        <v>0</v>
      </c>
      <c r="M821">
        <v>40</v>
      </c>
      <c r="N821">
        <v>54</v>
      </c>
      <c r="O821" t="s">
        <v>2045</v>
      </c>
      <c r="P821" t="s">
        <v>2062</v>
      </c>
      <c r="Q821" s="2">
        <f>Employee_Data[[#This Row],[Monthly Salary]]*12</f>
        <v>1269505.7999999998</v>
      </c>
    </row>
    <row r="822" spans="1:17" x14ac:dyDescent="0.25">
      <c r="A822" t="s">
        <v>836</v>
      </c>
      <c r="B822" t="s">
        <v>1831</v>
      </c>
      <c r="C822" t="s">
        <v>2009</v>
      </c>
      <c r="D822" t="s">
        <v>2036</v>
      </c>
      <c r="E822" t="s">
        <v>2039</v>
      </c>
      <c r="F822">
        <v>26</v>
      </c>
      <c r="G822" s="1">
        <v>44388</v>
      </c>
      <c r="H822" t="s">
        <v>2040</v>
      </c>
      <c r="I822" s="2">
        <v>77531.67</v>
      </c>
      <c r="J822">
        <v>1</v>
      </c>
      <c r="K822">
        <v>94.87</v>
      </c>
      <c r="L822">
        <v>4</v>
      </c>
      <c r="M822">
        <v>70</v>
      </c>
      <c r="N822">
        <v>59</v>
      </c>
      <c r="O822" t="s">
        <v>2050</v>
      </c>
      <c r="P822" t="s">
        <v>2062</v>
      </c>
      <c r="Q822" s="2">
        <f>Employee_Data[[#This Row],[Monthly Salary]]*12</f>
        <v>930380.04</v>
      </c>
    </row>
    <row r="823" spans="1:17" x14ac:dyDescent="0.25">
      <c r="A823" t="s">
        <v>837</v>
      </c>
      <c r="B823" t="s">
        <v>1832</v>
      </c>
      <c r="C823" t="s">
        <v>2010</v>
      </c>
      <c r="D823" t="s">
        <v>2024</v>
      </c>
      <c r="E823" t="s">
        <v>2039</v>
      </c>
      <c r="F823">
        <v>51</v>
      </c>
      <c r="G823" s="1">
        <v>44211</v>
      </c>
      <c r="H823" t="s">
        <v>2042</v>
      </c>
      <c r="I823" s="2">
        <v>71501.149999999994</v>
      </c>
      <c r="J823">
        <v>5</v>
      </c>
      <c r="K823">
        <v>93.96</v>
      </c>
      <c r="L823">
        <v>4</v>
      </c>
      <c r="M823">
        <v>51</v>
      </c>
      <c r="N823">
        <v>0</v>
      </c>
      <c r="O823" t="s">
        <v>2058</v>
      </c>
      <c r="P823" t="s">
        <v>2062</v>
      </c>
      <c r="Q823" s="2">
        <f>Employee_Data[[#This Row],[Monthly Salary]]*12</f>
        <v>858013.79999999993</v>
      </c>
    </row>
    <row r="824" spans="1:17" x14ac:dyDescent="0.25">
      <c r="A824" t="s">
        <v>838</v>
      </c>
      <c r="B824" t="s">
        <v>1833</v>
      </c>
      <c r="C824" t="s">
        <v>2010</v>
      </c>
      <c r="D824" t="s">
        <v>2037</v>
      </c>
      <c r="E824" t="s">
        <v>2038</v>
      </c>
      <c r="F824">
        <v>55</v>
      </c>
      <c r="G824" s="1">
        <v>45941</v>
      </c>
      <c r="H824" t="s">
        <v>2041</v>
      </c>
      <c r="I824" s="2">
        <v>54506.06</v>
      </c>
      <c r="J824">
        <v>5</v>
      </c>
      <c r="K824">
        <v>93.68</v>
      </c>
      <c r="L824">
        <v>0</v>
      </c>
      <c r="M824">
        <v>5</v>
      </c>
      <c r="N824">
        <v>38</v>
      </c>
      <c r="O824" t="s">
        <v>2056</v>
      </c>
      <c r="P824" t="s">
        <v>2063</v>
      </c>
      <c r="Q824" s="2">
        <f>Employee_Data[[#This Row],[Monthly Salary]]*12</f>
        <v>654072.72</v>
      </c>
    </row>
    <row r="825" spans="1:17" x14ac:dyDescent="0.25">
      <c r="A825" t="s">
        <v>839</v>
      </c>
      <c r="B825" t="s">
        <v>1834</v>
      </c>
      <c r="C825" t="s">
        <v>2014</v>
      </c>
      <c r="D825" t="s">
        <v>2023</v>
      </c>
      <c r="E825" t="s">
        <v>2039</v>
      </c>
      <c r="F825">
        <v>44</v>
      </c>
      <c r="G825" s="1">
        <v>45929</v>
      </c>
      <c r="H825" t="s">
        <v>2040</v>
      </c>
      <c r="I825" s="2">
        <v>71368.45</v>
      </c>
      <c r="J825">
        <v>1</v>
      </c>
      <c r="K825">
        <v>88.45</v>
      </c>
      <c r="L825">
        <v>0</v>
      </c>
      <c r="M825">
        <v>48</v>
      </c>
      <c r="N825">
        <v>10</v>
      </c>
      <c r="O825" t="s">
        <v>2053</v>
      </c>
      <c r="P825" t="s">
        <v>2063</v>
      </c>
      <c r="Q825" s="2">
        <f>Employee_Data[[#This Row],[Monthly Salary]]*12</f>
        <v>856421.39999999991</v>
      </c>
    </row>
    <row r="826" spans="1:17" x14ac:dyDescent="0.25">
      <c r="A826" t="s">
        <v>840</v>
      </c>
      <c r="B826" t="s">
        <v>1835</v>
      </c>
      <c r="C826" t="s">
        <v>2012</v>
      </c>
      <c r="D826" t="s">
        <v>2021</v>
      </c>
      <c r="E826" t="s">
        <v>2039</v>
      </c>
      <c r="F826">
        <v>39</v>
      </c>
      <c r="G826" s="1">
        <v>43511</v>
      </c>
      <c r="H826" t="s">
        <v>2042</v>
      </c>
      <c r="I826" s="2">
        <v>68312.47</v>
      </c>
      <c r="J826">
        <v>3</v>
      </c>
      <c r="K826">
        <v>84.26</v>
      </c>
      <c r="L826">
        <v>6</v>
      </c>
      <c r="M826">
        <v>80</v>
      </c>
      <c r="N826">
        <v>36</v>
      </c>
      <c r="O826" t="s">
        <v>2061</v>
      </c>
      <c r="P826" t="s">
        <v>2062</v>
      </c>
      <c r="Q826" s="2">
        <f>Employee_Data[[#This Row],[Monthly Salary]]*12</f>
        <v>819749.64</v>
      </c>
    </row>
    <row r="827" spans="1:17" x14ac:dyDescent="0.25">
      <c r="A827" t="s">
        <v>841</v>
      </c>
      <c r="B827" t="s">
        <v>1836</v>
      </c>
      <c r="C827" t="s">
        <v>2011</v>
      </c>
      <c r="D827" t="s">
        <v>2031</v>
      </c>
      <c r="E827" t="s">
        <v>2039</v>
      </c>
      <c r="F827">
        <v>50</v>
      </c>
      <c r="G827" s="1">
        <v>44156</v>
      </c>
      <c r="H827" t="s">
        <v>2041</v>
      </c>
      <c r="I827" s="2">
        <v>104835.18</v>
      </c>
      <c r="J827">
        <v>1</v>
      </c>
      <c r="K827">
        <v>87.11</v>
      </c>
      <c r="L827">
        <v>5</v>
      </c>
      <c r="M827">
        <v>78</v>
      </c>
      <c r="N827">
        <v>29</v>
      </c>
      <c r="O827" t="s">
        <v>2054</v>
      </c>
      <c r="P827" t="s">
        <v>2062</v>
      </c>
      <c r="Q827" s="2">
        <f>Employee_Data[[#This Row],[Monthly Salary]]*12</f>
        <v>1258022.1599999999</v>
      </c>
    </row>
    <row r="828" spans="1:17" x14ac:dyDescent="0.25">
      <c r="A828" t="s">
        <v>842</v>
      </c>
      <c r="B828" t="s">
        <v>1837</v>
      </c>
      <c r="C828" t="s">
        <v>2009</v>
      </c>
      <c r="D828" t="s">
        <v>2017</v>
      </c>
      <c r="E828" t="s">
        <v>2038</v>
      </c>
      <c r="F828">
        <v>32</v>
      </c>
      <c r="G828" s="1">
        <v>43547</v>
      </c>
      <c r="H828" t="s">
        <v>2042</v>
      </c>
      <c r="I828" s="2">
        <v>55453.23</v>
      </c>
      <c r="J828">
        <v>1</v>
      </c>
      <c r="K828">
        <v>88.62</v>
      </c>
      <c r="L828">
        <v>6</v>
      </c>
      <c r="M828">
        <v>25</v>
      </c>
      <c r="N828">
        <v>5</v>
      </c>
      <c r="O828" t="s">
        <v>2052</v>
      </c>
      <c r="P828" t="s">
        <v>2062</v>
      </c>
      <c r="Q828" s="2">
        <f>Employee_Data[[#This Row],[Monthly Salary]]*12</f>
        <v>665438.76</v>
      </c>
    </row>
    <row r="829" spans="1:17" x14ac:dyDescent="0.25">
      <c r="A829" t="s">
        <v>843</v>
      </c>
      <c r="B829" t="s">
        <v>1838</v>
      </c>
      <c r="C829" t="s">
        <v>2015</v>
      </c>
      <c r="D829" t="s">
        <v>2026</v>
      </c>
      <c r="E829" t="s">
        <v>2039</v>
      </c>
      <c r="F829">
        <v>52</v>
      </c>
      <c r="G829" s="1">
        <v>45146</v>
      </c>
      <c r="H829" t="s">
        <v>2040</v>
      </c>
      <c r="I829" s="2">
        <v>35563.040000000001</v>
      </c>
      <c r="J829">
        <v>3</v>
      </c>
      <c r="K829">
        <v>84.52</v>
      </c>
      <c r="L829">
        <v>2</v>
      </c>
      <c r="M829">
        <v>50</v>
      </c>
      <c r="N829">
        <v>23</v>
      </c>
      <c r="O829" t="s">
        <v>2051</v>
      </c>
      <c r="P829" t="s">
        <v>2062</v>
      </c>
      <c r="Q829" s="2">
        <f>Employee_Data[[#This Row],[Monthly Salary]]*12</f>
        <v>426756.48</v>
      </c>
    </row>
    <row r="830" spans="1:17" x14ac:dyDescent="0.25">
      <c r="A830" t="s">
        <v>844</v>
      </c>
      <c r="B830" t="s">
        <v>1839</v>
      </c>
      <c r="C830" t="s">
        <v>2015</v>
      </c>
      <c r="D830" t="s">
        <v>2027</v>
      </c>
      <c r="E830" t="s">
        <v>2038</v>
      </c>
      <c r="F830">
        <v>27</v>
      </c>
      <c r="G830" s="1">
        <v>42805</v>
      </c>
      <c r="H830" t="s">
        <v>2042</v>
      </c>
      <c r="I830" s="2">
        <v>85627.96</v>
      </c>
      <c r="J830">
        <v>4</v>
      </c>
      <c r="K830">
        <v>83.24</v>
      </c>
      <c r="L830">
        <v>8</v>
      </c>
      <c r="M830">
        <v>45</v>
      </c>
      <c r="N830">
        <v>47</v>
      </c>
      <c r="O830" t="s">
        <v>1505</v>
      </c>
      <c r="P830" t="s">
        <v>2062</v>
      </c>
      <c r="Q830" s="2">
        <f>Employee_Data[[#This Row],[Monthly Salary]]*12</f>
        <v>1027535.52</v>
      </c>
    </row>
    <row r="831" spans="1:17" x14ac:dyDescent="0.25">
      <c r="A831" t="s">
        <v>845</v>
      </c>
      <c r="B831" t="s">
        <v>1840</v>
      </c>
      <c r="C831" t="s">
        <v>2014</v>
      </c>
      <c r="D831" t="s">
        <v>2023</v>
      </c>
      <c r="E831" t="s">
        <v>2039</v>
      </c>
      <c r="F831">
        <v>39</v>
      </c>
      <c r="G831" s="1">
        <v>42332</v>
      </c>
      <c r="H831" t="s">
        <v>2040</v>
      </c>
      <c r="I831" s="2">
        <v>33368.03</v>
      </c>
      <c r="J831">
        <v>4</v>
      </c>
      <c r="K831">
        <v>94.88</v>
      </c>
      <c r="L831">
        <v>10</v>
      </c>
      <c r="M831">
        <v>4</v>
      </c>
      <c r="N831">
        <v>10</v>
      </c>
      <c r="O831" t="s">
        <v>2059</v>
      </c>
      <c r="P831" t="s">
        <v>2063</v>
      </c>
      <c r="Q831" s="2">
        <f>Employee_Data[[#This Row],[Monthly Salary]]*12</f>
        <v>400416.36</v>
      </c>
    </row>
    <row r="832" spans="1:17" x14ac:dyDescent="0.25">
      <c r="A832" t="s">
        <v>846</v>
      </c>
      <c r="B832" t="s">
        <v>1841</v>
      </c>
      <c r="C832" t="s">
        <v>2011</v>
      </c>
      <c r="D832" t="s">
        <v>2019</v>
      </c>
      <c r="E832" t="s">
        <v>2038</v>
      </c>
      <c r="F832">
        <v>52</v>
      </c>
      <c r="G832" s="1">
        <v>45883</v>
      </c>
      <c r="H832" t="s">
        <v>2041</v>
      </c>
      <c r="I832" s="2">
        <v>69556.759999999995</v>
      </c>
      <c r="J832">
        <v>2</v>
      </c>
      <c r="K832">
        <v>86.5</v>
      </c>
      <c r="L832">
        <v>0</v>
      </c>
      <c r="M832">
        <v>51</v>
      </c>
      <c r="N832">
        <v>32</v>
      </c>
      <c r="O832" t="s">
        <v>2061</v>
      </c>
      <c r="P832" t="s">
        <v>2062</v>
      </c>
      <c r="Q832" s="2">
        <f>Employee_Data[[#This Row],[Monthly Salary]]*12</f>
        <v>834681.11999999988</v>
      </c>
    </row>
    <row r="833" spans="1:17" x14ac:dyDescent="0.25">
      <c r="A833" t="s">
        <v>847</v>
      </c>
      <c r="B833" t="s">
        <v>1842</v>
      </c>
      <c r="C833" t="s">
        <v>2009</v>
      </c>
      <c r="D833" t="s">
        <v>2017</v>
      </c>
      <c r="E833" t="s">
        <v>2039</v>
      </c>
      <c r="F833">
        <v>30</v>
      </c>
      <c r="G833" s="1">
        <v>42850</v>
      </c>
      <c r="H833" t="s">
        <v>2042</v>
      </c>
      <c r="I833" s="2">
        <v>70000.09</v>
      </c>
      <c r="J833">
        <v>2</v>
      </c>
      <c r="K833">
        <v>81.040000000000006</v>
      </c>
      <c r="L833">
        <v>8</v>
      </c>
      <c r="M833">
        <v>43</v>
      </c>
      <c r="N833">
        <v>27</v>
      </c>
      <c r="O833" t="s">
        <v>2058</v>
      </c>
      <c r="P833" t="s">
        <v>2062</v>
      </c>
      <c r="Q833" s="2">
        <f>Employee_Data[[#This Row],[Monthly Salary]]*12</f>
        <v>840001.08</v>
      </c>
    </row>
    <row r="834" spans="1:17" x14ac:dyDescent="0.25">
      <c r="A834" t="s">
        <v>848</v>
      </c>
      <c r="B834" t="s">
        <v>1843</v>
      </c>
      <c r="C834" t="s">
        <v>2016</v>
      </c>
      <c r="D834" t="s">
        <v>2034</v>
      </c>
      <c r="E834" t="s">
        <v>2038</v>
      </c>
      <c r="F834">
        <v>39</v>
      </c>
      <c r="G834" s="1">
        <v>44968</v>
      </c>
      <c r="H834" t="s">
        <v>2042</v>
      </c>
      <c r="I834" s="2">
        <v>28261.49</v>
      </c>
      <c r="J834">
        <v>4</v>
      </c>
      <c r="K834">
        <v>84.95</v>
      </c>
      <c r="L834">
        <v>2</v>
      </c>
      <c r="M834">
        <v>19</v>
      </c>
      <c r="N834">
        <v>46</v>
      </c>
      <c r="O834" t="s">
        <v>2052</v>
      </c>
      <c r="P834" t="s">
        <v>2062</v>
      </c>
      <c r="Q834" s="2">
        <f>Employee_Data[[#This Row],[Monthly Salary]]*12</f>
        <v>339137.88</v>
      </c>
    </row>
    <row r="835" spans="1:17" x14ac:dyDescent="0.25">
      <c r="A835" t="s">
        <v>849</v>
      </c>
      <c r="B835" t="s">
        <v>1844</v>
      </c>
      <c r="C835" t="s">
        <v>2011</v>
      </c>
      <c r="D835" t="s">
        <v>2019</v>
      </c>
      <c r="E835" t="s">
        <v>2038</v>
      </c>
      <c r="F835">
        <v>36</v>
      </c>
      <c r="G835" s="1">
        <v>43542</v>
      </c>
      <c r="H835" t="s">
        <v>2041</v>
      </c>
      <c r="I835" s="2">
        <v>102060.94</v>
      </c>
      <c r="J835">
        <v>2</v>
      </c>
      <c r="K835">
        <v>89.48</v>
      </c>
      <c r="L835">
        <v>6</v>
      </c>
      <c r="M835">
        <v>13</v>
      </c>
      <c r="N835">
        <v>44</v>
      </c>
      <c r="O835" t="s">
        <v>2052</v>
      </c>
      <c r="P835" t="s">
        <v>2062</v>
      </c>
      <c r="Q835" s="2">
        <f>Employee_Data[[#This Row],[Monthly Salary]]*12</f>
        <v>1224731.28</v>
      </c>
    </row>
    <row r="836" spans="1:17" x14ac:dyDescent="0.25">
      <c r="A836" t="s">
        <v>850</v>
      </c>
      <c r="B836" t="s">
        <v>1845</v>
      </c>
      <c r="C836" t="s">
        <v>2014</v>
      </c>
      <c r="D836" t="s">
        <v>2028</v>
      </c>
      <c r="E836" t="s">
        <v>2039</v>
      </c>
      <c r="F836">
        <v>35</v>
      </c>
      <c r="G836" s="1">
        <v>45602</v>
      </c>
      <c r="H836" t="s">
        <v>2040</v>
      </c>
      <c r="I836" s="2">
        <v>33229.58</v>
      </c>
      <c r="J836">
        <v>1</v>
      </c>
      <c r="K836">
        <v>85.48</v>
      </c>
      <c r="L836">
        <v>1</v>
      </c>
      <c r="M836">
        <v>24</v>
      </c>
      <c r="N836">
        <v>59</v>
      </c>
      <c r="O836" t="s">
        <v>2060</v>
      </c>
      <c r="P836" t="s">
        <v>2062</v>
      </c>
      <c r="Q836" s="2">
        <f>Employee_Data[[#This Row],[Monthly Salary]]*12</f>
        <v>398754.96</v>
      </c>
    </row>
    <row r="837" spans="1:17" x14ac:dyDescent="0.25">
      <c r="A837" t="s">
        <v>851</v>
      </c>
      <c r="B837" t="s">
        <v>1846</v>
      </c>
      <c r="C837" t="s">
        <v>2014</v>
      </c>
      <c r="D837" t="s">
        <v>2023</v>
      </c>
      <c r="E837" t="s">
        <v>2039</v>
      </c>
      <c r="F837">
        <v>45</v>
      </c>
      <c r="G837" s="1">
        <v>43849</v>
      </c>
      <c r="H837" t="s">
        <v>2042</v>
      </c>
      <c r="I837" s="2">
        <v>72497.119999999995</v>
      </c>
      <c r="J837">
        <v>2</v>
      </c>
      <c r="K837">
        <v>84.44</v>
      </c>
      <c r="L837">
        <v>5</v>
      </c>
      <c r="M837">
        <v>54</v>
      </c>
      <c r="N837">
        <v>30</v>
      </c>
      <c r="O837" t="s">
        <v>2049</v>
      </c>
      <c r="P837" t="s">
        <v>2062</v>
      </c>
      <c r="Q837" s="2">
        <f>Employee_Data[[#This Row],[Monthly Salary]]*12</f>
        <v>869965.44</v>
      </c>
    </row>
    <row r="838" spans="1:17" x14ac:dyDescent="0.25">
      <c r="A838" t="s">
        <v>852</v>
      </c>
      <c r="B838" t="s">
        <v>1847</v>
      </c>
      <c r="C838" t="s">
        <v>2010</v>
      </c>
      <c r="D838" t="s">
        <v>2024</v>
      </c>
      <c r="E838" t="s">
        <v>2039</v>
      </c>
      <c r="F838">
        <v>38</v>
      </c>
      <c r="G838" s="1">
        <v>42941</v>
      </c>
      <c r="H838" t="s">
        <v>2042</v>
      </c>
      <c r="I838" s="2">
        <v>48055.59</v>
      </c>
      <c r="J838">
        <v>3</v>
      </c>
      <c r="K838">
        <v>94.23</v>
      </c>
      <c r="L838">
        <v>8</v>
      </c>
      <c r="M838">
        <v>31</v>
      </c>
      <c r="N838">
        <v>20</v>
      </c>
      <c r="O838" t="s">
        <v>2049</v>
      </c>
      <c r="P838" t="s">
        <v>2062</v>
      </c>
      <c r="Q838" s="2">
        <f>Employee_Data[[#This Row],[Monthly Salary]]*12</f>
        <v>576667.07999999996</v>
      </c>
    </row>
    <row r="839" spans="1:17" x14ac:dyDescent="0.25">
      <c r="A839" t="s">
        <v>853</v>
      </c>
      <c r="B839" t="s">
        <v>1848</v>
      </c>
      <c r="C839" t="s">
        <v>2010</v>
      </c>
      <c r="D839" t="s">
        <v>2018</v>
      </c>
      <c r="E839" t="s">
        <v>2038</v>
      </c>
      <c r="F839">
        <v>34</v>
      </c>
      <c r="G839" s="1">
        <v>42587</v>
      </c>
      <c r="H839" t="s">
        <v>2042</v>
      </c>
      <c r="I839" s="2">
        <v>67205.820000000007</v>
      </c>
      <c r="J839">
        <v>5</v>
      </c>
      <c r="K839">
        <v>82.02</v>
      </c>
      <c r="L839">
        <v>9</v>
      </c>
      <c r="M839">
        <v>23</v>
      </c>
      <c r="N839">
        <v>16</v>
      </c>
      <c r="O839" t="s">
        <v>2050</v>
      </c>
      <c r="P839" t="s">
        <v>2062</v>
      </c>
      <c r="Q839" s="2">
        <f>Employee_Data[[#This Row],[Monthly Salary]]*12</f>
        <v>806469.84000000008</v>
      </c>
    </row>
    <row r="840" spans="1:17" x14ac:dyDescent="0.25">
      <c r="A840" t="s">
        <v>854</v>
      </c>
      <c r="B840" t="s">
        <v>1849</v>
      </c>
      <c r="C840" t="s">
        <v>2011</v>
      </c>
      <c r="D840" t="s">
        <v>2019</v>
      </c>
      <c r="E840" t="s">
        <v>2039</v>
      </c>
      <c r="F840">
        <v>21</v>
      </c>
      <c r="G840" s="1">
        <v>45559</v>
      </c>
      <c r="H840" t="s">
        <v>2041</v>
      </c>
      <c r="I840" s="2">
        <v>75176.820000000007</v>
      </c>
      <c r="J840">
        <v>2</v>
      </c>
      <c r="K840">
        <v>86.62</v>
      </c>
      <c r="L840">
        <v>1</v>
      </c>
      <c r="M840">
        <v>46</v>
      </c>
      <c r="N840">
        <v>47</v>
      </c>
      <c r="O840" t="s">
        <v>2043</v>
      </c>
      <c r="P840" t="s">
        <v>2062</v>
      </c>
      <c r="Q840" s="2">
        <f>Employee_Data[[#This Row],[Monthly Salary]]*12</f>
        <v>902121.84000000008</v>
      </c>
    </row>
    <row r="841" spans="1:17" x14ac:dyDescent="0.25">
      <c r="A841" t="s">
        <v>855</v>
      </c>
      <c r="B841" t="s">
        <v>1850</v>
      </c>
      <c r="C841" t="s">
        <v>2012</v>
      </c>
      <c r="D841" t="s">
        <v>2021</v>
      </c>
      <c r="E841" t="s">
        <v>2038</v>
      </c>
      <c r="F841">
        <v>34</v>
      </c>
      <c r="G841" s="1">
        <v>44432</v>
      </c>
      <c r="H841" t="s">
        <v>2041</v>
      </c>
      <c r="I841" s="2">
        <v>58404.94</v>
      </c>
      <c r="J841">
        <v>1</v>
      </c>
      <c r="K841">
        <v>82.61</v>
      </c>
      <c r="L841">
        <v>4</v>
      </c>
      <c r="M841">
        <v>77</v>
      </c>
      <c r="N841">
        <v>7</v>
      </c>
      <c r="O841" t="s">
        <v>2049</v>
      </c>
      <c r="P841" t="s">
        <v>2062</v>
      </c>
      <c r="Q841" s="2">
        <f>Employee_Data[[#This Row],[Monthly Salary]]*12</f>
        <v>700859.28</v>
      </c>
    </row>
    <row r="842" spans="1:17" x14ac:dyDescent="0.25">
      <c r="A842" t="s">
        <v>856</v>
      </c>
      <c r="B842" t="s">
        <v>1851</v>
      </c>
      <c r="C842" t="s">
        <v>2014</v>
      </c>
      <c r="D842" t="s">
        <v>2023</v>
      </c>
      <c r="E842" t="s">
        <v>2038</v>
      </c>
      <c r="F842">
        <v>27</v>
      </c>
      <c r="G842" s="1">
        <v>44809</v>
      </c>
      <c r="H842" t="s">
        <v>2040</v>
      </c>
      <c r="I842" s="2">
        <v>114181.8</v>
      </c>
      <c r="J842">
        <v>5</v>
      </c>
      <c r="K842">
        <v>86.86</v>
      </c>
      <c r="L842">
        <v>3</v>
      </c>
      <c r="M842">
        <v>60</v>
      </c>
      <c r="N842">
        <v>48</v>
      </c>
      <c r="O842" t="s">
        <v>2059</v>
      </c>
      <c r="P842" t="s">
        <v>2062</v>
      </c>
      <c r="Q842" s="2">
        <f>Employee_Data[[#This Row],[Monthly Salary]]*12</f>
        <v>1370181.6</v>
      </c>
    </row>
    <row r="843" spans="1:17" x14ac:dyDescent="0.25">
      <c r="A843" t="s">
        <v>857</v>
      </c>
      <c r="B843" t="s">
        <v>1852</v>
      </c>
      <c r="C843" t="s">
        <v>2015</v>
      </c>
      <c r="D843" t="s">
        <v>2033</v>
      </c>
      <c r="E843" t="s">
        <v>2039</v>
      </c>
      <c r="F843">
        <v>33</v>
      </c>
      <c r="G843" s="1">
        <v>43615</v>
      </c>
      <c r="H843" t="s">
        <v>2042</v>
      </c>
      <c r="I843" s="2">
        <v>75049.570000000007</v>
      </c>
      <c r="J843">
        <v>3</v>
      </c>
      <c r="K843">
        <v>97.83</v>
      </c>
      <c r="L843">
        <v>6</v>
      </c>
      <c r="M843">
        <v>71</v>
      </c>
      <c r="N843">
        <v>22</v>
      </c>
      <c r="O843" t="s">
        <v>2053</v>
      </c>
      <c r="P843" t="s">
        <v>2062</v>
      </c>
      <c r="Q843" s="2">
        <f>Employee_Data[[#This Row],[Monthly Salary]]*12</f>
        <v>900594.84000000008</v>
      </c>
    </row>
    <row r="844" spans="1:17" x14ac:dyDescent="0.25">
      <c r="A844" t="s">
        <v>858</v>
      </c>
      <c r="B844" t="s">
        <v>1853</v>
      </c>
      <c r="C844" t="s">
        <v>2009</v>
      </c>
      <c r="D844" t="s">
        <v>2030</v>
      </c>
      <c r="E844" t="s">
        <v>2039</v>
      </c>
      <c r="F844">
        <v>51</v>
      </c>
      <c r="G844" s="1">
        <v>44580</v>
      </c>
      <c r="H844" t="s">
        <v>2042</v>
      </c>
      <c r="I844" s="2">
        <v>72376.28</v>
      </c>
      <c r="J844">
        <v>5</v>
      </c>
      <c r="K844">
        <v>95.82</v>
      </c>
      <c r="L844">
        <v>3</v>
      </c>
      <c r="M844">
        <v>21</v>
      </c>
      <c r="N844">
        <v>38</v>
      </c>
      <c r="O844" t="s">
        <v>2055</v>
      </c>
      <c r="P844" t="s">
        <v>2062</v>
      </c>
      <c r="Q844" s="2">
        <f>Employee_Data[[#This Row],[Monthly Salary]]*12</f>
        <v>868515.36</v>
      </c>
    </row>
    <row r="845" spans="1:17" x14ac:dyDescent="0.25">
      <c r="A845" t="s">
        <v>859</v>
      </c>
      <c r="B845" t="s">
        <v>1854</v>
      </c>
      <c r="C845" t="s">
        <v>2015</v>
      </c>
      <c r="D845" t="s">
        <v>2026</v>
      </c>
      <c r="E845" t="s">
        <v>2039</v>
      </c>
      <c r="F845">
        <v>57</v>
      </c>
      <c r="G845" s="1">
        <v>43892</v>
      </c>
      <c r="H845" t="s">
        <v>2040</v>
      </c>
      <c r="I845" s="2">
        <v>99439.039999999994</v>
      </c>
      <c r="J845">
        <v>2</v>
      </c>
      <c r="K845">
        <v>94.81</v>
      </c>
      <c r="L845">
        <v>5</v>
      </c>
      <c r="M845">
        <v>50</v>
      </c>
      <c r="N845">
        <v>31</v>
      </c>
      <c r="O845" t="s">
        <v>2046</v>
      </c>
      <c r="P845" t="s">
        <v>2063</v>
      </c>
      <c r="Q845" s="2">
        <f>Employee_Data[[#This Row],[Monthly Salary]]*12</f>
        <v>1193268.48</v>
      </c>
    </row>
    <row r="846" spans="1:17" x14ac:dyDescent="0.25">
      <c r="A846" t="s">
        <v>860</v>
      </c>
      <c r="B846" t="s">
        <v>1855</v>
      </c>
      <c r="C846" t="s">
        <v>2009</v>
      </c>
      <c r="D846" t="s">
        <v>2017</v>
      </c>
      <c r="E846" t="s">
        <v>2038</v>
      </c>
      <c r="F846">
        <v>53</v>
      </c>
      <c r="G846" s="1">
        <v>42601</v>
      </c>
      <c r="H846" t="s">
        <v>2042</v>
      </c>
      <c r="I846" s="2">
        <v>76249.86</v>
      </c>
      <c r="J846">
        <v>4</v>
      </c>
      <c r="K846">
        <v>88.02</v>
      </c>
      <c r="L846">
        <v>9</v>
      </c>
      <c r="M846">
        <v>34</v>
      </c>
      <c r="N846">
        <v>13</v>
      </c>
      <c r="O846" t="s">
        <v>2048</v>
      </c>
      <c r="P846" t="s">
        <v>2062</v>
      </c>
      <c r="Q846" s="2">
        <f>Employee_Data[[#This Row],[Monthly Salary]]*12</f>
        <v>914998.32000000007</v>
      </c>
    </row>
    <row r="847" spans="1:17" x14ac:dyDescent="0.25">
      <c r="A847" t="s">
        <v>861</v>
      </c>
      <c r="B847" t="s">
        <v>1856</v>
      </c>
      <c r="C847" t="s">
        <v>2014</v>
      </c>
      <c r="D847" t="s">
        <v>2028</v>
      </c>
      <c r="E847" t="s">
        <v>2039</v>
      </c>
      <c r="F847">
        <v>53</v>
      </c>
      <c r="G847" s="1">
        <v>43022</v>
      </c>
      <c r="H847" t="s">
        <v>2042</v>
      </c>
      <c r="I847" s="2">
        <v>70381.78</v>
      </c>
      <c r="J847">
        <v>5</v>
      </c>
      <c r="K847">
        <v>85.18</v>
      </c>
      <c r="L847">
        <v>8</v>
      </c>
      <c r="M847">
        <v>28</v>
      </c>
      <c r="N847">
        <v>18</v>
      </c>
      <c r="O847" t="s">
        <v>2055</v>
      </c>
      <c r="P847" t="s">
        <v>2062</v>
      </c>
      <c r="Q847" s="2">
        <f>Employee_Data[[#This Row],[Monthly Salary]]*12</f>
        <v>844581.36</v>
      </c>
    </row>
    <row r="848" spans="1:17" x14ac:dyDescent="0.25">
      <c r="A848" t="s">
        <v>862</v>
      </c>
      <c r="B848" t="s">
        <v>1857</v>
      </c>
      <c r="C848" t="s">
        <v>2015</v>
      </c>
      <c r="D848" t="s">
        <v>2033</v>
      </c>
      <c r="E848" t="s">
        <v>2039</v>
      </c>
      <c r="F848">
        <v>55</v>
      </c>
      <c r="G848" s="1">
        <v>45250</v>
      </c>
      <c r="H848" t="s">
        <v>2040</v>
      </c>
      <c r="I848" s="2">
        <v>49184.33</v>
      </c>
      <c r="J848">
        <v>2</v>
      </c>
      <c r="K848">
        <v>98.84</v>
      </c>
      <c r="L848">
        <v>2</v>
      </c>
      <c r="M848">
        <v>35</v>
      </c>
      <c r="N848">
        <v>59</v>
      </c>
      <c r="O848" t="s">
        <v>2060</v>
      </c>
      <c r="P848" t="s">
        <v>2062</v>
      </c>
      <c r="Q848" s="2">
        <f>Employee_Data[[#This Row],[Monthly Salary]]*12</f>
        <v>590211.96</v>
      </c>
    </row>
    <row r="849" spans="1:17" x14ac:dyDescent="0.25">
      <c r="A849" t="s">
        <v>863</v>
      </c>
      <c r="B849" t="s">
        <v>1331</v>
      </c>
      <c r="C849" t="s">
        <v>2010</v>
      </c>
      <c r="D849" t="s">
        <v>2037</v>
      </c>
      <c r="E849" t="s">
        <v>2039</v>
      </c>
      <c r="F849">
        <v>34</v>
      </c>
      <c r="G849" s="1">
        <v>42360</v>
      </c>
      <c r="H849" t="s">
        <v>2041</v>
      </c>
      <c r="I849" s="2">
        <v>31618.48</v>
      </c>
      <c r="J849">
        <v>3</v>
      </c>
      <c r="K849">
        <v>92.65</v>
      </c>
      <c r="L849">
        <v>10</v>
      </c>
      <c r="M849">
        <v>47</v>
      </c>
      <c r="N849">
        <v>20</v>
      </c>
      <c r="O849" t="s">
        <v>2045</v>
      </c>
      <c r="P849" t="s">
        <v>2063</v>
      </c>
      <c r="Q849" s="2">
        <f>Employee_Data[[#This Row],[Monthly Salary]]*12</f>
        <v>379421.76</v>
      </c>
    </row>
    <row r="850" spans="1:17" x14ac:dyDescent="0.25">
      <c r="A850" t="s">
        <v>864</v>
      </c>
      <c r="B850" t="s">
        <v>1858</v>
      </c>
      <c r="C850" t="s">
        <v>2011</v>
      </c>
      <c r="D850" t="s">
        <v>2031</v>
      </c>
      <c r="E850" t="s">
        <v>2039</v>
      </c>
      <c r="F850">
        <v>47</v>
      </c>
      <c r="G850" s="1">
        <v>43980</v>
      </c>
      <c r="H850" t="s">
        <v>2041</v>
      </c>
      <c r="I850" s="2">
        <v>49489.53</v>
      </c>
      <c r="J850">
        <v>1</v>
      </c>
      <c r="K850">
        <v>92.52</v>
      </c>
      <c r="L850">
        <v>5</v>
      </c>
      <c r="M850">
        <v>1</v>
      </c>
      <c r="N850">
        <v>52</v>
      </c>
      <c r="O850" t="s">
        <v>2053</v>
      </c>
      <c r="P850" t="s">
        <v>2062</v>
      </c>
      <c r="Q850" s="2">
        <f>Employee_Data[[#This Row],[Monthly Salary]]*12</f>
        <v>593874.36</v>
      </c>
    </row>
    <row r="851" spans="1:17" x14ac:dyDescent="0.25">
      <c r="A851" t="s">
        <v>865</v>
      </c>
      <c r="B851" t="s">
        <v>1859</v>
      </c>
      <c r="C851" t="s">
        <v>2011</v>
      </c>
      <c r="D851" t="s">
        <v>2019</v>
      </c>
      <c r="E851" t="s">
        <v>2038</v>
      </c>
      <c r="F851">
        <v>22</v>
      </c>
      <c r="G851" s="1">
        <v>42954</v>
      </c>
      <c r="H851" t="s">
        <v>2041</v>
      </c>
      <c r="I851" s="2">
        <v>85731.76</v>
      </c>
      <c r="J851">
        <v>5</v>
      </c>
      <c r="K851">
        <v>82.13</v>
      </c>
      <c r="L851">
        <v>8</v>
      </c>
      <c r="M851">
        <v>48</v>
      </c>
      <c r="N851">
        <v>60</v>
      </c>
      <c r="O851" t="s">
        <v>2055</v>
      </c>
      <c r="P851" t="s">
        <v>2063</v>
      </c>
      <c r="Q851" s="2">
        <f>Employee_Data[[#This Row],[Monthly Salary]]*12</f>
        <v>1028781.1199999999</v>
      </c>
    </row>
    <row r="852" spans="1:17" x14ac:dyDescent="0.25">
      <c r="A852" t="s">
        <v>866</v>
      </c>
      <c r="B852" t="s">
        <v>1860</v>
      </c>
      <c r="C852" t="s">
        <v>2014</v>
      </c>
      <c r="D852" t="s">
        <v>2029</v>
      </c>
      <c r="E852" t="s">
        <v>2039</v>
      </c>
      <c r="F852">
        <v>41</v>
      </c>
      <c r="G852" s="1">
        <v>42963</v>
      </c>
      <c r="H852" t="s">
        <v>2042</v>
      </c>
      <c r="I852" s="2">
        <v>40391.86</v>
      </c>
      <c r="J852">
        <v>4</v>
      </c>
      <c r="K852">
        <v>83.11</v>
      </c>
      <c r="L852">
        <v>8</v>
      </c>
      <c r="M852">
        <v>29</v>
      </c>
      <c r="N852">
        <v>46</v>
      </c>
      <c r="O852" t="s">
        <v>1505</v>
      </c>
      <c r="P852" t="s">
        <v>2062</v>
      </c>
      <c r="Q852" s="2">
        <f>Employee_Data[[#This Row],[Monthly Salary]]*12</f>
        <v>484702.32</v>
      </c>
    </row>
    <row r="853" spans="1:17" x14ac:dyDescent="0.25">
      <c r="A853" t="s">
        <v>867</v>
      </c>
      <c r="B853" t="s">
        <v>1861</v>
      </c>
      <c r="C853" t="s">
        <v>2013</v>
      </c>
      <c r="D853" t="s">
        <v>2025</v>
      </c>
      <c r="E853" t="s">
        <v>2038</v>
      </c>
      <c r="F853">
        <v>32</v>
      </c>
      <c r="G853" s="1">
        <v>44527</v>
      </c>
      <c r="H853" t="s">
        <v>2042</v>
      </c>
      <c r="I853" s="2">
        <v>38502.800000000003</v>
      </c>
      <c r="J853">
        <v>2</v>
      </c>
      <c r="K853">
        <v>83.78</v>
      </c>
      <c r="L853">
        <v>4</v>
      </c>
      <c r="M853">
        <v>62</v>
      </c>
      <c r="N853">
        <v>60</v>
      </c>
      <c r="O853" t="s">
        <v>2048</v>
      </c>
      <c r="P853" t="s">
        <v>2062</v>
      </c>
      <c r="Q853" s="2">
        <f>Employee_Data[[#This Row],[Monthly Salary]]*12</f>
        <v>462033.60000000003</v>
      </c>
    </row>
    <row r="854" spans="1:17" x14ac:dyDescent="0.25">
      <c r="A854" t="s">
        <v>868</v>
      </c>
      <c r="B854" t="s">
        <v>1862</v>
      </c>
      <c r="C854" t="s">
        <v>2010</v>
      </c>
      <c r="D854" t="s">
        <v>2024</v>
      </c>
      <c r="E854" t="s">
        <v>2039</v>
      </c>
      <c r="F854">
        <v>32</v>
      </c>
      <c r="G854" s="1">
        <v>45387</v>
      </c>
      <c r="H854" t="s">
        <v>2042</v>
      </c>
      <c r="I854" s="2">
        <v>88736.68</v>
      </c>
      <c r="J854">
        <v>2</v>
      </c>
      <c r="K854">
        <v>81.39</v>
      </c>
      <c r="L854">
        <v>1</v>
      </c>
      <c r="M854">
        <v>9</v>
      </c>
      <c r="N854">
        <v>27</v>
      </c>
      <c r="O854" t="s">
        <v>2044</v>
      </c>
      <c r="P854" t="s">
        <v>2062</v>
      </c>
      <c r="Q854" s="2">
        <f>Employee_Data[[#This Row],[Monthly Salary]]*12</f>
        <v>1064840.1599999999</v>
      </c>
    </row>
    <row r="855" spans="1:17" x14ac:dyDescent="0.25">
      <c r="A855" t="s">
        <v>869</v>
      </c>
      <c r="B855" t="s">
        <v>1863</v>
      </c>
      <c r="C855" t="s">
        <v>2016</v>
      </c>
      <c r="D855" t="s">
        <v>2032</v>
      </c>
      <c r="E855" t="s">
        <v>2039</v>
      </c>
      <c r="F855">
        <v>21</v>
      </c>
      <c r="G855" s="1">
        <v>43760</v>
      </c>
      <c r="H855" t="s">
        <v>2041</v>
      </c>
      <c r="I855" s="2">
        <v>29972.99</v>
      </c>
      <c r="J855">
        <v>4</v>
      </c>
      <c r="K855">
        <v>80.41</v>
      </c>
      <c r="L855">
        <v>6</v>
      </c>
      <c r="M855">
        <v>1</v>
      </c>
      <c r="N855">
        <v>48</v>
      </c>
      <c r="O855" t="s">
        <v>2049</v>
      </c>
      <c r="P855" t="s">
        <v>2062</v>
      </c>
      <c r="Q855" s="2">
        <f>Employee_Data[[#This Row],[Monthly Salary]]*12</f>
        <v>359675.88</v>
      </c>
    </row>
    <row r="856" spans="1:17" x14ac:dyDescent="0.25">
      <c r="A856" t="s">
        <v>870</v>
      </c>
      <c r="B856" t="s">
        <v>1864</v>
      </c>
      <c r="C856" t="s">
        <v>2009</v>
      </c>
      <c r="D856" t="s">
        <v>2030</v>
      </c>
      <c r="E856" t="s">
        <v>2039</v>
      </c>
      <c r="F856">
        <v>59</v>
      </c>
      <c r="G856" s="1">
        <v>45870</v>
      </c>
      <c r="H856" t="s">
        <v>2040</v>
      </c>
      <c r="I856" s="2">
        <v>99240.04</v>
      </c>
      <c r="J856">
        <v>1</v>
      </c>
      <c r="K856">
        <v>99.15</v>
      </c>
      <c r="L856">
        <v>0</v>
      </c>
      <c r="M856">
        <v>13</v>
      </c>
      <c r="N856">
        <v>34</v>
      </c>
      <c r="O856" t="s">
        <v>2054</v>
      </c>
      <c r="P856" t="s">
        <v>2063</v>
      </c>
      <c r="Q856" s="2">
        <f>Employee_Data[[#This Row],[Monthly Salary]]*12</f>
        <v>1190880.48</v>
      </c>
    </row>
    <row r="857" spans="1:17" x14ac:dyDescent="0.25">
      <c r="A857" t="s">
        <v>871</v>
      </c>
      <c r="B857" t="s">
        <v>1865</v>
      </c>
      <c r="C857" t="s">
        <v>2009</v>
      </c>
      <c r="D857" t="s">
        <v>2017</v>
      </c>
      <c r="E857" t="s">
        <v>2039</v>
      </c>
      <c r="F857">
        <v>51</v>
      </c>
      <c r="G857" s="1">
        <v>45482</v>
      </c>
      <c r="H857" t="s">
        <v>2041</v>
      </c>
      <c r="I857" s="2">
        <v>109239.03</v>
      </c>
      <c r="J857">
        <v>2</v>
      </c>
      <c r="K857">
        <v>86.15</v>
      </c>
      <c r="L857">
        <v>1</v>
      </c>
      <c r="M857">
        <v>61</v>
      </c>
      <c r="N857">
        <v>9</v>
      </c>
      <c r="O857" t="s">
        <v>2044</v>
      </c>
      <c r="P857" t="s">
        <v>2062</v>
      </c>
      <c r="Q857" s="2">
        <f>Employee_Data[[#This Row],[Monthly Salary]]*12</f>
        <v>1310868.3599999999</v>
      </c>
    </row>
    <row r="858" spans="1:17" x14ac:dyDescent="0.25">
      <c r="A858" t="s">
        <v>872</v>
      </c>
      <c r="B858" t="s">
        <v>1866</v>
      </c>
      <c r="C858" t="s">
        <v>2011</v>
      </c>
      <c r="D858" t="s">
        <v>2031</v>
      </c>
      <c r="E858" t="s">
        <v>2039</v>
      </c>
      <c r="F858">
        <v>22</v>
      </c>
      <c r="G858" s="1">
        <v>43739</v>
      </c>
      <c r="H858" t="s">
        <v>2040</v>
      </c>
      <c r="I858" s="2">
        <v>30281.53</v>
      </c>
      <c r="J858">
        <v>3</v>
      </c>
      <c r="K858">
        <v>82.05</v>
      </c>
      <c r="L858">
        <v>6</v>
      </c>
      <c r="M858">
        <v>53</v>
      </c>
      <c r="N858">
        <v>9</v>
      </c>
      <c r="O858" t="s">
        <v>2057</v>
      </c>
      <c r="P858" t="s">
        <v>2063</v>
      </c>
      <c r="Q858" s="2">
        <f>Employee_Data[[#This Row],[Monthly Salary]]*12</f>
        <v>363378.36</v>
      </c>
    </row>
    <row r="859" spans="1:17" x14ac:dyDescent="0.25">
      <c r="A859" t="s">
        <v>873</v>
      </c>
      <c r="B859" t="s">
        <v>1867</v>
      </c>
      <c r="C859" t="s">
        <v>2010</v>
      </c>
      <c r="D859" t="s">
        <v>2018</v>
      </c>
      <c r="E859" t="s">
        <v>2038</v>
      </c>
      <c r="F859">
        <v>45</v>
      </c>
      <c r="G859" s="1">
        <v>42614</v>
      </c>
      <c r="H859" t="s">
        <v>2040</v>
      </c>
      <c r="I859" s="2">
        <v>55330.99</v>
      </c>
      <c r="J859">
        <v>3</v>
      </c>
      <c r="K859">
        <v>84.52</v>
      </c>
      <c r="L859">
        <v>9</v>
      </c>
      <c r="M859">
        <v>49</v>
      </c>
      <c r="N859">
        <v>43</v>
      </c>
      <c r="O859" t="s">
        <v>2047</v>
      </c>
      <c r="P859" t="s">
        <v>2062</v>
      </c>
      <c r="Q859" s="2">
        <f>Employee_Data[[#This Row],[Monthly Salary]]*12</f>
        <v>663971.88</v>
      </c>
    </row>
    <row r="860" spans="1:17" x14ac:dyDescent="0.25">
      <c r="A860" t="s">
        <v>874</v>
      </c>
      <c r="B860" t="s">
        <v>1868</v>
      </c>
      <c r="C860" t="s">
        <v>2009</v>
      </c>
      <c r="D860" t="s">
        <v>2017</v>
      </c>
      <c r="E860" t="s">
        <v>2039</v>
      </c>
      <c r="F860">
        <v>39</v>
      </c>
      <c r="G860" s="1">
        <v>44108</v>
      </c>
      <c r="H860" t="s">
        <v>2042</v>
      </c>
      <c r="I860" s="2">
        <v>27628.99</v>
      </c>
      <c r="J860">
        <v>3</v>
      </c>
      <c r="K860">
        <v>82.37</v>
      </c>
      <c r="L860">
        <v>5</v>
      </c>
      <c r="M860">
        <v>10</v>
      </c>
      <c r="N860">
        <v>57</v>
      </c>
      <c r="O860" t="s">
        <v>2049</v>
      </c>
      <c r="P860" t="s">
        <v>2062</v>
      </c>
      <c r="Q860" s="2">
        <f>Employee_Data[[#This Row],[Monthly Salary]]*12</f>
        <v>331547.88</v>
      </c>
    </row>
    <row r="861" spans="1:17" x14ac:dyDescent="0.25">
      <c r="A861" t="s">
        <v>875</v>
      </c>
      <c r="B861" t="s">
        <v>1869</v>
      </c>
      <c r="C861" t="s">
        <v>2015</v>
      </c>
      <c r="D861" t="s">
        <v>2026</v>
      </c>
      <c r="E861" t="s">
        <v>2038</v>
      </c>
      <c r="F861">
        <v>59</v>
      </c>
      <c r="G861" s="1">
        <v>43023</v>
      </c>
      <c r="H861" t="s">
        <v>2040</v>
      </c>
      <c r="I861" s="2">
        <v>87943.33</v>
      </c>
      <c r="J861">
        <v>2</v>
      </c>
      <c r="K861">
        <v>97.86</v>
      </c>
      <c r="L861">
        <v>8</v>
      </c>
      <c r="M861">
        <v>38</v>
      </c>
      <c r="N861">
        <v>39</v>
      </c>
      <c r="O861" t="s">
        <v>2051</v>
      </c>
      <c r="P861" t="s">
        <v>2062</v>
      </c>
      <c r="Q861" s="2">
        <f>Employee_Data[[#This Row],[Monthly Salary]]*12</f>
        <v>1055319.96</v>
      </c>
    </row>
    <row r="862" spans="1:17" x14ac:dyDescent="0.25">
      <c r="A862" t="s">
        <v>876</v>
      </c>
      <c r="B862" t="s">
        <v>1870</v>
      </c>
      <c r="C862" t="s">
        <v>2009</v>
      </c>
      <c r="D862" t="s">
        <v>2030</v>
      </c>
      <c r="E862" t="s">
        <v>2038</v>
      </c>
      <c r="F862">
        <v>44</v>
      </c>
      <c r="G862" s="1">
        <v>43162</v>
      </c>
      <c r="H862" t="s">
        <v>2042</v>
      </c>
      <c r="I862" s="2">
        <v>101071.94</v>
      </c>
      <c r="J862">
        <v>1</v>
      </c>
      <c r="K862">
        <v>95.78</v>
      </c>
      <c r="L862">
        <v>7</v>
      </c>
      <c r="M862">
        <v>19</v>
      </c>
      <c r="N862">
        <v>49</v>
      </c>
      <c r="O862" t="s">
        <v>2060</v>
      </c>
      <c r="P862" t="s">
        <v>2062</v>
      </c>
      <c r="Q862" s="2">
        <f>Employee_Data[[#This Row],[Monthly Salary]]*12</f>
        <v>1212863.28</v>
      </c>
    </row>
    <row r="863" spans="1:17" x14ac:dyDescent="0.25">
      <c r="A863" t="s">
        <v>877</v>
      </c>
      <c r="B863" t="s">
        <v>1871</v>
      </c>
      <c r="C863" t="s">
        <v>2016</v>
      </c>
      <c r="D863" t="s">
        <v>2034</v>
      </c>
      <c r="E863" t="s">
        <v>2038</v>
      </c>
      <c r="F863">
        <v>25</v>
      </c>
      <c r="G863" s="1">
        <v>45022</v>
      </c>
      <c r="H863" t="s">
        <v>2040</v>
      </c>
      <c r="I863" s="2">
        <v>77784.289999999994</v>
      </c>
      <c r="J863">
        <v>3</v>
      </c>
      <c r="K863">
        <v>82.89</v>
      </c>
      <c r="L863">
        <v>2</v>
      </c>
      <c r="M863">
        <v>41</v>
      </c>
      <c r="N863">
        <v>8</v>
      </c>
      <c r="O863" t="s">
        <v>2048</v>
      </c>
      <c r="P863" t="s">
        <v>2062</v>
      </c>
      <c r="Q863" s="2">
        <f>Employee_Data[[#This Row],[Monthly Salary]]*12</f>
        <v>933411.48</v>
      </c>
    </row>
    <row r="864" spans="1:17" x14ac:dyDescent="0.25">
      <c r="A864" t="s">
        <v>878</v>
      </c>
      <c r="B864" t="s">
        <v>1872</v>
      </c>
      <c r="C864" t="s">
        <v>2012</v>
      </c>
      <c r="D864" t="s">
        <v>2020</v>
      </c>
      <c r="E864" t="s">
        <v>2038</v>
      </c>
      <c r="F864">
        <v>48</v>
      </c>
      <c r="G864" s="1">
        <v>44618</v>
      </c>
      <c r="H864" t="s">
        <v>2042</v>
      </c>
      <c r="I864" s="2">
        <v>89342.080000000002</v>
      </c>
      <c r="J864">
        <v>4</v>
      </c>
      <c r="K864">
        <v>92.03</v>
      </c>
      <c r="L864">
        <v>3</v>
      </c>
      <c r="M864">
        <v>42</v>
      </c>
      <c r="N864">
        <v>8</v>
      </c>
      <c r="O864" t="s">
        <v>2044</v>
      </c>
      <c r="P864" t="s">
        <v>2062</v>
      </c>
      <c r="Q864" s="2">
        <f>Employee_Data[[#This Row],[Monthly Salary]]*12</f>
        <v>1072104.96</v>
      </c>
    </row>
    <row r="865" spans="1:17" x14ac:dyDescent="0.25">
      <c r="A865" t="s">
        <v>879</v>
      </c>
      <c r="B865" t="s">
        <v>1873</v>
      </c>
      <c r="C865" t="s">
        <v>2013</v>
      </c>
      <c r="D865" t="s">
        <v>2022</v>
      </c>
      <c r="E865" t="s">
        <v>2039</v>
      </c>
      <c r="F865">
        <v>45</v>
      </c>
      <c r="G865" s="1">
        <v>45139</v>
      </c>
      <c r="H865" t="s">
        <v>2040</v>
      </c>
      <c r="I865" s="2">
        <v>78096.39</v>
      </c>
      <c r="J865">
        <v>4</v>
      </c>
      <c r="K865">
        <v>90.54</v>
      </c>
      <c r="L865">
        <v>2</v>
      </c>
      <c r="M865">
        <v>28</v>
      </c>
      <c r="N865">
        <v>44</v>
      </c>
      <c r="O865" t="s">
        <v>2045</v>
      </c>
      <c r="P865" t="s">
        <v>2062</v>
      </c>
      <c r="Q865" s="2">
        <f>Employee_Data[[#This Row],[Monthly Salary]]*12</f>
        <v>937156.67999999993</v>
      </c>
    </row>
    <row r="866" spans="1:17" x14ac:dyDescent="0.25">
      <c r="A866" t="s">
        <v>880</v>
      </c>
      <c r="B866" t="s">
        <v>1874</v>
      </c>
      <c r="C866" t="s">
        <v>2010</v>
      </c>
      <c r="D866" t="s">
        <v>2018</v>
      </c>
      <c r="E866" t="s">
        <v>2039</v>
      </c>
      <c r="F866">
        <v>44</v>
      </c>
      <c r="G866" s="1">
        <v>44923</v>
      </c>
      <c r="H866" t="s">
        <v>2041</v>
      </c>
      <c r="I866" s="2">
        <v>67392.639999999999</v>
      </c>
      <c r="J866">
        <v>2</v>
      </c>
      <c r="K866">
        <v>98.42</v>
      </c>
      <c r="L866">
        <v>3</v>
      </c>
      <c r="M866">
        <v>7</v>
      </c>
      <c r="N866">
        <v>58</v>
      </c>
      <c r="O866" t="s">
        <v>2053</v>
      </c>
      <c r="P866" t="s">
        <v>2062</v>
      </c>
      <c r="Q866" s="2">
        <f>Employee_Data[[#This Row],[Monthly Salary]]*12</f>
        <v>808711.67999999993</v>
      </c>
    </row>
    <row r="867" spans="1:17" x14ac:dyDescent="0.25">
      <c r="A867" t="s">
        <v>881</v>
      </c>
      <c r="B867" t="s">
        <v>1875</v>
      </c>
      <c r="C867" t="s">
        <v>2015</v>
      </c>
      <c r="D867" t="s">
        <v>2026</v>
      </c>
      <c r="E867" t="s">
        <v>2038</v>
      </c>
      <c r="F867">
        <v>30</v>
      </c>
      <c r="G867" s="1">
        <v>42667</v>
      </c>
      <c r="H867" t="s">
        <v>2041</v>
      </c>
      <c r="I867" s="2">
        <v>117181.96</v>
      </c>
      <c r="J867">
        <v>4</v>
      </c>
      <c r="K867">
        <v>84.85</v>
      </c>
      <c r="L867">
        <v>9</v>
      </c>
      <c r="M867">
        <v>28</v>
      </c>
      <c r="N867">
        <v>3</v>
      </c>
      <c r="O867" t="s">
        <v>2060</v>
      </c>
      <c r="P867" t="s">
        <v>2062</v>
      </c>
      <c r="Q867" s="2">
        <f>Employee_Data[[#This Row],[Monthly Salary]]*12</f>
        <v>1406183.52</v>
      </c>
    </row>
    <row r="868" spans="1:17" x14ac:dyDescent="0.25">
      <c r="A868" t="s">
        <v>882</v>
      </c>
      <c r="B868" t="s">
        <v>1876</v>
      </c>
      <c r="C868" t="s">
        <v>2015</v>
      </c>
      <c r="D868" t="s">
        <v>2026</v>
      </c>
      <c r="E868" t="s">
        <v>2039</v>
      </c>
      <c r="F868">
        <v>48</v>
      </c>
      <c r="G868" s="1">
        <v>45302</v>
      </c>
      <c r="H868" t="s">
        <v>2042</v>
      </c>
      <c r="I868" s="2">
        <v>25408.33</v>
      </c>
      <c r="J868">
        <v>1</v>
      </c>
      <c r="K868">
        <v>93.25</v>
      </c>
      <c r="L868">
        <v>1</v>
      </c>
      <c r="M868">
        <v>9</v>
      </c>
      <c r="N868">
        <v>30</v>
      </c>
      <c r="O868" t="s">
        <v>2058</v>
      </c>
      <c r="P868" t="s">
        <v>2063</v>
      </c>
      <c r="Q868" s="2">
        <f>Employee_Data[[#This Row],[Monthly Salary]]*12</f>
        <v>304899.96000000002</v>
      </c>
    </row>
    <row r="869" spans="1:17" x14ac:dyDescent="0.25">
      <c r="A869" t="s">
        <v>883</v>
      </c>
      <c r="B869" t="s">
        <v>1877</v>
      </c>
      <c r="C869" t="s">
        <v>2010</v>
      </c>
      <c r="D869" t="s">
        <v>2018</v>
      </c>
      <c r="E869" t="s">
        <v>2038</v>
      </c>
      <c r="F869">
        <v>30</v>
      </c>
      <c r="G869" s="1">
        <v>44662</v>
      </c>
      <c r="H869" t="s">
        <v>2040</v>
      </c>
      <c r="I869" s="2">
        <v>44504.58</v>
      </c>
      <c r="J869">
        <v>1</v>
      </c>
      <c r="K869">
        <v>91.38</v>
      </c>
      <c r="L869">
        <v>3</v>
      </c>
      <c r="M869">
        <v>53</v>
      </c>
      <c r="N869">
        <v>9</v>
      </c>
      <c r="O869" t="s">
        <v>2048</v>
      </c>
      <c r="P869" t="s">
        <v>2062</v>
      </c>
      <c r="Q869" s="2">
        <f>Employee_Data[[#This Row],[Monthly Salary]]*12</f>
        <v>534054.96</v>
      </c>
    </row>
    <row r="870" spans="1:17" x14ac:dyDescent="0.25">
      <c r="A870" t="s">
        <v>884</v>
      </c>
      <c r="B870" t="s">
        <v>1878</v>
      </c>
      <c r="C870" t="s">
        <v>2015</v>
      </c>
      <c r="D870" t="s">
        <v>2027</v>
      </c>
      <c r="E870" t="s">
        <v>2038</v>
      </c>
      <c r="F870">
        <v>51</v>
      </c>
      <c r="G870" s="1">
        <v>43114</v>
      </c>
      <c r="H870" t="s">
        <v>2042</v>
      </c>
      <c r="I870" s="2">
        <v>92255.74</v>
      </c>
      <c r="J870">
        <v>4</v>
      </c>
      <c r="K870">
        <v>95.63</v>
      </c>
      <c r="L870">
        <v>7</v>
      </c>
      <c r="M870">
        <v>1</v>
      </c>
      <c r="N870">
        <v>18</v>
      </c>
      <c r="O870" t="s">
        <v>2047</v>
      </c>
      <c r="P870" t="s">
        <v>2062</v>
      </c>
      <c r="Q870" s="2">
        <f>Employee_Data[[#This Row],[Monthly Salary]]*12</f>
        <v>1107068.8800000001</v>
      </c>
    </row>
    <row r="871" spans="1:17" x14ac:dyDescent="0.25">
      <c r="A871" t="s">
        <v>885</v>
      </c>
      <c r="B871" t="s">
        <v>1879</v>
      </c>
      <c r="C871" t="s">
        <v>2010</v>
      </c>
      <c r="D871" t="s">
        <v>2037</v>
      </c>
      <c r="E871" t="s">
        <v>2039</v>
      </c>
      <c r="F871">
        <v>53</v>
      </c>
      <c r="G871" s="1">
        <v>42696</v>
      </c>
      <c r="H871" t="s">
        <v>2040</v>
      </c>
      <c r="I871" s="2">
        <v>21086.76</v>
      </c>
      <c r="J871">
        <v>4</v>
      </c>
      <c r="K871">
        <v>93.6</v>
      </c>
      <c r="L871">
        <v>9</v>
      </c>
      <c r="M871">
        <v>58</v>
      </c>
      <c r="N871">
        <v>35</v>
      </c>
      <c r="O871" t="s">
        <v>2055</v>
      </c>
      <c r="P871" t="s">
        <v>2063</v>
      </c>
      <c r="Q871" s="2">
        <f>Employee_Data[[#This Row],[Monthly Salary]]*12</f>
        <v>253041.12</v>
      </c>
    </row>
    <row r="872" spans="1:17" x14ac:dyDescent="0.25">
      <c r="A872" t="s">
        <v>886</v>
      </c>
      <c r="B872" t="s">
        <v>1880</v>
      </c>
      <c r="C872" t="s">
        <v>2011</v>
      </c>
      <c r="D872" t="s">
        <v>2031</v>
      </c>
      <c r="E872" t="s">
        <v>2039</v>
      </c>
      <c r="F872">
        <v>48</v>
      </c>
      <c r="G872" s="1">
        <v>45564</v>
      </c>
      <c r="H872" t="s">
        <v>2040</v>
      </c>
      <c r="I872" s="2">
        <v>47182.76</v>
      </c>
      <c r="J872">
        <v>1</v>
      </c>
      <c r="K872">
        <v>90.43</v>
      </c>
      <c r="L872">
        <v>1</v>
      </c>
      <c r="M872">
        <v>16</v>
      </c>
      <c r="N872">
        <v>47</v>
      </c>
      <c r="O872" t="s">
        <v>2059</v>
      </c>
      <c r="P872" t="s">
        <v>2062</v>
      </c>
      <c r="Q872" s="2">
        <f>Employee_Data[[#This Row],[Monthly Salary]]*12</f>
        <v>566193.12</v>
      </c>
    </row>
    <row r="873" spans="1:17" x14ac:dyDescent="0.25">
      <c r="A873" t="s">
        <v>887</v>
      </c>
      <c r="B873" t="s">
        <v>1881</v>
      </c>
      <c r="C873" t="s">
        <v>2010</v>
      </c>
      <c r="D873" t="s">
        <v>2018</v>
      </c>
      <c r="E873" t="s">
        <v>2038</v>
      </c>
      <c r="F873">
        <v>32</v>
      </c>
      <c r="G873" s="1">
        <v>44405</v>
      </c>
      <c r="H873" t="s">
        <v>2041</v>
      </c>
      <c r="I873" s="2">
        <v>117598.74</v>
      </c>
      <c r="J873">
        <v>5</v>
      </c>
      <c r="K873">
        <v>96.83</v>
      </c>
      <c r="L873">
        <v>4</v>
      </c>
      <c r="M873">
        <v>59</v>
      </c>
      <c r="N873">
        <v>30</v>
      </c>
      <c r="O873" t="s">
        <v>2054</v>
      </c>
      <c r="P873" t="s">
        <v>2062</v>
      </c>
      <c r="Q873" s="2">
        <f>Employee_Data[[#This Row],[Monthly Salary]]*12</f>
        <v>1411184.8800000001</v>
      </c>
    </row>
    <row r="874" spans="1:17" x14ac:dyDescent="0.25">
      <c r="A874" t="s">
        <v>888</v>
      </c>
      <c r="B874" t="s">
        <v>1882</v>
      </c>
      <c r="C874" t="s">
        <v>2016</v>
      </c>
      <c r="D874" t="s">
        <v>2034</v>
      </c>
      <c r="E874" t="s">
        <v>2039</v>
      </c>
      <c r="F874">
        <v>24</v>
      </c>
      <c r="G874" s="1">
        <v>44992</v>
      </c>
      <c r="H874" t="s">
        <v>2042</v>
      </c>
      <c r="I874" s="2">
        <v>84664.72</v>
      </c>
      <c r="J874">
        <v>2</v>
      </c>
      <c r="K874">
        <v>85.4</v>
      </c>
      <c r="L874">
        <v>2</v>
      </c>
      <c r="M874">
        <v>13</v>
      </c>
      <c r="N874">
        <v>4</v>
      </c>
      <c r="O874" t="s">
        <v>2053</v>
      </c>
      <c r="P874" t="s">
        <v>2062</v>
      </c>
      <c r="Q874" s="2">
        <f>Employee_Data[[#This Row],[Monthly Salary]]*12</f>
        <v>1015976.64</v>
      </c>
    </row>
    <row r="875" spans="1:17" x14ac:dyDescent="0.25">
      <c r="A875" t="s">
        <v>889</v>
      </c>
      <c r="B875" t="s">
        <v>1883</v>
      </c>
      <c r="C875" t="s">
        <v>2012</v>
      </c>
      <c r="D875" t="s">
        <v>2021</v>
      </c>
      <c r="E875" t="s">
        <v>2039</v>
      </c>
      <c r="F875">
        <v>39</v>
      </c>
      <c r="G875" s="1">
        <v>44694</v>
      </c>
      <c r="H875" t="s">
        <v>2040</v>
      </c>
      <c r="I875" s="2">
        <v>74156.789999999994</v>
      </c>
      <c r="J875">
        <v>1</v>
      </c>
      <c r="K875">
        <v>84.24</v>
      </c>
      <c r="L875">
        <v>3</v>
      </c>
      <c r="M875">
        <v>1</v>
      </c>
      <c r="N875">
        <v>48</v>
      </c>
      <c r="O875" t="s">
        <v>2051</v>
      </c>
      <c r="P875" t="s">
        <v>2062</v>
      </c>
      <c r="Q875" s="2">
        <f>Employee_Data[[#This Row],[Monthly Salary]]*12</f>
        <v>889881.48</v>
      </c>
    </row>
    <row r="876" spans="1:17" x14ac:dyDescent="0.25">
      <c r="A876" t="s">
        <v>890</v>
      </c>
      <c r="B876" t="s">
        <v>1884</v>
      </c>
      <c r="C876" t="s">
        <v>2014</v>
      </c>
      <c r="D876" t="s">
        <v>2028</v>
      </c>
      <c r="E876" t="s">
        <v>2039</v>
      </c>
      <c r="F876">
        <v>36</v>
      </c>
      <c r="G876" s="1">
        <v>42642</v>
      </c>
      <c r="H876" t="s">
        <v>2042</v>
      </c>
      <c r="I876" s="2">
        <v>28503.94</v>
      </c>
      <c r="J876">
        <v>5</v>
      </c>
      <c r="K876">
        <v>91.3</v>
      </c>
      <c r="L876">
        <v>9</v>
      </c>
      <c r="M876">
        <v>72</v>
      </c>
      <c r="N876">
        <v>50</v>
      </c>
      <c r="O876" t="s">
        <v>2050</v>
      </c>
      <c r="P876" t="s">
        <v>2062</v>
      </c>
      <c r="Q876" s="2">
        <f>Employee_Data[[#This Row],[Monthly Salary]]*12</f>
        <v>342047.27999999997</v>
      </c>
    </row>
    <row r="877" spans="1:17" x14ac:dyDescent="0.25">
      <c r="A877" t="s">
        <v>891</v>
      </c>
      <c r="B877" t="s">
        <v>1885</v>
      </c>
      <c r="C877" t="s">
        <v>2012</v>
      </c>
      <c r="D877" t="s">
        <v>2021</v>
      </c>
      <c r="E877" t="s">
        <v>2038</v>
      </c>
      <c r="F877">
        <v>21</v>
      </c>
      <c r="G877" s="1">
        <v>45219</v>
      </c>
      <c r="H877" t="s">
        <v>2042</v>
      </c>
      <c r="I877" s="2">
        <v>95167.94</v>
      </c>
      <c r="J877">
        <v>4</v>
      </c>
      <c r="K877">
        <v>90</v>
      </c>
      <c r="L877">
        <v>2</v>
      </c>
      <c r="M877">
        <v>40</v>
      </c>
      <c r="N877">
        <v>48</v>
      </c>
      <c r="O877" t="s">
        <v>2061</v>
      </c>
      <c r="P877" t="s">
        <v>2062</v>
      </c>
      <c r="Q877" s="2">
        <f>Employee_Data[[#This Row],[Monthly Salary]]*12</f>
        <v>1142015.28</v>
      </c>
    </row>
    <row r="878" spans="1:17" x14ac:dyDescent="0.25">
      <c r="A878" t="s">
        <v>892</v>
      </c>
      <c r="B878" t="s">
        <v>1886</v>
      </c>
      <c r="C878" t="s">
        <v>2015</v>
      </c>
      <c r="D878" t="s">
        <v>2027</v>
      </c>
      <c r="E878" t="s">
        <v>2039</v>
      </c>
      <c r="F878">
        <v>42</v>
      </c>
      <c r="G878" s="1">
        <v>45357</v>
      </c>
      <c r="H878" t="s">
        <v>2042</v>
      </c>
      <c r="I878" s="2">
        <v>109651.12</v>
      </c>
      <c r="J878">
        <v>5</v>
      </c>
      <c r="K878">
        <v>82.02</v>
      </c>
      <c r="L878">
        <v>1</v>
      </c>
      <c r="M878">
        <v>19</v>
      </c>
      <c r="N878">
        <v>1</v>
      </c>
      <c r="O878" t="s">
        <v>2043</v>
      </c>
      <c r="P878" t="s">
        <v>2062</v>
      </c>
      <c r="Q878" s="2">
        <f>Employee_Data[[#This Row],[Monthly Salary]]*12</f>
        <v>1315813.44</v>
      </c>
    </row>
    <row r="879" spans="1:17" x14ac:dyDescent="0.25">
      <c r="A879" t="s">
        <v>893</v>
      </c>
      <c r="B879" t="s">
        <v>1887</v>
      </c>
      <c r="C879" t="s">
        <v>2013</v>
      </c>
      <c r="D879" t="s">
        <v>2025</v>
      </c>
      <c r="E879" t="s">
        <v>2038</v>
      </c>
      <c r="F879">
        <v>31</v>
      </c>
      <c r="G879" s="1">
        <v>45452</v>
      </c>
      <c r="H879" t="s">
        <v>2040</v>
      </c>
      <c r="I879" s="2">
        <v>88237.4</v>
      </c>
      <c r="J879">
        <v>1</v>
      </c>
      <c r="K879">
        <v>97.7</v>
      </c>
      <c r="L879">
        <v>1</v>
      </c>
      <c r="M879">
        <v>11</v>
      </c>
      <c r="N879">
        <v>60</v>
      </c>
      <c r="O879" t="s">
        <v>2044</v>
      </c>
      <c r="P879" t="s">
        <v>2063</v>
      </c>
      <c r="Q879" s="2">
        <f>Employee_Data[[#This Row],[Monthly Salary]]*12</f>
        <v>1058848.7999999998</v>
      </c>
    </row>
    <row r="880" spans="1:17" x14ac:dyDescent="0.25">
      <c r="A880" t="s">
        <v>894</v>
      </c>
      <c r="B880" t="s">
        <v>1888</v>
      </c>
      <c r="C880" t="s">
        <v>2015</v>
      </c>
      <c r="D880" t="s">
        <v>2027</v>
      </c>
      <c r="E880" t="s">
        <v>2039</v>
      </c>
      <c r="F880">
        <v>53</v>
      </c>
      <c r="G880" s="1">
        <v>43763</v>
      </c>
      <c r="H880" t="s">
        <v>2041</v>
      </c>
      <c r="I880" s="2">
        <v>119227.89</v>
      </c>
      <c r="J880">
        <v>5</v>
      </c>
      <c r="K880">
        <v>93.03</v>
      </c>
      <c r="L880">
        <v>6</v>
      </c>
      <c r="M880">
        <v>43</v>
      </c>
      <c r="N880">
        <v>28</v>
      </c>
      <c r="O880" t="s">
        <v>2060</v>
      </c>
      <c r="P880" t="s">
        <v>2062</v>
      </c>
      <c r="Q880" s="2">
        <f>Employee_Data[[#This Row],[Monthly Salary]]*12</f>
        <v>1430734.68</v>
      </c>
    </row>
    <row r="881" spans="1:17" x14ac:dyDescent="0.25">
      <c r="A881" t="s">
        <v>895</v>
      </c>
      <c r="B881" t="s">
        <v>1889</v>
      </c>
      <c r="C881" t="s">
        <v>2012</v>
      </c>
      <c r="D881" t="s">
        <v>2020</v>
      </c>
      <c r="E881" t="s">
        <v>2039</v>
      </c>
      <c r="F881">
        <v>45</v>
      </c>
      <c r="G881" s="1">
        <v>42849</v>
      </c>
      <c r="H881" t="s">
        <v>2040</v>
      </c>
      <c r="I881" s="2">
        <v>40882.06</v>
      </c>
      <c r="J881">
        <v>5</v>
      </c>
      <c r="K881">
        <v>92.14</v>
      </c>
      <c r="L881">
        <v>8</v>
      </c>
      <c r="M881">
        <v>19</v>
      </c>
      <c r="N881">
        <v>36</v>
      </c>
      <c r="O881" t="s">
        <v>2050</v>
      </c>
      <c r="P881" t="s">
        <v>2062</v>
      </c>
      <c r="Q881" s="2">
        <f>Employee_Data[[#This Row],[Monthly Salary]]*12</f>
        <v>490584.72</v>
      </c>
    </row>
    <row r="882" spans="1:17" x14ac:dyDescent="0.25">
      <c r="A882" t="s">
        <v>896</v>
      </c>
      <c r="B882" t="s">
        <v>1890</v>
      </c>
      <c r="C882" t="s">
        <v>2010</v>
      </c>
      <c r="D882" t="s">
        <v>2018</v>
      </c>
      <c r="E882" t="s">
        <v>2038</v>
      </c>
      <c r="F882">
        <v>56</v>
      </c>
      <c r="G882" s="1">
        <v>45393</v>
      </c>
      <c r="H882" t="s">
        <v>2040</v>
      </c>
      <c r="I882" s="2">
        <v>69891.23</v>
      </c>
      <c r="J882">
        <v>4</v>
      </c>
      <c r="K882">
        <v>86.27</v>
      </c>
      <c r="L882">
        <v>1</v>
      </c>
      <c r="M882">
        <v>37</v>
      </c>
      <c r="N882">
        <v>10</v>
      </c>
      <c r="O882" t="s">
        <v>2045</v>
      </c>
      <c r="P882" t="s">
        <v>2062</v>
      </c>
      <c r="Q882" s="2">
        <f>Employee_Data[[#This Row],[Monthly Salary]]*12</f>
        <v>838694.76</v>
      </c>
    </row>
    <row r="883" spans="1:17" x14ac:dyDescent="0.25">
      <c r="A883" t="s">
        <v>897</v>
      </c>
      <c r="B883" t="s">
        <v>1891</v>
      </c>
      <c r="C883" t="s">
        <v>2012</v>
      </c>
      <c r="D883" t="s">
        <v>2020</v>
      </c>
      <c r="E883" t="s">
        <v>2039</v>
      </c>
      <c r="F883">
        <v>25</v>
      </c>
      <c r="G883" s="1">
        <v>42525</v>
      </c>
      <c r="H883" t="s">
        <v>2040</v>
      </c>
      <c r="I883" s="2">
        <v>91065.5</v>
      </c>
      <c r="J883">
        <v>4</v>
      </c>
      <c r="K883">
        <v>85.16</v>
      </c>
      <c r="L883">
        <v>9</v>
      </c>
      <c r="M883">
        <v>60</v>
      </c>
      <c r="N883">
        <v>16</v>
      </c>
      <c r="O883" t="s">
        <v>2056</v>
      </c>
      <c r="P883" t="s">
        <v>2062</v>
      </c>
      <c r="Q883" s="2">
        <f>Employee_Data[[#This Row],[Monthly Salary]]*12</f>
        <v>1092786</v>
      </c>
    </row>
    <row r="884" spans="1:17" x14ac:dyDescent="0.25">
      <c r="A884" t="s">
        <v>898</v>
      </c>
      <c r="B884" t="s">
        <v>1892</v>
      </c>
      <c r="C884" t="s">
        <v>2015</v>
      </c>
      <c r="D884" t="s">
        <v>2033</v>
      </c>
      <c r="E884" t="s">
        <v>2038</v>
      </c>
      <c r="F884">
        <v>23</v>
      </c>
      <c r="G884" s="1">
        <v>44195</v>
      </c>
      <c r="H884" t="s">
        <v>2042</v>
      </c>
      <c r="I884" s="2">
        <v>105900.33</v>
      </c>
      <c r="J884">
        <v>4</v>
      </c>
      <c r="K884">
        <v>88.18</v>
      </c>
      <c r="L884">
        <v>5</v>
      </c>
      <c r="M884">
        <v>79</v>
      </c>
      <c r="N884">
        <v>58</v>
      </c>
      <c r="O884" t="s">
        <v>2060</v>
      </c>
      <c r="P884" t="s">
        <v>2062</v>
      </c>
      <c r="Q884" s="2">
        <f>Employee_Data[[#This Row],[Monthly Salary]]*12</f>
        <v>1270803.96</v>
      </c>
    </row>
    <row r="885" spans="1:17" x14ac:dyDescent="0.25">
      <c r="A885" t="s">
        <v>899</v>
      </c>
      <c r="B885" t="s">
        <v>1893</v>
      </c>
      <c r="C885" t="s">
        <v>2012</v>
      </c>
      <c r="D885" t="s">
        <v>2020</v>
      </c>
      <c r="E885" t="s">
        <v>2039</v>
      </c>
      <c r="F885">
        <v>47</v>
      </c>
      <c r="G885" s="1">
        <v>45137</v>
      </c>
      <c r="H885" t="s">
        <v>2041</v>
      </c>
      <c r="I885" s="2">
        <v>65009.23</v>
      </c>
      <c r="J885">
        <v>1</v>
      </c>
      <c r="K885">
        <v>92.41</v>
      </c>
      <c r="L885">
        <v>2</v>
      </c>
      <c r="M885">
        <v>7</v>
      </c>
      <c r="N885">
        <v>47</v>
      </c>
      <c r="O885" t="s">
        <v>2044</v>
      </c>
      <c r="P885" t="s">
        <v>2062</v>
      </c>
      <c r="Q885" s="2">
        <f>Employee_Data[[#This Row],[Monthly Salary]]*12</f>
        <v>780110.76</v>
      </c>
    </row>
    <row r="886" spans="1:17" x14ac:dyDescent="0.25">
      <c r="A886" t="s">
        <v>900</v>
      </c>
      <c r="B886" t="s">
        <v>1894</v>
      </c>
      <c r="C886" t="s">
        <v>2010</v>
      </c>
      <c r="D886" t="s">
        <v>2018</v>
      </c>
      <c r="E886" t="s">
        <v>2039</v>
      </c>
      <c r="F886">
        <v>39</v>
      </c>
      <c r="G886" s="1">
        <v>43688</v>
      </c>
      <c r="H886" t="s">
        <v>2042</v>
      </c>
      <c r="I886" s="2">
        <v>35820.58</v>
      </c>
      <c r="J886">
        <v>4</v>
      </c>
      <c r="K886">
        <v>97.08</v>
      </c>
      <c r="L886">
        <v>6</v>
      </c>
      <c r="M886">
        <v>28</v>
      </c>
      <c r="N886">
        <v>24</v>
      </c>
      <c r="O886" t="s">
        <v>2056</v>
      </c>
      <c r="P886" t="s">
        <v>2062</v>
      </c>
      <c r="Q886" s="2">
        <f>Employee_Data[[#This Row],[Monthly Salary]]*12</f>
        <v>429846.96</v>
      </c>
    </row>
    <row r="887" spans="1:17" x14ac:dyDescent="0.25">
      <c r="A887" t="s">
        <v>901</v>
      </c>
      <c r="B887" t="s">
        <v>1895</v>
      </c>
      <c r="C887" t="s">
        <v>2012</v>
      </c>
      <c r="D887" t="s">
        <v>2020</v>
      </c>
      <c r="E887" t="s">
        <v>2038</v>
      </c>
      <c r="F887">
        <v>55</v>
      </c>
      <c r="G887" s="1">
        <v>45242</v>
      </c>
      <c r="H887" t="s">
        <v>2042</v>
      </c>
      <c r="I887" s="2">
        <v>30911.91</v>
      </c>
      <c r="J887">
        <v>2</v>
      </c>
      <c r="K887">
        <v>94.64</v>
      </c>
      <c r="L887">
        <v>2</v>
      </c>
      <c r="M887">
        <v>50</v>
      </c>
      <c r="N887">
        <v>49</v>
      </c>
      <c r="O887" t="s">
        <v>1505</v>
      </c>
      <c r="P887" t="s">
        <v>2062</v>
      </c>
      <c r="Q887" s="2">
        <f>Employee_Data[[#This Row],[Monthly Salary]]*12</f>
        <v>370942.92</v>
      </c>
    </row>
    <row r="888" spans="1:17" x14ac:dyDescent="0.25">
      <c r="A888" t="s">
        <v>902</v>
      </c>
      <c r="B888" t="s">
        <v>1896</v>
      </c>
      <c r="C888" t="s">
        <v>2012</v>
      </c>
      <c r="D888" t="s">
        <v>2021</v>
      </c>
      <c r="E888" t="s">
        <v>2038</v>
      </c>
      <c r="F888">
        <v>42</v>
      </c>
      <c r="G888" s="1">
        <v>42908</v>
      </c>
      <c r="H888" t="s">
        <v>2041</v>
      </c>
      <c r="I888" s="2">
        <v>68629.5</v>
      </c>
      <c r="J888">
        <v>4</v>
      </c>
      <c r="K888">
        <v>82.29</v>
      </c>
      <c r="L888">
        <v>8</v>
      </c>
      <c r="M888">
        <v>58</v>
      </c>
      <c r="N888">
        <v>2</v>
      </c>
      <c r="O888" t="s">
        <v>2046</v>
      </c>
      <c r="P888" t="s">
        <v>2062</v>
      </c>
      <c r="Q888" s="2">
        <f>Employee_Data[[#This Row],[Monthly Salary]]*12</f>
        <v>823554</v>
      </c>
    </row>
    <row r="889" spans="1:17" x14ac:dyDescent="0.25">
      <c r="A889" t="s">
        <v>903</v>
      </c>
      <c r="B889" t="s">
        <v>1897</v>
      </c>
      <c r="C889" t="s">
        <v>2013</v>
      </c>
      <c r="D889" t="s">
        <v>2025</v>
      </c>
      <c r="E889" t="s">
        <v>2039</v>
      </c>
      <c r="F889">
        <v>41</v>
      </c>
      <c r="G889" s="1">
        <v>44117</v>
      </c>
      <c r="H889" t="s">
        <v>2041</v>
      </c>
      <c r="I889" s="2">
        <v>23132.33</v>
      </c>
      <c r="J889">
        <v>5</v>
      </c>
      <c r="K889">
        <v>95.48</v>
      </c>
      <c r="L889">
        <v>5</v>
      </c>
      <c r="M889">
        <v>7</v>
      </c>
      <c r="N889">
        <v>59</v>
      </c>
      <c r="O889" t="s">
        <v>2053</v>
      </c>
      <c r="P889" t="s">
        <v>2062</v>
      </c>
      <c r="Q889" s="2">
        <f>Employee_Data[[#This Row],[Monthly Salary]]*12</f>
        <v>277587.96000000002</v>
      </c>
    </row>
    <row r="890" spans="1:17" x14ac:dyDescent="0.25">
      <c r="A890" t="s">
        <v>904</v>
      </c>
      <c r="B890" t="s">
        <v>1898</v>
      </c>
      <c r="C890" t="s">
        <v>2013</v>
      </c>
      <c r="D890" t="s">
        <v>2025</v>
      </c>
      <c r="E890" t="s">
        <v>2039</v>
      </c>
      <c r="F890">
        <v>34</v>
      </c>
      <c r="G890" s="1">
        <v>43323</v>
      </c>
      <c r="H890" t="s">
        <v>2040</v>
      </c>
      <c r="I890" s="2">
        <v>115264.5</v>
      </c>
      <c r="J890">
        <v>4</v>
      </c>
      <c r="K890">
        <v>85.4</v>
      </c>
      <c r="L890">
        <v>7</v>
      </c>
      <c r="M890">
        <v>22</v>
      </c>
      <c r="N890">
        <v>5</v>
      </c>
      <c r="O890" t="s">
        <v>2060</v>
      </c>
      <c r="P890" t="s">
        <v>2062</v>
      </c>
      <c r="Q890" s="2">
        <f>Employee_Data[[#This Row],[Monthly Salary]]*12</f>
        <v>1383174</v>
      </c>
    </row>
    <row r="891" spans="1:17" x14ac:dyDescent="0.25">
      <c r="A891" t="s">
        <v>905</v>
      </c>
      <c r="B891" t="s">
        <v>1899</v>
      </c>
      <c r="C891" t="s">
        <v>2016</v>
      </c>
      <c r="D891" t="s">
        <v>2032</v>
      </c>
      <c r="E891" t="s">
        <v>2038</v>
      </c>
      <c r="F891">
        <v>49</v>
      </c>
      <c r="G891" s="1">
        <v>43883</v>
      </c>
      <c r="H891" t="s">
        <v>2042</v>
      </c>
      <c r="I891" s="2">
        <v>72477.789999999994</v>
      </c>
      <c r="J891">
        <v>3</v>
      </c>
      <c r="K891">
        <v>83.68</v>
      </c>
      <c r="L891">
        <v>5</v>
      </c>
      <c r="M891">
        <v>6</v>
      </c>
      <c r="N891">
        <v>5</v>
      </c>
      <c r="O891" t="s">
        <v>1505</v>
      </c>
      <c r="P891" t="s">
        <v>2062</v>
      </c>
      <c r="Q891" s="2">
        <f>Employee_Data[[#This Row],[Monthly Salary]]*12</f>
        <v>869733.48</v>
      </c>
    </row>
    <row r="892" spans="1:17" x14ac:dyDescent="0.25">
      <c r="A892" t="s">
        <v>906</v>
      </c>
      <c r="B892" t="s">
        <v>1900</v>
      </c>
      <c r="C892" t="s">
        <v>2011</v>
      </c>
      <c r="D892" t="s">
        <v>2019</v>
      </c>
      <c r="E892" t="s">
        <v>2039</v>
      </c>
      <c r="F892">
        <v>43</v>
      </c>
      <c r="G892" s="1">
        <v>44744</v>
      </c>
      <c r="H892" t="s">
        <v>2042</v>
      </c>
      <c r="I892" s="2">
        <v>68162.53</v>
      </c>
      <c r="J892">
        <v>5</v>
      </c>
      <c r="K892">
        <v>93.78</v>
      </c>
      <c r="L892">
        <v>3</v>
      </c>
      <c r="M892">
        <v>20</v>
      </c>
      <c r="N892">
        <v>44</v>
      </c>
      <c r="O892" t="s">
        <v>1505</v>
      </c>
      <c r="P892" t="s">
        <v>2062</v>
      </c>
      <c r="Q892" s="2">
        <f>Employee_Data[[#This Row],[Monthly Salary]]*12</f>
        <v>817950.36</v>
      </c>
    </row>
    <row r="893" spans="1:17" x14ac:dyDescent="0.25">
      <c r="A893" t="s">
        <v>907</v>
      </c>
      <c r="B893" t="s">
        <v>1901</v>
      </c>
      <c r="C893" t="s">
        <v>2016</v>
      </c>
      <c r="D893" t="s">
        <v>2032</v>
      </c>
      <c r="E893" t="s">
        <v>2039</v>
      </c>
      <c r="F893">
        <v>25</v>
      </c>
      <c r="G893" s="1">
        <v>44402</v>
      </c>
      <c r="H893" t="s">
        <v>2041</v>
      </c>
      <c r="I893" s="2">
        <v>86796.25</v>
      </c>
      <c r="J893">
        <v>5</v>
      </c>
      <c r="K893">
        <v>82.89</v>
      </c>
      <c r="L893">
        <v>4</v>
      </c>
      <c r="M893">
        <v>40</v>
      </c>
      <c r="N893">
        <v>0</v>
      </c>
      <c r="O893" t="s">
        <v>2060</v>
      </c>
      <c r="P893" t="s">
        <v>2063</v>
      </c>
      <c r="Q893" s="2">
        <f>Employee_Data[[#This Row],[Monthly Salary]]*12</f>
        <v>1041555</v>
      </c>
    </row>
    <row r="894" spans="1:17" x14ac:dyDescent="0.25">
      <c r="A894" t="s">
        <v>908</v>
      </c>
      <c r="B894" t="s">
        <v>1902</v>
      </c>
      <c r="C894" t="s">
        <v>2015</v>
      </c>
      <c r="D894" t="s">
        <v>2026</v>
      </c>
      <c r="E894" t="s">
        <v>2038</v>
      </c>
      <c r="F894">
        <v>28</v>
      </c>
      <c r="G894" s="1">
        <v>43068</v>
      </c>
      <c r="H894" t="s">
        <v>2041</v>
      </c>
      <c r="I894" s="2">
        <v>60638.66</v>
      </c>
      <c r="J894">
        <v>5</v>
      </c>
      <c r="K894">
        <v>94.45</v>
      </c>
      <c r="L894">
        <v>8</v>
      </c>
      <c r="M894">
        <v>57</v>
      </c>
      <c r="N894">
        <v>60</v>
      </c>
      <c r="O894" t="s">
        <v>2060</v>
      </c>
      <c r="P894" t="s">
        <v>2062</v>
      </c>
      <c r="Q894" s="2">
        <f>Employee_Data[[#This Row],[Monthly Salary]]*12</f>
        <v>727663.92</v>
      </c>
    </row>
    <row r="895" spans="1:17" x14ac:dyDescent="0.25">
      <c r="A895" t="s">
        <v>909</v>
      </c>
      <c r="B895" t="s">
        <v>1903</v>
      </c>
      <c r="C895" t="s">
        <v>2009</v>
      </c>
      <c r="D895" t="s">
        <v>2017</v>
      </c>
      <c r="E895" t="s">
        <v>2039</v>
      </c>
      <c r="F895">
        <v>33</v>
      </c>
      <c r="G895" s="1">
        <v>45435</v>
      </c>
      <c r="H895" t="s">
        <v>2042</v>
      </c>
      <c r="I895" s="2">
        <v>89644.61</v>
      </c>
      <c r="J895">
        <v>2</v>
      </c>
      <c r="K895">
        <v>92.02</v>
      </c>
      <c r="L895">
        <v>1</v>
      </c>
      <c r="M895">
        <v>27</v>
      </c>
      <c r="N895">
        <v>22</v>
      </c>
      <c r="O895" t="s">
        <v>2059</v>
      </c>
      <c r="P895" t="s">
        <v>2063</v>
      </c>
      <c r="Q895" s="2">
        <f>Employee_Data[[#This Row],[Monthly Salary]]*12</f>
        <v>1075735.32</v>
      </c>
    </row>
    <row r="896" spans="1:17" x14ac:dyDescent="0.25">
      <c r="A896" t="s">
        <v>910</v>
      </c>
      <c r="B896" t="s">
        <v>1904</v>
      </c>
      <c r="C896" t="s">
        <v>2010</v>
      </c>
      <c r="D896" t="s">
        <v>2024</v>
      </c>
      <c r="E896" t="s">
        <v>2038</v>
      </c>
      <c r="F896">
        <v>22</v>
      </c>
      <c r="G896" s="1">
        <v>42604</v>
      </c>
      <c r="H896" t="s">
        <v>2042</v>
      </c>
      <c r="I896" s="2">
        <v>109665.49</v>
      </c>
      <c r="J896">
        <v>5</v>
      </c>
      <c r="K896">
        <v>96.38</v>
      </c>
      <c r="L896">
        <v>9</v>
      </c>
      <c r="M896">
        <v>15</v>
      </c>
      <c r="N896">
        <v>44</v>
      </c>
      <c r="O896" t="s">
        <v>2050</v>
      </c>
      <c r="P896" t="s">
        <v>2062</v>
      </c>
      <c r="Q896" s="2">
        <f>Employee_Data[[#This Row],[Monthly Salary]]*12</f>
        <v>1315985.8800000001</v>
      </c>
    </row>
    <row r="897" spans="1:17" x14ac:dyDescent="0.25">
      <c r="A897" t="s">
        <v>911</v>
      </c>
      <c r="B897" t="s">
        <v>1905</v>
      </c>
      <c r="C897" t="s">
        <v>2013</v>
      </c>
      <c r="D897" t="s">
        <v>2022</v>
      </c>
      <c r="E897" t="s">
        <v>2038</v>
      </c>
      <c r="F897">
        <v>43</v>
      </c>
      <c r="G897" s="1">
        <v>45461</v>
      </c>
      <c r="H897" t="s">
        <v>2042</v>
      </c>
      <c r="I897" s="2">
        <v>102818.59</v>
      </c>
      <c r="J897">
        <v>4</v>
      </c>
      <c r="K897">
        <v>90.46</v>
      </c>
      <c r="L897">
        <v>1</v>
      </c>
      <c r="M897">
        <v>42</v>
      </c>
      <c r="N897">
        <v>7</v>
      </c>
      <c r="O897" t="s">
        <v>2048</v>
      </c>
      <c r="P897" t="s">
        <v>2062</v>
      </c>
      <c r="Q897" s="2">
        <f>Employee_Data[[#This Row],[Monthly Salary]]*12</f>
        <v>1233823.08</v>
      </c>
    </row>
    <row r="898" spans="1:17" x14ac:dyDescent="0.25">
      <c r="A898" t="s">
        <v>912</v>
      </c>
      <c r="B898" t="s">
        <v>1906</v>
      </c>
      <c r="C898" t="s">
        <v>2012</v>
      </c>
      <c r="D898" t="s">
        <v>2021</v>
      </c>
      <c r="E898" t="s">
        <v>2039</v>
      </c>
      <c r="F898">
        <v>55</v>
      </c>
      <c r="G898" s="1">
        <v>43382</v>
      </c>
      <c r="H898" t="s">
        <v>2042</v>
      </c>
      <c r="I898" s="2">
        <v>58156.33</v>
      </c>
      <c r="J898">
        <v>4</v>
      </c>
      <c r="K898">
        <v>92.68</v>
      </c>
      <c r="L898">
        <v>7</v>
      </c>
      <c r="M898">
        <v>79</v>
      </c>
      <c r="N898">
        <v>60</v>
      </c>
      <c r="O898" t="s">
        <v>2047</v>
      </c>
      <c r="P898" t="s">
        <v>2063</v>
      </c>
      <c r="Q898" s="2">
        <f>Employee_Data[[#This Row],[Monthly Salary]]*12</f>
        <v>697875.96</v>
      </c>
    </row>
    <row r="899" spans="1:17" x14ac:dyDescent="0.25">
      <c r="A899" t="s">
        <v>913</v>
      </c>
      <c r="B899" t="s">
        <v>1907</v>
      </c>
      <c r="C899" t="s">
        <v>2009</v>
      </c>
      <c r="D899" t="s">
        <v>2017</v>
      </c>
      <c r="E899" t="s">
        <v>2039</v>
      </c>
      <c r="F899">
        <v>60</v>
      </c>
      <c r="G899" s="1">
        <v>44302</v>
      </c>
      <c r="H899" t="s">
        <v>2042</v>
      </c>
      <c r="I899" s="2">
        <v>30367.53</v>
      </c>
      <c r="J899">
        <v>5</v>
      </c>
      <c r="K899">
        <v>98.54</v>
      </c>
      <c r="L899">
        <v>4</v>
      </c>
      <c r="M899">
        <v>12</v>
      </c>
      <c r="N899">
        <v>40</v>
      </c>
      <c r="O899" t="s">
        <v>2056</v>
      </c>
      <c r="P899" t="s">
        <v>2062</v>
      </c>
      <c r="Q899" s="2">
        <f>Employee_Data[[#This Row],[Monthly Salary]]*12</f>
        <v>364410.36</v>
      </c>
    </row>
    <row r="900" spans="1:17" x14ac:dyDescent="0.25">
      <c r="A900" t="s">
        <v>914</v>
      </c>
      <c r="B900" t="s">
        <v>1908</v>
      </c>
      <c r="C900" t="s">
        <v>2010</v>
      </c>
      <c r="D900" t="s">
        <v>2037</v>
      </c>
      <c r="E900" t="s">
        <v>2038</v>
      </c>
      <c r="F900">
        <v>47</v>
      </c>
      <c r="G900" s="1">
        <v>43845</v>
      </c>
      <c r="H900" t="s">
        <v>2040</v>
      </c>
      <c r="I900" s="2">
        <v>42287.94</v>
      </c>
      <c r="J900">
        <v>4</v>
      </c>
      <c r="K900">
        <v>91.03</v>
      </c>
      <c r="L900">
        <v>5</v>
      </c>
      <c r="M900">
        <v>14</v>
      </c>
      <c r="N900">
        <v>12</v>
      </c>
      <c r="O900" t="s">
        <v>2050</v>
      </c>
      <c r="P900" t="s">
        <v>2063</v>
      </c>
      <c r="Q900" s="2">
        <f>Employee_Data[[#This Row],[Monthly Salary]]*12</f>
        <v>507455.28</v>
      </c>
    </row>
    <row r="901" spans="1:17" x14ac:dyDescent="0.25">
      <c r="A901" t="s">
        <v>915</v>
      </c>
      <c r="B901" t="s">
        <v>1909</v>
      </c>
      <c r="C901" t="s">
        <v>2012</v>
      </c>
      <c r="D901" t="s">
        <v>2020</v>
      </c>
      <c r="E901" t="s">
        <v>2038</v>
      </c>
      <c r="F901">
        <v>46</v>
      </c>
      <c r="G901" s="1">
        <v>45116</v>
      </c>
      <c r="H901" t="s">
        <v>2040</v>
      </c>
      <c r="I901" s="2">
        <v>113961.68</v>
      </c>
      <c r="J901">
        <v>2</v>
      </c>
      <c r="K901">
        <v>90.15</v>
      </c>
      <c r="L901">
        <v>2</v>
      </c>
      <c r="M901">
        <v>34</v>
      </c>
      <c r="N901">
        <v>56</v>
      </c>
      <c r="O901" t="s">
        <v>2055</v>
      </c>
      <c r="P901" t="s">
        <v>2062</v>
      </c>
      <c r="Q901" s="2">
        <f>Employee_Data[[#This Row],[Monthly Salary]]*12</f>
        <v>1367540.16</v>
      </c>
    </row>
    <row r="902" spans="1:17" x14ac:dyDescent="0.25">
      <c r="A902" t="s">
        <v>916</v>
      </c>
      <c r="B902" t="s">
        <v>1910</v>
      </c>
      <c r="C902" t="s">
        <v>2016</v>
      </c>
      <c r="D902" t="s">
        <v>2032</v>
      </c>
      <c r="E902" t="s">
        <v>2039</v>
      </c>
      <c r="F902">
        <v>47</v>
      </c>
      <c r="G902" s="1">
        <v>45486</v>
      </c>
      <c r="H902" t="s">
        <v>2040</v>
      </c>
      <c r="I902" s="2">
        <v>21553.01</v>
      </c>
      <c r="J902">
        <v>2</v>
      </c>
      <c r="K902">
        <v>95.81</v>
      </c>
      <c r="L902">
        <v>1</v>
      </c>
      <c r="M902">
        <v>66</v>
      </c>
      <c r="N902">
        <v>52</v>
      </c>
      <c r="O902" t="s">
        <v>2058</v>
      </c>
      <c r="P902" t="s">
        <v>2062</v>
      </c>
      <c r="Q902" s="2">
        <f>Employee_Data[[#This Row],[Monthly Salary]]*12</f>
        <v>258636.12</v>
      </c>
    </row>
    <row r="903" spans="1:17" x14ac:dyDescent="0.25">
      <c r="A903" t="s">
        <v>917</v>
      </c>
      <c r="B903" t="s">
        <v>1911</v>
      </c>
      <c r="C903" t="s">
        <v>2015</v>
      </c>
      <c r="D903" t="s">
        <v>2027</v>
      </c>
      <c r="E903" t="s">
        <v>2038</v>
      </c>
      <c r="F903">
        <v>36</v>
      </c>
      <c r="G903" s="1">
        <v>45742</v>
      </c>
      <c r="H903" t="s">
        <v>2041</v>
      </c>
      <c r="I903" s="2">
        <v>117349.03</v>
      </c>
      <c r="J903">
        <v>2</v>
      </c>
      <c r="K903">
        <v>92.33</v>
      </c>
      <c r="L903">
        <v>0</v>
      </c>
      <c r="M903">
        <v>50</v>
      </c>
      <c r="N903">
        <v>53</v>
      </c>
      <c r="O903" t="s">
        <v>2049</v>
      </c>
      <c r="P903" t="s">
        <v>2062</v>
      </c>
      <c r="Q903" s="2">
        <f>Employee_Data[[#This Row],[Monthly Salary]]*12</f>
        <v>1408188.3599999999</v>
      </c>
    </row>
    <row r="904" spans="1:17" x14ac:dyDescent="0.25">
      <c r="A904" t="s">
        <v>918</v>
      </c>
      <c r="B904" t="s">
        <v>1912</v>
      </c>
      <c r="C904" t="s">
        <v>2016</v>
      </c>
      <c r="D904" t="s">
        <v>2032</v>
      </c>
      <c r="E904" t="s">
        <v>2038</v>
      </c>
      <c r="F904">
        <v>32</v>
      </c>
      <c r="G904" s="1">
        <v>44108</v>
      </c>
      <c r="H904" t="s">
        <v>2042</v>
      </c>
      <c r="I904" s="2">
        <v>110417.14</v>
      </c>
      <c r="J904">
        <v>5</v>
      </c>
      <c r="K904">
        <v>83.17</v>
      </c>
      <c r="L904">
        <v>5</v>
      </c>
      <c r="M904">
        <v>29</v>
      </c>
      <c r="N904">
        <v>6</v>
      </c>
      <c r="O904" t="s">
        <v>2060</v>
      </c>
      <c r="P904" t="s">
        <v>2062</v>
      </c>
      <c r="Q904" s="2">
        <f>Employee_Data[[#This Row],[Monthly Salary]]*12</f>
        <v>1325005.68</v>
      </c>
    </row>
    <row r="905" spans="1:17" x14ac:dyDescent="0.25">
      <c r="A905" t="s">
        <v>919</v>
      </c>
      <c r="B905" t="s">
        <v>1913</v>
      </c>
      <c r="C905" t="s">
        <v>2016</v>
      </c>
      <c r="D905" t="s">
        <v>2034</v>
      </c>
      <c r="E905" t="s">
        <v>2039</v>
      </c>
      <c r="F905">
        <v>41</v>
      </c>
      <c r="G905" s="1">
        <v>43407</v>
      </c>
      <c r="H905" t="s">
        <v>2040</v>
      </c>
      <c r="I905" s="2">
        <v>29325.439999999999</v>
      </c>
      <c r="J905">
        <v>1</v>
      </c>
      <c r="K905">
        <v>88.75</v>
      </c>
      <c r="L905">
        <v>7</v>
      </c>
      <c r="M905">
        <v>80</v>
      </c>
      <c r="N905">
        <v>49</v>
      </c>
      <c r="O905" t="s">
        <v>2043</v>
      </c>
      <c r="P905" t="s">
        <v>2062</v>
      </c>
      <c r="Q905" s="2">
        <f>Employee_Data[[#This Row],[Monthly Salary]]*12</f>
        <v>351905.27999999997</v>
      </c>
    </row>
    <row r="906" spans="1:17" x14ac:dyDescent="0.25">
      <c r="A906" t="s">
        <v>920</v>
      </c>
      <c r="B906" t="s">
        <v>1914</v>
      </c>
      <c r="C906" t="s">
        <v>2009</v>
      </c>
      <c r="D906" t="s">
        <v>2036</v>
      </c>
      <c r="E906" t="s">
        <v>2038</v>
      </c>
      <c r="F906">
        <v>22</v>
      </c>
      <c r="G906" s="1">
        <v>43020</v>
      </c>
      <c r="H906" t="s">
        <v>2041</v>
      </c>
      <c r="I906" s="2">
        <v>93416.92</v>
      </c>
      <c r="J906">
        <v>4</v>
      </c>
      <c r="K906">
        <v>92.69</v>
      </c>
      <c r="L906">
        <v>8</v>
      </c>
      <c r="M906">
        <v>45</v>
      </c>
      <c r="N906">
        <v>11</v>
      </c>
      <c r="O906" t="s">
        <v>2044</v>
      </c>
      <c r="P906" t="s">
        <v>2062</v>
      </c>
      <c r="Q906" s="2">
        <f>Employee_Data[[#This Row],[Monthly Salary]]*12</f>
        <v>1121003.04</v>
      </c>
    </row>
    <row r="907" spans="1:17" x14ac:dyDescent="0.25">
      <c r="A907" t="s">
        <v>921</v>
      </c>
      <c r="B907" t="s">
        <v>1915</v>
      </c>
      <c r="C907" t="s">
        <v>2014</v>
      </c>
      <c r="D907" t="s">
        <v>2029</v>
      </c>
      <c r="E907" t="s">
        <v>2039</v>
      </c>
      <c r="F907">
        <v>55</v>
      </c>
      <c r="G907" s="1">
        <v>44897</v>
      </c>
      <c r="H907" t="s">
        <v>2040</v>
      </c>
      <c r="I907" s="2">
        <v>92631.26</v>
      </c>
      <c r="J907">
        <v>4</v>
      </c>
      <c r="K907">
        <v>95.41</v>
      </c>
      <c r="L907">
        <v>3</v>
      </c>
      <c r="M907">
        <v>6</v>
      </c>
      <c r="N907">
        <v>17</v>
      </c>
      <c r="O907" t="s">
        <v>2045</v>
      </c>
      <c r="P907" t="s">
        <v>2063</v>
      </c>
      <c r="Q907" s="2">
        <f>Employee_Data[[#This Row],[Monthly Salary]]*12</f>
        <v>1111575.1199999999</v>
      </c>
    </row>
    <row r="908" spans="1:17" x14ac:dyDescent="0.25">
      <c r="A908" t="s">
        <v>922</v>
      </c>
      <c r="B908" t="s">
        <v>1916</v>
      </c>
      <c r="C908" t="s">
        <v>2010</v>
      </c>
      <c r="D908" t="s">
        <v>2037</v>
      </c>
      <c r="E908" t="s">
        <v>2039</v>
      </c>
      <c r="F908">
        <v>28</v>
      </c>
      <c r="G908" s="1">
        <v>44927</v>
      </c>
      <c r="H908" t="s">
        <v>2042</v>
      </c>
      <c r="I908" s="2">
        <v>112719.9</v>
      </c>
      <c r="J908">
        <v>1</v>
      </c>
      <c r="K908">
        <v>82.14</v>
      </c>
      <c r="L908">
        <v>2</v>
      </c>
      <c r="M908">
        <v>36</v>
      </c>
      <c r="N908">
        <v>16</v>
      </c>
      <c r="O908" t="s">
        <v>2048</v>
      </c>
      <c r="P908" t="s">
        <v>2062</v>
      </c>
      <c r="Q908" s="2">
        <f>Employee_Data[[#This Row],[Monthly Salary]]*12</f>
        <v>1352638.7999999998</v>
      </c>
    </row>
    <row r="909" spans="1:17" x14ac:dyDescent="0.25">
      <c r="A909" t="s">
        <v>923</v>
      </c>
      <c r="B909" t="s">
        <v>1917</v>
      </c>
      <c r="C909" t="s">
        <v>2013</v>
      </c>
      <c r="D909" t="s">
        <v>2022</v>
      </c>
      <c r="E909" t="s">
        <v>2039</v>
      </c>
      <c r="F909">
        <v>46</v>
      </c>
      <c r="G909" s="1">
        <v>43206</v>
      </c>
      <c r="H909" t="s">
        <v>2040</v>
      </c>
      <c r="I909" s="2">
        <v>69103.7</v>
      </c>
      <c r="J909">
        <v>1</v>
      </c>
      <c r="K909">
        <v>88.27</v>
      </c>
      <c r="L909">
        <v>7</v>
      </c>
      <c r="M909">
        <v>62</v>
      </c>
      <c r="N909">
        <v>40</v>
      </c>
      <c r="O909" t="s">
        <v>2045</v>
      </c>
      <c r="P909" t="s">
        <v>2062</v>
      </c>
      <c r="Q909" s="2">
        <f>Employee_Data[[#This Row],[Monthly Salary]]*12</f>
        <v>829244.39999999991</v>
      </c>
    </row>
    <row r="910" spans="1:17" x14ac:dyDescent="0.25">
      <c r="A910" t="s">
        <v>924</v>
      </c>
      <c r="B910" t="s">
        <v>1918</v>
      </c>
      <c r="C910" t="s">
        <v>2016</v>
      </c>
      <c r="D910" t="s">
        <v>2034</v>
      </c>
      <c r="E910" t="s">
        <v>2038</v>
      </c>
      <c r="F910">
        <v>49</v>
      </c>
      <c r="G910" s="1">
        <v>43303</v>
      </c>
      <c r="H910" t="s">
        <v>2040</v>
      </c>
      <c r="I910" s="2">
        <v>37980.639999999999</v>
      </c>
      <c r="J910">
        <v>1</v>
      </c>
      <c r="K910">
        <v>98.07</v>
      </c>
      <c r="L910">
        <v>7</v>
      </c>
      <c r="M910">
        <v>72</v>
      </c>
      <c r="N910">
        <v>40</v>
      </c>
      <c r="O910" t="s">
        <v>2058</v>
      </c>
      <c r="P910" t="s">
        <v>2063</v>
      </c>
      <c r="Q910" s="2">
        <f>Employee_Data[[#This Row],[Monthly Salary]]*12</f>
        <v>455767.68</v>
      </c>
    </row>
    <row r="911" spans="1:17" x14ac:dyDescent="0.25">
      <c r="A911" t="s">
        <v>925</v>
      </c>
      <c r="B911" t="s">
        <v>1919</v>
      </c>
      <c r="C911" t="s">
        <v>2009</v>
      </c>
      <c r="D911" t="s">
        <v>2030</v>
      </c>
      <c r="E911" t="s">
        <v>2038</v>
      </c>
      <c r="F911">
        <v>51</v>
      </c>
      <c r="G911" s="1">
        <v>44136</v>
      </c>
      <c r="H911" t="s">
        <v>2041</v>
      </c>
      <c r="I911" s="2">
        <v>79999.289999999994</v>
      </c>
      <c r="J911">
        <v>1</v>
      </c>
      <c r="K911">
        <v>83.17</v>
      </c>
      <c r="L911">
        <v>5</v>
      </c>
      <c r="M911">
        <v>32</v>
      </c>
      <c r="N911">
        <v>59</v>
      </c>
      <c r="O911" t="s">
        <v>2047</v>
      </c>
      <c r="P911" t="s">
        <v>2062</v>
      </c>
      <c r="Q911" s="2">
        <f>Employee_Data[[#This Row],[Monthly Salary]]*12</f>
        <v>959991.48</v>
      </c>
    </row>
    <row r="912" spans="1:17" x14ac:dyDescent="0.25">
      <c r="A912" t="s">
        <v>926</v>
      </c>
      <c r="B912" t="s">
        <v>1920</v>
      </c>
      <c r="C912" t="s">
        <v>2010</v>
      </c>
      <c r="D912" t="s">
        <v>2037</v>
      </c>
      <c r="E912" t="s">
        <v>2039</v>
      </c>
      <c r="F912">
        <v>54</v>
      </c>
      <c r="G912" s="1">
        <v>45115</v>
      </c>
      <c r="H912" t="s">
        <v>2041</v>
      </c>
      <c r="I912" s="2">
        <v>96096.1</v>
      </c>
      <c r="J912">
        <v>2</v>
      </c>
      <c r="K912">
        <v>97.34</v>
      </c>
      <c r="L912">
        <v>2</v>
      </c>
      <c r="M912">
        <v>14</v>
      </c>
      <c r="N912">
        <v>57</v>
      </c>
      <c r="O912" t="s">
        <v>2059</v>
      </c>
      <c r="P912" t="s">
        <v>2062</v>
      </c>
      <c r="Q912" s="2">
        <f>Employee_Data[[#This Row],[Monthly Salary]]*12</f>
        <v>1153153.2000000002</v>
      </c>
    </row>
    <row r="913" spans="1:17" x14ac:dyDescent="0.25">
      <c r="A913" t="s">
        <v>927</v>
      </c>
      <c r="B913" t="s">
        <v>1921</v>
      </c>
      <c r="C913" t="s">
        <v>2015</v>
      </c>
      <c r="D913" t="s">
        <v>2033</v>
      </c>
      <c r="E913" t="s">
        <v>2039</v>
      </c>
      <c r="F913">
        <v>29</v>
      </c>
      <c r="G913" s="1">
        <v>43696</v>
      </c>
      <c r="H913" t="s">
        <v>2042</v>
      </c>
      <c r="I913" s="2">
        <v>47366.65</v>
      </c>
      <c r="J913">
        <v>2</v>
      </c>
      <c r="K913">
        <v>99.06</v>
      </c>
      <c r="L913">
        <v>6</v>
      </c>
      <c r="M913">
        <v>44</v>
      </c>
      <c r="N913">
        <v>45</v>
      </c>
      <c r="O913" t="s">
        <v>2046</v>
      </c>
      <c r="P913" t="s">
        <v>2062</v>
      </c>
      <c r="Q913" s="2">
        <f>Employee_Data[[#This Row],[Monthly Salary]]*12</f>
        <v>568399.80000000005</v>
      </c>
    </row>
    <row r="914" spans="1:17" x14ac:dyDescent="0.25">
      <c r="A914" t="s">
        <v>928</v>
      </c>
      <c r="B914" t="s">
        <v>1922</v>
      </c>
      <c r="C914" t="s">
        <v>2013</v>
      </c>
      <c r="D914" t="s">
        <v>2022</v>
      </c>
      <c r="E914" t="s">
        <v>2038</v>
      </c>
      <c r="F914">
        <v>53</v>
      </c>
      <c r="G914" s="1">
        <v>44090</v>
      </c>
      <c r="H914" t="s">
        <v>2042</v>
      </c>
      <c r="I914" s="2">
        <v>112234.81</v>
      </c>
      <c r="J914">
        <v>3</v>
      </c>
      <c r="K914">
        <v>83.46</v>
      </c>
      <c r="L914">
        <v>5</v>
      </c>
      <c r="M914">
        <v>35</v>
      </c>
      <c r="N914">
        <v>25</v>
      </c>
      <c r="O914" t="s">
        <v>2047</v>
      </c>
      <c r="P914" t="s">
        <v>2062</v>
      </c>
      <c r="Q914" s="2">
        <f>Employee_Data[[#This Row],[Monthly Salary]]*12</f>
        <v>1346817.72</v>
      </c>
    </row>
    <row r="915" spans="1:17" x14ac:dyDescent="0.25">
      <c r="A915" t="s">
        <v>929</v>
      </c>
      <c r="B915" t="s">
        <v>1923</v>
      </c>
      <c r="C915" t="s">
        <v>2011</v>
      </c>
      <c r="D915" t="s">
        <v>2019</v>
      </c>
      <c r="E915" t="s">
        <v>2039</v>
      </c>
      <c r="F915">
        <v>52</v>
      </c>
      <c r="G915" s="1">
        <v>44891</v>
      </c>
      <c r="H915" t="s">
        <v>2042</v>
      </c>
      <c r="I915" s="2">
        <v>108285.73</v>
      </c>
      <c r="J915">
        <v>4</v>
      </c>
      <c r="K915">
        <v>91.93</v>
      </c>
      <c r="L915">
        <v>3</v>
      </c>
      <c r="M915">
        <v>34</v>
      </c>
      <c r="N915">
        <v>52</v>
      </c>
      <c r="O915" t="s">
        <v>2054</v>
      </c>
      <c r="P915" t="s">
        <v>2062</v>
      </c>
      <c r="Q915" s="2">
        <f>Employee_Data[[#This Row],[Monthly Salary]]*12</f>
        <v>1299428.76</v>
      </c>
    </row>
    <row r="916" spans="1:17" x14ac:dyDescent="0.25">
      <c r="A916" t="s">
        <v>930</v>
      </c>
      <c r="B916" t="s">
        <v>1924</v>
      </c>
      <c r="C916" t="s">
        <v>2016</v>
      </c>
      <c r="D916" t="s">
        <v>2034</v>
      </c>
      <c r="E916" t="s">
        <v>2039</v>
      </c>
      <c r="F916">
        <v>57</v>
      </c>
      <c r="G916" s="1">
        <v>45733</v>
      </c>
      <c r="H916" t="s">
        <v>2042</v>
      </c>
      <c r="I916" s="2">
        <v>57396.05</v>
      </c>
      <c r="J916">
        <v>1</v>
      </c>
      <c r="K916">
        <v>88.99</v>
      </c>
      <c r="L916">
        <v>0</v>
      </c>
      <c r="M916">
        <v>4</v>
      </c>
      <c r="N916">
        <v>32</v>
      </c>
      <c r="O916" t="s">
        <v>2055</v>
      </c>
      <c r="P916" t="s">
        <v>2062</v>
      </c>
      <c r="Q916" s="2">
        <f>Employee_Data[[#This Row],[Monthly Salary]]*12</f>
        <v>688752.60000000009</v>
      </c>
    </row>
    <row r="917" spans="1:17" x14ac:dyDescent="0.25">
      <c r="A917" t="s">
        <v>931</v>
      </c>
      <c r="B917" t="s">
        <v>1925</v>
      </c>
      <c r="C917" t="s">
        <v>2011</v>
      </c>
      <c r="D917" t="s">
        <v>2031</v>
      </c>
      <c r="E917" t="s">
        <v>2038</v>
      </c>
      <c r="F917">
        <v>46</v>
      </c>
      <c r="G917" s="1">
        <v>45056</v>
      </c>
      <c r="H917" t="s">
        <v>2040</v>
      </c>
      <c r="I917" s="2">
        <v>31465</v>
      </c>
      <c r="J917">
        <v>3</v>
      </c>
      <c r="K917">
        <v>88.59</v>
      </c>
      <c r="L917">
        <v>2</v>
      </c>
      <c r="M917">
        <v>23</v>
      </c>
      <c r="N917">
        <v>22</v>
      </c>
      <c r="O917" t="s">
        <v>2044</v>
      </c>
      <c r="P917" t="s">
        <v>2062</v>
      </c>
      <c r="Q917" s="2">
        <f>Employee_Data[[#This Row],[Monthly Salary]]*12</f>
        <v>377580</v>
      </c>
    </row>
    <row r="918" spans="1:17" x14ac:dyDescent="0.25">
      <c r="A918" t="s">
        <v>932</v>
      </c>
      <c r="B918" t="s">
        <v>1926</v>
      </c>
      <c r="C918" t="s">
        <v>2012</v>
      </c>
      <c r="D918" t="s">
        <v>2020</v>
      </c>
      <c r="E918" t="s">
        <v>2039</v>
      </c>
      <c r="F918">
        <v>41</v>
      </c>
      <c r="G918" s="1">
        <v>44588</v>
      </c>
      <c r="H918" t="s">
        <v>2040</v>
      </c>
      <c r="I918" s="2">
        <v>20963.3</v>
      </c>
      <c r="J918">
        <v>1</v>
      </c>
      <c r="K918">
        <v>94.34</v>
      </c>
      <c r="L918">
        <v>3</v>
      </c>
      <c r="M918">
        <v>27</v>
      </c>
      <c r="N918">
        <v>29</v>
      </c>
      <c r="O918" t="s">
        <v>2043</v>
      </c>
      <c r="P918" t="s">
        <v>2062</v>
      </c>
      <c r="Q918" s="2">
        <f>Employee_Data[[#This Row],[Monthly Salary]]*12</f>
        <v>251559.59999999998</v>
      </c>
    </row>
    <row r="919" spans="1:17" x14ac:dyDescent="0.25">
      <c r="A919" t="s">
        <v>933</v>
      </c>
      <c r="B919" t="s">
        <v>1927</v>
      </c>
      <c r="C919" t="s">
        <v>2014</v>
      </c>
      <c r="D919" t="s">
        <v>2028</v>
      </c>
      <c r="E919" t="s">
        <v>2039</v>
      </c>
      <c r="F919">
        <v>45</v>
      </c>
      <c r="G919" s="1">
        <v>43505</v>
      </c>
      <c r="H919" t="s">
        <v>2042</v>
      </c>
      <c r="I919" s="2">
        <v>80180.19</v>
      </c>
      <c r="J919">
        <v>5</v>
      </c>
      <c r="K919">
        <v>84.35</v>
      </c>
      <c r="L919">
        <v>6</v>
      </c>
      <c r="M919">
        <v>71</v>
      </c>
      <c r="N919">
        <v>17</v>
      </c>
      <c r="O919" t="s">
        <v>2058</v>
      </c>
      <c r="P919" t="s">
        <v>2063</v>
      </c>
      <c r="Q919" s="2">
        <f>Employee_Data[[#This Row],[Monthly Salary]]*12</f>
        <v>962162.28</v>
      </c>
    </row>
    <row r="920" spans="1:17" x14ac:dyDescent="0.25">
      <c r="A920" t="s">
        <v>934</v>
      </c>
      <c r="B920" t="s">
        <v>1928</v>
      </c>
      <c r="C920" t="s">
        <v>2009</v>
      </c>
      <c r="D920" t="s">
        <v>2036</v>
      </c>
      <c r="E920" t="s">
        <v>2038</v>
      </c>
      <c r="F920">
        <v>48</v>
      </c>
      <c r="G920" s="1">
        <v>43464</v>
      </c>
      <c r="H920" t="s">
        <v>2042</v>
      </c>
      <c r="I920" s="2">
        <v>101339.45</v>
      </c>
      <c r="J920">
        <v>2</v>
      </c>
      <c r="K920">
        <v>83.94</v>
      </c>
      <c r="L920">
        <v>7</v>
      </c>
      <c r="M920">
        <v>63</v>
      </c>
      <c r="N920">
        <v>31</v>
      </c>
      <c r="O920" t="s">
        <v>2049</v>
      </c>
      <c r="P920" t="s">
        <v>2063</v>
      </c>
      <c r="Q920" s="2">
        <f>Employee_Data[[#This Row],[Monthly Salary]]*12</f>
        <v>1216073.3999999999</v>
      </c>
    </row>
    <row r="921" spans="1:17" x14ac:dyDescent="0.25">
      <c r="A921" t="s">
        <v>935</v>
      </c>
      <c r="B921" t="s">
        <v>1929</v>
      </c>
      <c r="C921" t="s">
        <v>2016</v>
      </c>
      <c r="D921" t="s">
        <v>2032</v>
      </c>
      <c r="E921" t="s">
        <v>2039</v>
      </c>
      <c r="F921">
        <v>49</v>
      </c>
      <c r="G921" s="1">
        <v>42555</v>
      </c>
      <c r="H921" t="s">
        <v>2040</v>
      </c>
      <c r="I921" s="2">
        <v>80143.070000000007</v>
      </c>
      <c r="J921">
        <v>5</v>
      </c>
      <c r="K921">
        <v>87.66</v>
      </c>
      <c r="L921">
        <v>9</v>
      </c>
      <c r="M921">
        <v>73</v>
      </c>
      <c r="N921">
        <v>1</v>
      </c>
      <c r="O921" t="s">
        <v>2051</v>
      </c>
      <c r="P921" t="s">
        <v>2062</v>
      </c>
      <c r="Q921" s="2">
        <f>Employee_Data[[#This Row],[Monthly Salary]]*12</f>
        <v>961716.84000000008</v>
      </c>
    </row>
    <row r="922" spans="1:17" x14ac:dyDescent="0.25">
      <c r="A922" t="s">
        <v>936</v>
      </c>
      <c r="B922" t="s">
        <v>1930</v>
      </c>
      <c r="C922" t="s">
        <v>2010</v>
      </c>
      <c r="D922" t="s">
        <v>2024</v>
      </c>
      <c r="E922" t="s">
        <v>2038</v>
      </c>
      <c r="F922">
        <v>29</v>
      </c>
      <c r="G922" s="1">
        <v>45931</v>
      </c>
      <c r="H922" t="s">
        <v>2042</v>
      </c>
      <c r="I922" s="2">
        <v>23700.82</v>
      </c>
      <c r="J922">
        <v>5</v>
      </c>
      <c r="K922">
        <v>98.36</v>
      </c>
      <c r="L922">
        <v>0</v>
      </c>
      <c r="M922">
        <v>5</v>
      </c>
      <c r="N922">
        <v>21</v>
      </c>
      <c r="O922" t="s">
        <v>2057</v>
      </c>
      <c r="P922" t="s">
        <v>2062</v>
      </c>
      <c r="Q922" s="2">
        <f>Employee_Data[[#This Row],[Monthly Salary]]*12</f>
        <v>284409.83999999997</v>
      </c>
    </row>
    <row r="923" spans="1:17" x14ac:dyDescent="0.25">
      <c r="A923" t="s">
        <v>937</v>
      </c>
      <c r="B923" t="s">
        <v>1931</v>
      </c>
      <c r="C923" t="s">
        <v>2009</v>
      </c>
      <c r="D923" t="s">
        <v>2030</v>
      </c>
      <c r="E923" t="s">
        <v>2038</v>
      </c>
      <c r="F923">
        <v>38</v>
      </c>
      <c r="G923" s="1">
        <v>43264</v>
      </c>
      <c r="H923" t="s">
        <v>2042</v>
      </c>
      <c r="I923" s="2">
        <v>95369.23</v>
      </c>
      <c r="J923">
        <v>4</v>
      </c>
      <c r="K923">
        <v>81.599999999999994</v>
      </c>
      <c r="L923">
        <v>7</v>
      </c>
      <c r="M923">
        <v>40</v>
      </c>
      <c r="N923">
        <v>31</v>
      </c>
      <c r="O923" t="s">
        <v>2058</v>
      </c>
      <c r="P923" t="s">
        <v>2062</v>
      </c>
      <c r="Q923" s="2">
        <f>Employee_Data[[#This Row],[Monthly Salary]]*12</f>
        <v>1144430.76</v>
      </c>
    </row>
    <row r="924" spans="1:17" x14ac:dyDescent="0.25">
      <c r="A924" t="s">
        <v>938</v>
      </c>
      <c r="B924" t="s">
        <v>1932</v>
      </c>
      <c r="C924" t="s">
        <v>2011</v>
      </c>
      <c r="D924" t="s">
        <v>2031</v>
      </c>
      <c r="E924" t="s">
        <v>2038</v>
      </c>
      <c r="F924">
        <v>52</v>
      </c>
      <c r="G924" s="1">
        <v>44174</v>
      </c>
      <c r="H924" t="s">
        <v>2041</v>
      </c>
      <c r="I924" s="2">
        <v>116715.25</v>
      </c>
      <c r="J924">
        <v>1</v>
      </c>
      <c r="K924">
        <v>96.86</v>
      </c>
      <c r="L924">
        <v>5</v>
      </c>
      <c r="M924">
        <v>79</v>
      </c>
      <c r="N924">
        <v>6</v>
      </c>
      <c r="O924" t="s">
        <v>2057</v>
      </c>
      <c r="P924" t="s">
        <v>2062</v>
      </c>
      <c r="Q924" s="2">
        <f>Employee_Data[[#This Row],[Monthly Salary]]*12</f>
        <v>1400583</v>
      </c>
    </row>
    <row r="925" spans="1:17" x14ac:dyDescent="0.25">
      <c r="A925" t="s">
        <v>939</v>
      </c>
      <c r="B925" t="s">
        <v>1933</v>
      </c>
      <c r="C925" t="s">
        <v>2010</v>
      </c>
      <c r="D925" t="s">
        <v>2018</v>
      </c>
      <c r="E925" t="s">
        <v>2039</v>
      </c>
      <c r="F925">
        <v>41</v>
      </c>
      <c r="G925" s="1">
        <v>44278</v>
      </c>
      <c r="H925" t="s">
        <v>2041</v>
      </c>
      <c r="I925" s="2">
        <v>92425.34</v>
      </c>
      <c r="J925">
        <v>2</v>
      </c>
      <c r="K925">
        <v>83.4</v>
      </c>
      <c r="L925">
        <v>4</v>
      </c>
      <c r="M925">
        <v>24</v>
      </c>
      <c r="N925">
        <v>46</v>
      </c>
      <c r="O925" t="s">
        <v>2053</v>
      </c>
      <c r="P925" t="s">
        <v>2062</v>
      </c>
      <c r="Q925" s="2">
        <f>Employee_Data[[#This Row],[Monthly Salary]]*12</f>
        <v>1109104.08</v>
      </c>
    </row>
    <row r="926" spans="1:17" x14ac:dyDescent="0.25">
      <c r="A926" t="s">
        <v>940</v>
      </c>
      <c r="B926" t="s">
        <v>1934</v>
      </c>
      <c r="C926" t="s">
        <v>2010</v>
      </c>
      <c r="D926" t="s">
        <v>2037</v>
      </c>
      <c r="E926" t="s">
        <v>2039</v>
      </c>
      <c r="F926">
        <v>37</v>
      </c>
      <c r="G926" s="1">
        <v>45441</v>
      </c>
      <c r="H926" t="s">
        <v>2040</v>
      </c>
      <c r="I926" s="2">
        <v>31080.36</v>
      </c>
      <c r="J926">
        <v>3</v>
      </c>
      <c r="K926">
        <v>81.5</v>
      </c>
      <c r="L926">
        <v>1</v>
      </c>
      <c r="M926">
        <v>42</v>
      </c>
      <c r="N926">
        <v>44</v>
      </c>
      <c r="O926" t="s">
        <v>2058</v>
      </c>
      <c r="P926" t="s">
        <v>2062</v>
      </c>
      <c r="Q926" s="2">
        <f>Employee_Data[[#This Row],[Monthly Salary]]*12</f>
        <v>372964.32</v>
      </c>
    </row>
    <row r="927" spans="1:17" x14ac:dyDescent="0.25">
      <c r="A927" t="s">
        <v>941</v>
      </c>
      <c r="B927" t="s">
        <v>1935</v>
      </c>
      <c r="C927" t="s">
        <v>2016</v>
      </c>
      <c r="D927" t="s">
        <v>2034</v>
      </c>
      <c r="E927" t="s">
        <v>2039</v>
      </c>
      <c r="F927">
        <v>29</v>
      </c>
      <c r="G927" s="1">
        <v>44474</v>
      </c>
      <c r="H927" t="s">
        <v>2041</v>
      </c>
      <c r="I927" s="2">
        <v>66069.38</v>
      </c>
      <c r="J927">
        <v>2</v>
      </c>
      <c r="K927">
        <v>86.39</v>
      </c>
      <c r="L927">
        <v>4</v>
      </c>
      <c r="M927">
        <v>18</v>
      </c>
      <c r="N927">
        <v>48</v>
      </c>
      <c r="O927" t="s">
        <v>2043</v>
      </c>
      <c r="P927" t="s">
        <v>2063</v>
      </c>
      <c r="Q927" s="2">
        <f>Employee_Data[[#This Row],[Monthly Salary]]*12</f>
        <v>792832.56</v>
      </c>
    </row>
    <row r="928" spans="1:17" x14ac:dyDescent="0.25">
      <c r="A928" t="s">
        <v>942</v>
      </c>
      <c r="B928" t="s">
        <v>1936</v>
      </c>
      <c r="C928" t="s">
        <v>2016</v>
      </c>
      <c r="D928" t="s">
        <v>2034</v>
      </c>
      <c r="E928" t="s">
        <v>2039</v>
      </c>
      <c r="F928">
        <v>54</v>
      </c>
      <c r="G928" s="1">
        <v>44544</v>
      </c>
      <c r="H928" t="s">
        <v>2041</v>
      </c>
      <c r="I928" s="2">
        <v>44052.34</v>
      </c>
      <c r="J928">
        <v>4</v>
      </c>
      <c r="K928">
        <v>93.23</v>
      </c>
      <c r="L928">
        <v>4</v>
      </c>
      <c r="M928">
        <v>35</v>
      </c>
      <c r="N928">
        <v>20</v>
      </c>
      <c r="O928" t="s">
        <v>2050</v>
      </c>
      <c r="P928" t="s">
        <v>2062</v>
      </c>
      <c r="Q928" s="2">
        <f>Employee_Data[[#This Row],[Monthly Salary]]*12</f>
        <v>528628.07999999996</v>
      </c>
    </row>
    <row r="929" spans="1:17" x14ac:dyDescent="0.25">
      <c r="A929" t="s">
        <v>943</v>
      </c>
      <c r="B929" t="s">
        <v>1937</v>
      </c>
      <c r="C929" t="s">
        <v>2011</v>
      </c>
      <c r="D929" t="s">
        <v>2035</v>
      </c>
      <c r="E929" t="s">
        <v>2039</v>
      </c>
      <c r="F929">
        <v>43</v>
      </c>
      <c r="G929" s="1">
        <v>45253</v>
      </c>
      <c r="H929" t="s">
        <v>2041</v>
      </c>
      <c r="I929" s="2">
        <v>103554.21</v>
      </c>
      <c r="J929">
        <v>2</v>
      </c>
      <c r="K929">
        <v>93.19</v>
      </c>
      <c r="L929">
        <v>2</v>
      </c>
      <c r="M929">
        <v>26</v>
      </c>
      <c r="N929">
        <v>44</v>
      </c>
      <c r="O929" t="s">
        <v>2045</v>
      </c>
      <c r="P929" t="s">
        <v>2062</v>
      </c>
      <c r="Q929" s="2">
        <f>Employee_Data[[#This Row],[Monthly Salary]]*12</f>
        <v>1242650.52</v>
      </c>
    </row>
    <row r="930" spans="1:17" x14ac:dyDescent="0.25">
      <c r="A930" t="s">
        <v>944</v>
      </c>
      <c r="B930" t="s">
        <v>1938</v>
      </c>
      <c r="C930" t="s">
        <v>2013</v>
      </c>
      <c r="D930" t="s">
        <v>2025</v>
      </c>
      <c r="E930" t="s">
        <v>2039</v>
      </c>
      <c r="F930">
        <v>21</v>
      </c>
      <c r="G930" s="1">
        <v>44453</v>
      </c>
      <c r="H930" t="s">
        <v>2041</v>
      </c>
      <c r="I930" s="2">
        <v>41613.550000000003</v>
      </c>
      <c r="J930">
        <v>4</v>
      </c>
      <c r="K930">
        <v>83.76</v>
      </c>
      <c r="L930">
        <v>4</v>
      </c>
      <c r="M930">
        <v>13</v>
      </c>
      <c r="N930">
        <v>21</v>
      </c>
      <c r="O930" t="s">
        <v>2059</v>
      </c>
      <c r="P930" t="s">
        <v>2062</v>
      </c>
      <c r="Q930" s="2">
        <f>Employee_Data[[#This Row],[Monthly Salary]]*12</f>
        <v>499362.60000000003</v>
      </c>
    </row>
    <row r="931" spans="1:17" x14ac:dyDescent="0.25">
      <c r="A931" t="s">
        <v>945</v>
      </c>
      <c r="B931" t="s">
        <v>1939</v>
      </c>
      <c r="C931" t="s">
        <v>2012</v>
      </c>
      <c r="D931" t="s">
        <v>2020</v>
      </c>
      <c r="E931" t="s">
        <v>2038</v>
      </c>
      <c r="F931">
        <v>30</v>
      </c>
      <c r="G931" s="1">
        <v>43818</v>
      </c>
      <c r="H931" t="s">
        <v>2041</v>
      </c>
      <c r="I931" s="2">
        <v>30566.05</v>
      </c>
      <c r="J931">
        <v>2</v>
      </c>
      <c r="K931">
        <v>84.38</v>
      </c>
      <c r="L931">
        <v>6</v>
      </c>
      <c r="M931">
        <v>46</v>
      </c>
      <c r="N931">
        <v>24</v>
      </c>
      <c r="O931" t="s">
        <v>2056</v>
      </c>
      <c r="P931" t="s">
        <v>2063</v>
      </c>
      <c r="Q931" s="2">
        <f>Employee_Data[[#This Row],[Monthly Salary]]*12</f>
        <v>366792.6</v>
      </c>
    </row>
    <row r="932" spans="1:17" x14ac:dyDescent="0.25">
      <c r="A932" t="s">
        <v>946</v>
      </c>
      <c r="B932" t="s">
        <v>1940</v>
      </c>
      <c r="C932" t="s">
        <v>2014</v>
      </c>
      <c r="D932" t="s">
        <v>2029</v>
      </c>
      <c r="E932" t="s">
        <v>2039</v>
      </c>
      <c r="F932">
        <v>25</v>
      </c>
      <c r="G932" s="1">
        <v>43007</v>
      </c>
      <c r="H932" t="s">
        <v>2042</v>
      </c>
      <c r="I932" s="2">
        <v>62309.4</v>
      </c>
      <c r="J932">
        <v>3</v>
      </c>
      <c r="K932">
        <v>99.03</v>
      </c>
      <c r="L932">
        <v>8</v>
      </c>
      <c r="M932">
        <v>73</v>
      </c>
      <c r="N932">
        <v>41</v>
      </c>
      <c r="O932" t="s">
        <v>2047</v>
      </c>
      <c r="P932" t="s">
        <v>2062</v>
      </c>
      <c r="Q932" s="2">
        <f>Employee_Data[[#This Row],[Monthly Salary]]*12</f>
        <v>747712.8</v>
      </c>
    </row>
    <row r="933" spans="1:17" x14ac:dyDescent="0.25">
      <c r="A933" t="s">
        <v>947</v>
      </c>
      <c r="B933" t="s">
        <v>1941</v>
      </c>
      <c r="C933" t="s">
        <v>2009</v>
      </c>
      <c r="D933" t="s">
        <v>2036</v>
      </c>
      <c r="E933" t="s">
        <v>2039</v>
      </c>
      <c r="F933">
        <v>36</v>
      </c>
      <c r="G933" s="1">
        <v>45514</v>
      </c>
      <c r="H933" t="s">
        <v>2040</v>
      </c>
      <c r="I933" s="2">
        <v>109409.81</v>
      </c>
      <c r="J933">
        <v>2</v>
      </c>
      <c r="K933">
        <v>85.34</v>
      </c>
      <c r="L933">
        <v>1</v>
      </c>
      <c r="M933">
        <v>60</v>
      </c>
      <c r="N933">
        <v>42</v>
      </c>
      <c r="O933" t="s">
        <v>2052</v>
      </c>
      <c r="P933" t="s">
        <v>2062</v>
      </c>
      <c r="Q933" s="2">
        <f>Employee_Data[[#This Row],[Monthly Salary]]*12</f>
        <v>1312917.72</v>
      </c>
    </row>
    <row r="934" spans="1:17" x14ac:dyDescent="0.25">
      <c r="A934" t="s">
        <v>948</v>
      </c>
      <c r="B934" t="s">
        <v>1942</v>
      </c>
      <c r="C934" t="s">
        <v>2011</v>
      </c>
      <c r="D934" t="s">
        <v>2019</v>
      </c>
      <c r="E934" t="s">
        <v>2039</v>
      </c>
      <c r="F934">
        <v>43</v>
      </c>
      <c r="G934" s="1">
        <v>45071</v>
      </c>
      <c r="H934" t="s">
        <v>2042</v>
      </c>
      <c r="I934" s="2">
        <v>41206.6</v>
      </c>
      <c r="J934">
        <v>4</v>
      </c>
      <c r="K934">
        <v>90.04</v>
      </c>
      <c r="L934">
        <v>2</v>
      </c>
      <c r="M934">
        <v>65</v>
      </c>
      <c r="N934">
        <v>21</v>
      </c>
      <c r="O934" t="s">
        <v>2049</v>
      </c>
      <c r="P934" t="s">
        <v>2062</v>
      </c>
      <c r="Q934" s="2">
        <f>Employee_Data[[#This Row],[Monthly Salary]]*12</f>
        <v>494479.19999999995</v>
      </c>
    </row>
    <row r="935" spans="1:17" x14ac:dyDescent="0.25">
      <c r="A935" t="s">
        <v>949</v>
      </c>
      <c r="B935" t="s">
        <v>1943</v>
      </c>
      <c r="C935" t="s">
        <v>2012</v>
      </c>
      <c r="D935" t="s">
        <v>2021</v>
      </c>
      <c r="E935" t="s">
        <v>2039</v>
      </c>
      <c r="F935">
        <v>45</v>
      </c>
      <c r="G935" s="1">
        <v>42814</v>
      </c>
      <c r="H935" t="s">
        <v>2041</v>
      </c>
      <c r="I935" s="2">
        <v>112802</v>
      </c>
      <c r="J935">
        <v>2</v>
      </c>
      <c r="K935">
        <v>85.88</v>
      </c>
      <c r="L935">
        <v>8</v>
      </c>
      <c r="M935">
        <v>51</v>
      </c>
      <c r="N935">
        <v>11</v>
      </c>
      <c r="O935" t="s">
        <v>2058</v>
      </c>
      <c r="P935" t="s">
        <v>2062</v>
      </c>
      <c r="Q935" s="2">
        <f>Employee_Data[[#This Row],[Monthly Salary]]*12</f>
        <v>1353624</v>
      </c>
    </row>
    <row r="936" spans="1:17" x14ac:dyDescent="0.25">
      <c r="A936" t="s">
        <v>950</v>
      </c>
      <c r="B936" t="s">
        <v>1944</v>
      </c>
      <c r="C936" t="s">
        <v>2013</v>
      </c>
      <c r="D936" t="s">
        <v>2022</v>
      </c>
      <c r="E936" t="s">
        <v>2039</v>
      </c>
      <c r="F936">
        <v>24</v>
      </c>
      <c r="G936" s="1">
        <v>45645</v>
      </c>
      <c r="H936" t="s">
        <v>2041</v>
      </c>
      <c r="I936" s="2">
        <v>44894.42</v>
      </c>
      <c r="J936">
        <v>1</v>
      </c>
      <c r="K936">
        <v>84.39</v>
      </c>
      <c r="L936">
        <v>1</v>
      </c>
      <c r="M936">
        <v>6</v>
      </c>
      <c r="N936">
        <v>57</v>
      </c>
      <c r="O936" t="s">
        <v>2049</v>
      </c>
      <c r="P936" t="s">
        <v>2062</v>
      </c>
      <c r="Q936" s="2">
        <f>Employee_Data[[#This Row],[Monthly Salary]]*12</f>
        <v>538733.04</v>
      </c>
    </row>
    <row r="937" spans="1:17" x14ac:dyDescent="0.25">
      <c r="A937" t="s">
        <v>951</v>
      </c>
      <c r="B937" t="s">
        <v>1945</v>
      </c>
      <c r="C937" t="s">
        <v>2014</v>
      </c>
      <c r="D937" t="s">
        <v>2023</v>
      </c>
      <c r="E937" t="s">
        <v>2039</v>
      </c>
      <c r="F937">
        <v>38</v>
      </c>
      <c r="G937" s="1">
        <v>43627</v>
      </c>
      <c r="H937" t="s">
        <v>2040</v>
      </c>
      <c r="I937" s="2">
        <v>108260.03</v>
      </c>
      <c r="J937">
        <v>4</v>
      </c>
      <c r="K937">
        <v>87.84</v>
      </c>
      <c r="L937">
        <v>6</v>
      </c>
      <c r="M937">
        <v>12</v>
      </c>
      <c r="N937">
        <v>14</v>
      </c>
      <c r="O937" t="s">
        <v>2055</v>
      </c>
      <c r="P937" t="s">
        <v>2062</v>
      </c>
      <c r="Q937" s="2">
        <f>Employee_Data[[#This Row],[Monthly Salary]]*12</f>
        <v>1299120.3599999999</v>
      </c>
    </row>
    <row r="938" spans="1:17" x14ac:dyDescent="0.25">
      <c r="A938" t="s">
        <v>952</v>
      </c>
      <c r="B938" t="s">
        <v>1946</v>
      </c>
      <c r="C938" t="s">
        <v>2015</v>
      </c>
      <c r="D938" t="s">
        <v>2033</v>
      </c>
      <c r="E938" t="s">
        <v>2038</v>
      </c>
      <c r="F938">
        <v>39</v>
      </c>
      <c r="G938" s="1">
        <v>45644</v>
      </c>
      <c r="H938" t="s">
        <v>2041</v>
      </c>
      <c r="I938" s="2">
        <v>79631.34</v>
      </c>
      <c r="J938">
        <v>1</v>
      </c>
      <c r="K938">
        <v>81.88</v>
      </c>
      <c r="L938">
        <v>1</v>
      </c>
      <c r="M938">
        <v>64</v>
      </c>
      <c r="N938">
        <v>58</v>
      </c>
      <c r="O938" t="s">
        <v>2058</v>
      </c>
      <c r="P938" t="s">
        <v>2062</v>
      </c>
      <c r="Q938" s="2">
        <f>Employee_Data[[#This Row],[Monthly Salary]]*12</f>
        <v>955576.08</v>
      </c>
    </row>
    <row r="939" spans="1:17" x14ac:dyDescent="0.25">
      <c r="A939" t="s">
        <v>953</v>
      </c>
      <c r="B939" t="s">
        <v>1947</v>
      </c>
      <c r="C939" t="s">
        <v>2011</v>
      </c>
      <c r="D939" t="s">
        <v>2031</v>
      </c>
      <c r="E939" t="s">
        <v>2039</v>
      </c>
      <c r="F939">
        <v>31</v>
      </c>
      <c r="G939" s="1">
        <v>45007</v>
      </c>
      <c r="H939" t="s">
        <v>2042</v>
      </c>
      <c r="I939" s="2">
        <v>88144.25</v>
      </c>
      <c r="J939">
        <v>2</v>
      </c>
      <c r="K939">
        <v>83.75</v>
      </c>
      <c r="L939">
        <v>2</v>
      </c>
      <c r="M939">
        <v>58</v>
      </c>
      <c r="N939">
        <v>9</v>
      </c>
      <c r="O939" t="s">
        <v>2057</v>
      </c>
      <c r="P939" t="s">
        <v>2062</v>
      </c>
      <c r="Q939" s="2">
        <f>Employee_Data[[#This Row],[Monthly Salary]]*12</f>
        <v>1057731</v>
      </c>
    </row>
    <row r="940" spans="1:17" x14ac:dyDescent="0.25">
      <c r="A940" t="s">
        <v>954</v>
      </c>
      <c r="B940" t="s">
        <v>1948</v>
      </c>
      <c r="C940" t="s">
        <v>2016</v>
      </c>
      <c r="D940" t="s">
        <v>2034</v>
      </c>
      <c r="E940" t="s">
        <v>2039</v>
      </c>
      <c r="F940">
        <v>32</v>
      </c>
      <c r="G940" s="1">
        <v>43258</v>
      </c>
      <c r="H940" t="s">
        <v>2042</v>
      </c>
      <c r="I940" s="2">
        <v>108125.75</v>
      </c>
      <c r="J940">
        <v>2</v>
      </c>
      <c r="K940">
        <v>93.58</v>
      </c>
      <c r="L940">
        <v>7</v>
      </c>
      <c r="M940">
        <v>1</v>
      </c>
      <c r="N940">
        <v>38</v>
      </c>
      <c r="O940" t="s">
        <v>2053</v>
      </c>
      <c r="P940" t="s">
        <v>2063</v>
      </c>
      <c r="Q940" s="2">
        <f>Employee_Data[[#This Row],[Monthly Salary]]*12</f>
        <v>1297509</v>
      </c>
    </row>
    <row r="941" spans="1:17" x14ac:dyDescent="0.25">
      <c r="A941" t="s">
        <v>955</v>
      </c>
      <c r="B941" t="s">
        <v>1949</v>
      </c>
      <c r="C941" t="s">
        <v>2010</v>
      </c>
      <c r="D941" t="s">
        <v>2024</v>
      </c>
      <c r="E941" t="s">
        <v>2039</v>
      </c>
      <c r="F941">
        <v>51</v>
      </c>
      <c r="G941" s="1">
        <v>42758</v>
      </c>
      <c r="H941" t="s">
        <v>2040</v>
      </c>
      <c r="I941" s="2">
        <v>24517.65</v>
      </c>
      <c r="J941">
        <v>1</v>
      </c>
      <c r="K941">
        <v>91.35</v>
      </c>
      <c r="L941">
        <v>8</v>
      </c>
      <c r="M941">
        <v>37</v>
      </c>
      <c r="N941">
        <v>53</v>
      </c>
      <c r="O941" t="s">
        <v>2044</v>
      </c>
      <c r="P941" t="s">
        <v>2062</v>
      </c>
      <c r="Q941" s="2">
        <f>Employee_Data[[#This Row],[Monthly Salary]]*12</f>
        <v>294211.80000000005</v>
      </c>
    </row>
    <row r="942" spans="1:17" x14ac:dyDescent="0.25">
      <c r="A942" t="s">
        <v>956</v>
      </c>
      <c r="B942" t="s">
        <v>1950</v>
      </c>
      <c r="C942" t="s">
        <v>2015</v>
      </c>
      <c r="D942" t="s">
        <v>2033</v>
      </c>
      <c r="E942" t="s">
        <v>2039</v>
      </c>
      <c r="F942">
        <v>27</v>
      </c>
      <c r="G942" s="1">
        <v>45875</v>
      </c>
      <c r="H942" t="s">
        <v>2042</v>
      </c>
      <c r="I942" s="2">
        <v>100389.26</v>
      </c>
      <c r="J942">
        <v>3</v>
      </c>
      <c r="K942">
        <v>89.05</v>
      </c>
      <c r="L942">
        <v>0</v>
      </c>
      <c r="M942">
        <v>44</v>
      </c>
      <c r="N942">
        <v>34</v>
      </c>
      <c r="O942" t="s">
        <v>2055</v>
      </c>
      <c r="P942" t="s">
        <v>2062</v>
      </c>
      <c r="Q942" s="2">
        <f>Employee_Data[[#This Row],[Monthly Salary]]*12</f>
        <v>1204671.1199999999</v>
      </c>
    </row>
    <row r="943" spans="1:17" x14ac:dyDescent="0.25">
      <c r="A943" t="s">
        <v>957</v>
      </c>
      <c r="B943" t="s">
        <v>1589</v>
      </c>
      <c r="C943" t="s">
        <v>2011</v>
      </c>
      <c r="D943" t="s">
        <v>2035</v>
      </c>
      <c r="E943" t="s">
        <v>2038</v>
      </c>
      <c r="F943">
        <v>21</v>
      </c>
      <c r="G943" s="1">
        <v>45106</v>
      </c>
      <c r="H943" t="s">
        <v>2042</v>
      </c>
      <c r="I943" s="2">
        <v>50113.4</v>
      </c>
      <c r="J943">
        <v>3</v>
      </c>
      <c r="K943">
        <v>97.83</v>
      </c>
      <c r="L943">
        <v>2</v>
      </c>
      <c r="M943">
        <v>76</v>
      </c>
      <c r="N943">
        <v>30</v>
      </c>
      <c r="O943" t="s">
        <v>2047</v>
      </c>
      <c r="P943" t="s">
        <v>2062</v>
      </c>
      <c r="Q943" s="2">
        <f>Employee_Data[[#This Row],[Monthly Salary]]*12</f>
        <v>601360.80000000005</v>
      </c>
    </row>
    <row r="944" spans="1:17" x14ac:dyDescent="0.25">
      <c r="A944" t="s">
        <v>958</v>
      </c>
      <c r="B944" t="s">
        <v>1951</v>
      </c>
      <c r="C944" t="s">
        <v>2010</v>
      </c>
      <c r="D944" t="s">
        <v>2018</v>
      </c>
      <c r="E944" t="s">
        <v>2038</v>
      </c>
      <c r="F944">
        <v>35</v>
      </c>
      <c r="G944" s="1">
        <v>43038</v>
      </c>
      <c r="H944" t="s">
        <v>2041</v>
      </c>
      <c r="I944" s="2">
        <v>119408.71</v>
      </c>
      <c r="J944">
        <v>3</v>
      </c>
      <c r="K944">
        <v>89.96</v>
      </c>
      <c r="L944">
        <v>8</v>
      </c>
      <c r="M944">
        <v>31</v>
      </c>
      <c r="N944">
        <v>36</v>
      </c>
      <c r="O944" t="s">
        <v>1505</v>
      </c>
      <c r="P944" t="s">
        <v>2062</v>
      </c>
      <c r="Q944" s="2">
        <f>Employee_Data[[#This Row],[Monthly Salary]]*12</f>
        <v>1432904.52</v>
      </c>
    </row>
    <row r="945" spans="1:17" x14ac:dyDescent="0.25">
      <c r="A945" t="s">
        <v>959</v>
      </c>
      <c r="B945" t="s">
        <v>1952</v>
      </c>
      <c r="C945" t="s">
        <v>2009</v>
      </c>
      <c r="D945" t="s">
        <v>2017</v>
      </c>
      <c r="E945" t="s">
        <v>2038</v>
      </c>
      <c r="F945">
        <v>27</v>
      </c>
      <c r="G945" s="1">
        <v>45941</v>
      </c>
      <c r="H945" t="s">
        <v>2042</v>
      </c>
      <c r="I945" s="2">
        <v>107714.4</v>
      </c>
      <c r="J945">
        <v>5</v>
      </c>
      <c r="K945">
        <v>97.98</v>
      </c>
      <c r="L945">
        <v>0</v>
      </c>
      <c r="M945">
        <v>57</v>
      </c>
      <c r="N945">
        <v>56</v>
      </c>
      <c r="O945" t="s">
        <v>2052</v>
      </c>
      <c r="P945" t="s">
        <v>2062</v>
      </c>
      <c r="Q945" s="2">
        <f>Employee_Data[[#This Row],[Monthly Salary]]*12</f>
        <v>1292572.7999999998</v>
      </c>
    </row>
    <row r="946" spans="1:17" x14ac:dyDescent="0.25">
      <c r="A946" t="s">
        <v>960</v>
      </c>
      <c r="B946" t="s">
        <v>1953</v>
      </c>
      <c r="C946" t="s">
        <v>2012</v>
      </c>
      <c r="D946" t="s">
        <v>2020</v>
      </c>
      <c r="E946" t="s">
        <v>2038</v>
      </c>
      <c r="F946">
        <v>58</v>
      </c>
      <c r="G946" s="1">
        <v>45427</v>
      </c>
      <c r="H946" t="s">
        <v>2042</v>
      </c>
      <c r="I946" s="2">
        <v>114526.65</v>
      </c>
      <c r="J946">
        <v>3</v>
      </c>
      <c r="K946">
        <v>86.19</v>
      </c>
      <c r="L946">
        <v>1</v>
      </c>
      <c r="M946">
        <v>5</v>
      </c>
      <c r="N946">
        <v>37</v>
      </c>
      <c r="O946" t="s">
        <v>2052</v>
      </c>
      <c r="P946" t="s">
        <v>2062</v>
      </c>
      <c r="Q946" s="2">
        <f>Employee_Data[[#This Row],[Monthly Salary]]*12</f>
        <v>1374319.7999999998</v>
      </c>
    </row>
    <row r="947" spans="1:17" x14ac:dyDescent="0.25">
      <c r="A947" t="s">
        <v>961</v>
      </c>
      <c r="B947" t="s">
        <v>1954</v>
      </c>
      <c r="C947" t="s">
        <v>2009</v>
      </c>
      <c r="D947" t="s">
        <v>2030</v>
      </c>
      <c r="E947" t="s">
        <v>2038</v>
      </c>
      <c r="F947">
        <v>57</v>
      </c>
      <c r="G947" s="1">
        <v>42840</v>
      </c>
      <c r="H947" t="s">
        <v>2042</v>
      </c>
      <c r="I947" s="2">
        <v>48840.85</v>
      </c>
      <c r="J947">
        <v>1</v>
      </c>
      <c r="K947">
        <v>89.98</v>
      </c>
      <c r="L947">
        <v>8</v>
      </c>
      <c r="M947">
        <v>18</v>
      </c>
      <c r="N947">
        <v>29</v>
      </c>
      <c r="O947" t="s">
        <v>2060</v>
      </c>
      <c r="P947" t="s">
        <v>2062</v>
      </c>
      <c r="Q947" s="2">
        <f>Employee_Data[[#This Row],[Monthly Salary]]*12</f>
        <v>586090.19999999995</v>
      </c>
    </row>
    <row r="948" spans="1:17" x14ac:dyDescent="0.25">
      <c r="A948" t="s">
        <v>962</v>
      </c>
      <c r="B948" t="s">
        <v>1955</v>
      </c>
      <c r="C948" t="s">
        <v>2011</v>
      </c>
      <c r="D948" t="s">
        <v>2031</v>
      </c>
      <c r="E948" t="s">
        <v>2039</v>
      </c>
      <c r="F948">
        <v>40</v>
      </c>
      <c r="G948" s="1">
        <v>42494</v>
      </c>
      <c r="H948" t="s">
        <v>2042</v>
      </c>
      <c r="I948" s="2">
        <v>48826</v>
      </c>
      <c r="J948">
        <v>3</v>
      </c>
      <c r="K948">
        <v>80.31</v>
      </c>
      <c r="L948">
        <v>9</v>
      </c>
      <c r="M948">
        <v>5</v>
      </c>
      <c r="N948">
        <v>13</v>
      </c>
      <c r="O948" t="s">
        <v>2051</v>
      </c>
      <c r="P948" t="s">
        <v>2062</v>
      </c>
      <c r="Q948" s="2">
        <f>Employee_Data[[#This Row],[Monthly Salary]]*12</f>
        <v>585912</v>
      </c>
    </row>
    <row r="949" spans="1:17" x14ac:dyDescent="0.25">
      <c r="A949" t="s">
        <v>963</v>
      </c>
      <c r="B949" t="s">
        <v>1956</v>
      </c>
      <c r="C949" t="s">
        <v>2009</v>
      </c>
      <c r="D949" t="s">
        <v>2017</v>
      </c>
      <c r="E949" t="s">
        <v>2038</v>
      </c>
      <c r="F949">
        <v>40</v>
      </c>
      <c r="G949" s="1">
        <v>44732</v>
      </c>
      <c r="H949" t="s">
        <v>2040</v>
      </c>
      <c r="I949" s="2">
        <v>63032.28</v>
      </c>
      <c r="J949">
        <v>1</v>
      </c>
      <c r="K949">
        <v>81</v>
      </c>
      <c r="L949">
        <v>3</v>
      </c>
      <c r="M949">
        <v>17</v>
      </c>
      <c r="N949">
        <v>22</v>
      </c>
      <c r="O949" t="s">
        <v>2051</v>
      </c>
      <c r="P949" t="s">
        <v>2062</v>
      </c>
      <c r="Q949" s="2">
        <f>Employee_Data[[#This Row],[Monthly Salary]]*12</f>
        <v>756387.36</v>
      </c>
    </row>
    <row r="950" spans="1:17" x14ac:dyDescent="0.25">
      <c r="A950" t="s">
        <v>964</v>
      </c>
      <c r="B950" t="s">
        <v>1957</v>
      </c>
      <c r="C950" t="s">
        <v>2015</v>
      </c>
      <c r="D950" t="s">
        <v>2033</v>
      </c>
      <c r="E950" t="s">
        <v>2038</v>
      </c>
      <c r="F950">
        <v>30</v>
      </c>
      <c r="G950" s="1">
        <v>43198</v>
      </c>
      <c r="H950" t="s">
        <v>2041</v>
      </c>
      <c r="I950" s="2">
        <v>39672.74</v>
      </c>
      <c r="J950">
        <v>5</v>
      </c>
      <c r="K950">
        <v>98.37</v>
      </c>
      <c r="L950">
        <v>7</v>
      </c>
      <c r="M950">
        <v>37</v>
      </c>
      <c r="N950">
        <v>14</v>
      </c>
      <c r="O950" t="s">
        <v>2049</v>
      </c>
      <c r="P950" t="s">
        <v>2062</v>
      </c>
      <c r="Q950" s="2">
        <f>Employee_Data[[#This Row],[Monthly Salary]]*12</f>
        <v>476072.88</v>
      </c>
    </row>
    <row r="951" spans="1:17" x14ac:dyDescent="0.25">
      <c r="A951" t="s">
        <v>965</v>
      </c>
      <c r="B951" t="s">
        <v>1958</v>
      </c>
      <c r="C951" t="s">
        <v>2012</v>
      </c>
      <c r="D951" t="s">
        <v>2021</v>
      </c>
      <c r="E951" t="s">
        <v>2038</v>
      </c>
      <c r="F951">
        <v>48</v>
      </c>
      <c r="G951" s="1">
        <v>44621</v>
      </c>
      <c r="H951" t="s">
        <v>2042</v>
      </c>
      <c r="I951" s="2">
        <v>116690.68</v>
      </c>
      <c r="J951">
        <v>1</v>
      </c>
      <c r="K951">
        <v>97.86</v>
      </c>
      <c r="L951">
        <v>3</v>
      </c>
      <c r="M951">
        <v>38</v>
      </c>
      <c r="N951">
        <v>38</v>
      </c>
      <c r="O951" t="s">
        <v>2051</v>
      </c>
      <c r="P951" t="s">
        <v>2062</v>
      </c>
      <c r="Q951" s="2">
        <f>Employee_Data[[#This Row],[Monthly Salary]]*12</f>
        <v>1400288.16</v>
      </c>
    </row>
    <row r="952" spans="1:17" x14ac:dyDescent="0.25">
      <c r="A952" t="s">
        <v>966</v>
      </c>
      <c r="B952" t="s">
        <v>1959</v>
      </c>
      <c r="C952" t="s">
        <v>2016</v>
      </c>
      <c r="D952" t="s">
        <v>2034</v>
      </c>
      <c r="E952" t="s">
        <v>2039</v>
      </c>
      <c r="F952">
        <v>33</v>
      </c>
      <c r="G952" s="1">
        <v>43181</v>
      </c>
      <c r="H952" t="s">
        <v>2042</v>
      </c>
      <c r="I952" s="2">
        <v>33569.08</v>
      </c>
      <c r="J952">
        <v>5</v>
      </c>
      <c r="K952">
        <v>83.99</v>
      </c>
      <c r="L952">
        <v>7</v>
      </c>
      <c r="M952">
        <v>39</v>
      </c>
      <c r="N952">
        <v>5</v>
      </c>
      <c r="O952" t="s">
        <v>2051</v>
      </c>
      <c r="P952" t="s">
        <v>2062</v>
      </c>
      <c r="Q952" s="2">
        <f>Employee_Data[[#This Row],[Monthly Salary]]*12</f>
        <v>402828.96</v>
      </c>
    </row>
    <row r="953" spans="1:17" x14ac:dyDescent="0.25">
      <c r="A953" t="s">
        <v>967</v>
      </c>
      <c r="B953" t="s">
        <v>1960</v>
      </c>
      <c r="C953" t="s">
        <v>2013</v>
      </c>
      <c r="D953" t="s">
        <v>2025</v>
      </c>
      <c r="E953" t="s">
        <v>2038</v>
      </c>
      <c r="F953">
        <v>48</v>
      </c>
      <c r="G953" s="1">
        <v>45640</v>
      </c>
      <c r="H953" t="s">
        <v>2040</v>
      </c>
      <c r="I953" s="2">
        <v>33860.99</v>
      </c>
      <c r="J953">
        <v>4</v>
      </c>
      <c r="K953">
        <v>93.88</v>
      </c>
      <c r="L953">
        <v>1</v>
      </c>
      <c r="M953">
        <v>64</v>
      </c>
      <c r="N953">
        <v>59</v>
      </c>
      <c r="O953" t="s">
        <v>2053</v>
      </c>
      <c r="P953" t="s">
        <v>2062</v>
      </c>
      <c r="Q953" s="2">
        <f>Employee_Data[[#This Row],[Monthly Salary]]*12</f>
        <v>406331.88</v>
      </c>
    </row>
    <row r="954" spans="1:17" x14ac:dyDescent="0.25">
      <c r="A954" t="s">
        <v>968</v>
      </c>
      <c r="B954" t="s">
        <v>1961</v>
      </c>
      <c r="C954" t="s">
        <v>2016</v>
      </c>
      <c r="D954" t="s">
        <v>2034</v>
      </c>
      <c r="E954" t="s">
        <v>2038</v>
      </c>
      <c r="F954">
        <v>47</v>
      </c>
      <c r="G954" s="1">
        <v>44439</v>
      </c>
      <c r="H954" t="s">
        <v>2042</v>
      </c>
      <c r="I954" s="2">
        <v>22767.29</v>
      </c>
      <c r="J954">
        <v>5</v>
      </c>
      <c r="K954">
        <v>80.53</v>
      </c>
      <c r="L954">
        <v>4</v>
      </c>
      <c r="M954">
        <v>53</v>
      </c>
      <c r="N954">
        <v>5</v>
      </c>
      <c r="O954" t="s">
        <v>2060</v>
      </c>
      <c r="P954" t="s">
        <v>2062</v>
      </c>
      <c r="Q954" s="2">
        <f>Employee_Data[[#This Row],[Monthly Salary]]*12</f>
        <v>273207.48</v>
      </c>
    </row>
    <row r="955" spans="1:17" x14ac:dyDescent="0.25">
      <c r="A955" t="s">
        <v>969</v>
      </c>
      <c r="B955" t="s">
        <v>1962</v>
      </c>
      <c r="C955" t="s">
        <v>2011</v>
      </c>
      <c r="D955" t="s">
        <v>2019</v>
      </c>
      <c r="E955" t="s">
        <v>2038</v>
      </c>
      <c r="F955">
        <v>29</v>
      </c>
      <c r="G955" s="1">
        <v>43188</v>
      </c>
      <c r="H955" t="s">
        <v>2041</v>
      </c>
      <c r="I955" s="2">
        <v>74326.960000000006</v>
      </c>
      <c r="J955">
        <v>5</v>
      </c>
      <c r="K955">
        <v>97.56</v>
      </c>
      <c r="L955">
        <v>7</v>
      </c>
      <c r="M955">
        <v>6</v>
      </c>
      <c r="N955">
        <v>48</v>
      </c>
      <c r="O955" t="s">
        <v>2061</v>
      </c>
      <c r="P955" t="s">
        <v>2062</v>
      </c>
      <c r="Q955" s="2">
        <f>Employee_Data[[#This Row],[Monthly Salary]]*12</f>
        <v>891923.52</v>
      </c>
    </row>
    <row r="956" spans="1:17" x14ac:dyDescent="0.25">
      <c r="A956" t="s">
        <v>970</v>
      </c>
      <c r="B956" t="s">
        <v>1963</v>
      </c>
      <c r="C956" t="s">
        <v>2010</v>
      </c>
      <c r="D956" t="s">
        <v>2024</v>
      </c>
      <c r="E956" t="s">
        <v>2038</v>
      </c>
      <c r="F956">
        <v>24</v>
      </c>
      <c r="G956" s="1">
        <v>43510</v>
      </c>
      <c r="H956" t="s">
        <v>2040</v>
      </c>
      <c r="I956" s="2">
        <v>25469.279999999999</v>
      </c>
      <c r="J956">
        <v>1</v>
      </c>
      <c r="K956">
        <v>86.67</v>
      </c>
      <c r="L956">
        <v>6</v>
      </c>
      <c r="M956">
        <v>12</v>
      </c>
      <c r="N956">
        <v>52</v>
      </c>
      <c r="O956" t="s">
        <v>2051</v>
      </c>
      <c r="P956" t="s">
        <v>2062</v>
      </c>
      <c r="Q956" s="2">
        <f>Employee_Data[[#This Row],[Monthly Salary]]*12</f>
        <v>305631.35999999999</v>
      </c>
    </row>
    <row r="957" spans="1:17" x14ac:dyDescent="0.25">
      <c r="A957" t="s">
        <v>971</v>
      </c>
      <c r="B957" t="s">
        <v>1964</v>
      </c>
      <c r="C957" t="s">
        <v>2012</v>
      </c>
      <c r="D957" t="s">
        <v>2021</v>
      </c>
      <c r="E957" t="s">
        <v>2039</v>
      </c>
      <c r="F957">
        <v>58</v>
      </c>
      <c r="G957" s="1">
        <v>42640</v>
      </c>
      <c r="H957" t="s">
        <v>2041</v>
      </c>
      <c r="I957" s="2">
        <v>71082.09</v>
      </c>
      <c r="J957">
        <v>1</v>
      </c>
      <c r="K957">
        <v>94.03</v>
      </c>
      <c r="L957">
        <v>9</v>
      </c>
      <c r="M957">
        <v>66</v>
      </c>
      <c r="N957">
        <v>9</v>
      </c>
      <c r="O957" t="s">
        <v>2046</v>
      </c>
      <c r="P957" t="s">
        <v>2062</v>
      </c>
      <c r="Q957" s="2">
        <f>Employee_Data[[#This Row],[Monthly Salary]]*12</f>
        <v>852985.08</v>
      </c>
    </row>
    <row r="958" spans="1:17" x14ac:dyDescent="0.25">
      <c r="A958" t="s">
        <v>972</v>
      </c>
      <c r="B958" t="s">
        <v>1965</v>
      </c>
      <c r="C958" t="s">
        <v>2013</v>
      </c>
      <c r="D958" t="s">
        <v>2025</v>
      </c>
      <c r="E958" t="s">
        <v>2039</v>
      </c>
      <c r="F958">
        <v>30</v>
      </c>
      <c r="G958" s="1">
        <v>45169</v>
      </c>
      <c r="H958" t="s">
        <v>2042</v>
      </c>
      <c r="I958" s="2">
        <v>82823.95</v>
      </c>
      <c r="J958">
        <v>1</v>
      </c>
      <c r="K958">
        <v>96.11</v>
      </c>
      <c r="L958">
        <v>2</v>
      </c>
      <c r="M958">
        <v>79</v>
      </c>
      <c r="N958">
        <v>44</v>
      </c>
      <c r="O958" t="s">
        <v>2059</v>
      </c>
      <c r="P958" t="s">
        <v>2062</v>
      </c>
      <c r="Q958" s="2">
        <f>Employee_Data[[#This Row],[Monthly Salary]]*12</f>
        <v>993887.39999999991</v>
      </c>
    </row>
    <row r="959" spans="1:17" x14ac:dyDescent="0.25">
      <c r="A959" t="s">
        <v>973</v>
      </c>
      <c r="B959" t="s">
        <v>1966</v>
      </c>
      <c r="C959" t="s">
        <v>2010</v>
      </c>
      <c r="D959" t="s">
        <v>2018</v>
      </c>
      <c r="E959" t="s">
        <v>2039</v>
      </c>
      <c r="F959">
        <v>54</v>
      </c>
      <c r="G959" s="1">
        <v>43860</v>
      </c>
      <c r="H959" t="s">
        <v>2040</v>
      </c>
      <c r="I959" s="2">
        <v>44720.61</v>
      </c>
      <c r="J959">
        <v>1</v>
      </c>
      <c r="K959">
        <v>89.47</v>
      </c>
      <c r="L959">
        <v>5</v>
      </c>
      <c r="M959">
        <v>64</v>
      </c>
      <c r="N959">
        <v>28</v>
      </c>
      <c r="O959" t="s">
        <v>2061</v>
      </c>
      <c r="P959" t="s">
        <v>2062</v>
      </c>
      <c r="Q959" s="2">
        <f>Employee_Data[[#This Row],[Monthly Salary]]*12</f>
        <v>536647.32000000007</v>
      </c>
    </row>
    <row r="960" spans="1:17" x14ac:dyDescent="0.25">
      <c r="A960" t="s">
        <v>974</v>
      </c>
      <c r="B960" t="s">
        <v>1967</v>
      </c>
      <c r="C960" t="s">
        <v>2009</v>
      </c>
      <c r="D960" t="s">
        <v>2030</v>
      </c>
      <c r="E960" t="s">
        <v>2038</v>
      </c>
      <c r="F960">
        <v>51</v>
      </c>
      <c r="G960" s="1">
        <v>44358</v>
      </c>
      <c r="H960" t="s">
        <v>2040</v>
      </c>
      <c r="I960" s="2">
        <v>102027.1</v>
      </c>
      <c r="J960">
        <v>5</v>
      </c>
      <c r="K960">
        <v>85.21</v>
      </c>
      <c r="L960">
        <v>4</v>
      </c>
      <c r="M960">
        <v>78</v>
      </c>
      <c r="N960">
        <v>43</v>
      </c>
      <c r="O960" t="s">
        <v>2056</v>
      </c>
      <c r="P960" t="s">
        <v>2063</v>
      </c>
      <c r="Q960" s="2">
        <f>Employee_Data[[#This Row],[Monthly Salary]]*12</f>
        <v>1224325.2000000002</v>
      </c>
    </row>
    <row r="961" spans="1:17" x14ac:dyDescent="0.25">
      <c r="A961" t="s">
        <v>975</v>
      </c>
      <c r="B961" t="s">
        <v>1968</v>
      </c>
      <c r="C961" t="s">
        <v>2009</v>
      </c>
      <c r="D961" t="s">
        <v>2030</v>
      </c>
      <c r="E961" t="s">
        <v>2039</v>
      </c>
      <c r="F961">
        <v>22</v>
      </c>
      <c r="G961" s="1">
        <v>44074</v>
      </c>
      <c r="H961" t="s">
        <v>2040</v>
      </c>
      <c r="I961" s="2">
        <v>34168.620000000003</v>
      </c>
      <c r="J961">
        <v>2</v>
      </c>
      <c r="K961">
        <v>83.42</v>
      </c>
      <c r="L961">
        <v>5</v>
      </c>
      <c r="M961">
        <v>69</v>
      </c>
      <c r="N961">
        <v>12</v>
      </c>
      <c r="O961" t="s">
        <v>2050</v>
      </c>
      <c r="P961" t="s">
        <v>2062</v>
      </c>
      <c r="Q961" s="2">
        <f>Employee_Data[[#This Row],[Monthly Salary]]*12</f>
        <v>410023.44000000006</v>
      </c>
    </row>
    <row r="962" spans="1:17" x14ac:dyDescent="0.25">
      <c r="A962" t="s">
        <v>976</v>
      </c>
      <c r="B962" t="s">
        <v>1969</v>
      </c>
      <c r="C962" t="s">
        <v>2011</v>
      </c>
      <c r="D962" t="s">
        <v>2031</v>
      </c>
      <c r="E962" t="s">
        <v>2039</v>
      </c>
      <c r="F962">
        <v>58</v>
      </c>
      <c r="G962" s="1">
        <v>45103</v>
      </c>
      <c r="H962" t="s">
        <v>2042</v>
      </c>
      <c r="I962" s="2">
        <v>56733.94</v>
      </c>
      <c r="J962">
        <v>3</v>
      </c>
      <c r="K962">
        <v>87.82</v>
      </c>
      <c r="L962">
        <v>2</v>
      </c>
      <c r="M962">
        <v>13</v>
      </c>
      <c r="N962">
        <v>29</v>
      </c>
      <c r="O962" t="s">
        <v>1505</v>
      </c>
      <c r="P962" t="s">
        <v>2062</v>
      </c>
      <c r="Q962" s="2">
        <f>Employee_Data[[#This Row],[Monthly Salary]]*12</f>
        <v>680807.28</v>
      </c>
    </row>
    <row r="963" spans="1:17" x14ac:dyDescent="0.25">
      <c r="A963" t="s">
        <v>977</v>
      </c>
      <c r="B963" t="s">
        <v>1970</v>
      </c>
      <c r="C963" t="s">
        <v>2015</v>
      </c>
      <c r="D963" t="s">
        <v>2033</v>
      </c>
      <c r="E963" t="s">
        <v>2038</v>
      </c>
      <c r="F963">
        <v>50</v>
      </c>
      <c r="G963" s="1">
        <v>43249</v>
      </c>
      <c r="H963" t="s">
        <v>2040</v>
      </c>
      <c r="I963" s="2">
        <v>76420.91</v>
      </c>
      <c r="J963">
        <v>1</v>
      </c>
      <c r="K963">
        <v>91.61</v>
      </c>
      <c r="L963">
        <v>7</v>
      </c>
      <c r="M963">
        <v>4</v>
      </c>
      <c r="N963">
        <v>41</v>
      </c>
      <c r="O963" t="s">
        <v>2058</v>
      </c>
      <c r="P963" t="s">
        <v>2062</v>
      </c>
      <c r="Q963" s="2">
        <f>Employee_Data[[#This Row],[Monthly Salary]]*12</f>
        <v>917050.92</v>
      </c>
    </row>
    <row r="964" spans="1:17" x14ac:dyDescent="0.25">
      <c r="A964" t="s">
        <v>978</v>
      </c>
      <c r="B964" t="s">
        <v>1971</v>
      </c>
      <c r="C964" t="s">
        <v>2012</v>
      </c>
      <c r="D964" t="s">
        <v>2021</v>
      </c>
      <c r="E964" t="s">
        <v>2038</v>
      </c>
      <c r="F964">
        <v>50</v>
      </c>
      <c r="G964" s="1">
        <v>44964</v>
      </c>
      <c r="H964" t="s">
        <v>2042</v>
      </c>
      <c r="I964" s="2">
        <v>20912.009999999998</v>
      </c>
      <c r="J964">
        <v>2</v>
      </c>
      <c r="K964">
        <v>87.15</v>
      </c>
      <c r="L964">
        <v>2</v>
      </c>
      <c r="M964">
        <v>64</v>
      </c>
      <c r="N964">
        <v>13</v>
      </c>
      <c r="O964" t="s">
        <v>2053</v>
      </c>
      <c r="P964" t="s">
        <v>2063</v>
      </c>
      <c r="Q964" s="2">
        <f>Employee_Data[[#This Row],[Monthly Salary]]*12</f>
        <v>250944.12</v>
      </c>
    </row>
    <row r="965" spans="1:17" x14ac:dyDescent="0.25">
      <c r="A965" t="s">
        <v>979</v>
      </c>
      <c r="B965" t="s">
        <v>1972</v>
      </c>
      <c r="C965" t="s">
        <v>2016</v>
      </c>
      <c r="D965" t="s">
        <v>2032</v>
      </c>
      <c r="E965" t="s">
        <v>2039</v>
      </c>
      <c r="F965">
        <v>30</v>
      </c>
      <c r="G965" s="1">
        <v>45012</v>
      </c>
      <c r="H965" t="s">
        <v>2042</v>
      </c>
      <c r="I965" s="2">
        <v>85593.34</v>
      </c>
      <c r="J965">
        <v>5</v>
      </c>
      <c r="K965">
        <v>86.79</v>
      </c>
      <c r="L965">
        <v>2</v>
      </c>
      <c r="M965">
        <v>17</v>
      </c>
      <c r="N965">
        <v>17</v>
      </c>
      <c r="O965" t="s">
        <v>2051</v>
      </c>
      <c r="P965" t="s">
        <v>2063</v>
      </c>
      <c r="Q965" s="2">
        <f>Employee_Data[[#This Row],[Monthly Salary]]*12</f>
        <v>1027120.08</v>
      </c>
    </row>
    <row r="966" spans="1:17" x14ac:dyDescent="0.25">
      <c r="A966" t="s">
        <v>980</v>
      </c>
      <c r="B966" t="s">
        <v>1973</v>
      </c>
      <c r="C966" t="s">
        <v>2009</v>
      </c>
      <c r="D966" t="s">
        <v>2036</v>
      </c>
      <c r="E966" t="s">
        <v>2038</v>
      </c>
      <c r="F966">
        <v>45</v>
      </c>
      <c r="G966" s="1">
        <v>44363</v>
      </c>
      <c r="H966" t="s">
        <v>2042</v>
      </c>
      <c r="I966" s="2">
        <v>80584.179999999993</v>
      </c>
      <c r="J966">
        <v>2</v>
      </c>
      <c r="K966">
        <v>91.52</v>
      </c>
      <c r="L966">
        <v>4</v>
      </c>
      <c r="M966">
        <v>64</v>
      </c>
      <c r="N966">
        <v>49</v>
      </c>
      <c r="O966" t="s">
        <v>2052</v>
      </c>
      <c r="P966" t="s">
        <v>2062</v>
      </c>
      <c r="Q966" s="2">
        <f>Employee_Data[[#This Row],[Monthly Salary]]*12</f>
        <v>967010.15999999992</v>
      </c>
    </row>
    <row r="967" spans="1:17" x14ac:dyDescent="0.25">
      <c r="A967" t="s">
        <v>981</v>
      </c>
      <c r="B967" t="s">
        <v>1974</v>
      </c>
      <c r="C967" t="s">
        <v>2012</v>
      </c>
      <c r="D967" t="s">
        <v>2020</v>
      </c>
      <c r="E967" t="s">
        <v>2038</v>
      </c>
      <c r="F967">
        <v>25</v>
      </c>
      <c r="G967" s="1">
        <v>44201</v>
      </c>
      <c r="H967" t="s">
        <v>2040</v>
      </c>
      <c r="I967" s="2">
        <v>22952.18</v>
      </c>
      <c r="J967">
        <v>2</v>
      </c>
      <c r="K967">
        <v>84.63</v>
      </c>
      <c r="L967">
        <v>4</v>
      </c>
      <c r="M967">
        <v>13</v>
      </c>
      <c r="N967">
        <v>31</v>
      </c>
      <c r="O967" t="s">
        <v>2050</v>
      </c>
      <c r="P967" t="s">
        <v>2062</v>
      </c>
      <c r="Q967" s="2">
        <f>Employee_Data[[#This Row],[Monthly Salary]]*12</f>
        <v>275426.16000000003</v>
      </c>
    </row>
    <row r="968" spans="1:17" x14ac:dyDescent="0.25">
      <c r="A968" t="s">
        <v>982</v>
      </c>
      <c r="B968" t="s">
        <v>1975</v>
      </c>
      <c r="C968" t="s">
        <v>2014</v>
      </c>
      <c r="D968" t="s">
        <v>2028</v>
      </c>
      <c r="E968" t="s">
        <v>2039</v>
      </c>
      <c r="F968">
        <v>27</v>
      </c>
      <c r="G968" s="1">
        <v>44046</v>
      </c>
      <c r="H968" t="s">
        <v>2040</v>
      </c>
      <c r="I968" s="2">
        <v>92816.320000000007</v>
      </c>
      <c r="J968">
        <v>4</v>
      </c>
      <c r="K968">
        <v>95.12</v>
      </c>
      <c r="L968">
        <v>5</v>
      </c>
      <c r="M968">
        <v>53</v>
      </c>
      <c r="N968">
        <v>59</v>
      </c>
      <c r="O968" t="s">
        <v>2045</v>
      </c>
      <c r="P968" t="s">
        <v>2062</v>
      </c>
      <c r="Q968" s="2">
        <f>Employee_Data[[#This Row],[Monthly Salary]]*12</f>
        <v>1113795.8400000001</v>
      </c>
    </row>
    <row r="969" spans="1:17" x14ac:dyDescent="0.25">
      <c r="A969" t="s">
        <v>983</v>
      </c>
      <c r="B969" t="s">
        <v>1976</v>
      </c>
      <c r="C969" t="s">
        <v>2011</v>
      </c>
      <c r="D969" t="s">
        <v>2019</v>
      </c>
      <c r="E969" t="s">
        <v>2039</v>
      </c>
      <c r="F969">
        <v>25</v>
      </c>
      <c r="G969" s="1">
        <v>43938</v>
      </c>
      <c r="H969" t="s">
        <v>2042</v>
      </c>
      <c r="I969" s="2">
        <v>96335.19</v>
      </c>
      <c r="J969">
        <v>5</v>
      </c>
      <c r="K969">
        <v>92.63</v>
      </c>
      <c r="L969">
        <v>5</v>
      </c>
      <c r="M969">
        <v>3</v>
      </c>
      <c r="N969">
        <v>59</v>
      </c>
      <c r="O969" t="s">
        <v>2048</v>
      </c>
      <c r="P969" t="s">
        <v>2062</v>
      </c>
      <c r="Q969" s="2">
        <f>Employee_Data[[#This Row],[Monthly Salary]]*12</f>
        <v>1156022.28</v>
      </c>
    </row>
    <row r="970" spans="1:17" x14ac:dyDescent="0.25">
      <c r="A970" t="s">
        <v>984</v>
      </c>
      <c r="B970" t="s">
        <v>1977</v>
      </c>
      <c r="C970" t="s">
        <v>2013</v>
      </c>
      <c r="D970" t="s">
        <v>2022</v>
      </c>
      <c r="E970" t="s">
        <v>2039</v>
      </c>
      <c r="F970">
        <v>57</v>
      </c>
      <c r="G970" s="1">
        <v>42418</v>
      </c>
      <c r="H970" t="s">
        <v>2041</v>
      </c>
      <c r="I970" s="2">
        <v>39973.440000000002</v>
      </c>
      <c r="J970">
        <v>3</v>
      </c>
      <c r="K970">
        <v>89.82</v>
      </c>
      <c r="L970">
        <v>9</v>
      </c>
      <c r="M970">
        <v>36</v>
      </c>
      <c r="N970">
        <v>14</v>
      </c>
      <c r="O970" t="s">
        <v>2059</v>
      </c>
      <c r="P970" t="s">
        <v>2062</v>
      </c>
      <c r="Q970" s="2">
        <f>Employee_Data[[#This Row],[Monthly Salary]]*12</f>
        <v>479681.28000000003</v>
      </c>
    </row>
    <row r="971" spans="1:17" x14ac:dyDescent="0.25">
      <c r="A971" t="s">
        <v>985</v>
      </c>
      <c r="B971" t="s">
        <v>1978</v>
      </c>
      <c r="C971" t="s">
        <v>2016</v>
      </c>
      <c r="D971" t="s">
        <v>2032</v>
      </c>
      <c r="E971" t="s">
        <v>2039</v>
      </c>
      <c r="F971">
        <v>58</v>
      </c>
      <c r="G971" s="1">
        <v>45900</v>
      </c>
      <c r="H971" t="s">
        <v>2040</v>
      </c>
      <c r="I971" s="2">
        <v>82911.570000000007</v>
      </c>
      <c r="J971">
        <v>1</v>
      </c>
      <c r="K971">
        <v>84.07</v>
      </c>
      <c r="L971">
        <v>0</v>
      </c>
      <c r="M971">
        <v>17</v>
      </c>
      <c r="N971">
        <v>57</v>
      </c>
      <c r="O971" t="s">
        <v>2057</v>
      </c>
      <c r="P971" t="s">
        <v>2062</v>
      </c>
      <c r="Q971" s="2">
        <f>Employee_Data[[#This Row],[Monthly Salary]]*12</f>
        <v>994938.84000000008</v>
      </c>
    </row>
    <row r="972" spans="1:17" x14ac:dyDescent="0.25">
      <c r="A972" t="s">
        <v>986</v>
      </c>
      <c r="B972" t="s">
        <v>1979</v>
      </c>
      <c r="C972" t="s">
        <v>2016</v>
      </c>
      <c r="D972" t="s">
        <v>2032</v>
      </c>
      <c r="E972" t="s">
        <v>2038</v>
      </c>
      <c r="F972">
        <v>32</v>
      </c>
      <c r="G972" s="1">
        <v>45730</v>
      </c>
      <c r="H972" t="s">
        <v>2041</v>
      </c>
      <c r="I972" s="2">
        <v>92997.71</v>
      </c>
      <c r="J972">
        <v>5</v>
      </c>
      <c r="K972">
        <v>89.92</v>
      </c>
      <c r="L972">
        <v>0</v>
      </c>
      <c r="M972">
        <v>26</v>
      </c>
      <c r="N972">
        <v>36</v>
      </c>
      <c r="O972" t="s">
        <v>2050</v>
      </c>
      <c r="P972" t="s">
        <v>2062</v>
      </c>
      <c r="Q972" s="2">
        <f>Employee_Data[[#This Row],[Monthly Salary]]*12</f>
        <v>1115972.52</v>
      </c>
    </row>
    <row r="973" spans="1:17" x14ac:dyDescent="0.25">
      <c r="A973" t="s">
        <v>987</v>
      </c>
      <c r="B973" t="s">
        <v>1980</v>
      </c>
      <c r="C973" t="s">
        <v>2012</v>
      </c>
      <c r="D973" t="s">
        <v>2021</v>
      </c>
      <c r="E973" t="s">
        <v>2039</v>
      </c>
      <c r="F973">
        <v>49</v>
      </c>
      <c r="G973" s="1">
        <v>43226</v>
      </c>
      <c r="H973" t="s">
        <v>2042</v>
      </c>
      <c r="I973" s="2">
        <v>82547.070000000007</v>
      </c>
      <c r="J973">
        <v>1</v>
      </c>
      <c r="K973">
        <v>91.38</v>
      </c>
      <c r="L973">
        <v>7</v>
      </c>
      <c r="M973">
        <v>16</v>
      </c>
      <c r="N973">
        <v>50</v>
      </c>
      <c r="O973" t="s">
        <v>2052</v>
      </c>
      <c r="P973" t="s">
        <v>2062</v>
      </c>
      <c r="Q973" s="2">
        <f>Employee_Data[[#This Row],[Monthly Salary]]*12</f>
        <v>990564.84000000008</v>
      </c>
    </row>
    <row r="974" spans="1:17" x14ac:dyDescent="0.25">
      <c r="A974" t="s">
        <v>988</v>
      </c>
      <c r="B974" t="s">
        <v>1981</v>
      </c>
      <c r="C974" t="s">
        <v>2009</v>
      </c>
      <c r="D974" t="s">
        <v>2030</v>
      </c>
      <c r="E974" t="s">
        <v>2039</v>
      </c>
      <c r="F974">
        <v>24</v>
      </c>
      <c r="G974" s="1">
        <v>44111</v>
      </c>
      <c r="H974" t="s">
        <v>2041</v>
      </c>
      <c r="I974" s="2">
        <v>74053.8</v>
      </c>
      <c r="J974">
        <v>1</v>
      </c>
      <c r="K974">
        <v>84.48</v>
      </c>
      <c r="L974">
        <v>5</v>
      </c>
      <c r="M974">
        <v>37</v>
      </c>
      <c r="N974">
        <v>59</v>
      </c>
      <c r="O974" t="s">
        <v>2055</v>
      </c>
      <c r="P974" t="s">
        <v>2062</v>
      </c>
      <c r="Q974" s="2">
        <f>Employee_Data[[#This Row],[Monthly Salary]]*12</f>
        <v>888645.60000000009</v>
      </c>
    </row>
    <row r="975" spans="1:17" x14ac:dyDescent="0.25">
      <c r="A975" t="s">
        <v>989</v>
      </c>
      <c r="B975" t="s">
        <v>1982</v>
      </c>
      <c r="C975" t="s">
        <v>2012</v>
      </c>
      <c r="D975" t="s">
        <v>2021</v>
      </c>
      <c r="E975" t="s">
        <v>2039</v>
      </c>
      <c r="F975">
        <v>39</v>
      </c>
      <c r="G975" s="1">
        <v>44563</v>
      </c>
      <c r="H975" t="s">
        <v>2040</v>
      </c>
      <c r="I975" s="2">
        <v>73442.38</v>
      </c>
      <c r="J975">
        <v>2</v>
      </c>
      <c r="K975">
        <v>97.06</v>
      </c>
      <c r="L975">
        <v>3</v>
      </c>
      <c r="M975">
        <v>78</v>
      </c>
      <c r="N975">
        <v>32</v>
      </c>
      <c r="O975" t="s">
        <v>2051</v>
      </c>
      <c r="P975" t="s">
        <v>2062</v>
      </c>
      <c r="Q975" s="2">
        <f>Employee_Data[[#This Row],[Monthly Salary]]*12</f>
        <v>881308.56</v>
      </c>
    </row>
    <row r="976" spans="1:17" x14ac:dyDescent="0.25">
      <c r="A976" t="s">
        <v>990</v>
      </c>
      <c r="B976" t="s">
        <v>1983</v>
      </c>
      <c r="C976" t="s">
        <v>2010</v>
      </c>
      <c r="D976" t="s">
        <v>2037</v>
      </c>
      <c r="E976" t="s">
        <v>2039</v>
      </c>
      <c r="F976">
        <v>58</v>
      </c>
      <c r="G976" s="1">
        <v>43333</v>
      </c>
      <c r="H976" t="s">
        <v>2042</v>
      </c>
      <c r="I976" s="2">
        <v>113692.69</v>
      </c>
      <c r="J976">
        <v>3</v>
      </c>
      <c r="K976">
        <v>93.06</v>
      </c>
      <c r="L976">
        <v>7</v>
      </c>
      <c r="M976">
        <v>4</v>
      </c>
      <c r="N976">
        <v>21</v>
      </c>
      <c r="O976" t="s">
        <v>1505</v>
      </c>
      <c r="P976" t="s">
        <v>2062</v>
      </c>
      <c r="Q976" s="2">
        <f>Employee_Data[[#This Row],[Monthly Salary]]*12</f>
        <v>1364312.28</v>
      </c>
    </row>
    <row r="977" spans="1:17" x14ac:dyDescent="0.25">
      <c r="A977" t="s">
        <v>991</v>
      </c>
      <c r="B977" t="s">
        <v>1984</v>
      </c>
      <c r="C977" t="s">
        <v>2012</v>
      </c>
      <c r="D977" t="s">
        <v>2021</v>
      </c>
      <c r="E977" t="s">
        <v>2039</v>
      </c>
      <c r="F977">
        <v>34</v>
      </c>
      <c r="G977" s="1">
        <v>45822</v>
      </c>
      <c r="H977" t="s">
        <v>2041</v>
      </c>
      <c r="I977" s="2">
        <v>101676.24</v>
      </c>
      <c r="J977">
        <v>3</v>
      </c>
      <c r="K977">
        <v>98.48</v>
      </c>
      <c r="L977">
        <v>0</v>
      </c>
      <c r="M977">
        <v>7</v>
      </c>
      <c r="N977">
        <v>15</v>
      </c>
      <c r="O977" t="s">
        <v>2050</v>
      </c>
      <c r="P977" t="s">
        <v>2062</v>
      </c>
      <c r="Q977" s="2">
        <f>Employee_Data[[#This Row],[Monthly Salary]]*12</f>
        <v>1220114.8800000001</v>
      </c>
    </row>
    <row r="978" spans="1:17" x14ac:dyDescent="0.25">
      <c r="A978" t="s">
        <v>992</v>
      </c>
      <c r="B978" t="s">
        <v>1985</v>
      </c>
      <c r="C978" t="s">
        <v>2010</v>
      </c>
      <c r="D978" t="s">
        <v>2024</v>
      </c>
      <c r="E978" t="s">
        <v>2039</v>
      </c>
      <c r="F978">
        <v>47</v>
      </c>
      <c r="G978" s="1">
        <v>45307</v>
      </c>
      <c r="H978" t="s">
        <v>2041</v>
      </c>
      <c r="I978" s="2">
        <v>93928.94</v>
      </c>
      <c r="J978">
        <v>1</v>
      </c>
      <c r="K978">
        <v>97.75</v>
      </c>
      <c r="L978">
        <v>1</v>
      </c>
      <c r="M978">
        <v>61</v>
      </c>
      <c r="N978">
        <v>60</v>
      </c>
      <c r="O978" t="s">
        <v>2060</v>
      </c>
      <c r="P978" t="s">
        <v>2062</v>
      </c>
      <c r="Q978" s="2">
        <f>Employee_Data[[#This Row],[Monthly Salary]]*12</f>
        <v>1127147.28</v>
      </c>
    </row>
    <row r="979" spans="1:17" x14ac:dyDescent="0.25">
      <c r="A979" t="s">
        <v>993</v>
      </c>
      <c r="B979" t="s">
        <v>1986</v>
      </c>
      <c r="C979" t="s">
        <v>2010</v>
      </c>
      <c r="D979" t="s">
        <v>2018</v>
      </c>
      <c r="E979" t="s">
        <v>2039</v>
      </c>
      <c r="F979">
        <v>52</v>
      </c>
      <c r="G979" s="1">
        <v>43743</v>
      </c>
      <c r="H979" t="s">
        <v>2041</v>
      </c>
      <c r="I979" s="2">
        <v>42524.5</v>
      </c>
      <c r="J979">
        <v>3</v>
      </c>
      <c r="K979">
        <v>88.63</v>
      </c>
      <c r="L979">
        <v>6</v>
      </c>
      <c r="M979">
        <v>38</v>
      </c>
      <c r="N979">
        <v>50</v>
      </c>
      <c r="O979" t="s">
        <v>2044</v>
      </c>
      <c r="P979" t="s">
        <v>2062</v>
      </c>
      <c r="Q979" s="2">
        <f>Employee_Data[[#This Row],[Monthly Salary]]*12</f>
        <v>510294</v>
      </c>
    </row>
    <row r="980" spans="1:17" x14ac:dyDescent="0.25">
      <c r="A980" t="s">
        <v>994</v>
      </c>
      <c r="B980" t="s">
        <v>1987</v>
      </c>
      <c r="C980" t="s">
        <v>2010</v>
      </c>
      <c r="D980" t="s">
        <v>2018</v>
      </c>
      <c r="E980" t="s">
        <v>2039</v>
      </c>
      <c r="F980">
        <v>55</v>
      </c>
      <c r="G980" s="1">
        <v>43587</v>
      </c>
      <c r="H980" t="s">
        <v>2041</v>
      </c>
      <c r="I980" s="2">
        <v>106029.45</v>
      </c>
      <c r="J980">
        <v>1</v>
      </c>
      <c r="K980">
        <v>91.05</v>
      </c>
      <c r="L980">
        <v>6</v>
      </c>
      <c r="M980">
        <v>6</v>
      </c>
      <c r="N980">
        <v>24</v>
      </c>
      <c r="O980" t="s">
        <v>2061</v>
      </c>
      <c r="P980" t="s">
        <v>2062</v>
      </c>
      <c r="Q980" s="2">
        <f>Employee_Data[[#This Row],[Monthly Salary]]*12</f>
        <v>1272353.3999999999</v>
      </c>
    </row>
    <row r="981" spans="1:17" x14ac:dyDescent="0.25">
      <c r="A981" t="s">
        <v>995</v>
      </c>
      <c r="B981" t="s">
        <v>1988</v>
      </c>
      <c r="C981" t="s">
        <v>2016</v>
      </c>
      <c r="D981" t="s">
        <v>2034</v>
      </c>
      <c r="E981" t="s">
        <v>2039</v>
      </c>
      <c r="F981">
        <v>28</v>
      </c>
      <c r="G981" s="1">
        <v>45128</v>
      </c>
      <c r="H981" t="s">
        <v>2042</v>
      </c>
      <c r="I981" s="2">
        <v>31799.26</v>
      </c>
      <c r="J981">
        <v>5</v>
      </c>
      <c r="K981">
        <v>99.65</v>
      </c>
      <c r="L981">
        <v>2</v>
      </c>
      <c r="M981">
        <v>47</v>
      </c>
      <c r="N981">
        <v>22</v>
      </c>
      <c r="O981" t="s">
        <v>2059</v>
      </c>
      <c r="P981" t="s">
        <v>2062</v>
      </c>
      <c r="Q981" s="2">
        <f>Employee_Data[[#This Row],[Monthly Salary]]*12</f>
        <v>381591.12</v>
      </c>
    </row>
    <row r="982" spans="1:17" x14ac:dyDescent="0.25">
      <c r="A982" t="s">
        <v>996</v>
      </c>
      <c r="B982" t="s">
        <v>1989</v>
      </c>
      <c r="C982" t="s">
        <v>2010</v>
      </c>
      <c r="D982" t="s">
        <v>2018</v>
      </c>
      <c r="E982" t="s">
        <v>2039</v>
      </c>
      <c r="F982">
        <v>26</v>
      </c>
      <c r="G982" s="1">
        <v>42944</v>
      </c>
      <c r="H982" t="s">
        <v>2041</v>
      </c>
      <c r="I982" s="2">
        <v>21004.97</v>
      </c>
      <c r="J982">
        <v>4</v>
      </c>
      <c r="K982">
        <v>94.95</v>
      </c>
      <c r="L982">
        <v>8</v>
      </c>
      <c r="M982">
        <v>68</v>
      </c>
      <c r="N982">
        <v>36</v>
      </c>
      <c r="O982" t="s">
        <v>2049</v>
      </c>
      <c r="P982" t="s">
        <v>2063</v>
      </c>
      <c r="Q982" s="2">
        <f>Employee_Data[[#This Row],[Monthly Salary]]*12</f>
        <v>252059.64</v>
      </c>
    </row>
    <row r="983" spans="1:17" x14ac:dyDescent="0.25">
      <c r="A983" t="s">
        <v>997</v>
      </c>
      <c r="B983" t="s">
        <v>1990</v>
      </c>
      <c r="C983" t="s">
        <v>2010</v>
      </c>
      <c r="D983" t="s">
        <v>2037</v>
      </c>
      <c r="E983" t="s">
        <v>2039</v>
      </c>
      <c r="F983">
        <v>24</v>
      </c>
      <c r="G983" s="1">
        <v>43939</v>
      </c>
      <c r="H983" t="s">
        <v>2040</v>
      </c>
      <c r="I983" s="2">
        <v>25665.46</v>
      </c>
      <c r="J983">
        <v>4</v>
      </c>
      <c r="K983">
        <v>83.61</v>
      </c>
      <c r="L983">
        <v>5</v>
      </c>
      <c r="M983">
        <v>5</v>
      </c>
      <c r="N983">
        <v>20</v>
      </c>
      <c r="O983" t="s">
        <v>2053</v>
      </c>
      <c r="P983" t="s">
        <v>2062</v>
      </c>
      <c r="Q983" s="2">
        <f>Employee_Data[[#This Row],[Monthly Salary]]*12</f>
        <v>307985.52</v>
      </c>
    </row>
    <row r="984" spans="1:17" x14ac:dyDescent="0.25">
      <c r="A984" t="s">
        <v>998</v>
      </c>
      <c r="B984" t="s">
        <v>1991</v>
      </c>
      <c r="C984" t="s">
        <v>2014</v>
      </c>
      <c r="D984" t="s">
        <v>2029</v>
      </c>
      <c r="E984" t="s">
        <v>2039</v>
      </c>
      <c r="F984">
        <v>59</v>
      </c>
      <c r="G984" s="1">
        <v>44655</v>
      </c>
      <c r="H984" t="s">
        <v>2042</v>
      </c>
      <c r="I984" s="2">
        <v>67870.14</v>
      </c>
      <c r="J984">
        <v>1</v>
      </c>
      <c r="K984">
        <v>93.13</v>
      </c>
      <c r="L984">
        <v>3</v>
      </c>
      <c r="M984">
        <v>9</v>
      </c>
      <c r="N984">
        <v>16</v>
      </c>
      <c r="O984" t="s">
        <v>2046</v>
      </c>
      <c r="P984" t="s">
        <v>2062</v>
      </c>
      <c r="Q984" s="2">
        <f>Employee_Data[[#This Row],[Monthly Salary]]*12</f>
        <v>814441.67999999993</v>
      </c>
    </row>
    <row r="985" spans="1:17" x14ac:dyDescent="0.25">
      <c r="A985" t="s">
        <v>999</v>
      </c>
      <c r="B985" t="s">
        <v>1992</v>
      </c>
      <c r="C985" t="s">
        <v>2012</v>
      </c>
      <c r="D985" t="s">
        <v>2021</v>
      </c>
      <c r="E985" t="s">
        <v>2038</v>
      </c>
      <c r="F985">
        <v>40</v>
      </c>
      <c r="G985" s="1">
        <v>45513</v>
      </c>
      <c r="H985" t="s">
        <v>2042</v>
      </c>
      <c r="I985" s="2">
        <v>98020.84</v>
      </c>
      <c r="J985">
        <v>3</v>
      </c>
      <c r="K985">
        <v>97.38</v>
      </c>
      <c r="L985">
        <v>1</v>
      </c>
      <c r="M985">
        <v>31</v>
      </c>
      <c r="N985">
        <v>33</v>
      </c>
      <c r="O985" t="s">
        <v>2055</v>
      </c>
      <c r="P985" t="s">
        <v>2062</v>
      </c>
      <c r="Q985" s="2">
        <f>Employee_Data[[#This Row],[Monthly Salary]]*12</f>
        <v>1176250.08</v>
      </c>
    </row>
    <row r="986" spans="1:17" x14ac:dyDescent="0.25">
      <c r="A986" t="s">
        <v>1000</v>
      </c>
      <c r="B986" t="s">
        <v>1993</v>
      </c>
      <c r="C986" t="s">
        <v>2009</v>
      </c>
      <c r="D986" t="s">
        <v>2017</v>
      </c>
      <c r="E986" t="s">
        <v>2038</v>
      </c>
      <c r="F986">
        <v>47</v>
      </c>
      <c r="G986" s="1">
        <v>44824</v>
      </c>
      <c r="H986" t="s">
        <v>2041</v>
      </c>
      <c r="I986" s="2">
        <v>115056.35</v>
      </c>
      <c r="J986">
        <v>4</v>
      </c>
      <c r="K986">
        <v>85.6</v>
      </c>
      <c r="L986">
        <v>3</v>
      </c>
      <c r="M986">
        <v>26</v>
      </c>
      <c r="N986">
        <v>58</v>
      </c>
      <c r="O986" t="s">
        <v>2060</v>
      </c>
      <c r="P986" t="s">
        <v>2062</v>
      </c>
      <c r="Q986" s="2">
        <f>Employee_Data[[#This Row],[Monthly Salary]]*12</f>
        <v>1380676.2000000002</v>
      </c>
    </row>
    <row r="987" spans="1:17" x14ac:dyDescent="0.25">
      <c r="A987" t="s">
        <v>1001</v>
      </c>
      <c r="B987" t="s">
        <v>1994</v>
      </c>
      <c r="C987" t="s">
        <v>2014</v>
      </c>
      <c r="D987" t="s">
        <v>2029</v>
      </c>
      <c r="E987" t="s">
        <v>2039</v>
      </c>
      <c r="F987">
        <v>28</v>
      </c>
      <c r="G987" s="1">
        <v>45298</v>
      </c>
      <c r="H987" t="s">
        <v>2042</v>
      </c>
      <c r="I987" s="2">
        <v>92491.08</v>
      </c>
      <c r="J987">
        <v>2</v>
      </c>
      <c r="K987">
        <v>80.72</v>
      </c>
      <c r="L987">
        <v>1</v>
      </c>
      <c r="M987">
        <v>30</v>
      </c>
      <c r="N987">
        <v>44</v>
      </c>
      <c r="O987" t="s">
        <v>2056</v>
      </c>
      <c r="P987" t="s">
        <v>2062</v>
      </c>
      <c r="Q987" s="2">
        <f>Employee_Data[[#This Row],[Monthly Salary]]*12</f>
        <v>1109892.96</v>
      </c>
    </row>
    <row r="988" spans="1:17" x14ac:dyDescent="0.25">
      <c r="A988" t="s">
        <v>1002</v>
      </c>
      <c r="B988" t="s">
        <v>1995</v>
      </c>
      <c r="C988" t="s">
        <v>2013</v>
      </c>
      <c r="D988" t="s">
        <v>2025</v>
      </c>
      <c r="E988" t="s">
        <v>2039</v>
      </c>
      <c r="F988">
        <v>52</v>
      </c>
      <c r="G988" s="1">
        <v>45036</v>
      </c>
      <c r="H988" t="s">
        <v>2040</v>
      </c>
      <c r="I988" s="2">
        <v>47029.86</v>
      </c>
      <c r="J988">
        <v>5</v>
      </c>
      <c r="K988">
        <v>87.68</v>
      </c>
      <c r="L988">
        <v>2</v>
      </c>
      <c r="M988">
        <v>10</v>
      </c>
      <c r="N988">
        <v>3</v>
      </c>
      <c r="O988" t="s">
        <v>2055</v>
      </c>
      <c r="P988" t="s">
        <v>2063</v>
      </c>
      <c r="Q988" s="2">
        <f>Employee_Data[[#This Row],[Monthly Salary]]*12</f>
        <v>564358.32000000007</v>
      </c>
    </row>
    <row r="989" spans="1:17" x14ac:dyDescent="0.25">
      <c r="A989" t="s">
        <v>1003</v>
      </c>
      <c r="B989" t="s">
        <v>1996</v>
      </c>
      <c r="C989" t="s">
        <v>2016</v>
      </c>
      <c r="D989" t="s">
        <v>2034</v>
      </c>
      <c r="E989" t="s">
        <v>2039</v>
      </c>
      <c r="F989">
        <v>45</v>
      </c>
      <c r="G989" s="1">
        <v>43617</v>
      </c>
      <c r="H989" t="s">
        <v>2042</v>
      </c>
      <c r="I989" s="2">
        <v>64401.97</v>
      </c>
      <c r="J989">
        <v>2</v>
      </c>
      <c r="K989">
        <v>84.11</v>
      </c>
      <c r="L989">
        <v>6</v>
      </c>
      <c r="M989">
        <v>23</v>
      </c>
      <c r="N989">
        <v>42</v>
      </c>
      <c r="O989" t="s">
        <v>1505</v>
      </c>
      <c r="P989" t="s">
        <v>2062</v>
      </c>
      <c r="Q989" s="2">
        <f>Employee_Data[[#This Row],[Monthly Salary]]*12</f>
        <v>772823.64</v>
      </c>
    </row>
    <row r="990" spans="1:17" x14ac:dyDescent="0.25">
      <c r="A990" t="s">
        <v>1004</v>
      </c>
      <c r="B990" t="s">
        <v>1997</v>
      </c>
      <c r="C990" t="s">
        <v>2011</v>
      </c>
      <c r="D990" t="s">
        <v>2019</v>
      </c>
      <c r="E990" t="s">
        <v>2038</v>
      </c>
      <c r="F990">
        <v>22</v>
      </c>
      <c r="G990" s="1">
        <v>43038</v>
      </c>
      <c r="H990" t="s">
        <v>2041</v>
      </c>
      <c r="I990" s="2">
        <v>95447.81</v>
      </c>
      <c r="J990">
        <v>3</v>
      </c>
      <c r="K990">
        <v>98.45</v>
      </c>
      <c r="L990">
        <v>8</v>
      </c>
      <c r="M990">
        <v>33</v>
      </c>
      <c r="N990">
        <v>51</v>
      </c>
      <c r="O990" t="s">
        <v>2043</v>
      </c>
      <c r="P990" t="s">
        <v>2062</v>
      </c>
      <c r="Q990" s="2">
        <f>Employee_Data[[#This Row],[Monthly Salary]]*12</f>
        <v>1145373.72</v>
      </c>
    </row>
    <row r="991" spans="1:17" x14ac:dyDescent="0.25">
      <c r="A991" t="s">
        <v>1005</v>
      </c>
      <c r="B991" t="s">
        <v>1998</v>
      </c>
      <c r="C991" t="s">
        <v>2010</v>
      </c>
      <c r="D991" t="s">
        <v>2024</v>
      </c>
      <c r="E991" t="s">
        <v>2038</v>
      </c>
      <c r="F991">
        <v>48</v>
      </c>
      <c r="G991" s="1">
        <v>43007</v>
      </c>
      <c r="H991" t="s">
        <v>2041</v>
      </c>
      <c r="I991" s="2">
        <v>112856.65</v>
      </c>
      <c r="J991">
        <v>1</v>
      </c>
      <c r="K991">
        <v>96.15</v>
      </c>
      <c r="L991">
        <v>8</v>
      </c>
      <c r="M991">
        <v>70</v>
      </c>
      <c r="N991">
        <v>24</v>
      </c>
      <c r="O991" t="s">
        <v>2051</v>
      </c>
      <c r="P991" t="s">
        <v>2063</v>
      </c>
      <c r="Q991" s="2">
        <f>Employee_Data[[#This Row],[Monthly Salary]]*12</f>
        <v>1354279.7999999998</v>
      </c>
    </row>
    <row r="992" spans="1:17" x14ac:dyDescent="0.25">
      <c r="A992" t="s">
        <v>1006</v>
      </c>
      <c r="B992" t="s">
        <v>1999</v>
      </c>
      <c r="C992" t="s">
        <v>2013</v>
      </c>
      <c r="D992" t="s">
        <v>2022</v>
      </c>
      <c r="E992" t="s">
        <v>2038</v>
      </c>
      <c r="F992">
        <v>31</v>
      </c>
      <c r="G992" s="1">
        <v>44856</v>
      </c>
      <c r="H992" t="s">
        <v>2042</v>
      </c>
      <c r="I992" s="2">
        <v>66733.25</v>
      </c>
      <c r="J992">
        <v>2</v>
      </c>
      <c r="K992">
        <v>82.64</v>
      </c>
      <c r="L992">
        <v>3</v>
      </c>
      <c r="M992">
        <v>1</v>
      </c>
      <c r="N992">
        <v>17</v>
      </c>
      <c r="O992" t="s">
        <v>2055</v>
      </c>
      <c r="P992" t="s">
        <v>2062</v>
      </c>
      <c r="Q992" s="2">
        <f>Employee_Data[[#This Row],[Monthly Salary]]*12</f>
        <v>800799</v>
      </c>
    </row>
    <row r="993" spans="1:17" x14ac:dyDescent="0.25">
      <c r="A993" t="s">
        <v>1007</v>
      </c>
      <c r="B993" t="s">
        <v>2000</v>
      </c>
      <c r="C993" t="s">
        <v>2014</v>
      </c>
      <c r="D993" t="s">
        <v>2028</v>
      </c>
      <c r="E993" t="s">
        <v>2038</v>
      </c>
      <c r="F993">
        <v>42</v>
      </c>
      <c r="G993" s="1">
        <v>43304</v>
      </c>
      <c r="H993" t="s">
        <v>2041</v>
      </c>
      <c r="I993" s="2">
        <v>59460.12</v>
      </c>
      <c r="J993">
        <v>5</v>
      </c>
      <c r="K993">
        <v>85.49</v>
      </c>
      <c r="L993">
        <v>7</v>
      </c>
      <c r="M993">
        <v>34</v>
      </c>
      <c r="N993">
        <v>42</v>
      </c>
      <c r="O993" t="s">
        <v>2055</v>
      </c>
      <c r="P993" t="s">
        <v>2062</v>
      </c>
      <c r="Q993" s="2">
        <f>Employee_Data[[#This Row],[Monthly Salary]]*12</f>
        <v>713521.44000000006</v>
      </c>
    </row>
    <row r="994" spans="1:17" x14ac:dyDescent="0.25">
      <c r="A994" t="s">
        <v>1008</v>
      </c>
      <c r="B994" t="s">
        <v>2001</v>
      </c>
      <c r="C994" t="s">
        <v>2010</v>
      </c>
      <c r="D994" t="s">
        <v>2018</v>
      </c>
      <c r="E994" t="s">
        <v>2038</v>
      </c>
      <c r="F994">
        <v>57</v>
      </c>
      <c r="G994" s="1">
        <v>43215</v>
      </c>
      <c r="H994" t="s">
        <v>2041</v>
      </c>
      <c r="I994" s="2">
        <v>52098.94</v>
      </c>
      <c r="J994">
        <v>3</v>
      </c>
      <c r="K994">
        <v>96.95</v>
      </c>
      <c r="L994">
        <v>7</v>
      </c>
      <c r="M994">
        <v>56</v>
      </c>
      <c r="N994">
        <v>29</v>
      </c>
      <c r="O994" t="s">
        <v>2057</v>
      </c>
      <c r="P994" t="s">
        <v>2062</v>
      </c>
      <c r="Q994" s="2">
        <f>Employee_Data[[#This Row],[Monthly Salary]]*12</f>
        <v>625187.28</v>
      </c>
    </row>
    <row r="995" spans="1:17" x14ac:dyDescent="0.25">
      <c r="A995" t="s">
        <v>1009</v>
      </c>
      <c r="B995" t="s">
        <v>2002</v>
      </c>
      <c r="C995" t="s">
        <v>2013</v>
      </c>
      <c r="D995" t="s">
        <v>2025</v>
      </c>
      <c r="E995" t="s">
        <v>2038</v>
      </c>
      <c r="F995">
        <v>51</v>
      </c>
      <c r="G995" s="1">
        <v>44822</v>
      </c>
      <c r="H995" t="s">
        <v>2041</v>
      </c>
      <c r="I995" s="2">
        <v>104432.53</v>
      </c>
      <c r="J995">
        <v>2</v>
      </c>
      <c r="K995">
        <v>88.17</v>
      </c>
      <c r="L995">
        <v>3</v>
      </c>
      <c r="M995">
        <v>74</v>
      </c>
      <c r="N995">
        <v>60</v>
      </c>
      <c r="O995" t="s">
        <v>2045</v>
      </c>
      <c r="P995" t="s">
        <v>2062</v>
      </c>
      <c r="Q995" s="2">
        <f>Employee_Data[[#This Row],[Monthly Salary]]*12</f>
        <v>1253190.3599999999</v>
      </c>
    </row>
    <row r="996" spans="1:17" x14ac:dyDescent="0.25">
      <c r="A996" t="s">
        <v>1010</v>
      </c>
      <c r="B996" t="s">
        <v>2003</v>
      </c>
      <c r="C996" t="s">
        <v>2012</v>
      </c>
      <c r="D996" t="s">
        <v>2021</v>
      </c>
      <c r="E996" t="s">
        <v>2038</v>
      </c>
      <c r="F996">
        <v>32</v>
      </c>
      <c r="G996" s="1">
        <v>44064</v>
      </c>
      <c r="H996" t="s">
        <v>2042</v>
      </c>
      <c r="I996" s="2">
        <v>96597.68</v>
      </c>
      <c r="J996">
        <v>3</v>
      </c>
      <c r="K996">
        <v>85.19</v>
      </c>
      <c r="L996">
        <v>5</v>
      </c>
      <c r="M996">
        <v>63</v>
      </c>
      <c r="N996">
        <v>8</v>
      </c>
      <c r="O996" t="s">
        <v>2044</v>
      </c>
      <c r="P996" t="s">
        <v>2062</v>
      </c>
      <c r="Q996" s="2">
        <f>Employee_Data[[#This Row],[Monthly Salary]]*12</f>
        <v>1159172.1599999999</v>
      </c>
    </row>
    <row r="997" spans="1:17" x14ac:dyDescent="0.25">
      <c r="A997" t="s">
        <v>1011</v>
      </c>
      <c r="B997" t="s">
        <v>2004</v>
      </c>
      <c r="C997" t="s">
        <v>2015</v>
      </c>
      <c r="D997" t="s">
        <v>2027</v>
      </c>
      <c r="E997" t="s">
        <v>2039</v>
      </c>
      <c r="F997">
        <v>35</v>
      </c>
      <c r="G997" s="1">
        <v>45232</v>
      </c>
      <c r="H997" t="s">
        <v>2040</v>
      </c>
      <c r="I997" s="2">
        <v>85460.08</v>
      </c>
      <c r="J997">
        <v>2</v>
      </c>
      <c r="K997">
        <v>93.69</v>
      </c>
      <c r="L997">
        <v>2</v>
      </c>
      <c r="M997">
        <v>56</v>
      </c>
      <c r="N997">
        <v>37</v>
      </c>
      <c r="O997" t="s">
        <v>2054</v>
      </c>
      <c r="P997" t="s">
        <v>2062</v>
      </c>
      <c r="Q997" s="2">
        <f>Employee_Data[[#This Row],[Monthly Salary]]*12</f>
        <v>1025520.96</v>
      </c>
    </row>
    <row r="998" spans="1:17" x14ac:dyDescent="0.25">
      <c r="A998" t="s">
        <v>1012</v>
      </c>
      <c r="B998" t="s">
        <v>2005</v>
      </c>
      <c r="C998" t="s">
        <v>2014</v>
      </c>
      <c r="D998" t="s">
        <v>2023</v>
      </c>
      <c r="E998" t="s">
        <v>2038</v>
      </c>
      <c r="F998">
        <v>37</v>
      </c>
      <c r="G998" s="1">
        <v>43189</v>
      </c>
      <c r="H998" t="s">
        <v>2040</v>
      </c>
      <c r="I998" s="2">
        <v>87838.78</v>
      </c>
      <c r="J998">
        <v>3</v>
      </c>
      <c r="K998">
        <v>90.81</v>
      </c>
      <c r="L998">
        <v>7</v>
      </c>
      <c r="M998">
        <v>5</v>
      </c>
      <c r="N998">
        <v>38</v>
      </c>
      <c r="O998" t="s">
        <v>2044</v>
      </c>
      <c r="P998" t="s">
        <v>2062</v>
      </c>
      <c r="Q998" s="2">
        <f>Employee_Data[[#This Row],[Monthly Salary]]*12</f>
        <v>1054065.3599999999</v>
      </c>
    </row>
    <row r="999" spans="1:17" x14ac:dyDescent="0.25">
      <c r="A999" t="s">
        <v>1013</v>
      </c>
      <c r="B999" t="s">
        <v>2006</v>
      </c>
      <c r="C999" t="s">
        <v>2009</v>
      </c>
      <c r="D999" t="s">
        <v>2036</v>
      </c>
      <c r="E999" t="s">
        <v>2038</v>
      </c>
      <c r="F999">
        <v>28</v>
      </c>
      <c r="G999" s="1">
        <v>45477</v>
      </c>
      <c r="H999" t="s">
        <v>2041</v>
      </c>
      <c r="I999" s="2">
        <v>27745.02</v>
      </c>
      <c r="J999">
        <v>2</v>
      </c>
      <c r="K999">
        <v>86.52</v>
      </c>
      <c r="L999">
        <v>1</v>
      </c>
      <c r="M999">
        <v>47</v>
      </c>
      <c r="N999">
        <v>53</v>
      </c>
      <c r="O999" t="s">
        <v>1505</v>
      </c>
      <c r="P999" t="s">
        <v>2062</v>
      </c>
      <c r="Q999" s="2">
        <f>Employee_Data[[#This Row],[Monthly Salary]]*12</f>
        <v>332940.24</v>
      </c>
    </row>
    <row r="1000" spans="1:17" x14ac:dyDescent="0.25">
      <c r="A1000" t="s">
        <v>1014</v>
      </c>
      <c r="B1000" t="s">
        <v>2007</v>
      </c>
      <c r="C1000" t="s">
        <v>2016</v>
      </c>
      <c r="D1000" t="s">
        <v>2034</v>
      </c>
      <c r="E1000" t="s">
        <v>2039</v>
      </c>
      <c r="F1000">
        <v>22</v>
      </c>
      <c r="G1000" s="1">
        <v>45120</v>
      </c>
      <c r="H1000" t="s">
        <v>2042</v>
      </c>
      <c r="I1000" s="2">
        <v>80696.67</v>
      </c>
      <c r="J1000">
        <v>3</v>
      </c>
      <c r="K1000">
        <v>86.7</v>
      </c>
      <c r="L1000">
        <v>2</v>
      </c>
      <c r="M1000">
        <v>52</v>
      </c>
      <c r="N1000">
        <v>57</v>
      </c>
      <c r="O1000" t="s">
        <v>2053</v>
      </c>
      <c r="P1000" t="s">
        <v>2062</v>
      </c>
      <c r="Q1000" s="2">
        <f>Employee_Data[[#This Row],[Monthly Salary]]*12</f>
        <v>968360.04</v>
      </c>
    </row>
    <row r="1001" spans="1:17" x14ac:dyDescent="0.25">
      <c r="A1001" t="s">
        <v>1015</v>
      </c>
      <c r="B1001" t="s">
        <v>2008</v>
      </c>
      <c r="C1001" t="s">
        <v>2011</v>
      </c>
      <c r="D1001" t="s">
        <v>2031</v>
      </c>
      <c r="E1001" t="s">
        <v>2039</v>
      </c>
      <c r="F1001">
        <v>31</v>
      </c>
      <c r="G1001" s="1">
        <v>43124</v>
      </c>
      <c r="H1001" t="s">
        <v>2042</v>
      </c>
      <c r="I1001" s="2">
        <v>24461.06</v>
      </c>
      <c r="J1001">
        <v>2</v>
      </c>
      <c r="K1001">
        <v>98.24</v>
      </c>
      <c r="L1001">
        <v>7</v>
      </c>
      <c r="M1001">
        <v>3</v>
      </c>
      <c r="N1001">
        <v>6</v>
      </c>
      <c r="O1001" t="s">
        <v>2058</v>
      </c>
      <c r="P1001" t="s">
        <v>2062</v>
      </c>
      <c r="Q1001" s="2">
        <f>Employee_Data[[#This Row],[Monthly Salary]]*12</f>
        <v>293532.72000000003</v>
      </c>
    </row>
  </sheetData>
  <conditionalFormatting sqref="J2:J1001">
    <cfRule type="cellIs" dxfId="0" priority="1" operator="lessThan">
      <formula>3</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4BC43-CDA4-4932-9CC6-2BCE97D11016}">
  <sheetPr codeName="Sheet1"/>
  <dimension ref="A1:AF1003"/>
  <sheetViews>
    <sheetView zoomScale="85" zoomScaleNormal="85" workbookViewId="0">
      <selection activeCell="J19" sqref="J19"/>
    </sheetView>
  </sheetViews>
  <sheetFormatPr defaultRowHeight="15" x14ac:dyDescent="0.25"/>
  <cols>
    <col min="1" max="1" width="17.5703125" bestFit="1" customWidth="1"/>
    <col min="2" max="2" width="25.140625" bestFit="1" customWidth="1"/>
    <col min="3" max="3" width="30.5703125" bestFit="1" customWidth="1"/>
    <col min="4" max="4" width="12.140625" bestFit="1" customWidth="1"/>
    <col min="5" max="5" width="24.5703125" bestFit="1" customWidth="1"/>
    <col min="6" max="6" width="17.28515625" bestFit="1" customWidth="1"/>
    <col min="7" max="7" width="20" bestFit="1" customWidth="1"/>
    <col min="8" max="8" width="7.7109375" bestFit="1" customWidth="1"/>
    <col min="9" max="9" width="10.28515625" customWidth="1"/>
    <col min="10" max="10" width="9.28515625" bestFit="1" customWidth="1"/>
    <col min="11" max="11" width="17.28515625" bestFit="1" customWidth="1"/>
    <col min="12" max="12" width="14.42578125" bestFit="1" customWidth="1"/>
    <col min="13" max="13" width="18.7109375" bestFit="1" customWidth="1"/>
    <col min="14" max="14" width="19.42578125" bestFit="1" customWidth="1"/>
    <col min="15" max="15" width="16.85546875" bestFit="1" customWidth="1"/>
    <col min="16" max="16" width="12.140625" bestFit="1" customWidth="1"/>
    <col min="17" max="17" width="25.5703125" bestFit="1" customWidth="1"/>
    <col min="18" max="18" width="17.5703125" bestFit="1" customWidth="1"/>
    <col min="19" max="19" width="21.140625" bestFit="1" customWidth="1"/>
    <col min="20" max="20" width="8" bestFit="1" customWidth="1"/>
    <col min="21" max="21" width="4.42578125" bestFit="1" customWidth="1"/>
    <col min="22" max="22" width="9.28515625" bestFit="1" customWidth="1"/>
    <col min="23" max="23" width="17.28515625" bestFit="1" customWidth="1"/>
    <col min="24" max="24" width="14.42578125" bestFit="1" customWidth="1"/>
    <col min="25" max="25" width="18.7109375" bestFit="1" customWidth="1"/>
    <col min="26" max="26" width="19.42578125" bestFit="1" customWidth="1"/>
    <col min="27" max="27" width="16.85546875" bestFit="1" customWidth="1"/>
    <col min="28" max="28" width="13.85546875" bestFit="1" customWidth="1"/>
    <col min="29" max="29" width="15.140625" bestFit="1" customWidth="1"/>
    <col min="30" max="30" width="17.85546875" bestFit="1" customWidth="1"/>
    <col min="31" max="31" width="9.7109375" bestFit="1" customWidth="1"/>
    <col min="32" max="32" width="13.140625" bestFit="1" customWidth="1"/>
  </cols>
  <sheetData>
    <row r="1" spans="1:32" x14ac:dyDescent="0.25">
      <c r="A1" s="8" t="s">
        <v>2067</v>
      </c>
      <c r="B1" s="8"/>
      <c r="N1" s="12" t="s">
        <v>2070</v>
      </c>
      <c r="O1" s="12"/>
    </row>
    <row r="2" spans="1:32" x14ac:dyDescent="0.25">
      <c r="A2" s="4" t="s">
        <v>2</v>
      </c>
      <c r="B2" t="s">
        <v>2066</v>
      </c>
      <c r="N2" s="12"/>
      <c r="O2" s="12"/>
    </row>
    <row r="3" spans="1:32" x14ac:dyDescent="0.25">
      <c r="A3" s="5" t="s">
        <v>2014</v>
      </c>
      <c r="B3" s="2">
        <v>72441.148688524598</v>
      </c>
      <c r="P3" s="6" t="s">
        <v>0</v>
      </c>
      <c r="Q3" s="6" t="s">
        <v>1</v>
      </c>
      <c r="R3" s="6" t="s">
        <v>2</v>
      </c>
      <c r="S3" s="6" t="s">
        <v>3</v>
      </c>
      <c r="T3" s="6" t="s">
        <v>4</v>
      </c>
      <c r="U3" s="6" t="s">
        <v>5</v>
      </c>
      <c r="V3" s="6" t="s">
        <v>6</v>
      </c>
      <c r="W3" s="6" t="s">
        <v>7</v>
      </c>
      <c r="X3" s="6" t="s">
        <v>8</v>
      </c>
      <c r="Y3" s="6" t="s">
        <v>9</v>
      </c>
      <c r="Z3" s="6" t="s">
        <v>10</v>
      </c>
      <c r="AA3" s="6" t="s">
        <v>11</v>
      </c>
      <c r="AB3" s="6" t="s">
        <v>12</v>
      </c>
      <c r="AC3" s="6" t="s">
        <v>13</v>
      </c>
      <c r="AD3" s="6" t="s">
        <v>14</v>
      </c>
      <c r="AE3" s="6" t="s">
        <v>15</v>
      </c>
      <c r="AF3" s="6" t="s">
        <v>2068</v>
      </c>
    </row>
    <row r="4" spans="1:32" x14ac:dyDescent="0.25">
      <c r="A4" s="5" t="s">
        <v>2011</v>
      </c>
      <c r="B4" s="2">
        <v>70923.283596491252</v>
      </c>
      <c r="P4" t="str" cm="1">
        <f t="array" ref="P4:AF1003">_xlfn._xlws.FILTER(Employee_Data[], ISNUMBER(SEARCH('Pivot Tables'!P2,Employee_Data[Employee ID])),"Empty")</f>
        <v>EMP0001</v>
      </c>
      <c r="Q4" t="str">
        <v>Frederick Tate</v>
      </c>
      <c r="R4" t="str">
        <v>Marketing</v>
      </c>
      <c r="S4" t="str">
        <v>Marketing Analyst</v>
      </c>
      <c r="T4" t="str">
        <v>Female</v>
      </c>
      <c r="U4">
        <v>36</v>
      </c>
      <c r="V4">
        <v>45763</v>
      </c>
      <c r="W4" t="str">
        <v>Full-Time</v>
      </c>
      <c r="X4">
        <v>33953.79</v>
      </c>
      <c r="Y4">
        <v>1</v>
      </c>
      <c r="Z4">
        <v>93.53</v>
      </c>
      <c r="AA4">
        <v>0</v>
      </c>
      <c r="AB4">
        <v>69</v>
      </c>
      <c r="AC4">
        <v>5</v>
      </c>
      <c r="AD4" t="str">
        <v>Lisa Jackson</v>
      </c>
      <c r="AE4" t="str">
        <v>Active</v>
      </c>
      <c r="AF4">
        <v>407445.48</v>
      </c>
    </row>
    <row r="5" spans="1:32" x14ac:dyDescent="0.25">
      <c r="A5" s="5" t="s">
        <v>2016</v>
      </c>
      <c r="B5" s="2">
        <v>69518.401574803167</v>
      </c>
      <c r="P5" t="str">
        <v>EMP0002</v>
      </c>
      <c r="Q5" t="str">
        <v>Andrew Stewart</v>
      </c>
      <c r="R5" t="str">
        <v>Sales</v>
      </c>
      <c r="S5" t="str">
        <v>Sales Rep</v>
      </c>
      <c r="T5" t="str">
        <v>Male</v>
      </c>
      <c r="U5">
        <v>35</v>
      </c>
      <c r="V5">
        <v>42650</v>
      </c>
      <c r="W5" t="str">
        <v>Contract</v>
      </c>
      <c r="X5">
        <v>80201.87</v>
      </c>
      <c r="Y5">
        <v>5</v>
      </c>
      <c r="Z5">
        <v>83.98</v>
      </c>
      <c r="AA5">
        <v>9</v>
      </c>
      <c r="AB5">
        <v>69</v>
      </c>
      <c r="AC5">
        <v>26</v>
      </c>
      <c r="AD5" t="str">
        <v>Gina Moore</v>
      </c>
      <c r="AE5" t="str">
        <v>Active</v>
      </c>
      <c r="AF5">
        <v>962422.44</v>
      </c>
    </row>
    <row r="6" spans="1:32" x14ac:dyDescent="0.25">
      <c r="A6" s="5" t="s">
        <v>2015</v>
      </c>
      <c r="B6" s="2">
        <v>69449.436838235284</v>
      </c>
      <c r="P6" t="str">
        <v>EMP0003</v>
      </c>
      <c r="Q6" t="str">
        <v>Thomas Bradley</v>
      </c>
      <c r="R6" t="str">
        <v>Finance</v>
      </c>
      <c r="S6" t="str">
        <v>Accountant</v>
      </c>
      <c r="T6" t="str">
        <v>Male</v>
      </c>
      <c r="U6">
        <v>48</v>
      </c>
      <c r="V6">
        <v>43966</v>
      </c>
      <c r="W6" t="str">
        <v>Part-Time</v>
      </c>
      <c r="X6">
        <v>47787.13</v>
      </c>
      <c r="Y6">
        <v>2</v>
      </c>
      <c r="Z6">
        <v>99.14</v>
      </c>
      <c r="AA6">
        <v>5</v>
      </c>
      <c r="AB6">
        <v>43</v>
      </c>
      <c r="AC6">
        <v>6</v>
      </c>
      <c r="AD6" t="str">
        <v>Angie Henderson</v>
      </c>
      <c r="AE6" t="str">
        <v>Active</v>
      </c>
      <c r="AF6">
        <v>573445.55999999994</v>
      </c>
    </row>
    <row r="7" spans="1:32" x14ac:dyDescent="0.25">
      <c r="A7" s="5" t="s">
        <v>2013</v>
      </c>
      <c r="B7" s="2">
        <v>69067.276456692896</v>
      </c>
      <c r="P7" t="str">
        <v>EMP0004</v>
      </c>
      <c r="Q7" t="str">
        <v>Jonathan Wilkerson</v>
      </c>
      <c r="R7" t="str">
        <v>Operations</v>
      </c>
      <c r="S7" t="str">
        <v>Operations Manager</v>
      </c>
      <c r="T7" t="str">
        <v>Female</v>
      </c>
      <c r="U7">
        <v>23</v>
      </c>
      <c r="V7">
        <v>44258</v>
      </c>
      <c r="W7" t="str">
        <v>Contract</v>
      </c>
      <c r="X7">
        <v>65942.490000000005</v>
      </c>
      <c r="Y7">
        <v>1</v>
      </c>
      <c r="Z7">
        <v>99.46</v>
      </c>
      <c r="AA7">
        <v>4</v>
      </c>
      <c r="AB7">
        <v>48</v>
      </c>
      <c r="AC7">
        <v>5</v>
      </c>
      <c r="AD7" t="str">
        <v>Derek Zuniga</v>
      </c>
      <c r="AE7" t="str">
        <v>Active</v>
      </c>
      <c r="AF7">
        <v>791309.88000000012</v>
      </c>
    </row>
    <row r="8" spans="1:32" x14ac:dyDescent="0.25">
      <c r="A8" s="5" t="s">
        <v>2012</v>
      </c>
      <c r="B8" s="2">
        <v>68713.236159999971</v>
      </c>
      <c r="P8" t="str">
        <v>EMP0005</v>
      </c>
      <c r="Q8" t="str">
        <v>Charles Mcgee</v>
      </c>
      <c r="R8" t="str">
        <v>Operations</v>
      </c>
      <c r="S8" t="str">
        <v>Operations Associate</v>
      </c>
      <c r="T8" t="str">
        <v>Male</v>
      </c>
      <c r="U8">
        <v>23</v>
      </c>
      <c r="V8">
        <v>45154</v>
      </c>
      <c r="W8" t="str">
        <v>Contract</v>
      </c>
      <c r="X8">
        <v>42789.83</v>
      </c>
      <c r="Y8">
        <v>3</v>
      </c>
      <c r="Z8">
        <v>99.7</v>
      </c>
      <c r="AA8">
        <v>2</v>
      </c>
      <c r="AB8">
        <v>29</v>
      </c>
      <c r="AC8">
        <v>55</v>
      </c>
      <c r="AD8" t="str">
        <v>Daniel Wagner</v>
      </c>
      <c r="AE8" t="str">
        <v>Active</v>
      </c>
      <c r="AF8">
        <v>513477.96</v>
      </c>
    </row>
    <row r="9" spans="1:32" x14ac:dyDescent="0.25">
      <c r="A9" s="5" t="s">
        <v>2010</v>
      </c>
      <c r="B9" s="2">
        <v>68437.155403225828</v>
      </c>
      <c r="P9" t="str">
        <v>EMP0006</v>
      </c>
      <c r="Q9" t="str">
        <v>Kevin Hurst</v>
      </c>
      <c r="R9" t="str">
        <v>R&amp;D</v>
      </c>
      <c r="S9" t="str">
        <v>Product Developer</v>
      </c>
      <c r="T9" t="str">
        <v>Male</v>
      </c>
      <c r="U9">
        <v>44</v>
      </c>
      <c r="V9">
        <v>45652</v>
      </c>
      <c r="W9" t="str">
        <v>Part-Time</v>
      </c>
      <c r="X9">
        <v>40950.699999999997</v>
      </c>
      <c r="Y9">
        <v>3</v>
      </c>
      <c r="Z9">
        <v>94.04</v>
      </c>
      <c r="AA9">
        <v>1</v>
      </c>
      <c r="AB9">
        <v>9</v>
      </c>
      <c r="AC9">
        <v>38</v>
      </c>
      <c r="AD9" t="str">
        <v>Connie Lawrence</v>
      </c>
      <c r="AE9" t="str">
        <v>Active</v>
      </c>
      <c r="AF9">
        <v>491408.39999999997</v>
      </c>
    </row>
    <row r="10" spans="1:32" x14ac:dyDescent="0.25">
      <c r="A10" s="5" t="s">
        <v>2009</v>
      </c>
      <c r="B10" s="2">
        <v>65619.956879999998</v>
      </c>
      <c r="P10" t="str">
        <v>EMP0007</v>
      </c>
      <c r="Q10" t="str">
        <v>Zachary Taylor</v>
      </c>
      <c r="R10" t="str">
        <v>IT</v>
      </c>
      <c r="S10" t="str">
        <v>IT Support</v>
      </c>
      <c r="T10" t="str">
        <v>Female</v>
      </c>
      <c r="U10">
        <v>45</v>
      </c>
      <c r="V10">
        <v>44784</v>
      </c>
      <c r="W10" t="str">
        <v>Part-Time</v>
      </c>
      <c r="X10">
        <v>118952.34</v>
      </c>
      <c r="Y10">
        <v>5</v>
      </c>
      <c r="Z10">
        <v>84.39</v>
      </c>
      <c r="AA10">
        <v>3</v>
      </c>
      <c r="AB10">
        <v>41</v>
      </c>
      <c r="AC10">
        <v>53</v>
      </c>
      <c r="AD10" t="str">
        <v>Noah Rhodes</v>
      </c>
      <c r="AE10" t="str">
        <v>Active</v>
      </c>
      <c r="AF10">
        <v>1427428.08</v>
      </c>
    </row>
    <row r="11" spans="1:32" x14ac:dyDescent="0.25">
      <c r="A11" s="5" t="s">
        <v>2065</v>
      </c>
      <c r="B11" s="2">
        <v>69246.435389999984</v>
      </c>
      <c r="P11" t="str">
        <v>EMP0008</v>
      </c>
      <c r="Q11" t="str">
        <v>Anthony Rodriguez</v>
      </c>
      <c r="R11" t="str">
        <v>Sales</v>
      </c>
      <c r="S11" t="str">
        <v>Sales Manager</v>
      </c>
      <c r="T11" t="str">
        <v>Female</v>
      </c>
      <c r="U11">
        <v>38</v>
      </c>
      <c r="V11">
        <v>45369</v>
      </c>
      <c r="W11" t="str">
        <v>Full-Time</v>
      </c>
      <c r="X11">
        <v>41098.28</v>
      </c>
      <c r="Y11">
        <v>5</v>
      </c>
      <c r="Z11">
        <v>97.53</v>
      </c>
      <c r="AA11">
        <v>1</v>
      </c>
      <c r="AB11">
        <v>40</v>
      </c>
      <c r="AC11">
        <v>13</v>
      </c>
      <c r="AD11" t="str">
        <v>Brian Ramirez</v>
      </c>
      <c r="AE11" t="str">
        <v>Active</v>
      </c>
      <c r="AF11">
        <v>493179.36</v>
      </c>
    </row>
    <row r="12" spans="1:32" x14ac:dyDescent="0.25">
      <c r="P12" t="str">
        <v>EMP0009</v>
      </c>
      <c r="Q12" t="str">
        <v>Jennifer Brown</v>
      </c>
      <c r="R12" t="str">
        <v>R&amp;D</v>
      </c>
      <c r="S12" t="str">
        <v>Researcher</v>
      </c>
      <c r="T12" t="str">
        <v>Female</v>
      </c>
      <c r="U12">
        <v>29</v>
      </c>
      <c r="V12">
        <v>43297</v>
      </c>
      <c r="W12" t="str">
        <v>Full-Time</v>
      </c>
      <c r="X12">
        <v>94498.9</v>
      </c>
      <c r="Y12">
        <v>5</v>
      </c>
      <c r="Z12">
        <v>85.25</v>
      </c>
      <c r="AA12">
        <v>7</v>
      </c>
      <c r="AB12">
        <v>74</v>
      </c>
      <c r="AC12">
        <v>27</v>
      </c>
      <c r="AD12" t="str">
        <v>Lisa Jackson</v>
      </c>
      <c r="AE12" t="str">
        <v>Active</v>
      </c>
      <c r="AF12">
        <v>1133986.7999999998</v>
      </c>
    </row>
    <row r="13" spans="1:32" ht="15.75" thickBot="1" x14ac:dyDescent="0.3">
      <c r="A13" s="9" t="s">
        <v>2069</v>
      </c>
      <c r="B13" s="10"/>
      <c r="P13" t="str">
        <v>EMP0010</v>
      </c>
      <c r="Q13" t="str">
        <v>Julie King</v>
      </c>
      <c r="R13" t="str">
        <v>IT</v>
      </c>
      <c r="S13" t="str">
        <v>IT Support</v>
      </c>
      <c r="T13" t="str">
        <v>Female</v>
      </c>
      <c r="U13">
        <v>26</v>
      </c>
      <c r="V13">
        <v>44674</v>
      </c>
      <c r="W13" t="str">
        <v>Full-Time</v>
      </c>
      <c r="X13">
        <v>106110.29</v>
      </c>
      <c r="Y13">
        <v>2</v>
      </c>
      <c r="Z13">
        <v>92.55</v>
      </c>
      <c r="AA13">
        <v>3</v>
      </c>
      <c r="AB13">
        <v>54</v>
      </c>
      <c r="AC13">
        <v>38</v>
      </c>
      <c r="AD13" t="str">
        <v>Angie Henderson</v>
      </c>
      <c r="AE13" t="str">
        <v>Active</v>
      </c>
      <c r="AF13">
        <v>1273323.48</v>
      </c>
    </row>
    <row r="14" spans="1:32" ht="16.5" thickTop="1" thickBot="1" x14ac:dyDescent="0.3">
      <c r="A14" s="11">
        <f>COUNTIF(Employee_Data[Performance Rating], "=5")</f>
        <v>194</v>
      </c>
      <c r="B14" s="11"/>
      <c r="P14" t="str">
        <v>EMP0011</v>
      </c>
      <c r="Q14" t="str">
        <v>Alexandra Le</v>
      </c>
      <c r="R14" t="str">
        <v>R&amp;D</v>
      </c>
      <c r="S14" t="str">
        <v>Product Developer</v>
      </c>
      <c r="T14" t="str">
        <v>Male</v>
      </c>
      <c r="U14">
        <v>28</v>
      </c>
      <c r="V14">
        <v>45740</v>
      </c>
      <c r="W14" t="str">
        <v>Contract</v>
      </c>
      <c r="X14">
        <v>108478.85</v>
      </c>
      <c r="Y14">
        <v>3</v>
      </c>
      <c r="Z14">
        <v>95.37</v>
      </c>
      <c r="AA14">
        <v>0</v>
      </c>
      <c r="AB14">
        <v>43</v>
      </c>
      <c r="AC14">
        <v>7</v>
      </c>
      <c r="AD14" t="str">
        <v>Ryan Munoz</v>
      </c>
      <c r="AE14" t="str">
        <v>Active</v>
      </c>
      <c r="AF14">
        <v>1301746.2000000002</v>
      </c>
    </row>
    <row r="15" spans="1:32" ht="15.75" thickTop="1" x14ac:dyDescent="0.25">
      <c r="P15" t="str">
        <v>EMP0012</v>
      </c>
      <c r="Q15" t="str">
        <v>Patricia Peterson</v>
      </c>
      <c r="R15" t="str">
        <v>R&amp;D</v>
      </c>
      <c r="S15" t="str">
        <v>Researcher</v>
      </c>
      <c r="T15" t="str">
        <v>Female</v>
      </c>
      <c r="U15">
        <v>53</v>
      </c>
      <c r="V15">
        <v>45639</v>
      </c>
      <c r="W15" t="str">
        <v>Full-Time</v>
      </c>
      <c r="X15">
        <v>70768.17</v>
      </c>
      <c r="Y15">
        <v>1</v>
      </c>
      <c r="Z15">
        <v>97.41</v>
      </c>
      <c r="AA15">
        <v>1</v>
      </c>
      <c r="AB15">
        <v>38</v>
      </c>
      <c r="AC15">
        <v>53</v>
      </c>
      <c r="AD15" t="str">
        <v>Holly Wood</v>
      </c>
      <c r="AE15" t="str">
        <v>Active</v>
      </c>
      <c r="AF15">
        <v>849218.04</v>
      </c>
    </row>
    <row r="16" spans="1:32" x14ac:dyDescent="0.25">
      <c r="A16" s="8" t="s">
        <v>2072</v>
      </c>
      <c r="B16" s="8"/>
      <c r="P16" t="str">
        <v>EMP0013</v>
      </c>
      <c r="Q16" t="str">
        <v>Jesse Mckay</v>
      </c>
      <c r="R16" t="str">
        <v>HR</v>
      </c>
      <c r="S16" t="str">
        <v>Recruiter</v>
      </c>
      <c r="T16" t="str">
        <v>Male</v>
      </c>
      <c r="U16">
        <v>55</v>
      </c>
      <c r="V16">
        <v>44126</v>
      </c>
      <c r="W16" t="str">
        <v>Contract</v>
      </c>
      <c r="X16">
        <v>111849.35</v>
      </c>
      <c r="Y16">
        <v>5</v>
      </c>
      <c r="Z16">
        <v>86.48</v>
      </c>
      <c r="AA16">
        <v>5</v>
      </c>
      <c r="AB16">
        <v>2</v>
      </c>
      <c r="AC16">
        <v>7</v>
      </c>
      <c r="AD16" t="str">
        <v>Jamie Arnold</v>
      </c>
      <c r="AE16" t="str">
        <v>Resigned</v>
      </c>
      <c r="AF16">
        <v>1342192.2000000002</v>
      </c>
    </row>
    <row r="17" spans="1:32" x14ac:dyDescent="0.25">
      <c r="A17" s="4" t="s">
        <v>2</v>
      </c>
      <c r="B17" t="s">
        <v>2071</v>
      </c>
      <c r="P17" t="str">
        <v>EMP0014</v>
      </c>
      <c r="Q17" t="str">
        <v>Pamela Romero</v>
      </c>
      <c r="R17" t="str">
        <v>Finance</v>
      </c>
      <c r="S17" t="str">
        <v>Accountant</v>
      </c>
      <c r="T17" t="str">
        <v>Male</v>
      </c>
      <c r="U17">
        <v>36</v>
      </c>
      <c r="V17">
        <v>43939</v>
      </c>
      <c r="W17" t="str">
        <v>Contract</v>
      </c>
      <c r="X17">
        <v>114694.94</v>
      </c>
      <c r="Y17">
        <v>1</v>
      </c>
      <c r="Z17">
        <v>94.64</v>
      </c>
      <c r="AA17">
        <v>5</v>
      </c>
      <c r="AB17">
        <v>8</v>
      </c>
      <c r="AC17">
        <v>48</v>
      </c>
      <c r="AD17" t="str">
        <v>Derek Zuniga</v>
      </c>
      <c r="AE17" t="str">
        <v>Active</v>
      </c>
      <c r="AF17">
        <v>1376339.28</v>
      </c>
    </row>
    <row r="18" spans="1:32" x14ac:dyDescent="0.25">
      <c r="A18" s="5" t="s">
        <v>2015</v>
      </c>
      <c r="B18">
        <v>136</v>
      </c>
      <c r="P18" t="str">
        <v>EMP0015</v>
      </c>
      <c r="Q18" t="str">
        <v>Elizabeth Fowler</v>
      </c>
      <c r="R18" t="str">
        <v>HR</v>
      </c>
      <c r="S18" t="str">
        <v>HR Manager</v>
      </c>
      <c r="T18" t="str">
        <v>Female</v>
      </c>
      <c r="U18">
        <v>56</v>
      </c>
      <c r="V18">
        <v>42964</v>
      </c>
      <c r="W18" t="str">
        <v>Full-Time</v>
      </c>
      <c r="X18">
        <v>46505.66</v>
      </c>
      <c r="Y18">
        <v>5</v>
      </c>
      <c r="Z18">
        <v>88.46</v>
      </c>
      <c r="AA18">
        <v>8</v>
      </c>
      <c r="AB18">
        <v>27</v>
      </c>
      <c r="AC18">
        <v>59</v>
      </c>
      <c r="AD18" t="str">
        <v>Derek Zuniga</v>
      </c>
      <c r="AE18" t="str">
        <v>Active</v>
      </c>
      <c r="AF18">
        <v>558067.92000000004</v>
      </c>
    </row>
    <row r="19" spans="1:32" x14ac:dyDescent="0.25">
      <c r="A19" s="5" t="s">
        <v>2013</v>
      </c>
      <c r="B19">
        <v>127</v>
      </c>
      <c r="P19" t="str">
        <v>EMP0016</v>
      </c>
      <c r="Q19" t="str">
        <v>Phillip Ryan</v>
      </c>
      <c r="R19" t="str">
        <v>IT</v>
      </c>
      <c r="S19" t="str">
        <v>Data Analyst</v>
      </c>
      <c r="T19" t="str">
        <v>Female</v>
      </c>
      <c r="U19">
        <v>46</v>
      </c>
      <c r="V19">
        <v>43538</v>
      </c>
      <c r="W19" t="str">
        <v>Contract</v>
      </c>
      <c r="X19">
        <v>84987.81</v>
      </c>
      <c r="Y19">
        <v>4</v>
      </c>
      <c r="Z19">
        <v>97.99</v>
      </c>
      <c r="AA19">
        <v>6</v>
      </c>
      <c r="AB19">
        <v>57</v>
      </c>
      <c r="AC19">
        <v>7</v>
      </c>
      <c r="AD19" t="str">
        <v>Gina Moore</v>
      </c>
      <c r="AE19" t="str">
        <v>Active</v>
      </c>
      <c r="AF19">
        <v>1019853.72</v>
      </c>
    </row>
    <row r="20" spans="1:32" x14ac:dyDescent="0.25">
      <c r="A20" s="5" t="s">
        <v>2016</v>
      </c>
      <c r="B20">
        <v>127</v>
      </c>
      <c r="P20" t="str">
        <v>EMP0017</v>
      </c>
      <c r="Q20" t="str">
        <v>Linda Burns</v>
      </c>
      <c r="R20" t="str">
        <v>Operations</v>
      </c>
      <c r="S20" t="str">
        <v>Operations Associate</v>
      </c>
      <c r="T20" t="str">
        <v>Male</v>
      </c>
      <c r="U20">
        <v>58</v>
      </c>
      <c r="V20">
        <v>45598</v>
      </c>
      <c r="W20" t="str">
        <v>Full-Time</v>
      </c>
      <c r="X20">
        <v>20719.080000000002</v>
      </c>
      <c r="Y20">
        <v>1</v>
      </c>
      <c r="Z20">
        <v>84.58</v>
      </c>
      <c r="AA20">
        <v>1</v>
      </c>
      <c r="AB20">
        <v>4</v>
      </c>
      <c r="AC20">
        <v>55</v>
      </c>
      <c r="AD20" t="str">
        <v>Monica Herrera</v>
      </c>
      <c r="AE20" t="str">
        <v>Active</v>
      </c>
      <c r="AF20">
        <v>248628.96000000002</v>
      </c>
    </row>
    <row r="21" spans="1:32" x14ac:dyDescent="0.25">
      <c r="A21" s="5" t="s">
        <v>2009</v>
      </c>
      <c r="B21">
        <v>125</v>
      </c>
      <c r="P21" t="str">
        <v>EMP0018</v>
      </c>
      <c r="Q21" t="str">
        <v>Sherry Decker</v>
      </c>
      <c r="R21" t="str">
        <v>IT</v>
      </c>
      <c r="S21" t="str">
        <v>Software Engineer</v>
      </c>
      <c r="T21" t="str">
        <v>Female</v>
      </c>
      <c r="U21">
        <v>34</v>
      </c>
      <c r="V21">
        <v>42998</v>
      </c>
      <c r="W21" t="str">
        <v>Contract</v>
      </c>
      <c r="X21">
        <v>33231.18</v>
      </c>
      <c r="Y21">
        <v>5</v>
      </c>
      <c r="Z21">
        <v>91.52</v>
      </c>
      <c r="AA21">
        <v>8</v>
      </c>
      <c r="AB21">
        <v>31</v>
      </c>
      <c r="AC21">
        <v>50</v>
      </c>
      <c r="AD21" t="str">
        <v>Brian Ramirez</v>
      </c>
      <c r="AE21" t="str">
        <v>Active</v>
      </c>
      <c r="AF21">
        <v>398774.16000000003</v>
      </c>
    </row>
    <row r="22" spans="1:32" x14ac:dyDescent="0.25">
      <c r="A22" s="5" t="s">
        <v>2012</v>
      </c>
      <c r="B22">
        <v>125</v>
      </c>
      <c r="P22" t="str">
        <v>EMP0019</v>
      </c>
      <c r="Q22" t="str">
        <v>David Bradley</v>
      </c>
      <c r="R22" t="str">
        <v>IT</v>
      </c>
      <c r="S22" t="str">
        <v>IT Support</v>
      </c>
      <c r="T22" t="str">
        <v>Male</v>
      </c>
      <c r="U22">
        <v>48</v>
      </c>
      <c r="V22">
        <v>44213</v>
      </c>
      <c r="W22" t="str">
        <v>Part-Time</v>
      </c>
      <c r="X22">
        <v>62357.86</v>
      </c>
      <c r="Y22">
        <v>4</v>
      </c>
      <c r="Z22">
        <v>97.28</v>
      </c>
      <c r="AA22">
        <v>4</v>
      </c>
      <c r="AB22">
        <v>6</v>
      </c>
      <c r="AC22">
        <v>43</v>
      </c>
      <c r="AD22" t="str">
        <v>Daniel Wagner</v>
      </c>
      <c r="AE22" t="str">
        <v>Active</v>
      </c>
      <c r="AF22">
        <v>748294.32000000007</v>
      </c>
    </row>
    <row r="23" spans="1:32" x14ac:dyDescent="0.25">
      <c r="A23" s="5" t="s">
        <v>2010</v>
      </c>
      <c r="B23">
        <v>124</v>
      </c>
      <c r="P23" t="str">
        <v>EMP0020</v>
      </c>
      <c r="Q23" t="str">
        <v>John Jones</v>
      </c>
      <c r="R23" t="str">
        <v>Operations</v>
      </c>
      <c r="S23" t="str">
        <v>Operations Associate</v>
      </c>
      <c r="T23" t="str">
        <v>Male</v>
      </c>
      <c r="U23">
        <v>33</v>
      </c>
      <c r="V23">
        <v>42792</v>
      </c>
      <c r="W23" t="str">
        <v>Full-Time</v>
      </c>
      <c r="X23">
        <v>73628.58</v>
      </c>
      <c r="Y23">
        <v>2</v>
      </c>
      <c r="Z23">
        <v>88.44</v>
      </c>
      <c r="AA23">
        <v>8</v>
      </c>
      <c r="AB23">
        <v>35</v>
      </c>
      <c r="AC23">
        <v>29</v>
      </c>
      <c r="AD23" t="str">
        <v>Gina Moore</v>
      </c>
      <c r="AE23" t="str">
        <v>Resigned</v>
      </c>
      <c r="AF23">
        <v>883542.96</v>
      </c>
    </row>
    <row r="24" spans="1:32" x14ac:dyDescent="0.25">
      <c r="A24" s="5" t="s">
        <v>2014</v>
      </c>
      <c r="B24">
        <v>122</v>
      </c>
      <c r="P24" t="str">
        <v>EMP0021</v>
      </c>
      <c r="Q24" t="str">
        <v>Betty Alvarez</v>
      </c>
      <c r="R24" t="str">
        <v>Marketing</v>
      </c>
      <c r="S24" t="str">
        <v>Brand Manager</v>
      </c>
      <c r="T24" t="str">
        <v>Male</v>
      </c>
      <c r="U24">
        <v>24</v>
      </c>
      <c r="V24">
        <v>45613</v>
      </c>
      <c r="W24" t="str">
        <v>Contract</v>
      </c>
      <c r="X24">
        <v>119928.25</v>
      </c>
      <c r="Y24">
        <v>1</v>
      </c>
      <c r="Z24">
        <v>99.38</v>
      </c>
      <c r="AA24">
        <v>1</v>
      </c>
      <c r="AB24">
        <v>30</v>
      </c>
      <c r="AC24">
        <v>10</v>
      </c>
      <c r="AD24" t="str">
        <v>Michele Williams</v>
      </c>
      <c r="AE24" t="str">
        <v>Active</v>
      </c>
      <c r="AF24">
        <v>1439139</v>
      </c>
    </row>
    <row r="25" spans="1:32" x14ac:dyDescent="0.25">
      <c r="A25" s="5" t="s">
        <v>2011</v>
      </c>
      <c r="B25">
        <v>114</v>
      </c>
      <c r="P25" t="str">
        <v>EMP0022</v>
      </c>
      <c r="Q25" t="str">
        <v>Joseph Obrien</v>
      </c>
      <c r="R25" t="str">
        <v>IT</v>
      </c>
      <c r="S25" t="str">
        <v>Software Engineer</v>
      </c>
      <c r="T25" t="str">
        <v>Male</v>
      </c>
      <c r="U25">
        <v>31</v>
      </c>
      <c r="V25">
        <v>45719</v>
      </c>
      <c r="W25" t="str">
        <v>Part-Time</v>
      </c>
      <c r="X25">
        <v>20215.54</v>
      </c>
      <c r="Y25">
        <v>4</v>
      </c>
      <c r="Z25">
        <v>85.3</v>
      </c>
      <c r="AA25">
        <v>0</v>
      </c>
      <c r="AB25">
        <v>58</v>
      </c>
      <c r="AC25">
        <v>18</v>
      </c>
      <c r="AD25" t="str">
        <v>Michele Williams</v>
      </c>
      <c r="AE25" t="str">
        <v>Active</v>
      </c>
      <c r="AF25">
        <v>242586.48</v>
      </c>
    </row>
    <row r="26" spans="1:32" x14ac:dyDescent="0.25">
      <c r="A26" s="5" t="s">
        <v>2065</v>
      </c>
      <c r="B26">
        <v>1000</v>
      </c>
      <c r="P26" t="str">
        <v>EMP0023</v>
      </c>
      <c r="Q26" t="str">
        <v>Nicole Vaughn</v>
      </c>
      <c r="R26" t="str">
        <v>R&amp;D</v>
      </c>
      <c r="S26" t="str">
        <v>Researcher</v>
      </c>
      <c r="T26" t="str">
        <v>Male</v>
      </c>
      <c r="U26">
        <v>39</v>
      </c>
      <c r="V26">
        <v>43619</v>
      </c>
      <c r="W26" t="str">
        <v>Full-Time</v>
      </c>
      <c r="X26">
        <v>116870.94</v>
      </c>
      <c r="Y26">
        <v>5</v>
      </c>
      <c r="Z26">
        <v>94.71</v>
      </c>
      <c r="AA26">
        <v>6</v>
      </c>
      <c r="AB26">
        <v>7</v>
      </c>
      <c r="AC26">
        <v>47</v>
      </c>
      <c r="AD26" t="str">
        <v>Monica Herrera</v>
      </c>
      <c r="AE26" t="str">
        <v>Active</v>
      </c>
      <c r="AF26">
        <v>1402451.28</v>
      </c>
    </row>
    <row r="27" spans="1:32" x14ac:dyDescent="0.25">
      <c r="P27" t="str">
        <v>EMP0024</v>
      </c>
      <c r="Q27" t="str">
        <v>Michael Brooks</v>
      </c>
      <c r="R27" t="str">
        <v>R&amp;D</v>
      </c>
      <c r="S27" t="str">
        <v>Researcher</v>
      </c>
      <c r="T27" t="str">
        <v>Male</v>
      </c>
      <c r="U27">
        <v>53</v>
      </c>
      <c r="V27">
        <v>44239</v>
      </c>
      <c r="W27" t="str">
        <v>Full-Time</v>
      </c>
      <c r="X27">
        <v>105134.25</v>
      </c>
      <c r="Y27">
        <v>1</v>
      </c>
      <c r="Z27">
        <v>91.9</v>
      </c>
      <c r="AA27">
        <v>4</v>
      </c>
      <c r="AB27">
        <v>30</v>
      </c>
      <c r="AC27">
        <v>25</v>
      </c>
      <c r="AD27" t="str">
        <v>Daniel Wagner</v>
      </c>
      <c r="AE27" t="str">
        <v>Resigned</v>
      </c>
      <c r="AF27">
        <v>1261611</v>
      </c>
    </row>
    <row r="28" spans="1:32" x14ac:dyDescent="0.25">
      <c r="A28" s="8" t="s">
        <v>2074</v>
      </c>
      <c r="B28" s="8"/>
      <c r="C28" s="8"/>
      <c r="P28" t="str">
        <v>EMP0025</v>
      </c>
      <c r="Q28" t="str">
        <v>David Brown</v>
      </c>
      <c r="R28" t="str">
        <v>IT</v>
      </c>
      <c r="S28" t="str">
        <v>Data Analyst</v>
      </c>
      <c r="T28" t="str">
        <v>Male</v>
      </c>
      <c r="U28">
        <v>60</v>
      </c>
      <c r="V28">
        <v>45519</v>
      </c>
      <c r="W28" t="str">
        <v>Full-Time</v>
      </c>
      <c r="X28">
        <v>61922.49</v>
      </c>
      <c r="Y28">
        <v>5</v>
      </c>
      <c r="Z28">
        <v>91.3</v>
      </c>
      <c r="AA28">
        <v>1</v>
      </c>
      <c r="AB28">
        <v>40</v>
      </c>
      <c r="AC28">
        <v>59</v>
      </c>
      <c r="AD28" t="str">
        <v>Gabrielle Davis</v>
      </c>
      <c r="AE28" t="str">
        <v>Active</v>
      </c>
      <c r="AF28">
        <v>743069.88</v>
      </c>
    </row>
    <row r="29" spans="1:32" x14ac:dyDescent="0.25">
      <c r="A29" s="4" t="s">
        <v>2</v>
      </c>
      <c r="B29" t="s">
        <v>2066</v>
      </c>
      <c r="C29" t="s">
        <v>2073</v>
      </c>
      <c r="P29" t="str">
        <v>EMP0026</v>
      </c>
      <c r="Q29" t="str">
        <v>Crystal Robinson</v>
      </c>
      <c r="R29" t="str">
        <v>Operations</v>
      </c>
      <c r="S29" t="str">
        <v>Operations Associate</v>
      </c>
      <c r="T29" t="str">
        <v>Female</v>
      </c>
      <c r="U29">
        <v>46</v>
      </c>
      <c r="V29">
        <v>42433</v>
      </c>
      <c r="W29" t="str">
        <v>Full-Time</v>
      </c>
      <c r="X29">
        <v>87169.02</v>
      </c>
      <c r="Y29">
        <v>3</v>
      </c>
      <c r="Z29">
        <v>89.14</v>
      </c>
      <c r="AA29">
        <v>9</v>
      </c>
      <c r="AB29">
        <v>9</v>
      </c>
      <c r="AC29">
        <v>0</v>
      </c>
      <c r="AD29" t="str">
        <v>Dylan Miller</v>
      </c>
      <c r="AE29" t="str">
        <v>Active</v>
      </c>
      <c r="AF29">
        <v>1046028.24</v>
      </c>
    </row>
    <row r="30" spans="1:32" x14ac:dyDescent="0.25">
      <c r="A30" s="5" t="s">
        <v>2016</v>
      </c>
      <c r="B30" s="2">
        <v>69518.401574803167</v>
      </c>
      <c r="C30" s="7">
        <v>89.593779527559036</v>
      </c>
      <c r="P30" t="str">
        <v>EMP0027</v>
      </c>
      <c r="Q30" t="str">
        <v>Amy Jones</v>
      </c>
      <c r="R30" t="str">
        <v>Marketing</v>
      </c>
      <c r="S30" t="str">
        <v>Marketing Analyst</v>
      </c>
      <c r="T30" t="str">
        <v>Male</v>
      </c>
      <c r="U30">
        <v>53</v>
      </c>
      <c r="V30">
        <v>42744</v>
      </c>
      <c r="W30" t="str">
        <v>Part-Time</v>
      </c>
      <c r="X30">
        <v>33245.660000000003</v>
      </c>
      <c r="Y30">
        <v>3</v>
      </c>
      <c r="Z30">
        <v>97.62</v>
      </c>
      <c r="AA30">
        <v>8</v>
      </c>
      <c r="AB30">
        <v>31</v>
      </c>
      <c r="AC30">
        <v>23</v>
      </c>
      <c r="AD30" t="str">
        <v>Ryan Munoz</v>
      </c>
      <c r="AE30" t="str">
        <v>Active</v>
      </c>
      <c r="AF30">
        <v>398947.92000000004</v>
      </c>
    </row>
    <row r="31" spans="1:32" x14ac:dyDescent="0.25">
      <c r="A31" s="5" t="s">
        <v>2011</v>
      </c>
      <c r="B31" s="2">
        <v>70923.283596491252</v>
      </c>
      <c r="C31" s="7">
        <v>90.162543859649119</v>
      </c>
      <c r="P31" t="str">
        <v>EMP0028</v>
      </c>
      <c r="Q31" t="str">
        <v>Andrea Young</v>
      </c>
      <c r="R31" t="str">
        <v>Finance</v>
      </c>
      <c r="S31" t="str">
        <v>Finance Manager</v>
      </c>
      <c r="T31" t="str">
        <v>Male</v>
      </c>
      <c r="U31">
        <v>56</v>
      </c>
      <c r="V31">
        <v>42498</v>
      </c>
      <c r="W31" t="str">
        <v>Part-Time</v>
      </c>
      <c r="X31">
        <v>113175.6</v>
      </c>
      <c r="Y31">
        <v>1</v>
      </c>
      <c r="Z31">
        <v>98.78</v>
      </c>
      <c r="AA31">
        <v>9</v>
      </c>
      <c r="AB31">
        <v>17</v>
      </c>
      <c r="AC31">
        <v>16</v>
      </c>
      <c r="AD31" t="str">
        <v>Daniel Wagner</v>
      </c>
      <c r="AE31" t="str">
        <v>Resigned</v>
      </c>
      <c r="AF31">
        <v>1358107.2000000002</v>
      </c>
    </row>
    <row r="32" spans="1:32" x14ac:dyDescent="0.25">
      <c r="A32" s="5" t="s">
        <v>2015</v>
      </c>
      <c r="B32" s="2">
        <v>69449.436838235284</v>
      </c>
      <c r="C32" s="7">
        <v>90.619632352941196</v>
      </c>
      <c r="P32" t="str">
        <v>EMP0029</v>
      </c>
      <c r="Q32" t="str">
        <v>Carlos Walls</v>
      </c>
      <c r="R32" t="str">
        <v>HR</v>
      </c>
      <c r="S32" t="str">
        <v>Recruiter</v>
      </c>
      <c r="T32" t="str">
        <v>Female</v>
      </c>
      <c r="U32">
        <v>59</v>
      </c>
      <c r="V32">
        <v>45319</v>
      </c>
      <c r="W32" t="str">
        <v>Full-Time</v>
      </c>
      <c r="X32">
        <v>91761.22</v>
      </c>
      <c r="Y32">
        <v>2</v>
      </c>
      <c r="Z32">
        <v>93.75</v>
      </c>
      <c r="AA32">
        <v>1</v>
      </c>
      <c r="AB32">
        <v>33</v>
      </c>
      <c r="AC32">
        <v>32</v>
      </c>
      <c r="AD32" t="str">
        <v>Brian Ramirez</v>
      </c>
      <c r="AE32" t="str">
        <v>Active</v>
      </c>
      <c r="AF32">
        <v>1101134.6400000001</v>
      </c>
    </row>
    <row r="33" spans="1:32" x14ac:dyDescent="0.25">
      <c r="A33" s="5" t="s">
        <v>2014</v>
      </c>
      <c r="B33" s="2">
        <v>72441.148688524598</v>
      </c>
      <c r="C33" s="7">
        <v>89.524754098360674</v>
      </c>
      <c r="P33" t="str">
        <v>EMP0030</v>
      </c>
      <c r="Q33" t="str">
        <v>Dana Kennedy</v>
      </c>
      <c r="R33" t="str">
        <v>Sales</v>
      </c>
      <c r="S33" t="str">
        <v>Sales Rep</v>
      </c>
      <c r="T33" t="str">
        <v>Female</v>
      </c>
      <c r="U33">
        <v>38</v>
      </c>
      <c r="V33">
        <v>45851</v>
      </c>
      <c r="W33" t="str">
        <v>Full-Time</v>
      </c>
      <c r="X33">
        <v>20354.57</v>
      </c>
      <c r="Y33">
        <v>2</v>
      </c>
      <c r="Z33">
        <v>92.74</v>
      </c>
      <c r="AA33">
        <v>0</v>
      </c>
      <c r="AB33">
        <v>33</v>
      </c>
      <c r="AC33">
        <v>10</v>
      </c>
      <c r="AD33" t="str">
        <v>Dylan Miller</v>
      </c>
      <c r="AE33" t="str">
        <v>Active</v>
      </c>
      <c r="AF33">
        <v>244254.84</v>
      </c>
    </row>
    <row r="34" spans="1:32" x14ac:dyDescent="0.25">
      <c r="A34" s="5" t="s">
        <v>2009</v>
      </c>
      <c r="B34" s="2">
        <v>65619.956879999998</v>
      </c>
      <c r="C34" s="7">
        <v>89.155840000000055</v>
      </c>
      <c r="P34" t="str">
        <v>EMP0031</v>
      </c>
      <c r="Q34" t="str">
        <v>Brent Jordan</v>
      </c>
      <c r="R34" t="str">
        <v>Customer Support</v>
      </c>
      <c r="S34" t="str">
        <v>Support Agent</v>
      </c>
      <c r="T34" t="str">
        <v>Male</v>
      </c>
      <c r="U34">
        <v>25</v>
      </c>
      <c r="V34">
        <v>44832</v>
      </c>
      <c r="W34" t="str">
        <v>Contract</v>
      </c>
      <c r="X34">
        <v>110392.86</v>
      </c>
      <c r="Y34">
        <v>5</v>
      </c>
      <c r="Z34">
        <v>80.72</v>
      </c>
      <c r="AA34">
        <v>3</v>
      </c>
      <c r="AB34">
        <v>47</v>
      </c>
      <c r="AC34">
        <v>37</v>
      </c>
      <c r="AD34" t="str">
        <v>Derek Zuniga</v>
      </c>
      <c r="AE34" t="str">
        <v>Active</v>
      </c>
      <c r="AF34">
        <v>1324714.32</v>
      </c>
    </row>
    <row r="35" spans="1:32" x14ac:dyDescent="0.25">
      <c r="A35" s="5" t="s">
        <v>2012</v>
      </c>
      <c r="B35" s="2">
        <v>68713.236159999971</v>
      </c>
      <c r="C35" s="7">
        <v>89.981279999999984</v>
      </c>
      <c r="P35" t="str">
        <v>EMP0032</v>
      </c>
      <c r="Q35" t="str">
        <v>Scott Brown</v>
      </c>
      <c r="R35" t="str">
        <v>HR</v>
      </c>
      <c r="S35" t="str">
        <v>HR Officer</v>
      </c>
      <c r="T35" t="str">
        <v>Female</v>
      </c>
      <c r="U35">
        <v>44</v>
      </c>
      <c r="V35">
        <v>44935</v>
      </c>
      <c r="W35" t="str">
        <v>Full-Time</v>
      </c>
      <c r="X35">
        <v>109892.46</v>
      </c>
      <c r="Y35">
        <v>2</v>
      </c>
      <c r="Z35">
        <v>93.64</v>
      </c>
      <c r="AA35">
        <v>2</v>
      </c>
      <c r="AB35">
        <v>13</v>
      </c>
      <c r="AC35">
        <v>22</v>
      </c>
      <c r="AD35" t="str">
        <v>Derek Zuniga</v>
      </c>
      <c r="AE35" t="str">
        <v>Resigned</v>
      </c>
      <c r="AF35">
        <v>1318709.52</v>
      </c>
    </row>
    <row r="36" spans="1:32" x14ac:dyDescent="0.25">
      <c r="A36" s="5" t="s">
        <v>2013</v>
      </c>
      <c r="B36" s="2">
        <v>69067.276456692896</v>
      </c>
      <c r="C36" s="7">
        <v>89.789606299212593</v>
      </c>
      <c r="P36" t="str">
        <v>EMP0033</v>
      </c>
      <c r="Q36" t="str">
        <v>Nicholas Mcbride</v>
      </c>
      <c r="R36" t="str">
        <v>Customer Support</v>
      </c>
      <c r="S36" t="str">
        <v>Support Agent</v>
      </c>
      <c r="T36" t="str">
        <v>Male</v>
      </c>
      <c r="U36">
        <v>31</v>
      </c>
      <c r="V36">
        <v>42914</v>
      </c>
      <c r="W36" t="str">
        <v>Full-Time</v>
      </c>
      <c r="X36">
        <v>108141.62</v>
      </c>
      <c r="Y36">
        <v>1</v>
      </c>
      <c r="Z36">
        <v>83.59</v>
      </c>
      <c r="AA36">
        <v>8</v>
      </c>
      <c r="AB36">
        <v>42</v>
      </c>
      <c r="AC36">
        <v>50</v>
      </c>
      <c r="AD36" t="str">
        <v>Michele Williams</v>
      </c>
      <c r="AE36" t="str">
        <v>Active</v>
      </c>
      <c r="AF36">
        <v>1297699.44</v>
      </c>
    </row>
    <row r="37" spans="1:32" x14ac:dyDescent="0.25">
      <c r="A37" s="5" t="s">
        <v>2010</v>
      </c>
      <c r="B37" s="2">
        <v>68437.155403225828</v>
      </c>
      <c r="C37" s="7">
        <v>90.902338709677423</v>
      </c>
      <c r="P37" t="str">
        <v>EMP0034</v>
      </c>
      <c r="Q37" t="str">
        <v>Connor West</v>
      </c>
      <c r="R37" t="str">
        <v>IT</v>
      </c>
      <c r="S37" t="str">
        <v>Software Engineer</v>
      </c>
      <c r="T37" t="str">
        <v>Male</v>
      </c>
      <c r="U37">
        <v>27</v>
      </c>
      <c r="V37">
        <v>42981</v>
      </c>
      <c r="W37" t="str">
        <v>Part-Time</v>
      </c>
      <c r="X37">
        <v>107216.68</v>
      </c>
      <c r="Y37">
        <v>4</v>
      </c>
      <c r="Z37">
        <v>84.45</v>
      </c>
      <c r="AA37">
        <v>8</v>
      </c>
      <c r="AB37">
        <v>58</v>
      </c>
      <c r="AC37">
        <v>22</v>
      </c>
      <c r="AD37" t="str">
        <v>Ryan Munoz</v>
      </c>
      <c r="AE37" t="str">
        <v>Active</v>
      </c>
      <c r="AF37">
        <v>1286600.1599999999</v>
      </c>
    </row>
    <row r="38" spans="1:32" x14ac:dyDescent="0.25">
      <c r="A38" s="5" t="s">
        <v>2065</v>
      </c>
      <c r="B38" s="2">
        <v>69246.435389999984</v>
      </c>
      <c r="C38">
        <v>89.970539999999886</v>
      </c>
      <c r="P38" t="str">
        <v>EMP0035</v>
      </c>
      <c r="Q38" t="str">
        <v>Joel Baxter</v>
      </c>
      <c r="R38" t="str">
        <v>IT</v>
      </c>
      <c r="S38" t="str">
        <v>IT Support</v>
      </c>
      <c r="T38" t="str">
        <v>Male</v>
      </c>
      <c r="U38">
        <v>33</v>
      </c>
      <c r="V38">
        <v>44924</v>
      </c>
      <c r="W38" t="str">
        <v>Part-Time</v>
      </c>
      <c r="X38">
        <v>52826.2</v>
      </c>
      <c r="Y38">
        <v>1</v>
      </c>
      <c r="Z38">
        <v>99.34</v>
      </c>
      <c r="AA38">
        <v>3</v>
      </c>
      <c r="AB38">
        <v>35</v>
      </c>
      <c r="AC38">
        <v>22</v>
      </c>
      <c r="AD38" t="str">
        <v>Holly Wood</v>
      </c>
      <c r="AE38" t="str">
        <v>Active</v>
      </c>
      <c r="AF38">
        <v>633914.39999999991</v>
      </c>
    </row>
    <row r="39" spans="1:32" x14ac:dyDescent="0.25">
      <c r="P39" t="str">
        <v>EMP0036</v>
      </c>
      <c r="Q39" t="str">
        <v>Scott Pierce</v>
      </c>
      <c r="R39" t="str">
        <v>Operations</v>
      </c>
      <c r="S39" t="str">
        <v>Operations Associate</v>
      </c>
      <c r="T39" t="str">
        <v>Male</v>
      </c>
      <c r="U39">
        <v>37</v>
      </c>
      <c r="V39">
        <v>42771</v>
      </c>
      <c r="W39" t="str">
        <v>Full-Time</v>
      </c>
      <c r="X39">
        <v>78058.97</v>
      </c>
      <c r="Y39">
        <v>3</v>
      </c>
      <c r="Z39">
        <v>80.77</v>
      </c>
      <c r="AA39">
        <v>8</v>
      </c>
      <c r="AB39">
        <v>76</v>
      </c>
      <c r="AC39">
        <v>27</v>
      </c>
      <c r="AD39" t="str">
        <v>Jamie Arnold</v>
      </c>
      <c r="AE39" t="str">
        <v>Active</v>
      </c>
      <c r="AF39">
        <v>936707.64</v>
      </c>
    </row>
    <row r="40" spans="1:32" x14ac:dyDescent="0.25">
      <c r="A40" s="8" t="s">
        <v>2075</v>
      </c>
      <c r="B40" s="8"/>
      <c r="C40" s="8"/>
      <c r="P40" t="str">
        <v>EMP0037</v>
      </c>
      <c r="Q40" t="str">
        <v>Kimberly Smith</v>
      </c>
      <c r="R40" t="str">
        <v>Operations</v>
      </c>
      <c r="S40" t="str">
        <v>Operations Manager</v>
      </c>
      <c r="T40" t="str">
        <v>Male</v>
      </c>
      <c r="U40">
        <v>45</v>
      </c>
      <c r="V40">
        <v>42617</v>
      </c>
      <c r="W40" t="str">
        <v>Contract</v>
      </c>
      <c r="X40">
        <v>39007.879999999997</v>
      </c>
      <c r="Y40">
        <v>1</v>
      </c>
      <c r="Z40">
        <v>94.18</v>
      </c>
      <c r="AA40">
        <v>9</v>
      </c>
      <c r="AB40">
        <v>0</v>
      </c>
      <c r="AC40">
        <v>33</v>
      </c>
      <c r="AD40" t="str">
        <v>Derek Zuniga</v>
      </c>
      <c r="AE40" t="str">
        <v>Active</v>
      </c>
      <c r="AF40">
        <v>468094.55999999994</v>
      </c>
    </row>
    <row r="41" spans="1:32" x14ac:dyDescent="0.25">
      <c r="A41" s="4" t="s">
        <v>2064</v>
      </c>
      <c r="B41" t="s">
        <v>2076</v>
      </c>
      <c r="C41" t="s">
        <v>2077</v>
      </c>
      <c r="P41" t="str">
        <v>EMP0038</v>
      </c>
      <c r="Q41" t="str">
        <v>Sarah Martin</v>
      </c>
      <c r="R41" t="str">
        <v>IT</v>
      </c>
      <c r="S41" t="str">
        <v>Software Engineer</v>
      </c>
      <c r="T41" t="str">
        <v>Female</v>
      </c>
      <c r="U41">
        <v>25</v>
      </c>
      <c r="V41">
        <v>42882</v>
      </c>
      <c r="W41" t="str">
        <v>Contract</v>
      </c>
      <c r="X41">
        <v>112077.09</v>
      </c>
      <c r="Y41">
        <v>5</v>
      </c>
      <c r="Z41">
        <v>86.28</v>
      </c>
      <c r="AA41">
        <v>8</v>
      </c>
      <c r="AB41">
        <v>15</v>
      </c>
      <c r="AC41">
        <v>46</v>
      </c>
      <c r="AD41" t="str">
        <v>Ryan Munoz</v>
      </c>
      <c r="AE41" t="str">
        <v>Active</v>
      </c>
      <c r="AF41">
        <v>1344925.08</v>
      </c>
    </row>
    <row r="42" spans="1:32" x14ac:dyDescent="0.25">
      <c r="A42" s="5" t="s">
        <v>2016</v>
      </c>
      <c r="B42">
        <v>4823</v>
      </c>
      <c r="C42">
        <v>403</v>
      </c>
      <c r="P42" t="str">
        <v>EMP0039</v>
      </c>
      <c r="Q42" t="str">
        <v>Dr. Steven Martin</v>
      </c>
      <c r="R42" t="str">
        <v>Customer Support</v>
      </c>
      <c r="S42" t="str">
        <v>Team Lead</v>
      </c>
      <c r="T42" t="str">
        <v>Female</v>
      </c>
      <c r="U42">
        <v>39</v>
      </c>
      <c r="V42">
        <v>45320</v>
      </c>
      <c r="W42" t="str">
        <v>Contract</v>
      </c>
      <c r="X42">
        <v>32728.78</v>
      </c>
      <c r="Y42">
        <v>4</v>
      </c>
      <c r="Z42">
        <v>93.3</v>
      </c>
      <c r="AA42">
        <v>1</v>
      </c>
      <c r="AB42">
        <v>48</v>
      </c>
      <c r="AC42">
        <v>43</v>
      </c>
      <c r="AD42" t="str">
        <v>Connie Lawrence</v>
      </c>
      <c r="AE42" t="str">
        <v>Active</v>
      </c>
      <c r="AF42">
        <v>392745.36</v>
      </c>
    </row>
    <row r="43" spans="1:32" x14ac:dyDescent="0.25">
      <c r="A43" s="5" t="s">
        <v>2011</v>
      </c>
      <c r="B43">
        <v>4106</v>
      </c>
      <c r="C43">
        <v>334</v>
      </c>
      <c r="P43" t="str">
        <v>EMP0040</v>
      </c>
      <c r="Q43" t="str">
        <v>Mrs. Rachel Gibson</v>
      </c>
      <c r="R43" t="str">
        <v>Finance</v>
      </c>
      <c r="S43" t="str">
        <v>Financial Analyst</v>
      </c>
      <c r="T43" t="str">
        <v>Male</v>
      </c>
      <c r="U43">
        <v>40</v>
      </c>
      <c r="V43">
        <v>42316</v>
      </c>
      <c r="W43" t="str">
        <v>Part-Time</v>
      </c>
      <c r="X43">
        <v>41018.269999999997</v>
      </c>
      <c r="Y43">
        <v>5</v>
      </c>
      <c r="Z43">
        <v>92.13</v>
      </c>
      <c r="AA43">
        <v>10</v>
      </c>
      <c r="AB43">
        <v>41</v>
      </c>
      <c r="AC43">
        <v>29</v>
      </c>
      <c r="AD43" t="str">
        <v>Dylan Miller</v>
      </c>
      <c r="AE43" t="str">
        <v>Active</v>
      </c>
      <c r="AF43">
        <v>492219.24</v>
      </c>
    </row>
    <row r="44" spans="1:32" x14ac:dyDescent="0.25">
      <c r="A44" s="5" t="s">
        <v>2015</v>
      </c>
      <c r="B44">
        <v>5255</v>
      </c>
      <c r="C44">
        <v>430</v>
      </c>
      <c r="P44" t="str">
        <v>EMP0041</v>
      </c>
      <c r="Q44" t="str">
        <v>Monica Logan</v>
      </c>
      <c r="R44" t="str">
        <v>IT</v>
      </c>
      <c r="S44" t="str">
        <v>Data Analyst</v>
      </c>
      <c r="T44" t="str">
        <v>Female</v>
      </c>
      <c r="U44">
        <v>31</v>
      </c>
      <c r="V44">
        <v>44931</v>
      </c>
      <c r="W44" t="str">
        <v>Contract</v>
      </c>
      <c r="X44">
        <v>28479.55</v>
      </c>
      <c r="Y44">
        <v>5</v>
      </c>
      <c r="Z44">
        <v>93.28</v>
      </c>
      <c r="AA44">
        <v>2</v>
      </c>
      <c r="AB44">
        <v>79</v>
      </c>
      <c r="AC44">
        <v>21</v>
      </c>
      <c r="AD44" t="str">
        <v>Angie Henderson</v>
      </c>
      <c r="AE44" t="str">
        <v>Active</v>
      </c>
      <c r="AF44">
        <v>341754.6</v>
      </c>
    </row>
    <row r="45" spans="1:32" x14ac:dyDescent="0.25">
      <c r="A45" s="5" t="s">
        <v>2014</v>
      </c>
      <c r="B45">
        <v>4778</v>
      </c>
      <c r="C45">
        <v>393</v>
      </c>
      <c r="P45" t="str">
        <v>EMP0042</v>
      </c>
      <c r="Q45" t="str">
        <v>Edward Novak</v>
      </c>
      <c r="R45" t="str">
        <v>IT</v>
      </c>
      <c r="S45" t="str">
        <v>Data Analyst</v>
      </c>
      <c r="T45" t="str">
        <v>Female</v>
      </c>
      <c r="U45">
        <v>35</v>
      </c>
      <c r="V45">
        <v>45327</v>
      </c>
      <c r="W45" t="str">
        <v>Full-Time</v>
      </c>
      <c r="X45">
        <v>34735.4</v>
      </c>
      <c r="Y45">
        <v>1</v>
      </c>
      <c r="Z45">
        <v>84.9</v>
      </c>
      <c r="AA45">
        <v>1</v>
      </c>
      <c r="AB45">
        <v>60</v>
      </c>
      <c r="AC45">
        <v>39</v>
      </c>
      <c r="AD45" t="str">
        <v>Angie Henderson</v>
      </c>
      <c r="AE45" t="str">
        <v>Active</v>
      </c>
      <c r="AF45">
        <v>416824.80000000005</v>
      </c>
    </row>
    <row r="46" spans="1:32" x14ac:dyDescent="0.25">
      <c r="A46" s="5" t="s">
        <v>2009</v>
      </c>
      <c r="B46">
        <v>5059</v>
      </c>
      <c r="C46">
        <v>346</v>
      </c>
      <c r="P46" t="str">
        <v>EMP0043</v>
      </c>
      <c r="Q46" t="str">
        <v>Amy Edwards</v>
      </c>
      <c r="R46" t="str">
        <v>IT</v>
      </c>
      <c r="S46" t="str">
        <v>Data Analyst</v>
      </c>
      <c r="T46" t="str">
        <v>Female</v>
      </c>
      <c r="U46">
        <v>52</v>
      </c>
      <c r="V46">
        <v>45901</v>
      </c>
      <c r="W46" t="str">
        <v>Part-Time</v>
      </c>
      <c r="X46">
        <v>44398.44</v>
      </c>
      <c r="Y46">
        <v>1</v>
      </c>
      <c r="Z46">
        <v>97.85</v>
      </c>
      <c r="AA46">
        <v>0</v>
      </c>
      <c r="AB46">
        <v>13</v>
      </c>
      <c r="AC46">
        <v>49</v>
      </c>
      <c r="AD46" t="str">
        <v>Michele Williams</v>
      </c>
      <c r="AE46" t="str">
        <v>Active</v>
      </c>
      <c r="AF46">
        <v>532781.28</v>
      </c>
    </row>
    <row r="47" spans="1:32" x14ac:dyDescent="0.25">
      <c r="A47" s="5" t="s">
        <v>2012</v>
      </c>
      <c r="B47">
        <v>4735</v>
      </c>
      <c r="C47">
        <v>353</v>
      </c>
      <c r="P47" t="str">
        <v>EMP0044</v>
      </c>
      <c r="Q47" t="str">
        <v>Kathryn Farrell</v>
      </c>
      <c r="R47" t="str">
        <v>R&amp;D</v>
      </c>
      <c r="S47" t="str">
        <v>Researcher</v>
      </c>
      <c r="T47" t="str">
        <v>Male</v>
      </c>
      <c r="U47">
        <v>28</v>
      </c>
      <c r="V47">
        <v>42614</v>
      </c>
      <c r="W47" t="str">
        <v>Part-Time</v>
      </c>
      <c r="X47">
        <v>33333.910000000003</v>
      </c>
      <c r="Y47">
        <v>4</v>
      </c>
      <c r="Z47">
        <v>93.35</v>
      </c>
      <c r="AA47">
        <v>9</v>
      </c>
      <c r="AB47">
        <v>71</v>
      </c>
      <c r="AC47">
        <v>38</v>
      </c>
      <c r="AD47" t="str">
        <v>Monica Herrera</v>
      </c>
      <c r="AE47" t="str">
        <v>Resigned</v>
      </c>
      <c r="AF47">
        <v>400006.92000000004</v>
      </c>
    </row>
    <row r="48" spans="1:32" x14ac:dyDescent="0.25">
      <c r="A48" s="5" t="s">
        <v>2013</v>
      </c>
      <c r="B48">
        <v>4895</v>
      </c>
      <c r="C48">
        <v>392</v>
      </c>
      <c r="P48" t="str">
        <v>EMP0045</v>
      </c>
      <c r="Q48" t="str">
        <v>Jordan York</v>
      </c>
      <c r="R48" t="str">
        <v>R&amp;D</v>
      </c>
      <c r="S48" t="str">
        <v>Product Developer</v>
      </c>
      <c r="T48" t="str">
        <v>Female</v>
      </c>
      <c r="U48">
        <v>31</v>
      </c>
      <c r="V48">
        <v>43281</v>
      </c>
      <c r="W48" t="str">
        <v>Contract</v>
      </c>
      <c r="X48">
        <v>106149.49</v>
      </c>
      <c r="Y48">
        <v>4</v>
      </c>
      <c r="Z48">
        <v>85.18</v>
      </c>
      <c r="AA48">
        <v>7</v>
      </c>
      <c r="AB48">
        <v>31</v>
      </c>
      <c r="AC48">
        <v>53</v>
      </c>
      <c r="AD48" t="str">
        <v>Gabrielle Davis</v>
      </c>
      <c r="AE48" t="str">
        <v>Active</v>
      </c>
      <c r="AF48">
        <v>1273793.8800000001</v>
      </c>
    </row>
    <row r="49" spans="1:32" x14ac:dyDescent="0.25">
      <c r="A49" s="5" t="s">
        <v>2010</v>
      </c>
      <c r="B49">
        <v>4746</v>
      </c>
      <c r="C49">
        <v>378</v>
      </c>
      <c r="P49" t="str">
        <v>EMP0046</v>
      </c>
      <c r="Q49" t="str">
        <v>Megan Young</v>
      </c>
      <c r="R49" t="str">
        <v>R&amp;D</v>
      </c>
      <c r="S49" t="str">
        <v>Researcher</v>
      </c>
      <c r="T49" t="str">
        <v>Female</v>
      </c>
      <c r="U49">
        <v>49</v>
      </c>
      <c r="V49">
        <v>42728</v>
      </c>
      <c r="W49" t="str">
        <v>Full-Time</v>
      </c>
      <c r="X49">
        <v>91354.49</v>
      </c>
      <c r="Y49">
        <v>2</v>
      </c>
      <c r="Z49">
        <v>85.43</v>
      </c>
      <c r="AA49">
        <v>9</v>
      </c>
      <c r="AB49">
        <v>40</v>
      </c>
      <c r="AC49">
        <v>57</v>
      </c>
      <c r="AD49" t="str">
        <v>Derek Zuniga</v>
      </c>
      <c r="AE49" t="str">
        <v>Active</v>
      </c>
      <c r="AF49">
        <v>1096253.8800000001</v>
      </c>
    </row>
    <row r="50" spans="1:32" x14ac:dyDescent="0.25">
      <c r="A50" s="5" t="s">
        <v>2065</v>
      </c>
      <c r="B50">
        <v>38397</v>
      </c>
      <c r="C50">
        <v>3029</v>
      </c>
      <c r="P50" t="str">
        <v>EMP0047</v>
      </c>
      <c r="Q50" t="str">
        <v>Laura Riley</v>
      </c>
      <c r="R50" t="str">
        <v>HR</v>
      </c>
      <c r="S50" t="str">
        <v>HR Officer</v>
      </c>
      <c r="T50" t="str">
        <v>Female</v>
      </c>
      <c r="U50">
        <v>30</v>
      </c>
      <c r="V50">
        <v>43047</v>
      </c>
      <c r="W50" t="str">
        <v>Contract</v>
      </c>
      <c r="X50">
        <v>41395.29</v>
      </c>
      <c r="Y50">
        <v>4</v>
      </c>
      <c r="Z50">
        <v>88.15</v>
      </c>
      <c r="AA50">
        <v>8</v>
      </c>
      <c r="AB50">
        <v>69</v>
      </c>
      <c r="AC50">
        <v>29</v>
      </c>
      <c r="AD50" t="str">
        <v>Michele Williams</v>
      </c>
      <c r="AE50" t="str">
        <v>Active</v>
      </c>
      <c r="AF50">
        <v>496743.48</v>
      </c>
    </row>
    <row r="51" spans="1:32" x14ac:dyDescent="0.25">
      <c r="P51" t="str">
        <v>EMP0048</v>
      </c>
      <c r="Q51" t="str">
        <v>Jennifer Silva</v>
      </c>
      <c r="R51" t="str">
        <v>Customer Support</v>
      </c>
      <c r="S51" t="str">
        <v>Team Lead</v>
      </c>
      <c r="T51" t="str">
        <v>Male</v>
      </c>
      <c r="U51">
        <v>57</v>
      </c>
      <c r="V51">
        <v>42549</v>
      </c>
      <c r="W51" t="str">
        <v>Part-Time</v>
      </c>
      <c r="X51">
        <v>67697.97</v>
      </c>
      <c r="Y51">
        <v>3</v>
      </c>
      <c r="Z51">
        <v>85.97</v>
      </c>
      <c r="AA51">
        <v>9</v>
      </c>
      <c r="AB51">
        <v>49</v>
      </c>
      <c r="AC51">
        <v>54</v>
      </c>
      <c r="AD51" t="str">
        <v>Michele Williams</v>
      </c>
      <c r="AE51" t="str">
        <v>Active</v>
      </c>
      <c r="AF51">
        <v>812375.64</v>
      </c>
    </row>
    <row r="52" spans="1:32" x14ac:dyDescent="0.25">
      <c r="P52" t="str">
        <v>EMP0049</v>
      </c>
      <c r="Q52" t="str">
        <v>Dean Santiago</v>
      </c>
      <c r="R52" t="str">
        <v>IT</v>
      </c>
      <c r="S52" t="str">
        <v>Software Engineer</v>
      </c>
      <c r="T52" t="str">
        <v>Male</v>
      </c>
      <c r="U52">
        <v>38</v>
      </c>
      <c r="V52">
        <v>45551</v>
      </c>
      <c r="W52" t="str">
        <v>Part-Time</v>
      </c>
      <c r="X52">
        <v>68564.2</v>
      </c>
      <c r="Y52">
        <v>4</v>
      </c>
      <c r="Z52">
        <v>86.72</v>
      </c>
      <c r="AA52">
        <v>1</v>
      </c>
      <c r="AB52">
        <v>51</v>
      </c>
      <c r="AC52">
        <v>46</v>
      </c>
      <c r="AD52" t="str">
        <v>Connie Lawrence</v>
      </c>
      <c r="AE52" t="str">
        <v>Active</v>
      </c>
      <c r="AF52">
        <v>822770.39999999991</v>
      </c>
    </row>
    <row r="53" spans="1:32" x14ac:dyDescent="0.25">
      <c r="P53" t="str">
        <v>EMP0050</v>
      </c>
      <c r="Q53" t="str">
        <v>James Powers</v>
      </c>
      <c r="R53" t="str">
        <v>HR</v>
      </c>
      <c r="S53" t="str">
        <v>HR Manager</v>
      </c>
      <c r="T53" t="str">
        <v>Male</v>
      </c>
      <c r="U53">
        <v>46</v>
      </c>
      <c r="V53">
        <v>44255</v>
      </c>
      <c r="W53" t="str">
        <v>Contract</v>
      </c>
      <c r="X53">
        <v>76439.199999999997</v>
      </c>
      <c r="Y53">
        <v>1</v>
      </c>
      <c r="Z53">
        <v>81.680000000000007</v>
      </c>
      <c r="AA53">
        <v>4</v>
      </c>
      <c r="AB53">
        <v>54</v>
      </c>
      <c r="AC53">
        <v>8</v>
      </c>
      <c r="AD53" t="str">
        <v>Dylan Miller</v>
      </c>
      <c r="AE53" t="str">
        <v>Active</v>
      </c>
      <c r="AF53">
        <v>917270.39999999991</v>
      </c>
    </row>
    <row r="54" spans="1:32" x14ac:dyDescent="0.25">
      <c r="P54" t="str">
        <v>EMP0051</v>
      </c>
      <c r="Q54" t="str">
        <v>Timothy Walls</v>
      </c>
      <c r="R54" t="str">
        <v>Finance</v>
      </c>
      <c r="S54" t="str">
        <v>Financial Analyst</v>
      </c>
      <c r="T54" t="str">
        <v>Female</v>
      </c>
      <c r="U54">
        <v>34</v>
      </c>
      <c r="V54">
        <v>44167</v>
      </c>
      <c r="W54" t="str">
        <v>Part-Time</v>
      </c>
      <c r="X54">
        <v>52684.58</v>
      </c>
      <c r="Y54">
        <v>4</v>
      </c>
      <c r="Z54">
        <v>85.57</v>
      </c>
      <c r="AA54">
        <v>5</v>
      </c>
      <c r="AB54">
        <v>53</v>
      </c>
      <c r="AC54">
        <v>16</v>
      </c>
      <c r="AD54" t="str">
        <v>Angie Henderson</v>
      </c>
      <c r="AE54" t="str">
        <v>Active</v>
      </c>
      <c r="AF54">
        <v>632214.96</v>
      </c>
    </row>
    <row r="55" spans="1:32" x14ac:dyDescent="0.25">
      <c r="P55" t="str">
        <v>EMP0052</v>
      </c>
      <c r="Q55" t="str">
        <v>Zachary Ferrell</v>
      </c>
      <c r="R55" t="str">
        <v>Sales</v>
      </c>
      <c r="S55" t="str">
        <v>Sales Manager</v>
      </c>
      <c r="T55" t="str">
        <v>Male</v>
      </c>
      <c r="U55">
        <v>25</v>
      </c>
      <c r="V55">
        <v>42360</v>
      </c>
      <c r="W55" t="str">
        <v>Contract</v>
      </c>
      <c r="X55">
        <v>24025.81</v>
      </c>
      <c r="Y55">
        <v>1</v>
      </c>
      <c r="Z55">
        <v>98.99</v>
      </c>
      <c r="AA55">
        <v>10</v>
      </c>
      <c r="AB55">
        <v>25</v>
      </c>
      <c r="AC55">
        <v>53</v>
      </c>
      <c r="AD55" t="str">
        <v>Allison Hill</v>
      </c>
      <c r="AE55" t="str">
        <v>Active</v>
      </c>
      <c r="AF55">
        <v>288309.72000000003</v>
      </c>
    </row>
    <row r="56" spans="1:32" x14ac:dyDescent="0.25">
      <c r="P56" t="str">
        <v>EMP0053</v>
      </c>
      <c r="Q56" t="str">
        <v>Katie Anderson</v>
      </c>
      <c r="R56" t="str">
        <v>IT</v>
      </c>
      <c r="S56" t="str">
        <v>IT Support</v>
      </c>
      <c r="T56" t="str">
        <v>Female</v>
      </c>
      <c r="U56">
        <v>28</v>
      </c>
      <c r="V56">
        <v>42758</v>
      </c>
      <c r="W56" t="str">
        <v>Contract</v>
      </c>
      <c r="X56">
        <v>114775.7</v>
      </c>
      <c r="Y56">
        <v>4</v>
      </c>
      <c r="Z56">
        <v>93.99</v>
      </c>
      <c r="AA56">
        <v>8</v>
      </c>
      <c r="AB56">
        <v>47</v>
      </c>
      <c r="AC56">
        <v>10</v>
      </c>
      <c r="AD56" t="str">
        <v>Carla Gray</v>
      </c>
      <c r="AE56" t="str">
        <v>Active</v>
      </c>
      <c r="AF56">
        <v>1377308.4</v>
      </c>
    </row>
    <row r="57" spans="1:32" x14ac:dyDescent="0.25">
      <c r="P57" t="str">
        <v>EMP0054</v>
      </c>
      <c r="Q57" t="str">
        <v>Sherry Wood</v>
      </c>
      <c r="R57" t="str">
        <v>Marketing</v>
      </c>
      <c r="S57" t="str">
        <v>Marketing Analyst</v>
      </c>
      <c r="T57" t="str">
        <v>Female</v>
      </c>
      <c r="U57">
        <v>27</v>
      </c>
      <c r="V57">
        <v>44471</v>
      </c>
      <c r="W57" t="str">
        <v>Contract</v>
      </c>
      <c r="X57">
        <v>22567.84</v>
      </c>
      <c r="Y57">
        <v>3</v>
      </c>
      <c r="Z57">
        <v>91.52</v>
      </c>
      <c r="AA57">
        <v>4</v>
      </c>
      <c r="AB57">
        <v>48</v>
      </c>
      <c r="AC57">
        <v>25</v>
      </c>
      <c r="AD57" t="str">
        <v>Abigail Shaffer</v>
      </c>
      <c r="AE57" t="str">
        <v>Active</v>
      </c>
      <c r="AF57">
        <v>270814.08000000002</v>
      </c>
    </row>
    <row r="58" spans="1:32" x14ac:dyDescent="0.25">
      <c r="P58" t="str">
        <v>EMP0055</v>
      </c>
      <c r="Q58" t="str">
        <v>Joshua Turner</v>
      </c>
      <c r="R58" t="str">
        <v>IT</v>
      </c>
      <c r="S58" t="str">
        <v>IT Support</v>
      </c>
      <c r="T58" t="str">
        <v>Female</v>
      </c>
      <c r="U58">
        <v>59</v>
      </c>
      <c r="V58">
        <v>43283</v>
      </c>
      <c r="W58" t="str">
        <v>Full-Time</v>
      </c>
      <c r="X58">
        <v>99622.720000000001</v>
      </c>
      <c r="Y58">
        <v>5</v>
      </c>
      <c r="Z58">
        <v>95.65</v>
      </c>
      <c r="AA58">
        <v>7</v>
      </c>
      <c r="AB58">
        <v>44</v>
      </c>
      <c r="AC58">
        <v>34</v>
      </c>
      <c r="AD58" t="str">
        <v>Michele Williams</v>
      </c>
      <c r="AE58" t="str">
        <v>Active</v>
      </c>
      <c r="AF58">
        <v>1195472.6400000001</v>
      </c>
    </row>
    <row r="59" spans="1:32" x14ac:dyDescent="0.25">
      <c r="P59" t="str">
        <v>EMP0056</v>
      </c>
      <c r="Q59" t="str">
        <v>Robert Evans</v>
      </c>
      <c r="R59" t="str">
        <v>Marketing</v>
      </c>
      <c r="S59" t="str">
        <v>Content Specialist</v>
      </c>
      <c r="T59" t="str">
        <v>Female</v>
      </c>
      <c r="U59">
        <v>21</v>
      </c>
      <c r="V59">
        <v>45589</v>
      </c>
      <c r="W59" t="str">
        <v>Part-Time</v>
      </c>
      <c r="X59">
        <v>102233.09</v>
      </c>
      <c r="Y59">
        <v>1</v>
      </c>
      <c r="Z59">
        <v>88.67</v>
      </c>
      <c r="AA59">
        <v>1</v>
      </c>
      <c r="AB59">
        <v>46</v>
      </c>
      <c r="AC59">
        <v>40</v>
      </c>
      <c r="AD59" t="str">
        <v>Dylan Miller</v>
      </c>
      <c r="AE59" t="str">
        <v>Active</v>
      </c>
      <c r="AF59">
        <v>1226797.08</v>
      </c>
    </row>
    <row r="60" spans="1:32" x14ac:dyDescent="0.25">
      <c r="P60" t="str">
        <v>EMP0057</v>
      </c>
      <c r="Q60" t="str">
        <v>Brandy Wilson</v>
      </c>
      <c r="R60" t="str">
        <v>Customer Support</v>
      </c>
      <c r="S60" t="str">
        <v>Support Agent</v>
      </c>
      <c r="T60" t="str">
        <v>Female</v>
      </c>
      <c r="U60">
        <v>60</v>
      </c>
      <c r="V60">
        <v>42946</v>
      </c>
      <c r="W60" t="str">
        <v>Contract</v>
      </c>
      <c r="X60">
        <v>97464.15</v>
      </c>
      <c r="Y60">
        <v>4</v>
      </c>
      <c r="Z60">
        <v>88.71</v>
      </c>
      <c r="AA60">
        <v>8</v>
      </c>
      <c r="AB60">
        <v>75</v>
      </c>
      <c r="AC60">
        <v>17</v>
      </c>
      <c r="AD60" t="str">
        <v>Monica Herrera</v>
      </c>
      <c r="AE60" t="str">
        <v>Resigned</v>
      </c>
      <c r="AF60">
        <v>1169569.7999999998</v>
      </c>
    </row>
    <row r="61" spans="1:32" x14ac:dyDescent="0.25">
      <c r="P61" t="str">
        <v>EMP0058</v>
      </c>
      <c r="Q61" t="str">
        <v>Brittney Campbell</v>
      </c>
      <c r="R61" t="str">
        <v>Marketing</v>
      </c>
      <c r="S61" t="str">
        <v>Brand Manager</v>
      </c>
      <c r="T61" t="str">
        <v>Female</v>
      </c>
      <c r="U61">
        <v>36</v>
      </c>
      <c r="V61">
        <v>42968</v>
      </c>
      <c r="W61" t="str">
        <v>Part-Time</v>
      </c>
      <c r="X61">
        <v>76984.960000000006</v>
      </c>
      <c r="Y61">
        <v>4</v>
      </c>
      <c r="Z61">
        <v>86.73</v>
      </c>
      <c r="AA61">
        <v>8</v>
      </c>
      <c r="AB61">
        <v>63</v>
      </c>
      <c r="AC61">
        <v>54</v>
      </c>
      <c r="AD61" t="str">
        <v>Monica Herrera</v>
      </c>
      <c r="AE61" t="str">
        <v>Active</v>
      </c>
      <c r="AF61">
        <v>923819.52000000002</v>
      </c>
    </row>
    <row r="62" spans="1:32" x14ac:dyDescent="0.25">
      <c r="P62" t="str">
        <v>EMP0059</v>
      </c>
      <c r="Q62" t="str">
        <v>Christina Walters</v>
      </c>
      <c r="R62" t="str">
        <v>IT</v>
      </c>
      <c r="S62" t="str">
        <v>Software Engineer</v>
      </c>
      <c r="T62" t="str">
        <v>Female</v>
      </c>
      <c r="U62">
        <v>42</v>
      </c>
      <c r="V62">
        <v>43611</v>
      </c>
      <c r="W62" t="str">
        <v>Part-Time</v>
      </c>
      <c r="X62">
        <v>108032</v>
      </c>
      <c r="Y62">
        <v>3</v>
      </c>
      <c r="Z62">
        <v>91.12</v>
      </c>
      <c r="AA62">
        <v>6</v>
      </c>
      <c r="AB62">
        <v>66</v>
      </c>
      <c r="AC62">
        <v>60</v>
      </c>
      <c r="AD62" t="str">
        <v>Abigail Shaffer</v>
      </c>
      <c r="AE62" t="str">
        <v>Active</v>
      </c>
      <c r="AF62">
        <v>1296384</v>
      </c>
    </row>
    <row r="63" spans="1:32" x14ac:dyDescent="0.25">
      <c r="P63" t="str">
        <v>EMP0060</v>
      </c>
      <c r="Q63" t="str">
        <v>Danielle Odonnell</v>
      </c>
      <c r="R63" t="str">
        <v>Customer Support</v>
      </c>
      <c r="S63" t="str">
        <v>Team Lead</v>
      </c>
      <c r="T63" t="str">
        <v>Male</v>
      </c>
      <c r="U63">
        <v>51</v>
      </c>
      <c r="V63">
        <v>43943</v>
      </c>
      <c r="W63" t="str">
        <v>Contract</v>
      </c>
      <c r="X63">
        <v>91184.24</v>
      </c>
      <c r="Y63">
        <v>4</v>
      </c>
      <c r="Z63">
        <v>95.86</v>
      </c>
      <c r="AA63">
        <v>5</v>
      </c>
      <c r="AB63">
        <v>11</v>
      </c>
      <c r="AC63">
        <v>18</v>
      </c>
      <c r="AD63" t="str">
        <v>Gina Moore</v>
      </c>
      <c r="AE63" t="str">
        <v>Active</v>
      </c>
      <c r="AF63">
        <v>1094210.8800000001</v>
      </c>
    </row>
    <row r="64" spans="1:32" x14ac:dyDescent="0.25">
      <c r="P64" t="str">
        <v>EMP0061</v>
      </c>
      <c r="Q64" t="str">
        <v>Jeff Hill</v>
      </c>
      <c r="R64" t="str">
        <v>IT</v>
      </c>
      <c r="S64" t="str">
        <v>Software Engineer</v>
      </c>
      <c r="T64" t="str">
        <v>Female</v>
      </c>
      <c r="U64">
        <v>51</v>
      </c>
      <c r="V64">
        <v>42618</v>
      </c>
      <c r="W64" t="str">
        <v>Contract</v>
      </c>
      <c r="X64">
        <v>73092.19</v>
      </c>
      <c r="Y64">
        <v>4</v>
      </c>
      <c r="Z64">
        <v>99.93</v>
      </c>
      <c r="AA64">
        <v>9</v>
      </c>
      <c r="AB64">
        <v>70</v>
      </c>
      <c r="AC64">
        <v>21</v>
      </c>
      <c r="AD64" t="str">
        <v>Jamie Arnold</v>
      </c>
      <c r="AE64" t="str">
        <v>Active</v>
      </c>
      <c r="AF64">
        <v>877106.28</v>
      </c>
    </row>
    <row r="65" spans="16:32" x14ac:dyDescent="0.25">
      <c r="P65" t="str">
        <v>EMP0062</v>
      </c>
      <c r="Q65" t="str">
        <v>Carlos Whitney</v>
      </c>
      <c r="R65" t="str">
        <v>Finance</v>
      </c>
      <c r="S65" t="str">
        <v>Financial Analyst</v>
      </c>
      <c r="T65" t="str">
        <v>Female</v>
      </c>
      <c r="U65">
        <v>35</v>
      </c>
      <c r="V65">
        <v>42325</v>
      </c>
      <c r="W65" t="str">
        <v>Full-Time</v>
      </c>
      <c r="X65">
        <v>92128.43</v>
      </c>
      <c r="Y65">
        <v>3</v>
      </c>
      <c r="Z65">
        <v>82.39</v>
      </c>
      <c r="AA65">
        <v>10</v>
      </c>
      <c r="AB65">
        <v>68</v>
      </c>
      <c r="AC65">
        <v>60</v>
      </c>
      <c r="AD65" t="str">
        <v>Connie Lawrence</v>
      </c>
      <c r="AE65" t="str">
        <v>Active</v>
      </c>
      <c r="AF65">
        <v>1105541.1599999999</v>
      </c>
    </row>
    <row r="66" spans="16:32" x14ac:dyDescent="0.25">
      <c r="P66" t="str">
        <v>EMP0063</v>
      </c>
      <c r="Q66" t="str">
        <v>Kristen Patterson</v>
      </c>
      <c r="R66" t="str">
        <v>R&amp;D</v>
      </c>
      <c r="S66" t="str">
        <v>Product Developer</v>
      </c>
      <c r="T66" t="str">
        <v>Female</v>
      </c>
      <c r="U66">
        <v>27</v>
      </c>
      <c r="V66">
        <v>43307</v>
      </c>
      <c r="W66" t="str">
        <v>Full-Time</v>
      </c>
      <c r="X66">
        <v>49624.65</v>
      </c>
      <c r="Y66">
        <v>3</v>
      </c>
      <c r="Z66">
        <v>83.59</v>
      </c>
      <c r="AA66">
        <v>7</v>
      </c>
      <c r="AB66">
        <v>1</v>
      </c>
      <c r="AC66">
        <v>45</v>
      </c>
      <c r="AD66" t="str">
        <v>Derek Zuniga</v>
      </c>
      <c r="AE66" t="str">
        <v>Active</v>
      </c>
      <c r="AF66">
        <v>595495.80000000005</v>
      </c>
    </row>
    <row r="67" spans="16:32" x14ac:dyDescent="0.25">
      <c r="P67" t="str">
        <v>EMP0064</v>
      </c>
      <c r="Q67" t="str">
        <v>Tony Vazquez</v>
      </c>
      <c r="R67" t="str">
        <v>Sales</v>
      </c>
      <c r="S67" t="str">
        <v>Sales Rep</v>
      </c>
      <c r="T67" t="str">
        <v>Female</v>
      </c>
      <c r="U67">
        <v>29</v>
      </c>
      <c r="V67">
        <v>42363</v>
      </c>
      <c r="W67" t="str">
        <v>Contract</v>
      </c>
      <c r="X67">
        <v>106846.12</v>
      </c>
      <c r="Y67">
        <v>4</v>
      </c>
      <c r="Z67">
        <v>82.05</v>
      </c>
      <c r="AA67">
        <v>10</v>
      </c>
      <c r="AB67">
        <v>1</v>
      </c>
      <c r="AC67">
        <v>36</v>
      </c>
      <c r="AD67" t="str">
        <v>Ryan Munoz</v>
      </c>
      <c r="AE67" t="str">
        <v>Active</v>
      </c>
      <c r="AF67">
        <v>1282153.44</v>
      </c>
    </row>
    <row r="68" spans="16:32" x14ac:dyDescent="0.25">
      <c r="P68" t="str">
        <v>EMP0065</v>
      </c>
      <c r="Q68" t="str">
        <v>Sandra Aguilar</v>
      </c>
      <c r="R68" t="str">
        <v>R&amp;D</v>
      </c>
      <c r="S68" t="str">
        <v>Product Developer</v>
      </c>
      <c r="T68" t="str">
        <v>Male</v>
      </c>
      <c r="U68">
        <v>24</v>
      </c>
      <c r="V68">
        <v>43229</v>
      </c>
      <c r="W68" t="str">
        <v>Part-Time</v>
      </c>
      <c r="X68">
        <v>114106.36</v>
      </c>
      <c r="Y68">
        <v>4</v>
      </c>
      <c r="Z68">
        <v>82.28</v>
      </c>
      <c r="AA68">
        <v>7</v>
      </c>
      <c r="AB68">
        <v>8</v>
      </c>
      <c r="AC68">
        <v>25</v>
      </c>
      <c r="AD68" t="str">
        <v>Brian Ramirez</v>
      </c>
      <c r="AE68" t="str">
        <v>Active</v>
      </c>
      <c r="AF68">
        <v>1369276.32</v>
      </c>
    </row>
    <row r="69" spans="16:32" x14ac:dyDescent="0.25">
      <c r="P69" t="str">
        <v>EMP0066</v>
      </c>
      <c r="Q69" t="str">
        <v>Andrew Diaz</v>
      </c>
      <c r="R69" t="str">
        <v>Sales</v>
      </c>
      <c r="S69" t="str">
        <v>Sales Rep</v>
      </c>
      <c r="T69" t="str">
        <v>Male</v>
      </c>
      <c r="U69">
        <v>57</v>
      </c>
      <c r="V69">
        <v>43223</v>
      </c>
      <c r="W69" t="str">
        <v>Part-Time</v>
      </c>
      <c r="X69">
        <v>28518.09</v>
      </c>
      <c r="Y69">
        <v>2</v>
      </c>
      <c r="Z69">
        <v>82.37</v>
      </c>
      <c r="AA69">
        <v>7</v>
      </c>
      <c r="AB69">
        <v>53</v>
      </c>
      <c r="AC69">
        <v>38</v>
      </c>
      <c r="AD69" t="str">
        <v>Carla Gray</v>
      </c>
      <c r="AE69" t="str">
        <v>Active</v>
      </c>
      <c r="AF69">
        <v>342217.08</v>
      </c>
    </row>
    <row r="70" spans="16:32" x14ac:dyDescent="0.25">
      <c r="P70" t="str">
        <v>EMP0067</v>
      </c>
      <c r="Q70" t="str">
        <v>Christine Wright</v>
      </c>
      <c r="R70" t="str">
        <v>IT</v>
      </c>
      <c r="S70" t="str">
        <v>Data Analyst</v>
      </c>
      <c r="T70" t="str">
        <v>Female</v>
      </c>
      <c r="U70">
        <v>49</v>
      </c>
      <c r="V70">
        <v>42550</v>
      </c>
      <c r="W70" t="str">
        <v>Part-Time</v>
      </c>
      <c r="X70">
        <v>49735.31</v>
      </c>
      <c r="Y70">
        <v>5</v>
      </c>
      <c r="Z70">
        <v>99.8</v>
      </c>
      <c r="AA70">
        <v>9</v>
      </c>
      <c r="AB70">
        <v>39</v>
      </c>
      <c r="AC70">
        <v>36</v>
      </c>
      <c r="AD70" t="str">
        <v>Carla Gray</v>
      </c>
      <c r="AE70" t="str">
        <v>Active</v>
      </c>
      <c r="AF70">
        <v>596823.72</v>
      </c>
    </row>
    <row r="71" spans="16:32" x14ac:dyDescent="0.25">
      <c r="P71" t="str">
        <v>EMP0068</v>
      </c>
      <c r="Q71" t="str">
        <v>Justin Baxter</v>
      </c>
      <c r="R71" t="str">
        <v>Marketing</v>
      </c>
      <c r="S71" t="str">
        <v>Marketing Analyst</v>
      </c>
      <c r="T71" t="str">
        <v>Male</v>
      </c>
      <c r="U71">
        <v>37</v>
      </c>
      <c r="V71">
        <v>42941</v>
      </c>
      <c r="W71" t="str">
        <v>Contract</v>
      </c>
      <c r="X71">
        <v>28118.75</v>
      </c>
      <c r="Y71">
        <v>2</v>
      </c>
      <c r="Z71">
        <v>83.48</v>
      </c>
      <c r="AA71">
        <v>8</v>
      </c>
      <c r="AB71">
        <v>9</v>
      </c>
      <c r="AC71">
        <v>10</v>
      </c>
      <c r="AD71" t="str">
        <v>Allison Hill</v>
      </c>
      <c r="AE71" t="str">
        <v>Active</v>
      </c>
      <c r="AF71">
        <v>337425</v>
      </c>
    </row>
    <row r="72" spans="16:32" x14ac:dyDescent="0.25">
      <c r="P72" t="str">
        <v>EMP0069</v>
      </c>
      <c r="Q72" t="str">
        <v>Cynthia Martin</v>
      </c>
      <c r="R72" t="str">
        <v>R&amp;D</v>
      </c>
      <c r="S72" t="str">
        <v>Product Developer</v>
      </c>
      <c r="T72" t="str">
        <v>Male</v>
      </c>
      <c r="U72">
        <v>35</v>
      </c>
      <c r="V72">
        <v>43263</v>
      </c>
      <c r="W72" t="str">
        <v>Part-Time</v>
      </c>
      <c r="X72">
        <v>90695.58</v>
      </c>
      <c r="Y72">
        <v>4</v>
      </c>
      <c r="Z72">
        <v>81.42</v>
      </c>
      <c r="AA72">
        <v>7</v>
      </c>
      <c r="AB72">
        <v>29</v>
      </c>
      <c r="AC72">
        <v>59</v>
      </c>
      <c r="AD72" t="str">
        <v>Gabrielle Davis</v>
      </c>
      <c r="AE72" t="str">
        <v>Active</v>
      </c>
      <c r="AF72">
        <v>1088346.96</v>
      </c>
    </row>
    <row r="73" spans="16:32" x14ac:dyDescent="0.25">
      <c r="P73" t="str">
        <v>EMP0070</v>
      </c>
      <c r="Q73" t="str">
        <v>Allison Doyle</v>
      </c>
      <c r="R73" t="str">
        <v>IT</v>
      </c>
      <c r="S73" t="str">
        <v>Software Engineer</v>
      </c>
      <c r="T73" t="str">
        <v>Male</v>
      </c>
      <c r="U73">
        <v>55</v>
      </c>
      <c r="V73">
        <v>43403</v>
      </c>
      <c r="W73" t="str">
        <v>Full-Time</v>
      </c>
      <c r="X73">
        <v>84763.47</v>
      </c>
      <c r="Y73">
        <v>3</v>
      </c>
      <c r="Z73">
        <v>96.53</v>
      </c>
      <c r="AA73">
        <v>7</v>
      </c>
      <c r="AB73">
        <v>9</v>
      </c>
      <c r="AC73">
        <v>3</v>
      </c>
      <c r="AD73" t="str">
        <v>Connie Lawrence</v>
      </c>
      <c r="AE73" t="str">
        <v>Active</v>
      </c>
      <c r="AF73">
        <v>1017161.64</v>
      </c>
    </row>
    <row r="74" spans="16:32" x14ac:dyDescent="0.25">
      <c r="P74" t="str">
        <v>EMP0071</v>
      </c>
      <c r="Q74" t="str">
        <v>Jennifer Santiago</v>
      </c>
      <c r="R74" t="str">
        <v>Finance</v>
      </c>
      <c r="S74" t="str">
        <v>Financial Analyst</v>
      </c>
      <c r="T74" t="str">
        <v>Male</v>
      </c>
      <c r="U74">
        <v>50</v>
      </c>
      <c r="V74">
        <v>44367</v>
      </c>
      <c r="W74" t="str">
        <v>Contract</v>
      </c>
      <c r="X74">
        <v>50409.120000000003</v>
      </c>
      <c r="Y74">
        <v>4</v>
      </c>
      <c r="Z74">
        <v>98.85</v>
      </c>
      <c r="AA74">
        <v>4</v>
      </c>
      <c r="AB74">
        <v>64</v>
      </c>
      <c r="AC74">
        <v>34</v>
      </c>
      <c r="AD74" t="str">
        <v>Brian Ramirez</v>
      </c>
      <c r="AE74" t="str">
        <v>Active</v>
      </c>
      <c r="AF74">
        <v>604909.44000000006</v>
      </c>
    </row>
    <row r="75" spans="16:32" x14ac:dyDescent="0.25">
      <c r="P75" t="str">
        <v>EMP0072</v>
      </c>
      <c r="Q75" t="str">
        <v>Richard Rodriguez</v>
      </c>
      <c r="R75" t="str">
        <v>Sales</v>
      </c>
      <c r="S75" t="str">
        <v>Sales Manager</v>
      </c>
      <c r="T75" t="str">
        <v>Female</v>
      </c>
      <c r="U75">
        <v>59</v>
      </c>
      <c r="V75">
        <v>43845</v>
      </c>
      <c r="W75" t="str">
        <v>Part-Time</v>
      </c>
      <c r="X75">
        <v>22586.49</v>
      </c>
      <c r="Y75">
        <v>2</v>
      </c>
      <c r="Z75">
        <v>99.24</v>
      </c>
      <c r="AA75">
        <v>5</v>
      </c>
      <c r="AB75">
        <v>73</v>
      </c>
      <c r="AC75">
        <v>37</v>
      </c>
      <c r="AD75" t="str">
        <v>Allison Hill</v>
      </c>
      <c r="AE75" t="str">
        <v>Resigned</v>
      </c>
      <c r="AF75">
        <v>271037.88</v>
      </c>
    </row>
    <row r="76" spans="16:32" x14ac:dyDescent="0.25">
      <c r="P76" t="str">
        <v>EMP0073</v>
      </c>
      <c r="Q76" t="str">
        <v>Courtney Velasquez</v>
      </c>
      <c r="R76" t="str">
        <v>Finance</v>
      </c>
      <c r="S76" t="str">
        <v>Finance Manager</v>
      </c>
      <c r="T76" t="str">
        <v>Male</v>
      </c>
      <c r="U76">
        <v>32</v>
      </c>
      <c r="V76">
        <v>42543</v>
      </c>
      <c r="W76" t="str">
        <v>Part-Time</v>
      </c>
      <c r="X76">
        <v>71896.38</v>
      </c>
      <c r="Y76">
        <v>4</v>
      </c>
      <c r="Z76">
        <v>98.32</v>
      </c>
      <c r="AA76">
        <v>9</v>
      </c>
      <c r="AB76">
        <v>23</v>
      </c>
      <c r="AC76">
        <v>37</v>
      </c>
      <c r="AD76" t="str">
        <v>Michele Williams</v>
      </c>
      <c r="AE76" t="str">
        <v>Active</v>
      </c>
      <c r="AF76">
        <v>862756.56</v>
      </c>
    </row>
    <row r="77" spans="16:32" x14ac:dyDescent="0.25">
      <c r="P77" t="str">
        <v>EMP0074</v>
      </c>
      <c r="Q77" t="str">
        <v>Robert Savage</v>
      </c>
      <c r="R77" t="str">
        <v>R&amp;D</v>
      </c>
      <c r="S77" t="str">
        <v>Researcher</v>
      </c>
      <c r="T77" t="str">
        <v>Female</v>
      </c>
      <c r="U77">
        <v>43</v>
      </c>
      <c r="V77">
        <v>45163</v>
      </c>
      <c r="W77" t="str">
        <v>Part-Time</v>
      </c>
      <c r="X77">
        <v>53330.84</v>
      </c>
      <c r="Y77">
        <v>1</v>
      </c>
      <c r="Z77">
        <v>97.15</v>
      </c>
      <c r="AA77">
        <v>2</v>
      </c>
      <c r="AB77">
        <v>42</v>
      </c>
      <c r="AC77">
        <v>26</v>
      </c>
      <c r="AD77" t="str">
        <v>Brian Ramirez</v>
      </c>
      <c r="AE77" t="str">
        <v>Active</v>
      </c>
      <c r="AF77">
        <v>639970.07999999996</v>
      </c>
    </row>
    <row r="78" spans="16:32" x14ac:dyDescent="0.25">
      <c r="P78" t="str">
        <v>EMP0075</v>
      </c>
      <c r="Q78" t="str">
        <v>Corey Murphy</v>
      </c>
      <c r="R78" t="str">
        <v>Customer Support</v>
      </c>
      <c r="S78" t="str">
        <v>Support Agent</v>
      </c>
      <c r="T78" t="str">
        <v>Female</v>
      </c>
      <c r="U78">
        <v>26</v>
      </c>
      <c r="V78">
        <v>43688</v>
      </c>
      <c r="W78" t="str">
        <v>Part-Time</v>
      </c>
      <c r="X78">
        <v>45239.89</v>
      </c>
      <c r="Y78">
        <v>1</v>
      </c>
      <c r="Z78">
        <v>99.4</v>
      </c>
      <c r="AA78">
        <v>6</v>
      </c>
      <c r="AB78">
        <v>51</v>
      </c>
      <c r="AC78">
        <v>55</v>
      </c>
      <c r="AD78" t="str">
        <v>Holly Wood</v>
      </c>
      <c r="AE78" t="str">
        <v>Active</v>
      </c>
      <c r="AF78">
        <v>542878.67999999993</v>
      </c>
    </row>
    <row r="79" spans="16:32" x14ac:dyDescent="0.25">
      <c r="P79" t="str">
        <v>EMP0076</v>
      </c>
      <c r="Q79" t="str">
        <v>Diana May</v>
      </c>
      <c r="R79" t="str">
        <v>Sales</v>
      </c>
      <c r="S79" t="str">
        <v>Account Executive</v>
      </c>
      <c r="T79" t="str">
        <v>Female</v>
      </c>
      <c r="U79">
        <v>47</v>
      </c>
      <c r="V79">
        <v>42734</v>
      </c>
      <c r="W79" t="str">
        <v>Full-Time</v>
      </c>
      <c r="X79">
        <v>38758.25</v>
      </c>
      <c r="Y79">
        <v>3</v>
      </c>
      <c r="Z79">
        <v>92.45</v>
      </c>
      <c r="AA79">
        <v>9</v>
      </c>
      <c r="AB79">
        <v>63</v>
      </c>
      <c r="AC79">
        <v>40</v>
      </c>
      <c r="AD79" t="str">
        <v>Dylan Miller</v>
      </c>
      <c r="AE79" t="str">
        <v>Active</v>
      </c>
      <c r="AF79">
        <v>465099</v>
      </c>
    </row>
    <row r="80" spans="16:32" x14ac:dyDescent="0.25">
      <c r="P80" t="str">
        <v>EMP0077</v>
      </c>
      <c r="Q80" t="str">
        <v>Sarah Rivera</v>
      </c>
      <c r="R80" t="str">
        <v>IT</v>
      </c>
      <c r="S80" t="str">
        <v>Software Engineer</v>
      </c>
      <c r="T80" t="str">
        <v>Male</v>
      </c>
      <c r="U80">
        <v>39</v>
      </c>
      <c r="V80">
        <v>44786</v>
      </c>
      <c r="W80" t="str">
        <v>Part-Time</v>
      </c>
      <c r="X80">
        <v>108084.66</v>
      </c>
      <c r="Y80">
        <v>4</v>
      </c>
      <c r="Z80">
        <v>82.43</v>
      </c>
      <c r="AA80">
        <v>3</v>
      </c>
      <c r="AB80">
        <v>80</v>
      </c>
      <c r="AC80">
        <v>38</v>
      </c>
      <c r="AD80" t="str">
        <v>Gina Moore</v>
      </c>
      <c r="AE80" t="str">
        <v>Active</v>
      </c>
      <c r="AF80">
        <v>1297015.92</v>
      </c>
    </row>
    <row r="81" spans="16:32" x14ac:dyDescent="0.25">
      <c r="P81" t="str">
        <v>EMP0078</v>
      </c>
      <c r="Q81" t="str">
        <v>Wesley White</v>
      </c>
      <c r="R81" t="str">
        <v>Finance</v>
      </c>
      <c r="S81" t="str">
        <v>Finance Manager</v>
      </c>
      <c r="T81" t="str">
        <v>Male</v>
      </c>
      <c r="U81">
        <v>56</v>
      </c>
      <c r="V81">
        <v>42474</v>
      </c>
      <c r="W81" t="str">
        <v>Part-Time</v>
      </c>
      <c r="X81">
        <v>29320.92</v>
      </c>
      <c r="Y81">
        <v>1</v>
      </c>
      <c r="Z81">
        <v>89.23</v>
      </c>
      <c r="AA81">
        <v>9</v>
      </c>
      <c r="AB81">
        <v>15</v>
      </c>
      <c r="AC81">
        <v>41</v>
      </c>
      <c r="AD81" t="str">
        <v>Cristian Santos</v>
      </c>
      <c r="AE81" t="str">
        <v>Active</v>
      </c>
      <c r="AF81">
        <v>351851.04</v>
      </c>
    </row>
    <row r="82" spans="16:32" x14ac:dyDescent="0.25">
      <c r="P82" t="str">
        <v>EMP0079</v>
      </c>
      <c r="Q82" t="str">
        <v>Kyle Reed</v>
      </c>
      <c r="R82" t="str">
        <v>Finance</v>
      </c>
      <c r="S82" t="str">
        <v>Finance Manager</v>
      </c>
      <c r="T82" t="str">
        <v>Female</v>
      </c>
      <c r="U82">
        <v>47</v>
      </c>
      <c r="V82">
        <v>43952</v>
      </c>
      <c r="W82" t="str">
        <v>Part-Time</v>
      </c>
      <c r="X82">
        <v>118024.46</v>
      </c>
      <c r="Y82">
        <v>2</v>
      </c>
      <c r="Z82">
        <v>89.14</v>
      </c>
      <c r="AA82">
        <v>5</v>
      </c>
      <c r="AB82">
        <v>18</v>
      </c>
      <c r="AC82">
        <v>24</v>
      </c>
      <c r="AD82" t="str">
        <v>Abigail Shaffer</v>
      </c>
      <c r="AE82" t="str">
        <v>Resigned</v>
      </c>
      <c r="AF82">
        <v>1416293.52</v>
      </c>
    </row>
    <row r="83" spans="16:32" x14ac:dyDescent="0.25">
      <c r="P83" t="str">
        <v>EMP0080</v>
      </c>
      <c r="Q83" t="str">
        <v>William Wilson</v>
      </c>
      <c r="R83" t="str">
        <v>HR</v>
      </c>
      <c r="S83" t="str">
        <v>HR Officer</v>
      </c>
      <c r="T83" t="str">
        <v>Female</v>
      </c>
      <c r="U83">
        <v>47</v>
      </c>
      <c r="V83">
        <v>44252</v>
      </c>
      <c r="W83" t="str">
        <v>Part-Time</v>
      </c>
      <c r="X83">
        <v>113424.84</v>
      </c>
      <c r="Y83">
        <v>5</v>
      </c>
      <c r="Z83">
        <v>85.34</v>
      </c>
      <c r="AA83">
        <v>4</v>
      </c>
      <c r="AB83">
        <v>0</v>
      </c>
      <c r="AC83">
        <v>18</v>
      </c>
      <c r="AD83" t="str">
        <v>Ryan Munoz</v>
      </c>
      <c r="AE83" t="str">
        <v>Active</v>
      </c>
      <c r="AF83">
        <v>1361098.08</v>
      </c>
    </row>
    <row r="84" spans="16:32" x14ac:dyDescent="0.25">
      <c r="P84" t="str">
        <v>EMP0081</v>
      </c>
      <c r="Q84" t="str">
        <v>Andrew Graham</v>
      </c>
      <c r="R84" t="str">
        <v>R&amp;D</v>
      </c>
      <c r="S84" t="str">
        <v>Researcher</v>
      </c>
      <c r="T84" t="str">
        <v>Female</v>
      </c>
      <c r="U84">
        <v>55</v>
      </c>
      <c r="V84">
        <v>45885</v>
      </c>
      <c r="W84" t="str">
        <v>Part-Time</v>
      </c>
      <c r="X84">
        <v>54512.39</v>
      </c>
      <c r="Y84">
        <v>5</v>
      </c>
      <c r="Z84">
        <v>95.26</v>
      </c>
      <c r="AA84">
        <v>0</v>
      </c>
      <c r="AB84">
        <v>48</v>
      </c>
      <c r="AC84">
        <v>29</v>
      </c>
      <c r="AD84" t="str">
        <v>Monica Herrera</v>
      </c>
      <c r="AE84" t="str">
        <v>Resigned</v>
      </c>
      <c r="AF84">
        <v>654148.67999999993</v>
      </c>
    </row>
    <row r="85" spans="16:32" x14ac:dyDescent="0.25">
      <c r="P85" t="str">
        <v>EMP0082</v>
      </c>
      <c r="Q85" t="str">
        <v>Kimberly Ball</v>
      </c>
      <c r="R85" t="str">
        <v>IT</v>
      </c>
      <c r="S85" t="str">
        <v>Data Analyst</v>
      </c>
      <c r="T85" t="str">
        <v>Female</v>
      </c>
      <c r="U85">
        <v>35</v>
      </c>
      <c r="V85">
        <v>45533</v>
      </c>
      <c r="W85" t="str">
        <v>Part-Time</v>
      </c>
      <c r="X85">
        <v>24364.73</v>
      </c>
      <c r="Y85">
        <v>4</v>
      </c>
      <c r="Z85">
        <v>94.1</v>
      </c>
      <c r="AA85">
        <v>1</v>
      </c>
      <c r="AB85">
        <v>48</v>
      </c>
      <c r="AC85">
        <v>24</v>
      </c>
      <c r="AD85" t="str">
        <v>Cristian Santos</v>
      </c>
      <c r="AE85" t="str">
        <v>Active</v>
      </c>
      <c r="AF85">
        <v>292376.76</v>
      </c>
    </row>
    <row r="86" spans="16:32" x14ac:dyDescent="0.25">
      <c r="P86" t="str">
        <v>EMP0083</v>
      </c>
      <c r="Q86" t="str">
        <v>Benjamin Beck</v>
      </c>
      <c r="R86" t="str">
        <v>Sales</v>
      </c>
      <c r="S86" t="str">
        <v>Sales Rep</v>
      </c>
      <c r="T86" t="str">
        <v>Female</v>
      </c>
      <c r="U86">
        <v>27</v>
      </c>
      <c r="V86">
        <v>43527</v>
      </c>
      <c r="W86" t="str">
        <v>Part-Time</v>
      </c>
      <c r="X86">
        <v>29971.17</v>
      </c>
      <c r="Y86">
        <v>4</v>
      </c>
      <c r="Z86">
        <v>80.31</v>
      </c>
      <c r="AA86">
        <v>6</v>
      </c>
      <c r="AB86">
        <v>18</v>
      </c>
      <c r="AC86">
        <v>26</v>
      </c>
      <c r="AD86" t="str">
        <v>Cristian Santos</v>
      </c>
      <c r="AE86" t="str">
        <v>Active</v>
      </c>
      <c r="AF86">
        <v>359654.04</v>
      </c>
    </row>
    <row r="87" spans="16:32" x14ac:dyDescent="0.25">
      <c r="P87" t="str">
        <v>EMP0084</v>
      </c>
      <c r="Q87" t="str">
        <v>Mary Martinez</v>
      </c>
      <c r="R87" t="str">
        <v>Finance</v>
      </c>
      <c r="S87" t="str">
        <v>Financial Analyst</v>
      </c>
      <c r="T87" t="str">
        <v>Female</v>
      </c>
      <c r="U87">
        <v>26</v>
      </c>
      <c r="V87">
        <v>44354</v>
      </c>
      <c r="W87" t="str">
        <v>Part-Time</v>
      </c>
      <c r="X87">
        <v>105234.13</v>
      </c>
      <c r="Y87">
        <v>5</v>
      </c>
      <c r="Z87">
        <v>87.6</v>
      </c>
      <c r="AA87">
        <v>4</v>
      </c>
      <c r="AB87">
        <v>40</v>
      </c>
      <c r="AC87">
        <v>40</v>
      </c>
      <c r="AD87" t="str">
        <v>Brian Ramirez</v>
      </c>
      <c r="AE87" t="str">
        <v>Resigned</v>
      </c>
      <c r="AF87">
        <v>1262809.56</v>
      </c>
    </row>
    <row r="88" spans="16:32" x14ac:dyDescent="0.25">
      <c r="P88" t="str">
        <v>EMP0085</v>
      </c>
      <c r="Q88" t="str">
        <v>Mary Nguyen</v>
      </c>
      <c r="R88" t="str">
        <v>Sales</v>
      </c>
      <c r="S88" t="str">
        <v>Account Executive</v>
      </c>
      <c r="T88" t="str">
        <v>Male</v>
      </c>
      <c r="U88">
        <v>36</v>
      </c>
      <c r="V88">
        <v>44169</v>
      </c>
      <c r="W88" t="str">
        <v>Contract</v>
      </c>
      <c r="X88">
        <v>88439.96</v>
      </c>
      <c r="Y88">
        <v>3</v>
      </c>
      <c r="Z88">
        <v>99.95</v>
      </c>
      <c r="AA88">
        <v>5</v>
      </c>
      <c r="AB88">
        <v>11</v>
      </c>
      <c r="AC88">
        <v>27</v>
      </c>
      <c r="AD88" t="str">
        <v>Daniel Wagner</v>
      </c>
      <c r="AE88" t="str">
        <v>Active</v>
      </c>
      <c r="AF88">
        <v>1061279.52</v>
      </c>
    </row>
    <row r="89" spans="16:32" x14ac:dyDescent="0.25">
      <c r="P89" t="str">
        <v>EMP0086</v>
      </c>
      <c r="Q89" t="str">
        <v>Cheryl Ortega</v>
      </c>
      <c r="R89" t="str">
        <v>Marketing</v>
      </c>
      <c r="S89" t="str">
        <v>Brand Manager</v>
      </c>
      <c r="T89" t="str">
        <v>Male</v>
      </c>
      <c r="U89">
        <v>40</v>
      </c>
      <c r="V89">
        <v>44140</v>
      </c>
      <c r="W89" t="str">
        <v>Full-Time</v>
      </c>
      <c r="X89">
        <v>24599.1</v>
      </c>
      <c r="Y89">
        <v>1</v>
      </c>
      <c r="Z89">
        <v>85.87</v>
      </c>
      <c r="AA89">
        <v>5</v>
      </c>
      <c r="AB89">
        <v>47</v>
      </c>
      <c r="AC89">
        <v>27</v>
      </c>
      <c r="AD89" t="str">
        <v>Cristian Santos</v>
      </c>
      <c r="AE89" t="str">
        <v>Active</v>
      </c>
      <c r="AF89">
        <v>295189.19999999995</v>
      </c>
    </row>
    <row r="90" spans="16:32" x14ac:dyDescent="0.25">
      <c r="P90" t="str">
        <v>EMP0087</v>
      </c>
      <c r="Q90" t="str">
        <v>Stephanie Gilbert</v>
      </c>
      <c r="R90" t="str">
        <v>Customer Support</v>
      </c>
      <c r="S90" t="str">
        <v>Support Agent</v>
      </c>
      <c r="T90" t="str">
        <v>Male</v>
      </c>
      <c r="U90">
        <v>32</v>
      </c>
      <c r="V90">
        <v>44658</v>
      </c>
      <c r="W90" t="str">
        <v>Full-Time</v>
      </c>
      <c r="X90">
        <v>80949.179999999993</v>
      </c>
      <c r="Y90">
        <v>4</v>
      </c>
      <c r="Z90">
        <v>92.39</v>
      </c>
      <c r="AA90">
        <v>3</v>
      </c>
      <c r="AB90">
        <v>30</v>
      </c>
      <c r="AC90">
        <v>31</v>
      </c>
      <c r="AD90" t="str">
        <v>Lisa Jackson</v>
      </c>
      <c r="AE90" t="str">
        <v>Active</v>
      </c>
      <c r="AF90">
        <v>971390.15999999992</v>
      </c>
    </row>
    <row r="91" spans="16:32" x14ac:dyDescent="0.25">
      <c r="P91" t="str">
        <v>EMP0088</v>
      </c>
      <c r="Q91" t="str">
        <v>Roy Torres</v>
      </c>
      <c r="R91" t="str">
        <v>R&amp;D</v>
      </c>
      <c r="S91" t="str">
        <v>Product Developer</v>
      </c>
      <c r="T91" t="str">
        <v>Female</v>
      </c>
      <c r="U91">
        <v>37</v>
      </c>
      <c r="V91">
        <v>44173</v>
      </c>
      <c r="W91" t="str">
        <v>Contract</v>
      </c>
      <c r="X91">
        <v>20939.740000000002</v>
      </c>
      <c r="Y91">
        <v>4</v>
      </c>
      <c r="Z91">
        <v>98.02</v>
      </c>
      <c r="AA91">
        <v>5</v>
      </c>
      <c r="AB91">
        <v>69</v>
      </c>
      <c r="AC91">
        <v>10</v>
      </c>
      <c r="AD91" t="str">
        <v>Angie Henderson</v>
      </c>
      <c r="AE91" t="str">
        <v>Active</v>
      </c>
      <c r="AF91">
        <v>251276.88</v>
      </c>
    </row>
    <row r="92" spans="16:32" x14ac:dyDescent="0.25">
      <c r="P92" t="str">
        <v>EMP0089</v>
      </c>
      <c r="Q92" t="str">
        <v>Kevin Pena</v>
      </c>
      <c r="R92" t="str">
        <v>Operations</v>
      </c>
      <c r="S92" t="str">
        <v>Operations Manager</v>
      </c>
      <c r="T92" t="str">
        <v>Female</v>
      </c>
      <c r="U92">
        <v>37</v>
      </c>
      <c r="V92">
        <v>43609</v>
      </c>
      <c r="W92" t="str">
        <v>Part-Time</v>
      </c>
      <c r="X92">
        <v>104530.39</v>
      </c>
      <c r="Y92">
        <v>2</v>
      </c>
      <c r="Z92">
        <v>99.99</v>
      </c>
      <c r="AA92">
        <v>6</v>
      </c>
      <c r="AB92">
        <v>61</v>
      </c>
      <c r="AC92">
        <v>6</v>
      </c>
      <c r="AD92" t="str">
        <v>Gina Moore</v>
      </c>
      <c r="AE92" t="str">
        <v>Active</v>
      </c>
      <c r="AF92">
        <v>1254364.68</v>
      </c>
    </row>
    <row r="93" spans="16:32" x14ac:dyDescent="0.25">
      <c r="P93" t="str">
        <v>EMP0090</v>
      </c>
      <c r="Q93" t="str">
        <v>Michael Dixon</v>
      </c>
      <c r="R93" t="str">
        <v>Operations</v>
      </c>
      <c r="S93" t="str">
        <v>Operations Manager</v>
      </c>
      <c r="T93" t="str">
        <v>Female</v>
      </c>
      <c r="U93">
        <v>22</v>
      </c>
      <c r="V93">
        <v>45192</v>
      </c>
      <c r="W93" t="str">
        <v>Contract</v>
      </c>
      <c r="X93">
        <v>59580.57</v>
      </c>
      <c r="Y93">
        <v>1</v>
      </c>
      <c r="Z93">
        <v>91.32</v>
      </c>
      <c r="AA93">
        <v>2</v>
      </c>
      <c r="AB93">
        <v>6</v>
      </c>
      <c r="AC93">
        <v>58</v>
      </c>
      <c r="AD93" t="str">
        <v>Carla Gray</v>
      </c>
      <c r="AE93" t="str">
        <v>Active</v>
      </c>
      <c r="AF93">
        <v>714966.84</v>
      </c>
    </row>
    <row r="94" spans="16:32" x14ac:dyDescent="0.25">
      <c r="P94" t="str">
        <v>EMP0091</v>
      </c>
      <c r="Q94" t="str">
        <v>Diane Beck</v>
      </c>
      <c r="R94" t="str">
        <v>Finance</v>
      </c>
      <c r="S94" t="str">
        <v>Accountant</v>
      </c>
      <c r="T94" t="str">
        <v>Female</v>
      </c>
      <c r="U94">
        <v>35</v>
      </c>
      <c r="V94">
        <v>43357</v>
      </c>
      <c r="W94" t="str">
        <v>Contract</v>
      </c>
      <c r="X94">
        <v>39013.199999999997</v>
      </c>
      <c r="Y94">
        <v>3</v>
      </c>
      <c r="Z94">
        <v>93.56</v>
      </c>
      <c r="AA94">
        <v>7</v>
      </c>
      <c r="AB94">
        <v>17</v>
      </c>
      <c r="AC94">
        <v>40</v>
      </c>
      <c r="AD94" t="str">
        <v>Daniel Wagner</v>
      </c>
      <c r="AE94" t="str">
        <v>Resigned</v>
      </c>
      <c r="AF94">
        <v>468158.39999999997</v>
      </c>
    </row>
    <row r="95" spans="16:32" x14ac:dyDescent="0.25">
      <c r="P95" t="str">
        <v>EMP0092</v>
      </c>
      <c r="Q95" t="str">
        <v>Trevor Young</v>
      </c>
      <c r="R95" t="str">
        <v>Sales</v>
      </c>
      <c r="S95" t="str">
        <v>Sales Manager</v>
      </c>
      <c r="T95" t="str">
        <v>Female</v>
      </c>
      <c r="U95">
        <v>23</v>
      </c>
      <c r="V95">
        <v>44385</v>
      </c>
      <c r="W95" t="str">
        <v>Contract</v>
      </c>
      <c r="X95">
        <v>56486.12</v>
      </c>
      <c r="Y95">
        <v>2</v>
      </c>
      <c r="Z95">
        <v>81.8</v>
      </c>
      <c r="AA95">
        <v>4</v>
      </c>
      <c r="AB95">
        <v>37</v>
      </c>
      <c r="AC95">
        <v>20</v>
      </c>
      <c r="AD95" t="str">
        <v>Michele Williams</v>
      </c>
      <c r="AE95" t="str">
        <v>Active</v>
      </c>
      <c r="AF95">
        <v>677833.44000000006</v>
      </c>
    </row>
    <row r="96" spans="16:32" x14ac:dyDescent="0.25">
      <c r="P96" t="str">
        <v>EMP0093</v>
      </c>
      <c r="Q96" t="str">
        <v>Curtis Johnson</v>
      </c>
      <c r="R96" t="str">
        <v>HR</v>
      </c>
      <c r="S96" t="str">
        <v>HR Manager</v>
      </c>
      <c r="T96" t="str">
        <v>Female</v>
      </c>
      <c r="U96">
        <v>54</v>
      </c>
      <c r="V96">
        <v>44231</v>
      </c>
      <c r="W96" t="str">
        <v>Contract</v>
      </c>
      <c r="X96">
        <v>111348.7</v>
      </c>
      <c r="Y96">
        <v>2</v>
      </c>
      <c r="Z96">
        <v>85.14</v>
      </c>
      <c r="AA96">
        <v>4</v>
      </c>
      <c r="AB96">
        <v>61</v>
      </c>
      <c r="AC96">
        <v>51</v>
      </c>
      <c r="AD96" t="str">
        <v>Ryan Munoz</v>
      </c>
      <c r="AE96" t="str">
        <v>Active</v>
      </c>
      <c r="AF96">
        <v>1336184.3999999999</v>
      </c>
    </row>
    <row r="97" spans="16:32" x14ac:dyDescent="0.25">
      <c r="P97" t="str">
        <v>EMP0094</v>
      </c>
      <c r="Q97" t="str">
        <v>Miss Patricia Gibson</v>
      </c>
      <c r="R97" t="str">
        <v>Operations</v>
      </c>
      <c r="S97" t="str">
        <v>Operations Associate</v>
      </c>
      <c r="T97" t="str">
        <v>Female</v>
      </c>
      <c r="U97">
        <v>25</v>
      </c>
      <c r="V97">
        <v>43824</v>
      </c>
      <c r="W97" t="str">
        <v>Full-Time</v>
      </c>
      <c r="X97">
        <v>95415.15</v>
      </c>
      <c r="Y97">
        <v>2</v>
      </c>
      <c r="Z97">
        <v>97.2</v>
      </c>
      <c r="AA97">
        <v>6</v>
      </c>
      <c r="AB97">
        <v>50</v>
      </c>
      <c r="AC97">
        <v>54</v>
      </c>
      <c r="AD97" t="str">
        <v>Derek Zuniga</v>
      </c>
      <c r="AE97" t="str">
        <v>Active</v>
      </c>
      <c r="AF97">
        <v>1144981.7999999998</v>
      </c>
    </row>
    <row r="98" spans="16:32" x14ac:dyDescent="0.25">
      <c r="P98" t="str">
        <v>EMP0095</v>
      </c>
      <c r="Q98" t="str">
        <v>Michael Snyder</v>
      </c>
      <c r="R98" t="str">
        <v>Customer Support</v>
      </c>
      <c r="S98" t="str">
        <v>Support Agent</v>
      </c>
      <c r="T98" t="str">
        <v>Female</v>
      </c>
      <c r="U98">
        <v>55</v>
      </c>
      <c r="V98">
        <v>45880</v>
      </c>
      <c r="W98" t="str">
        <v>Full-Time</v>
      </c>
      <c r="X98">
        <v>65478.6</v>
      </c>
      <c r="Y98">
        <v>3</v>
      </c>
      <c r="Z98">
        <v>91.69</v>
      </c>
      <c r="AA98">
        <v>0</v>
      </c>
      <c r="AB98">
        <v>47</v>
      </c>
      <c r="AC98">
        <v>6</v>
      </c>
      <c r="AD98" t="str">
        <v>Gina Moore</v>
      </c>
      <c r="AE98" t="str">
        <v>Active</v>
      </c>
      <c r="AF98">
        <v>785743.2</v>
      </c>
    </row>
    <row r="99" spans="16:32" x14ac:dyDescent="0.25">
      <c r="P99" t="str">
        <v>EMP0096</v>
      </c>
      <c r="Q99" t="str">
        <v>Michael Stafford</v>
      </c>
      <c r="R99" t="str">
        <v>Operations</v>
      </c>
      <c r="S99" t="str">
        <v>Operations Associate</v>
      </c>
      <c r="T99" t="str">
        <v>Male</v>
      </c>
      <c r="U99">
        <v>50</v>
      </c>
      <c r="V99">
        <v>43819</v>
      </c>
      <c r="W99" t="str">
        <v>Contract</v>
      </c>
      <c r="X99">
        <v>50219.02</v>
      </c>
      <c r="Y99">
        <v>4</v>
      </c>
      <c r="Z99">
        <v>82.33</v>
      </c>
      <c r="AA99">
        <v>6</v>
      </c>
      <c r="AB99">
        <v>5</v>
      </c>
      <c r="AC99">
        <v>60</v>
      </c>
      <c r="AD99" t="str">
        <v>Noah Rhodes</v>
      </c>
      <c r="AE99" t="str">
        <v>Active</v>
      </c>
      <c r="AF99">
        <v>602628.24</v>
      </c>
    </row>
    <row r="100" spans="16:32" x14ac:dyDescent="0.25">
      <c r="P100" t="str">
        <v>EMP0097</v>
      </c>
      <c r="Q100" t="str">
        <v>Colleen Brock</v>
      </c>
      <c r="R100" t="str">
        <v>R&amp;D</v>
      </c>
      <c r="S100" t="str">
        <v>Researcher</v>
      </c>
      <c r="T100" t="str">
        <v>Male</v>
      </c>
      <c r="U100">
        <v>36</v>
      </c>
      <c r="V100">
        <v>42965</v>
      </c>
      <c r="W100" t="str">
        <v>Contract</v>
      </c>
      <c r="X100">
        <v>33566.400000000001</v>
      </c>
      <c r="Y100">
        <v>4</v>
      </c>
      <c r="Z100">
        <v>87.42</v>
      </c>
      <c r="AA100">
        <v>8</v>
      </c>
      <c r="AB100">
        <v>69</v>
      </c>
      <c r="AC100">
        <v>26</v>
      </c>
      <c r="AD100" t="str">
        <v>Lisa Jackson</v>
      </c>
      <c r="AE100" t="str">
        <v>Active</v>
      </c>
      <c r="AF100">
        <v>402796.80000000005</v>
      </c>
    </row>
    <row r="101" spans="16:32" x14ac:dyDescent="0.25">
      <c r="P101" t="str">
        <v>EMP0098</v>
      </c>
      <c r="Q101" t="str">
        <v>Justin Lowery</v>
      </c>
      <c r="R101" t="str">
        <v>HR</v>
      </c>
      <c r="S101" t="str">
        <v>Recruiter</v>
      </c>
      <c r="T101" t="str">
        <v>Male</v>
      </c>
      <c r="U101">
        <v>52</v>
      </c>
      <c r="V101">
        <v>45521</v>
      </c>
      <c r="W101" t="str">
        <v>Contract</v>
      </c>
      <c r="X101">
        <v>60811.59</v>
      </c>
      <c r="Y101">
        <v>3</v>
      </c>
      <c r="Z101">
        <v>80.650000000000006</v>
      </c>
      <c r="AA101">
        <v>1</v>
      </c>
      <c r="AB101">
        <v>47</v>
      </c>
      <c r="AC101">
        <v>13</v>
      </c>
      <c r="AD101" t="str">
        <v>Dylan Miller</v>
      </c>
      <c r="AE101" t="str">
        <v>Active</v>
      </c>
      <c r="AF101">
        <v>729739.08</v>
      </c>
    </row>
    <row r="102" spans="16:32" x14ac:dyDescent="0.25">
      <c r="P102" t="str">
        <v>EMP0099</v>
      </c>
      <c r="Q102" t="str">
        <v>Robert Contreras</v>
      </c>
      <c r="R102" t="str">
        <v>IT</v>
      </c>
      <c r="S102" t="str">
        <v>Software Engineer</v>
      </c>
      <c r="T102" t="str">
        <v>Male</v>
      </c>
      <c r="U102">
        <v>44</v>
      </c>
      <c r="V102">
        <v>43057</v>
      </c>
      <c r="W102" t="str">
        <v>Contract</v>
      </c>
      <c r="X102">
        <v>110169.62</v>
      </c>
      <c r="Y102">
        <v>3</v>
      </c>
      <c r="Z102">
        <v>81.209999999999994</v>
      </c>
      <c r="AA102">
        <v>8</v>
      </c>
      <c r="AB102">
        <v>35</v>
      </c>
      <c r="AC102">
        <v>12</v>
      </c>
      <c r="AD102" t="str">
        <v>Daniel Wagner</v>
      </c>
      <c r="AE102" t="str">
        <v>Resigned</v>
      </c>
      <c r="AF102">
        <v>1322035.44</v>
      </c>
    </row>
    <row r="103" spans="16:32" x14ac:dyDescent="0.25">
      <c r="P103" t="str">
        <v>EMP0100</v>
      </c>
      <c r="Q103" t="str">
        <v>Tiffany Vance</v>
      </c>
      <c r="R103" t="str">
        <v>R&amp;D</v>
      </c>
      <c r="S103" t="str">
        <v>Researcher</v>
      </c>
      <c r="T103" t="str">
        <v>Male</v>
      </c>
      <c r="U103">
        <v>59</v>
      </c>
      <c r="V103">
        <v>45776</v>
      </c>
      <c r="W103" t="str">
        <v>Full-Time</v>
      </c>
      <c r="X103">
        <v>25057.85</v>
      </c>
      <c r="Y103">
        <v>3</v>
      </c>
      <c r="Z103">
        <v>84.87</v>
      </c>
      <c r="AA103">
        <v>0</v>
      </c>
      <c r="AB103">
        <v>16</v>
      </c>
      <c r="AC103">
        <v>50</v>
      </c>
      <c r="AD103" t="str">
        <v>Lisa Jackson</v>
      </c>
      <c r="AE103" t="str">
        <v>Active</v>
      </c>
      <c r="AF103">
        <v>300694.19999999995</v>
      </c>
    </row>
    <row r="104" spans="16:32" x14ac:dyDescent="0.25">
      <c r="P104" t="str">
        <v>EMP0101</v>
      </c>
      <c r="Q104" t="str">
        <v>Terry Griffin</v>
      </c>
      <c r="R104" t="str">
        <v>IT</v>
      </c>
      <c r="S104" t="str">
        <v>Data Analyst</v>
      </c>
      <c r="T104" t="str">
        <v>Male</v>
      </c>
      <c r="U104">
        <v>35</v>
      </c>
      <c r="V104">
        <v>45439</v>
      </c>
      <c r="W104" t="str">
        <v>Part-Time</v>
      </c>
      <c r="X104">
        <v>97436.86</v>
      </c>
      <c r="Y104">
        <v>5</v>
      </c>
      <c r="Z104">
        <v>80.06</v>
      </c>
      <c r="AA104">
        <v>1</v>
      </c>
      <c r="AB104">
        <v>18</v>
      </c>
      <c r="AC104">
        <v>8</v>
      </c>
      <c r="AD104" t="str">
        <v>Derek Zuniga</v>
      </c>
      <c r="AE104" t="str">
        <v>Active</v>
      </c>
      <c r="AF104">
        <v>1169242.32</v>
      </c>
    </row>
    <row r="105" spans="16:32" x14ac:dyDescent="0.25">
      <c r="P105" t="str">
        <v>EMP0102</v>
      </c>
      <c r="Q105" t="str">
        <v>Karen Green</v>
      </c>
      <c r="R105" t="str">
        <v>HR</v>
      </c>
      <c r="S105" t="str">
        <v>HR Officer</v>
      </c>
      <c r="T105" t="str">
        <v>Male</v>
      </c>
      <c r="U105">
        <v>29</v>
      </c>
      <c r="V105">
        <v>43291</v>
      </c>
      <c r="W105" t="str">
        <v>Full-Time</v>
      </c>
      <c r="X105">
        <v>55824.23</v>
      </c>
      <c r="Y105">
        <v>2</v>
      </c>
      <c r="Z105">
        <v>91.78</v>
      </c>
      <c r="AA105">
        <v>7</v>
      </c>
      <c r="AB105">
        <v>2</v>
      </c>
      <c r="AC105">
        <v>11</v>
      </c>
      <c r="AD105" t="str">
        <v>Gabrielle Davis</v>
      </c>
      <c r="AE105" t="str">
        <v>Active</v>
      </c>
      <c r="AF105">
        <v>669890.76</v>
      </c>
    </row>
    <row r="106" spans="16:32" x14ac:dyDescent="0.25">
      <c r="P106" t="str">
        <v>EMP0103</v>
      </c>
      <c r="Q106" t="str">
        <v>Destiny Strickland</v>
      </c>
      <c r="R106" t="str">
        <v>Customer Support</v>
      </c>
      <c r="S106" t="str">
        <v>Support Agent</v>
      </c>
      <c r="T106" t="str">
        <v>Male</v>
      </c>
      <c r="U106">
        <v>51</v>
      </c>
      <c r="V106">
        <v>43839</v>
      </c>
      <c r="W106" t="str">
        <v>Part-Time</v>
      </c>
      <c r="X106">
        <v>97801.7</v>
      </c>
      <c r="Y106">
        <v>5</v>
      </c>
      <c r="Z106">
        <v>91.87</v>
      </c>
      <c r="AA106">
        <v>5</v>
      </c>
      <c r="AB106">
        <v>57</v>
      </c>
      <c r="AC106">
        <v>32</v>
      </c>
      <c r="AD106" t="str">
        <v>Gina Moore</v>
      </c>
      <c r="AE106" t="str">
        <v>Resigned</v>
      </c>
      <c r="AF106">
        <v>1173620.3999999999</v>
      </c>
    </row>
    <row r="107" spans="16:32" x14ac:dyDescent="0.25">
      <c r="P107" t="str">
        <v>EMP0104</v>
      </c>
      <c r="Q107" t="str">
        <v>Denise Jones</v>
      </c>
      <c r="R107" t="str">
        <v>Sales</v>
      </c>
      <c r="S107" t="str">
        <v>Account Executive</v>
      </c>
      <c r="T107" t="str">
        <v>Female</v>
      </c>
      <c r="U107">
        <v>50</v>
      </c>
      <c r="V107">
        <v>45314</v>
      </c>
      <c r="W107" t="str">
        <v>Contract</v>
      </c>
      <c r="X107">
        <v>116402.62</v>
      </c>
      <c r="Y107">
        <v>1</v>
      </c>
      <c r="Z107">
        <v>99.97</v>
      </c>
      <c r="AA107">
        <v>1</v>
      </c>
      <c r="AB107">
        <v>51</v>
      </c>
      <c r="AC107">
        <v>27</v>
      </c>
      <c r="AD107" t="str">
        <v>Daniel Wagner</v>
      </c>
      <c r="AE107" t="str">
        <v>Active</v>
      </c>
      <c r="AF107">
        <v>1396831.44</v>
      </c>
    </row>
    <row r="108" spans="16:32" x14ac:dyDescent="0.25">
      <c r="P108" t="str">
        <v>EMP0105</v>
      </c>
      <c r="Q108" t="str">
        <v>George Orozco</v>
      </c>
      <c r="R108" t="str">
        <v>R&amp;D</v>
      </c>
      <c r="S108" t="str">
        <v>Researcher</v>
      </c>
      <c r="T108" t="str">
        <v>Male</v>
      </c>
      <c r="U108">
        <v>41</v>
      </c>
      <c r="V108">
        <v>44078</v>
      </c>
      <c r="W108" t="str">
        <v>Contract</v>
      </c>
      <c r="X108">
        <v>34833.379999999997</v>
      </c>
      <c r="Y108">
        <v>2</v>
      </c>
      <c r="Z108">
        <v>85.5</v>
      </c>
      <c r="AA108">
        <v>5</v>
      </c>
      <c r="AB108">
        <v>74</v>
      </c>
      <c r="AC108">
        <v>35</v>
      </c>
      <c r="AD108" t="str">
        <v>Monica Herrera</v>
      </c>
      <c r="AE108" t="str">
        <v>Active</v>
      </c>
      <c r="AF108">
        <v>418000.55999999994</v>
      </c>
    </row>
    <row r="109" spans="16:32" x14ac:dyDescent="0.25">
      <c r="P109" t="str">
        <v>EMP0106</v>
      </c>
      <c r="Q109" t="str">
        <v>David Benson</v>
      </c>
      <c r="R109" t="str">
        <v>Finance</v>
      </c>
      <c r="S109" t="str">
        <v>Financial Analyst</v>
      </c>
      <c r="T109" t="str">
        <v>Female</v>
      </c>
      <c r="U109">
        <v>27</v>
      </c>
      <c r="V109">
        <v>42803</v>
      </c>
      <c r="W109" t="str">
        <v>Contract</v>
      </c>
      <c r="X109">
        <v>31441.41</v>
      </c>
      <c r="Y109">
        <v>5</v>
      </c>
      <c r="Z109">
        <v>94.42</v>
      </c>
      <c r="AA109">
        <v>8</v>
      </c>
      <c r="AB109">
        <v>27</v>
      </c>
      <c r="AC109">
        <v>27</v>
      </c>
      <c r="AD109" t="str">
        <v>Dylan Miller</v>
      </c>
      <c r="AE109" t="str">
        <v>Resigned</v>
      </c>
      <c r="AF109">
        <v>377296.92</v>
      </c>
    </row>
    <row r="110" spans="16:32" x14ac:dyDescent="0.25">
      <c r="P110" t="str">
        <v>EMP0107</v>
      </c>
      <c r="Q110" t="str">
        <v>Jason Daniels</v>
      </c>
      <c r="R110" t="str">
        <v>Customer Support</v>
      </c>
      <c r="S110" t="str">
        <v>Team Lead</v>
      </c>
      <c r="T110" t="str">
        <v>Female</v>
      </c>
      <c r="U110">
        <v>46</v>
      </c>
      <c r="V110">
        <v>43632</v>
      </c>
      <c r="W110" t="str">
        <v>Part-Time</v>
      </c>
      <c r="X110">
        <v>92961.25</v>
      </c>
      <c r="Y110">
        <v>3</v>
      </c>
      <c r="Z110">
        <v>88.54</v>
      </c>
      <c r="AA110">
        <v>6</v>
      </c>
      <c r="AB110">
        <v>32</v>
      </c>
      <c r="AC110">
        <v>23</v>
      </c>
      <c r="AD110" t="str">
        <v>Cristian Santos</v>
      </c>
      <c r="AE110" t="str">
        <v>Active</v>
      </c>
      <c r="AF110">
        <v>1115535</v>
      </c>
    </row>
    <row r="111" spans="16:32" x14ac:dyDescent="0.25">
      <c r="P111" t="str">
        <v>EMP0108</v>
      </c>
      <c r="Q111" t="str">
        <v>Ross Price</v>
      </c>
      <c r="R111" t="str">
        <v>R&amp;D</v>
      </c>
      <c r="S111" t="str">
        <v>Researcher</v>
      </c>
      <c r="T111" t="str">
        <v>Male</v>
      </c>
      <c r="U111">
        <v>26</v>
      </c>
      <c r="V111">
        <v>44886</v>
      </c>
      <c r="W111" t="str">
        <v>Full-Time</v>
      </c>
      <c r="X111">
        <v>63187.65</v>
      </c>
      <c r="Y111">
        <v>3</v>
      </c>
      <c r="Z111">
        <v>96.24</v>
      </c>
      <c r="AA111">
        <v>3</v>
      </c>
      <c r="AB111">
        <v>71</v>
      </c>
      <c r="AC111">
        <v>3</v>
      </c>
      <c r="AD111" t="str">
        <v>Lisa Jackson</v>
      </c>
      <c r="AE111" t="str">
        <v>Resigned</v>
      </c>
      <c r="AF111">
        <v>758251.8</v>
      </c>
    </row>
    <row r="112" spans="16:32" x14ac:dyDescent="0.25">
      <c r="P112" t="str">
        <v>EMP0109</v>
      </c>
      <c r="Q112" t="str">
        <v>Alicia Gilmore</v>
      </c>
      <c r="R112" t="str">
        <v>Operations</v>
      </c>
      <c r="S112" t="str">
        <v>Operations Associate</v>
      </c>
      <c r="T112" t="str">
        <v>Female</v>
      </c>
      <c r="U112">
        <v>43</v>
      </c>
      <c r="V112">
        <v>45932</v>
      </c>
      <c r="W112" t="str">
        <v>Contract</v>
      </c>
      <c r="X112">
        <v>114112.99</v>
      </c>
      <c r="Y112">
        <v>4</v>
      </c>
      <c r="Z112">
        <v>97.36</v>
      </c>
      <c r="AA112">
        <v>0</v>
      </c>
      <c r="AB112">
        <v>6</v>
      </c>
      <c r="AC112">
        <v>18</v>
      </c>
      <c r="AD112" t="str">
        <v>Carla Gray</v>
      </c>
      <c r="AE112" t="str">
        <v>Active</v>
      </c>
      <c r="AF112">
        <v>1369355.8800000001</v>
      </c>
    </row>
    <row r="113" spans="16:32" x14ac:dyDescent="0.25">
      <c r="P113" t="str">
        <v>EMP0110</v>
      </c>
      <c r="Q113" t="str">
        <v>Aaron Bell</v>
      </c>
      <c r="R113" t="str">
        <v>Marketing</v>
      </c>
      <c r="S113" t="str">
        <v>Content Specialist</v>
      </c>
      <c r="T113" t="str">
        <v>Male</v>
      </c>
      <c r="U113">
        <v>30</v>
      </c>
      <c r="V113">
        <v>45880</v>
      </c>
      <c r="W113" t="str">
        <v>Contract</v>
      </c>
      <c r="X113">
        <v>68218.94</v>
      </c>
      <c r="Y113">
        <v>1</v>
      </c>
      <c r="Z113">
        <v>87</v>
      </c>
      <c r="AA113">
        <v>0</v>
      </c>
      <c r="AB113">
        <v>71</v>
      </c>
      <c r="AC113">
        <v>23</v>
      </c>
      <c r="AD113" t="str">
        <v>Daniel Wagner</v>
      </c>
      <c r="AE113" t="str">
        <v>Active</v>
      </c>
      <c r="AF113">
        <v>818627.28</v>
      </c>
    </row>
    <row r="114" spans="16:32" x14ac:dyDescent="0.25">
      <c r="P114" t="str">
        <v>EMP0111</v>
      </c>
      <c r="Q114" t="str">
        <v>Tiffany Barnes</v>
      </c>
      <c r="R114" t="str">
        <v>IT</v>
      </c>
      <c r="S114" t="str">
        <v>Software Engineer</v>
      </c>
      <c r="T114" t="str">
        <v>Male</v>
      </c>
      <c r="U114">
        <v>59</v>
      </c>
      <c r="V114">
        <v>44726</v>
      </c>
      <c r="W114" t="str">
        <v>Contract</v>
      </c>
      <c r="X114">
        <v>102946.08</v>
      </c>
      <c r="Y114">
        <v>3</v>
      </c>
      <c r="Z114">
        <v>80.58</v>
      </c>
      <c r="AA114">
        <v>3</v>
      </c>
      <c r="AB114">
        <v>34</v>
      </c>
      <c r="AC114">
        <v>44</v>
      </c>
      <c r="AD114" t="str">
        <v>Ryan Munoz</v>
      </c>
      <c r="AE114" t="str">
        <v>Resigned</v>
      </c>
      <c r="AF114">
        <v>1235352.96</v>
      </c>
    </row>
    <row r="115" spans="16:32" x14ac:dyDescent="0.25">
      <c r="P115" t="str">
        <v>EMP0112</v>
      </c>
      <c r="Q115" t="str">
        <v>Stephanie Freeman</v>
      </c>
      <c r="R115" t="str">
        <v>Operations</v>
      </c>
      <c r="S115" t="str">
        <v>Operations Associate</v>
      </c>
      <c r="T115" t="str">
        <v>Male</v>
      </c>
      <c r="U115">
        <v>30</v>
      </c>
      <c r="V115">
        <v>45696</v>
      </c>
      <c r="W115" t="str">
        <v>Contract</v>
      </c>
      <c r="X115">
        <v>85734.46</v>
      </c>
      <c r="Y115">
        <v>1</v>
      </c>
      <c r="Z115">
        <v>82.84</v>
      </c>
      <c r="AA115">
        <v>0</v>
      </c>
      <c r="AB115">
        <v>3</v>
      </c>
      <c r="AC115">
        <v>5</v>
      </c>
      <c r="AD115" t="str">
        <v>Holly Wood</v>
      </c>
      <c r="AE115" t="str">
        <v>Active</v>
      </c>
      <c r="AF115">
        <v>1028813.52</v>
      </c>
    </row>
    <row r="116" spans="16:32" x14ac:dyDescent="0.25">
      <c r="P116" t="str">
        <v>EMP0113</v>
      </c>
      <c r="Q116" t="str">
        <v>Allen Rogers</v>
      </c>
      <c r="R116" t="str">
        <v>Customer Support</v>
      </c>
      <c r="S116" t="str">
        <v>Team Lead</v>
      </c>
      <c r="T116" t="str">
        <v>Female</v>
      </c>
      <c r="U116">
        <v>31</v>
      </c>
      <c r="V116">
        <v>43998</v>
      </c>
      <c r="W116" t="str">
        <v>Part-Time</v>
      </c>
      <c r="X116">
        <v>51163.74</v>
      </c>
      <c r="Y116">
        <v>3</v>
      </c>
      <c r="Z116">
        <v>95.54</v>
      </c>
      <c r="AA116">
        <v>5</v>
      </c>
      <c r="AB116">
        <v>72</v>
      </c>
      <c r="AC116">
        <v>38</v>
      </c>
      <c r="AD116" t="str">
        <v>Angie Henderson</v>
      </c>
      <c r="AE116" t="str">
        <v>Resigned</v>
      </c>
      <c r="AF116">
        <v>613964.88</v>
      </c>
    </row>
    <row r="117" spans="16:32" x14ac:dyDescent="0.25">
      <c r="P117" t="str">
        <v>EMP0114</v>
      </c>
      <c r="Q117" t="str">
        <v>Sara Calhoun</v>
      </c>
      <c r="R117" t="str">
        <v>HR</v>
      </c>
      <c r="S117" t="str">
        <v>HR Officer</v>
      </c>
      <c r="T117" t="str">
        <v>Male</v>
      </c>
      <c r="U117">
        <v>26</v>
      </c>
      <c r="V117">
        <v>44815</v>
      </c>
      <c r="W117" t="str">
        <v>Part-Time</v>
      </c>
      <c r="X117">
        <v>64311.3</v>
      </c>
      <c r="Y117">
        <v>4</v>
      </c>
      <c r="Z117">
        <v>89.71</v>
      </c>
      <c r="AA117">
        <v>3</v>
      </c>
      <c r="AB117">
        <v>56</v>
      </c>
      <c r="AC117">
        <v>26</v>
      </c>
      <c r="AD117" t="str">
        <v>Gabrielle Davis</v>
      </c>
      <c r="AE117" t="str">
        <v>Active</v>
      </c>
      <c r="AF117">
        <v>771735.60000000009</v>
      </c>
    </row>
    <row r="118" spans="16:32" x14ac:dyDescent="0.25">
      <c r="P118" t="str">
        <v>EMP0115</v>
      </c>
      <c r="Q118" t="str">
        <v>James Elliott</v>
      </c>
      <c r="R118" t="str">
        <v>Marketing</v>
      </c>
      <c r="S118" t="str">
        <v>Brand Manager</v>
      </c>
      <c r="T118" t="str">
        <v>Female</v>
      </c>
      <c r="U118">
        <v>28</v>
      </c>
      <c r="V118">
        <v>45621</v>
      </c>
      <c r="W118" t="str">
        <v>Part-Time</v>
      </c>
      <c r="X118">
        <v>87821.79</v>
      </c>
      <c r="Y118">
        <v>5</v>
      </c>
      <c r="Z118">
        <v>89.73</v>
      </c>
      <c r="AA118">
        <v>1</v>
      </c>
      <c r="AB118">
        <v>39</v>
      </c>
      <c r="AC118">
        <v>2</v>
      </c>
      <c r="AD118" t="str">
        <v>Gina Moore</v>
      </c>
      <c r="AE118" t="str">
        <v>Active</v>
      </c>
      <c r="AF118">
        <v>1053861.48</v>
      </c>
    </row>
    <row r="119" spans="16:32" x14ac:dyDescent="0.25">
      <c r="P119" t="str">
        <v>EMP0116</v>
      </c>
      <c r="Q119" t="str">
        <v>Jeffrey Camacho</v>
      </c>
      <c r="R119" t="str">
        <v>Sales</v>
      </c>
      <c r="S119" t="str">
        <v>Sales Rep</v>
      </c>
      <c r="T119" t="str">
        <v>Male</v>
      </c>
      <c r="U119">
        <v>40</v>
      </c>
      <c r="V119">
        <v>42471</v>
      </c>
      <c r="W119" t="str">
        <v>Full-Time</v>
      </c>
      <c r="X119">
        <v>96734.95</v>
      </c>
      <c r="Y119">
        <v>3</v>
      </c>
      <c r="Z119">
        <v>85.79</v>
      </c>
      <c r="AA119">
        <v>9</v>
      </c>
      <c r="AB119">
        <v>15</v>
      </c>
      <c r="AC119">
        <v>0</v>
      </c>
      <c r="AD119" t="str">
        <v>Brian Ramirez</v>
      </c>
      <c r="AE119" t="str">
        <v>Active</v>
      </c>
      <c r="AF119">
        <v>1160819.3999999999</v>
      </c>
    </row>
    <row r="120" spans="16:32" x14ac:dyDescent="0.25">
      <c r="P120" t="str">
        <v>EMP0117</v>
      </c>
      <c r="Q120" t="str">
        <v>James Lewis</v>
      </c>
      <c r="R120" t="str">
        <v>HR</v>
      </c>
      <c r="S120" t="str">
        <v>HR Officer</v>
      </c>
      <c r="T120" t="str">
        <v>Female</v>
      </c>
      <c r="U120">
        <v>55</v>
      </c>
      <c r="V120">
        <v>43432</v>
      </c>
      <c r="W120" t="str">
        <v>Contract</v>
      </c>
      <c r="X120">
        <v>43011.07</v>
      </c>
      <c r="Y120">
        <v>5</v>
      </c>
      <c r="Z120">
        <v>96.67</v>
      </c>
      <c r="AA120">
        <v>7</v>
      </c>
      <c r="AB120">
        <v>45</v>
      </c>
      <c r="AC120">
        <v>4</v>
      </c>
      <c r="AD120" t="str">
        <v>Lisa Hensley</v>
      </c>
      <c r="AE120" t="str">
        <v>Resigned</v>
      </c>
      <c r="AF120">
        <v>516132.83999999997</v>
      </c>
    </row>
    <row r="121" spans="16:32" x14ac:dyDescent="0.25">
      <c r="P121" t="str">
        <v>EMP0118</v>
      </c>
      <c r="Q121" t="str">
        <v>Shawn Ramirez</v>
      </c>
      <c r="R121" t="str">
        <v>Sales</v>
      </c>
      <c r="S121" t="str">
        <v>Sales Manager</v>
      </c>
      <c r="T121" t="str">
        <v>Male</v>
      </c>
      <c r="U121">
        <v>50</v>
      </c>
      <c r="V121">
        <v>44333</v>
      </c>
      <c r="W121" t="str">
        <v>Full-Time</v>
      </c>
      <c r="X121">
        <v>106211</v>
      </c>
      <c r="Y121">
        <v>5</v>
      </c>
      <c r="Z121">
        <v>88.59</v>
      </c>
      <c r="AA121">
        <v>4</v>
      </c>
      <c r="AB121">
        <v>51</v>
      </c>
      <c r="AC121">
        <v>45</v>
      </c>
      <c r="AD121" t="str">
        <v>Michele Williams</v>
      </c>
      <c r="AE121" t="str">
        <v>Active</v>
      </c>
      <c r="AF121">
        <v>1274532</v>
      </c>
    </row>
    <row r="122" spans="16:32" x14ac:dyDescent="0.25">
      <c r="P122" t="str">
        <v>EMP0119</v>
      </c>
      <c r="Q122" t="str">
        <v>Bradley Smith</v>
      </c>
      <c r="R122" t="str">
        <v>Customer Support</v>
      </c>
      <c r="S122" t="str">
        <v>Support Agent</v>
      </c>
      <c r="T122" t="str">
        <v>Female</v>
      </c>
      <c r="U122">
        <v>31</v>
      </c>
      <c r="V122">
        <v>44922</v>
      </c>
      <c r="W122" t="str">
        <v>Contract</v>
      </c>
      <c r="X122">
        <v>66009.69</v>
      </c>
      <c r="Y122">
        <v>3</v>
      </c>
      <c r="Z122">
        <v>81.760000000000005</v>
      </c>
      <c r="AA122">
        <v>3</v>
      </c>
      <c r="AB122">
        <v>13</v>
      </c>
      <c r="AC122">
        <v>15</v>
      </c>
      <c r="AD122" t="str">
        <v>Michele Williams</v>
      </c>
      <c r="AE122" t="str">
        <v>Active</v>
      </c>
      <c r="AF122">
        <v>792116.28</v>
      </c>
    </row>
    <row r="123" spans="16:32" x14ac:dyDescent="0.25">
      <c r="P123" t="str">
        <v>EMP0120</v>
      </c>
      <c r="Q123" t="str">
        <v>Trevor Walker</v>
      </c>
      <c r="R123" t="str">
        <v>Marketing</v>
      </c>
      <c r="S123" t="str">
        <v>Brand Manager</v>
      </c>
      <c r="T123" t="str">
        <v>Female</v>
      </c>
      <c r="U123">
        <v>42</v>
      </c>
      <c r="V123">
        <v>45654</v>
      </c>
      <c r="W123" t="str">
        <v>Full-Time</v>
      </c>
      <c r="X123">
        <v>53306.86</v>
      </c>
      <c r="Y123">
        <v>2</v>
      </c>
      <c r="Z123">
        <v>81.53</v>
      </c>
      <c r="AA123">
        <v>1</v>
      </c>
      <c r="AB123">
        <v>14</v>
      </c>
      <c r="AC123">
        <v>33</v>
      </c>
      <c r="AD123" t="str">
        <v>Holly Wood</v>
      </c>
      <c r="AE123" t="str">
        <v>Active</v>
      </c>
      <c r="AF123">
        <v>639682.32000000007</v>
      </c>
    </row>
    <row r="124" spans="16:32" x14ac:dyDescent="0.25">
      <c r="P124" t="str">
        <v>EMP0121</v>
      </c>
      <c r="Q124" t="str">
        <v>Marissa Webster</v>
      </c>
      <c r="R124" t="str">
        <v>Operations</v>
      </c>
      <c r="S124" t="str">
        <v>Operations Manager</v>
      </c>
      <c r="T124" t="str">
        <v>Male</v>
      </c>
      <c r="U124">
        <v>36</v>
      </c>
      <c r="V124">
        <v>42729</v>
      </c>
      <c r="W124" t="str">
        <v>Full-Time</v>
      </c>
      <c r="X124">
        <v>34644.42</v>
      </c>
      <c r="Y124">
        <v>2</v>
      </c>
      <c r="Z124">
        <v>83.47</v>
      </c>
      <c r="AA124">
        <v>9</v>
      </c>
      <c r="AB124">
        <v>19</v>
      </c>
      <c r="AC124">
        <v>48</v>
      </c>
      <c r="AD124" t="str">
        <v>Angie Henderson</v>
      </c>
      <c r="AE124" t="str">
        <v>Active</v>
      </c>
      <c r="AF124">
        <v>415733.04</v>
      </c>
    </row>
    <row r="125" spans="16:32" x14ac:dyDescent="0.25">
      <c r="P125" t="str">
        <v>EMP0122</v>
      </c>
      <c r="Q125" t="str">
        <v>Alex Hernandez</v>
      </c>
      <c r="R125" t="str">
        <v>R&amp;D</v>
      </c>
      <c r="S125" t="str">
        <v>Product Developer</v>
      </c>
      <c r="T125" t="str">
        <v>Female</v>
      </c>
      <c r="U125">
        <v>57</v>
      </c>
      <c r="V125">
        <v>43839</v>
      </c>
      <c r="W125" t="str">
        <v>Contract</v>
      </c>
      <c r="X125">
        <v>83529.83</v>
      </c>
      <c r="Y125">
        <v>5</v>
      </c>
      <c r="Z125">
        <v>86.46</v>
      </c>
      <c r="AA125">
        <v>5</v>
      </c>
      <c r="AB125">
        <v>80</v>
      </c>
      <c r="AC125">
        <v>20</v>
      </c>
      <c r="AD125" t="str">
        <v>Cristian Santos</v>
      </c>
      <c r="AE125" t="str">
        <v>Active</v>
      </c>
      <c r="AF125">
        <v>1002357.96</v>
      </c>
    </row>
    <row r="126" spans="16:32" x14ac:dyDescent="0.25">
      <c r="P126" t="str">
        <v>EMP0123</v>
      </c>
      <c r="Q126" t="str">
        <v>Brian Gould</v>
      </c>
      <c r="R126" t="str">
        <v>R&amp;D</v>
      </c>
      <c r="S126" t="str">
        <v>Product Developer</v>
      </c>
      <c r="T126" t="str">
        <v>Female</v>
      </c>
      <c r="U126">
        <v>38</v>
      </c>
      <c r="V126">
        <v>43087</v>
      </c>
      <c r="W126" t="str">
        <v>Contract</v>
      </c>
      <c r="X126">
        <v>25617.21</v>
      </c>
      <c r="Y126">
        <v>5</v>
      </c>
      <c r="Z126">
        <v>81.48</v>
      </c>
      <c r="AA126">
        <v>8</v>
      </c>
      <c r="AB126">
        <v>59</v>
      </c>
      <c r="AC126">
        <v>28</v>
      </c>
      <c r="AD126" t="str">
        <v>Noah Rhodes</v>
      </c>
      <c r="AE126" t="str">
        <v>Active</v>
      </c>
      <c r="AF126">
        <v>307406.52</v>
      </c>
    </row>
    <row r="127" spans="16:32" x14ac:dyDescent="0.25">
      <c r="P127" t="str">
        <v>EMP0124</v>
      </c>
      <c r="Q127" t="str">
        <v>Pamela Jackson</v>
      </c>
      <c r="R127" t="str">
        <v>Finance</v>
      </c>
      <c r="S127" t="str">
        <v>Accountant</v>
      </c>
      <c r="T127" t="str">
        <v>Male</v>
      </c>
      <c r="U127">
        <v>60</v>
      </c>
      <c r="V127">
        <v>45192</v>
      </c>
      <c r="W127" t="str">
        <v>Contract</v>
      </c>
      <c r="X127">
        <v>70706.78</v>
      </c>
      <c r="Y127">
        <v>4</v>
      </c>
      <c r="Z127">
        <v>91.61</v>
      </c>
      <c r="AA127">
        <v>2</v>
      </c>
      <c r="AB127">
        <v>5</v>
      </c>
      <c r="AC127">
        <v>28</v>
      </c>
      <c r="AD127" t="str">
        <v>Lisa Jackson</v>
      </c>
      <c r="AE127" t="str">
        <v>Active</v>
      </c>
      <c r="AF127">
        <v>848481.36</v>
      </c>
    </row>
    <row r="128" spans="16:32" x14ac:dyDescent="0.25">
      <c r="P128" t="str">
        <v>EMP0125</v>
      </c>
      <c r="Q128" t="str">
        <v>Carla Collins</v>
      </c>
      <c r="R128" t="str">
        <v>Operations</v>
      </c>
      <c r="S128" t="str">
        <v>Operations Manager</v>
      </c>
      <c r="T128" t="str">
        <v>Male</v>
      </c>
      <c r="U128">
        <v>24</v>
      </c>
      <c r="V128">
        <v>43014</v>
      </c>
      <c r="W128" t="str">
        <v>Part-Time</v>
      </c>
      <c r="X128">
        <v>30350.19</v>
      </c>
      <c r="Y128">
        <v>3</v>
      </c>
      <c r="Z128">
        <v>99.65</v>
      </c>
      <c r="AA128">
        <v>8</v>
      </c>
      <c r="AB128">
        <v>10</v>
      </c>
      <c r="AC128">
        <v>32</v>
      </c>
      <c r="AD128" t="str">
        <v>Connie Lawrence</v>
      </c>
      <c r="AE128" t="str">
        <v>Active</v>
      </c>
      <c r="AF128">
        <v>364202.27999999997</v>
      </c>
    </row>
    <row r="129" spans="16:32" x14ac:dyDescent="0.25">
      <c r="P129" t="str">
        <v>EMP0126</v>
      </c>
      <c r="Q129" t="str">
        <v>Eric Byrd</v>
      </c>
      <c r="R129" t="str">
        <v>R&amp;D</v>
      </c>
      <c r="S129" t="str">
        <v>Product Developer</v>
      </c>
      <c r="T129" t="str">
        <v>Male</v>
      </c>
      <c r="U129">
        <v>44</v>
      </c>
      <c r="V129">
        <v>45898</v>
      </c>
      <c r="W129" t="str">
        <v>Part-Time</v>
      </c>
      <c r="X129">
        <v>111793.68</v>
      </c>
      <c r="Y129">
        <v>4</v>
      </c>
      <c r="Z129">
        <v>88.18</v>
      </c>
      <c r="AA129">
        <v>0</v>
      </c>
      <c r="AB129">
        <v>43</v>
      </c>
      <c r="AC129">
        <v>43</v>
      </c>
      <c r="AD129" t="str">
        <v>Carla Gray</v>
      </c>
      <c r="AE129" t="str">
        <v>Active</v>
      </c>
      <c r="AF129">
        <v>1341524.1599999999</v>
      </c>
    </row>
    <row r="130" spans="16:32" x14ac:dyDescent="0.25">
      <c r="P130" t="str">
        <v>EMP0127</v>
      </c>
      <c r="Q130" t="str">
        <v>Miguel Jones</v>
      </c>
      <c r="R130" t="str">
        <v>Operations</v>
      </c>
      <c r="S130" t="str">
        <v>Operations Associate</v>
      </c>
      <c r="T130" t="str">
        <v>Female</v>
      </c>
      <c r="U130">
        <v>27</v>
      </c>
      <c r="V130">
        <v>44635</v>
      </c>
      <c r="W130" t="str">
        <v>Contract</v>
      </c>
      <c r="X130">
        <v>87837.93</v>
      </c>
      <c r="Y130">
        <v>3</v>
      </c>
      <c r="Z130">
        <v>85.04</v>
      </c>
      <c r="AA130">
        <v>3</v>
      </c>
      <c r="AB130">
        <v>77</v>
      </c>
      <c r="AC130">
        <v>55</v>
      </c>
      <c r="AD130" t="str">
        <v>Cristian Santos</v>
      </c>
      <c r="AE130" t="str">
        <v>Active</v>
      </c>
      <c r="AF130">
        <v>1054055.1599999999</v>
      </c>
    </row>
    <row r="131" spans="16:32" x14ac:dyDescent="0.25">
      <c r="P131" t="str">
        <v>EMP0128</v>
      </c>
      <c r="Q131" t="str">
        <v>Raymond Jefferson</v>
      </c>
      <c r="R131" t="str">
        <v>HR</v>
      </c>
      <c r="S131" t="str">
        <v>Recruiter</v>
      </c>
      <c r="T131" t="str">
        <v>Female</v>
      </c>
      <c r="U131">
        <v>46</v>
      </c>
      <c r="V131">
        <v>43812</v>
      </c>
      <c r="W131" t="str">
        <v>Full-Time</v>
      </c>
      <c r="X131">
        <v>79504.12</v>
      </c>
      <c r="Y131">
        <v>1</v>
      </c>
      <c r="Z131">
        <v>86.19</v>
      </c>
      <c r="AA131">
        <v>6</v>
      </c>
      <c r="AB131">
        <v>48</v>
      </c>
      <c r="AC131">
        <v>41</v>
      </c>
      <c r="AD131" t="str">
        <v>Monica Herrera</v>
      </c>
      <c r="AE131" t="str">
        <v>Active</v>
      </c>
      <c r="AF131">
        <v>954049.44</v>
      </c>
    </row>
    <row r="132" spans="16:32" x14ac:dyDescent="0.25">
      <c r="P132" t="str">
        <v>EMP0129</v>
      </c>
      <c r="Q132" t="str">
        <v>Kylie Williams</v>
      </c>
      <c r="R132" t="str">
        <v>Marketing</v>
      </c>
      <c r="S132" t="str">
        <v>Content Specialist</v>
      </c>
      <c r="T132" t="str">
        <v>Female</v>
      </c>
      <c r="U132">
        <v>53</v>
      </c>
      <c r="V132">
        <v>43055</v>
      </c>
      <c r="W132" t="str">
        <v>Part-Time</v>
      </c>
      <c r="X132">
        <v>21823.05</v>
      </c>
      <c r="Y132">
        <v>3</v>
      </c>
      <c r="Z132">
        <v>83.61</v>
      </c>
      <c r="AA132">
        <v>8</v>
      </c>
      <c r="AB132">
        <v>27</v>
      </c>
      <c r="AC132">
        <v>21</v>
      </c>
      <c r="AD132" t="str">
        <v>Brian Ramirez</v>
      </c>
      <c r="AE132" t="str">
        <v>Active</v>
      </c>
      <c r="AF132">
        <v>261876.59999999998</v>
      </c>
    </row>
    <row r="133" spans="16:32" x14ac:dyDescent="0.25">
      <c r="P133" t="str">
        <v>EMP0130</v>
      </c>
      <c r="Q133" t="str">
        <v>Jacob Hunter</v>
      </c>
      <c r="R133" t="str">
        <v>HR</v>
      </c>
      <c r="S133" t="str">
        <v>HR Officer</v>
      </c>
      <c r="T133" t="str">
        <v>Male</v>
      </c>
      <c r="U133">
        <v>39</v>
      </c>
      <c r="V133">
        <v>45613</v>
      </c>
      <c r="W133" t="str">
        <v>Full-Time</v>
      </c>
      <c r="X133">
        <v>70768.97</v>
      </c>
      <c r="Y133">
        <v>5</v>
      </c>
      <c r="Z133">
        <v>96.7</v>
      </c>
      <c r="AA133">
        <v>1</v>
      </c>
      <c r="AB133">
        <v>67</v>
      </c>
      <c r="AC133">
        <v>2</v>
      </c>
      <c r="AD133" t="str">
        <v>Monica Herrera</v>
      </c>
      <c r="AE133" t="str">
        <v>Resigned</v>
      </c>
      <c r="AF133">
        <v>849227.64</v>
      </c>
    </row>
    <row r="134" spans="16:32" x14ac:dyDescent="0.25">
      <c r="P134" t="str">
        <v>EMP0131</v>
      </c>
      <c r="Q134" t="str">
        <v>Jason Henry</v>
      </c>
      <c r="R134" t="str">
        <v>HR</v>
      </c>
      <c r="S134" t="str">
        <v>HR Manager</v>
      </c>
      <c r="T134" t="str">
        <v>Female</v>
      </c>
      <c r="U134">
        <v>30</v>
      </c>
      <c r="V134">
        <v>44423</v>
      </c>
      <c r="W134" t="str">
        <v>Full-Time</v>
      </c>
      <c r="X134">
        <v>38084.6</v>
      </c>
      <c r="Y134">
        <v>5</v>
      </c>
      <c r="Z134">
        <v>96.18</v>
      </c>
      <c r="AA134">
        <v>4</v>
      </c>
      <c r="AB134">
        <v>21</v>
      </c>
      <c r="AC134">
        <v>46</v>
      </c>
      <c r="AD134" t="str">
        <v>Dylan Miller</v>
      </c>
      <c r="AE134" t="str">
        <v>Active</v>
      </c>
      <c r="AF134">
        <v>457015.19999999995</v>
      </c>
    </row>
    <row r="135" spans="16:32" x14ac:dyDescent="0.25">
      <c r="P135" t="str">
        <v>EMP0132</v>
      </c>
      <c r="Q135" t="str">
        <v>Madison Poole</v>
      </c>
      <c r="R135" t="str">
        <v>Operations</v>
      </c>
      <c r="S135" t="str">
        <v>Operations Associate</v>
      </c>
      <c r="T135" t="str">
        <v>Female</v>
      </c>
      <c r="U135">
        <v>60</v>
      </c>
      <c r="V135">
        <v>44996</v>
      </c>
      <c r="W135" t="str">
        <v>Part-Time</v>
      </c>
      <c r="X135">
        <v>95239.12</v>
      </c>
      <c r="Y135">
        <v>4</v>
      </c>
      <c r="Z135">
        <v>84.68</v>
      </c>
      <c r="AA135">
        <v>2</v>
      </c>
      <c r="AB135">
        <v>30</v>
      </c>
      <c r="AC135">
        <v>19</v>
      </c>
      <c r="AD135" t="str">
        <v>Brian Ramirez</v>
      </c>
      <c r="AE135" t="str">
        <v>Resigned</v>
      </c>
      <c r="AF135">
        <v>1142869.44</v>
      </c>
    </row>
    <row r="136" spans="16:32" x14ac:dyDescent="0.25">
      <c r="P136" t="str">
        <v>EMP0133</v>
      </c>
      <c r="Q136" t="str">
        <v>Nicholas Sheppard</v>
      </c>
      <c r="R136" t="str">
        <v>IT</v>
      </c>
      <c r="S136" t="str">
        <v>Software Engineer</v>
      </c>
      <c r="T136" t="str">
        <v>Female</v>
      </c>
      <c r="U136">
        <v>50</v>
      </c>
      <c r="V136">
        <v>43253</v>
      </c>
      <c r="W136" t="str">
        <v>Part-Time</v>
      </c>
      <c r="X136">
        <v>97812.4</v>
      </c>
      <c r="Y136">
        <v>5</v>
      </c>
      <c r="Z136">
        <v>90.55</v>
      </c>
      <c r="AA136">
        <v>7</v>
      </c>
      <c r="AB136">
        <v>20</v>
      </c>
      <c r="AC136">
        <v>52</v>
      </c>
      <c r="AD136" t="str">
        <v>Abigail Shaffer</v>
      </c>
      <c r="AE136" t="str">
        <v>Active</v>
      </c>
      <c r="AF136">
        <v>1173748.7999999998</v>
      </c>
    </row>
    <row r="137" spans="16:32" x14ac:dyDescent="0.25">
      <c r="P137" t="str">
        <v>EMP0134</v>
      </c>
      <c r="Q137" t="str">
        <v>Tamara Hampton</v>
      </c>
      <c r="R137" t="str">
        <v>HR</v>
      </c>
      <c r="S137" t="str">
        <v>Recruiter</v>
      </c>
      <c r="T137" t="str">
        <v>Male</v>
      </c>
      <c r="U137">
        <v>51</v>
      </c>
      <c r="V137">
        <v>43981</v>
      </c>
      <c r="W137" t="str">
        <v>Part-Time</v>
      </c>
      <c r="X137">
        <v>75454.070000000007</v>
      </c>
      <c r="Y137">
        <v>1</v>
      </c>
      <c r="Z137">
        <v>94.23</v>
      </c>
      <c r="AA137">
        <v>5</v>
      </c>
      <c r="AB137">
        <v>66</v>
      </c>
      <c r="AC137">
        <v>54</v>
      </c>
      <c r="AD137" t="str">
        <v>Daniel Wagner</v>
      </c>
      <c r="AE137" t="str">
        <v>Active</v>
      </c>
      <c r="AF137">
        <v>905448.84000000008</v>
      </c>
    </row>
    <row r="138" spans="16:32" x14ac:dyDescent="0.25">
      <c r="P138" t="str">
        <v>EMP0135</v>
      </c>
      <c r="Q138" t="str">
        <v>Nicholas Adams</v>
      </c>
      <c r="R138" t="str">
        <v>HR</v>
      </c>
      <c r="S138" t="str">
        <v>Recruiter</v>
      </c>
      <c r="T138" t="str">
        <v>Female</v>
      </c>
      <c r="U138">
        <v>53</v>
      </c>
      <c r="V138">
        <v>45191</v>
      </c>
      <c r="W138" t="str">
        <v>Full-Time</v>
      </c>
      <c r="X138">
        <v>103104.67</v>
      </c>
      <c r="Y138">
        <v>1</v>
      </c>
      <c r="Z138">
        <v>98.93</v>
      </c>
      <c r="AA138">
        <v>2</v>
      </c>
      <c r="AB138">
        <v>28</v>
      </c>
      <c r="AC138">
        <v>52</v>
      </c>
      <c r="AD138" t="str">
        <v>Dylan Miller</v>
      </c>
      <c r="AE138" t="str">
        <v>Resigned</v>
      </c>
      <c r="AF138">
        <v>1237256.04</v>
      </c>
    </row>
    <row r="139" spans="16:32" x14ac:dyDescent="0.25">
      <c r="P139" t="str">
        <v>EMP0136</v>
      </c>
      <c r="Q139" t="str">
        <v>Angelica Keith</v>
      </c>
      <c r="R139" t="str">
        <v>Sales</v>
      </c>
      <c r="S139" t="str">
        <v>Sales Manager</v>
      </c>
      <c r="T139" t="str">
        <v>Male</v>
      </c>
      <c r="U139">
        <v>46</v>
      </c>
      <c r="V139">
        <v>43828</v>
      </c>
      <c r="W139" t="str">
        <v>Contract</v>
      </c>
      <c r="X139">
        <v>57396.15</v>
      </c>
      <c r="Y139">
        <v>4</v>
      </c>
      <c r="Z139">
        <v>99.89</v>
      </c>
      <c r="AA139">
        <v>6</v>
      </c>
      <c r="AB139">
        <v>47</v>
      </c>
      <c r="AC139">
        <v>14</v>
      </c>
      <c r="AD139" t="str">
        <v>Allison Hill</v>
      </c>
      <c r="AE139" t="str">
        <v>Active</v>
      </c>
      <c r="AF139">
        <v>688753.8</v>
      </c>
    </row>
    <row r="140" spans="16:32" x14ac:dyDescent="0.25">
      <c r="P140" t="str">
        <v>EMP0137</v>
      </c>
      <c r="Q140" t="str">
        <v>Laura Barnett</v>
      </c>
      <c r="R140" t="str">
        <v>Marketing</v>
      </c>
      <c r="S140" t="str">
        <v>Content Specialist</v>
      </c>
      <c r="T140" t="str">
        <v>Female</v>
      </c>
      <c r="U140">
        <v>30</v>
      </c>
      <c r="V140">
        <v>43818</v>
      </c>
      <c r="W140" t="str">
        <v>Full-Time</v>
      </c>
      <c r="X140">
        <v>23830.32</v>
      </c>
      <c r="Y140">
        <v>4</v>
      </c>
      <c r="Z140">
        <v>93.92</v>
      </c>
      <c r="AA140">
        <v>6</v>
      </c>
      <c r="AB140">
        <v>17</v>
      </c>
      <c r="AC140">
        <v>48</v>
      </c>
      <c r="AD140" t="str">
        <v>Brian Ramirez</v>
      </c>
      <c r="AE140" t="str">
        <v>Active</v>
      </c>
      <c r="AF140">
        <v>285963.83999999997</v>
      </c>
    </row>
    <row r="141" spans="16:32" x14ac:dyDescent="0.25">
      <c r="P141" t="str">
        <v>EMP0138</v>
      </c>
      <c r="Q141" t="str">
        <v>Samuel White</v>
      </c>
      <c r="R141" t="str">
        <v>Sales</v>
      </c>
      <c r="S141" t="str">
        <v>Sales Rep</v>
      </c>
      <c r="T141" t="str">
        <v>Male</v>
      </c>
      <c r="U141">
        <v>37</v>
      </c>
      <c r="V141">
        <v>44393</v>
      </c>
      <c r="W141" t="str">
        <v>Full-Time</v>
      </c>
      <c r="X141">
        <v>103496.31</v>
      </c>
      <c r="Y141">
        <v>5</v>
      </c>
      <c r="Z141">
        <v>98.8</v>
      </c>
      <c r="AA141">
        <v>4</v>
      </c>
      <c r="AB141">
        <v>77</v>
      </c>
      <c r="AC141">
        <v>33</v>
      </c>
      <c r="AD141" t="str">
        <v>Michele Williams</v>
      </c>
      <c r="AE141" t="str">
        <v>Active</v>
      </c>
      <c r="AF141">
        <v>1241955.72</v>
      </c>
    </row>
    <row r="142" spans="16:32" x14ac:dyDescent="0.25">
      <c r="P142" t="str">
        <v>EMP0139</v>
      </c>
      <c r="Q142" t="str">
        <v>David Ramirez</v>
      </c>
      <c r="R142" t="str">
        <v>Finance</v>
      </c>
      <c r="S142" t="str">
        <v>Accountant</v>
      </c>
      <c r="T142" t="str">
        <v>Female</v>
      </c>
      <c r="U142">
        <v>28</v>
      </c>
      <c r="V142">
        <v>43621</v>
      </c>
      <c r="W142" t="str">
        <v>Full-Time</v>
      </c>
      <c r="X142">
        <v>43843.95</v>
      </c>
      <c r="Y142">
        <v>5</v>
      </c>
      <c r="Z142">
        <v>89.14</v>
      </c>
      <c r="AA142">
        <v>6</v>
      </c>
      <c r="AB142">
        <v>14</v>
      </c>
      <c r="AC142">
        <v>53</v>
      </c>
      <c r="AD142" t="str">
        <v>Brian Ramirez</v>
      </c>
      <c r="AE142" t="str">
        <v>Active</v>
      </c>
      <c r="AF142">
        <v>526127.39999999991</v>
      </c>
    </row>
    <row r="143" spans="16:32" x14ac:dyDescent="0.25">
      <c r="P143" t="str">
        <v>EMP0140</v>
      </c>
      <c r="Q143" t="str">
        <v>Kellie Lee</v>
      </c>
      <c r="R143" t="str">
        <v>Sales</v>
      </c>
      <c r="S143" t="str">
        <v>Account Executive</v>
      </c>
      <c r="T143" t="str">
        <v>Male</v>
      </c>
      <c r="U143">
        <v>30</v>
      </c>
      <c r="V143">
        <v>44019</v>
      </c>
      <c r="W143" t="str">
        <v>Part-Time</v>
      </c>
      <c r="X143">
        <v>62923.89</v>
      </c>
      <c r="Y143">
        <v>5</v>
      </c>
      <c r="Z143">
        <v>87.06</v>
      </c>
      <c r="AA143">
        <v>5</v>
      </c>
      <c r="AB143">
        <v>73</v>
      </c>
      <c r="AC143">
        <v>26</v>
      </c>
      <c r="AD143" t="str">
        <v>Connie Lawrence</v>
      </c>
      <c r="AE143" t="str">
        <v>Active</v>
      </c>
      <c r="AF143">
        <v>755086.67999999993</v>
      </c>
    </row>
    <row r="144" spans="16:32" x14ac:dyDescent="0.25">
      <c r="P144" t="str">
        <v>EMP0141</v>
      </c>
      <c r="Q144" t="str">
        <v>Katherine Chang</v>
      </c>
      <c r="R144" t="str">
        <v>Marketing</v>
      </c>
      <c r="S144" t="str">
        <v>Content Specialist</v>
      </c>
      <c r="T144" t="str">
        <v>Female</v>
      </c>
      <c r="U144">
        <v>25</v>
      </c>
      <c r="V144">
        <v>43802</v>
      </c>
      <c r="W144" t="str">
        <v>Contract</v>
      </c>
      <c r="X144">
        <v>74408.2</v>
      </c>
      <c r="Y144">
        <v>5</v>
      </c>
      <c r="Z144">
        <v>91.08</v>
      </c>
      <c r="AA144">
        <v>6</v>
      </c>
      <c r="AB144">
        <v>49</v>
      </c>
      <c r="AC144">
        <v>55</v>
      </c>
      <c r="AD144" t="str">
        <v>Brian Ramirez</v>
      </c>
      <c r="AE144" t="str">
        <v>Active</v>
      </c>
      <c r="AF144">
        <v>892898.39999999991</v>
      </c>
    </row>
    <row r="145" spans="16:32" x14ac:dyDescent="0.25">
      <c r="P145" t="str">
        <v>EMP0142</v>
      </c>
      <c r="Q145" t="str">
        <v>Katherine Mcguire</v>
      </c>
      <c r="R145" t="str">
        <v>Customer Support</v>
      </c>
      <c r="S145" t="str">
        <v>Team Lead</v>
      </c>
      <c r="T145" t="str">
        <v>Female</v>
      </c>
      <c r="U145">
        <v>22</v>
      </c>
      <c r="V145">
        <v>45261</v>
      </c>
      <c r="W145" t="str">
        <v>Part-Time</v>
      </c>
      <c r="X145">
        <v>98852</v>
      </c>
      <c r="Y145">
        <v>3</v>
      </c>
      <c r="Z145">
        <v>84.82</v>
      </c>
      <c r="AA145">
        <v>2</v>
      </c>
      <c r="AB145">
        <v>80</v>
      </c>
      <c r="AC145">
        <v>6</v>
      </c>
      <c r="AD145" t="str">
        <v>Lisa Jackson</v>
      </c>
      <c r="AE145" t="str">
        <v>Active</v>
      </c>
      <c r="AF145">
        <v>1186224</v>
      </c>
    </row>
    <row r="146" spans="16:32" x14ac:dyDescent="0.25">
      <c r="P146" t="str">
        <v>EMP0143</v>
      </c>
      <c r="Q146" t="str">
        <v>Jared Sanchez</v>
      </c>
      <c r="R146" t="str">
        <v>Operations</v>
      </c>
      <c r="S146" t="str">
        <v>Operations Associate</v>
      </c>
      <c r="T146" t="str">
        <v>Male</v>
      </c>
      <c r="U146">
        <v>43</v>
      </c>
      <c r="V146">
        <v>42881</v>
      </c>
      <c r="W146" t="str">
        <v>Contract</v>
      </c>
      <c r="X146">
        <v>53854.73</v>
      </c>
      <c r="Y146">
        <v>2</v>
      </c>
      <c r="Z146">
        <v>96.61</v>
      </c>
      <c r="AA146">
        <v>8</v>
      </c>
      <c r="AB146">
        <v>59</v>
      </c>
      <c r="AC146">
        <v>44</v>
      </c>
      <c r="AD146" t="str">
        <v>Brian Ramirez</v>
      </c>
      <c r="AE146" t="str">
        <v>Active</v>
      </c>
      <c r="AF146">
        <v>646256.76</v>
      </c>
    </row>
    <row r="147" spans="16:32" x14ac:dyDescent="0.25">
      <c r="P147" t="str">
        <v>EMP0144</v>
      </c>
      <c r="Q147" t="str">
        <v>Juan Cooper</v>
      </c>
      <c r="R147" t="str">
        <v>HR</v>
      </c>
      <c r="S147" t="str">
        <v>HR Officer</v>
      </c>
      <c r="T147" t="str">
        <v>Female</v>
      </c>
      <c r="U147">
        <v>23</v>
      </c>
      <c r="V147">
        <v>45916</v>
      </c>
      <c r="W147" t="str">
        <v>Part-Time</v>
      </c>
      <c r="X147">
        <v>40159.1</v>
      </c>
      <c r="Y147">
        <v>2</v>
      </c>
      <c r="Z147">
        <v>97.72</v>
      </c>
      <c r="AA147">
        <v>0</v>
      </c>
      <c r="AB147">
        <v>40</v>
      </c>
      <c r="AC147">
        <v>59</v>
      </c>
      <c r="AD147" t="str">
        <v>Ryan Munoz</v>
      </c>
      <c r="AE147" t="str">
        <v>Active</v>
      </c>
      <c r="AF147">
        <v>481909.19999999995</v>
      </c>
    </row>
    <row r="148" spans="16:32" x14ac:dyDescent="0.25">
      <c r="P148" t="str">
        <v>EMP0145</v>
      </c>
      <c r="Q148" t="str">
        <v>Michael Nelson</v>
      </c>
      <c r="R148" t="str">
        <v>R&amp;D</v>
      </c>
      <c r="S148" t="str">
        <v>Product Developer</v>
      </c>
      <c r="T148" t="str">
        <v>Male</v>
      </c>
      <c r="U148">
        <v>33</v>
      </c>
      <c r="V148">
        <v>45722</v>
      </c>
      <c r="W148" t="str">
        <v>Part-Time</v>
      </c>
      <c r="X148">
        <v>55697.42</v>
      </c>
      <c r="Y148">
        <v>1</v>
      </c>
      <c r="Z148">
        <v>97.32</v>
      </c>
      <c r="AA148">
        <v>0</v>
      </c>
      <c r="AB148">
        <v>42</v>
      </c>
      <c r="AC148">
        <v>17</v>
      </c>
      <c r="AD148" t="str">
        <v>Daniel Wagner</v>
      </c>
      <c r="AE148" t="str">
        <v>Active</v>
      </c>
      <c r="AF148">
        <v>668369.04</v>
      </c>
    </row>
    <row r="149" spans="16:32" x14ac:dyDescent="0.25">
      <c r="P149" t="str">
        <v>EMP0146</v>
      </c>
      <c r="Q149" t="str">
        <v>Nathan Stewart</v>
      </c>
      <c r="R149" t="str">
        <v>Customer Support</v>
      </c>
      <c r="S149" t="str">
        <v>Team Lead</v>
      </c>
      <c r="T149" t="str">
        <v>Female</v>
      </c>
      <c r="U149">
        <v>45</v>
      </c>
      <c r="V149">
        <v>43865</v>
      </c>
      <c r="W149" t="str">
        <v>Part-Time</v>
      </c>
      <c r="X149">
        <v>117372.36</v>
      </c>
      <c r="Y149">
        <v>4</v>
      </c>
      <c r="Z149">
        <v>93.84</v>
      </c>
      <c r="AA149">
        <v>5</v>
      </c>
      <c r="AB149">
        <v>47</v>
      </c>
      <c r="AC149">
        <v>59</v>
      </c>
      <c r="AD149" t="str">
        <v>Holly Wood</v>
      </c>
      <c r="AE149" t="str">
        <v>Active</v>
      </c>
      <c r="AF149">
        <v>1408468.32</v>
      </c>
    </row>
    <row r="150" spans="16:32" x14ac:dyDescent="0.25">
      <c r="P150" t="str">
        <v>EMP0147</v>
      </c>
      <c r="Q150" t="str">
        <v>Melissa Lee</v>
      </c>
      <c r="R150" t="str">
        <v>Marketing</v>
      </c>
      <c r="S150" t="str">
        <v>Content Specialist</v>
      </c>
      <c r="T150" t="str">
        <v>Female</v>
      </c>
      <c r="U150">
        <v>26</v>
      </c>
      <c r="V150">
        <v>45632</v>
      </c>
      <c r="W150" t="str">
        <v>Part-Time</v>
      </c>
      <c r="X150">
        <v>80245.33</v>
      </c>
      <c r="Y150">
        <v>2</v>
      </c>
      <c r="Z150">
        <v>90.91</v>
      </c>
      <c r="AA150">
        <v>1</v>
      </c>
      <c r="AB150">
        <v>41</v>
      </c>
      <c r="AC150">
        <v>6</v>
      </c>
      <c r="AD150" t="str">
        <v>Angie Henderson</v>
      </c>
      <c r="AE150" t="str">
        <v>Active</v>
      </c>
      <c r="AF150">
        <v>962943.96</v>
      </c>
    </row>
    <row r="151" spans="16:32" x14ac:dyDescent="0.25">
      <c r="P151" t="str">
        <v>EMP0148</v>
      </c>
      <c r="Q151" t="str">
        <v>Kevin Wolf</v>
      </c>
      <c r="R151" t="str">
        <v>Finance</v>
      </c>
      <c r="S151" t="str">
        <v>Financial Analyst</v>
      </c>
      <c r="T151" t="str">
        <v>Female</v>
      </c>
      <c r="U151">
        <v>59</v>
      </c>
      <c r="V151">
        <v>45311</v>
      </c>
      <c r="W151" t="str">
        <v>Contract</v>
      </c>
      <c r="X151">
        <v>62611.61</v>
      </c>
      <c r="Y151">
        <v>4</v>
      </c>
      <c r="Z151">
        <v>87.03</v>
      </c>
      <c r="AA151">
        <v>1</v>
      </c>
      <c r="AB151">
        <v>5</v>
      </c>
      <c r="AC151">
        <v>46</v>
      </c>
      <c r="AD151" t="str">
        <v>Jamie Arnold</v>
      </c>
      <c r="AE151" t="str">
        <v>Active</v>
      </c>
      <c r="AF151">
        <v>751339.32000000007</v>
      </c>
    </row>
    <row r="152" spans="16:32" x14ac:dyDescent="0.25">
      <c r="P152" t="str">
        <v>EMP0149</v>
      </c>
      <c r="Q152" t="str">
        <v>Dr. Elizabeth Ward</v>
      </c>
      <c r="R152" t="str">
        <v>Customer Support</v>
      </c>
      <c r="S152" t="str">
        <v>Team Lead</v>
      </c>
      <c r="T152" t="str">
        <v>Male</v>
      </c>
      <c r="U152">
        <v>25</v>
      </c>
      <c r="V152">
        <v>44061</v>
      </c>
      <c r="W152" t="str">
        <v>Contract</v>
      </c>
      <c r="X152">
        <v>83751.25</v>
      </c>
      <c r="Y152">
        <v>3</v>
      </c>
      <c r="Z152">
        <v>90.26</v>
      </c>
      <c r="AA152">
        <v>5</v>
      </c>
      <c r="AB152">
        <v>20</v>
      </c>
      <c r="AC152">
        <v>60</v>
      </c>
      <c r="AD152" t="str">
        <v>Allison Hill</v>
      </c>
      <c r="AE152" t="str">
        <v>Active</v>
      </c>
      <c r="AF152">
        <v>1005015</v>
      </c>
    </row>
    <row r="153" spans="16:32" x14ac:dyDescent="0.25">
      <c r="P153" t="str">
        <v>EMP0150</v>
      </c>
      <c r="Q153" t="str">
        <v>Joseph Hill</v>
      </c>
      <c r="R153" t="str">
        <v>R&amp;D</v>
      </c>
      <c r="S153" t="str">
        <v>Researcher</v>
      </c>
      <c r="T153" t="str">
        <v>Male</v>
      </c>
      <c r="U153">
        <v>25</v>
      </c>
      <c r="V153">
        <v>44181</v>
      </c>
      <c r="W153" t="str">
        <v>Full-Time</v>
      </c>
      <c r="X153">
        <v>97851.54</v>
      </c>
      <c r="Y153">
        <v>3</v>
      </c>
      <c r="Z153">
        <v>87.24</v>
      </c>
      <c r="AA153">
        <v>5</v>
      </c>
      <c r="AB153">
        <v>72</v>
      </c>
      <c r="AC153">
        <v>2</v>
      </c>
      <c r="AD153" t="str">
        <v>Carla Gray</v>
      </c>
      <c r="AE153" t="str">
        <v>Active</v>
      </c>
      <c r="AF153">
        <v>1174218.48</v>
      </c>
    </row>
    <row r="154" spans="16:32" x14ac:dyDescent="0.25">
      <c r="P154" t="str">
        <v>EMP0151</v>
      </c>
      <c r="Q154" t="str">
        <v>Melissa Martinez</v>
      </c>
      <c r="R154" t="str">
        <v>R&amp;D</v>
      </c>
      <c r="S154" t="str">
        <v>Product Developer</v>
      </c>
      <c r="T154" t="str">
        <v>Female</v>
      </c>
      <c r="U154">
        <v>49</v>
      </c>
      <c r="V154">
        <v>42641</v>
      </c>
      <c r="W154" t="str">
        <v>Full-Time</v>
      </c>
      <c r="X154">
        <v>77392.179999999993</v>
      </c>
      <c r="Y154">
        <v>5</v>
      </c>
      <c r="Z154">
        <v>87.34</v>
      </c>
      <c r="AA154">
        <v>9</v>
      </c>
      <c r="AB154">
        <v>40</v>
      </c>
      <c r="AC154">
        <v>41</v>
      </c>
      <c r="AD154" t="str">
        <v>Gabrielle Davis</v>
      </c>
      <c r="AE154" t="str">
        <v>Active</v>
      </c>
      <c r="AF154">
        <v>928706.15999999992</v>
      </c>
    </row>
    <row r="155" spans="16:32" x14ac:dyDescent="0.25">
      <c r="P155" t="str">
        <v>EMP0152</v>
      </c>
      <c r="Q155" t="str">
        <v>Adam Mitchell</v>
      </c>
      <c r="R155" t="str">
        <v>Marketing</v>
      </c>
      <c r="S155" t="str">
        <v>Marketing Analyst</v>
      </c>
      <c r="T155" t="str">
        <v>Male</v>
      </c>
      <c r="U155">
        <v>52</v>
      </c>
      <c r="V155">
        <v>45353</v>
      </c>
      <c r="W155" t="str">
        <v>Contract</v>
      </c>
      <c r="X155">
        <v>58698.74</v>
      </c>
      <c r="Y155">
        <v>5</v>
      </c>
      <c r="Z155">
        <v>82.36</v>
      </c>
      <c r="AA155">
        <v>1</v>
      </c>
      <c r="AB155">
        <v>33</v>
      </c>
      <c r="AC155">
        <v>45</v>
      </c>
      <c r="AD155" t="str">
        <v>Dylan Miller</v>
      </c>
      <c r="AE155" t="str">
        <v>Active</v>
      </c>
      <c r="AF155">
        <v>704384.88</v>
      </c>
    </row>
    <row r="156" spans="16:32" x14ac:dyDescent="0.25">
      <c r="P156" t="str">
        <v>EMP0153</v>
      </c>
      <c r="Q156" t="str">
        <v>Cody Williams</v>
      </c>
      <c r="R156" t="str">
        <v>Finance</v>
      </c>
      <c r="S156" t="str">
        <v>Finance Manager</v>
      </c>
      <c r="T156" t="str">
        <v>Female</v>
      </c>
      <c r="U156">
        <v>33</v>
      </c>
      <c r="V156">
        <v>45277</v>
      </c>
      <c r="W156" t="str">
        <v>Full-Time</v>
      </c>
      <c r="X156">
        <v>33572.839999999997</v>
      </c>
      <c r="Y156">
        <v>1</v>
      </c>
      <c r="Z156">
        <v>89.04</v>
      </c>
      <c r="AA156">
        <v>2</v>
      </c>
      <c r="AB156">
        <v>56</v>
      </c>
      <c r="AC156">
        <v>5</v>
      </c>
      <c r="AD156" t="str">
        <v>Monica Herrera</v>
      </c>
      <c r="AE156" t="str">
        <v>Active</v>
      </c>
      <c r="AF156">
        <v>402874.07999999996</v>
      </c>
    </row>
    <row r="157" spans="16:32" x14ac:dyDescent="0.25">
      <c r="P157" t="str">
        <v>EMP0154</v>
      </c>
      <c r="Q157" t="str">
        <v>Austin Vasquez</v>
      </c>
      <c r="R157" t="str">
        <v>Marketing</v>
      </c>
      <c r="S157" t="str">
        <v>Content Specialist</v>
      </c>
      <c r="T157" t="str">
        <v>Female</v>
      </c>
      <c r="U157">
        <v>40</v>
      </c>
      <c r="V157">
        <v>45271</v>
      </c>
      <c r="W157" t="str">
        <v>Full-Time</v>
      </c>
      <c r="X157">
        <v>91180.91</v>
      </c>
      <c r="Y157">
        <v>2</v>
      </c>
      <c r="Z157">
        <v>95.87</v>
      </c>
      <c r="AA157">
        <v>2</v>
      </c>
      <c r="AB157">
        <v>65</v>
      </c>
      <c r="AC157">
        <v>14</v>
      </c>
      <c r="AD157" t="str">
        <v>Daniel Wagner</v>
      </c>
      <c r="AE157" t="str">
        <v>Resigned</v>
      </c>
      <c r="AF157">
        <v>1094170.92</v>
      </c>
    </row>
    <row r="158" spans="16:32" x14ac:dyDescent="0.25">
      <c r="P158" t="str">
        <v>EMP0155</v>
      </c>
      <c r="Q158" t="str">
        <v>Amy Hernandez</v>
      </c>
      <c r="R158" t="str">
        <v>HR</v>
      </c>
      <c r="S158" t="str">
        <v>HR Officer</v>
      </c>
      <c r="T158" t="str">
        <v>Female</v>
      </c>
      <c r="U158">
        <v>22</v>
      </c>
      <c r="V158">
        <v>45888</v>
      </c>
      <c r="W158" t="str">
        <v>Part-Time</v>
      </c>
      <c r="X158">
        <v>75402.14</v>
      </c>
      <c r="Y158">
        <v>3</v>
      </c>
      <c r="Z158">
        <v>89.35</v>
      </c>
      <c r="AA158">
        <v>0</v>
      </c>
      <c r="AB158">
        <v>70</v>
      </c>
      <c r="AC158">
        <v>8</v>
      </c>
      <c r="AD158" t="str">
        <v>Carla Gray</v>
      </c>
      <c r="AE158" t="str">
        <v>Resigned</v>
      </c>
      <c r="AF158">
        <v>904825.67999999993</v>
      </c>
    </row>
    <row r="159" spans="16:32" x14ac:dyDescent="0.25">
      <c r="P159" t="str">
        <v>EMP0156</v>
      </c>
      <c r="Q159" t="str">
        <v>Angela Wright</v>
      </c>
      <c r="R159" t="str">
        <v>Marketing</v>
      </c>
      <c r="S159" t="str">
        <v>Brand Manager</v>
      </c>
      <c r="T159" t="str">
        <v>Female</v>
      </c>
      <c r="U159">
        <v>51</v>
      </c>
      <c r="V159">
        <v>45800</v>
      </c>
      <c r="W159" t="str">
        <v>Contract</v>
      </c>
      <c r="X159">
        <v>61079.51</v>
      </c>
      <c r="Y159">
        <v>4</v>
      </c>
      <c r="Z159">
        <v>96.47</v>
      </c>
      <c r="AA159">
        <v>0</v>
      </c>
      <c r="AB159">
        <v>9</v>
      </c>
      <c r="AC159">
        <v>8</v>
      </c>
      <c r="AD159" t="str">
        <v>Monica Herrera</v>
      </c>
      <c r="AE159" t="str">
        <v>Active</v>
      </c>
      <c r="AF159">
        <v>732954.12</v>
      </c>
    </row>
    <row r="160" spans="16:32" x14ac:dyDescent="0.25">
      <c r="P160" t="str">
        <v>EMP0157</v>
      </c>
      <c r="Q160" t="str">
        <v>Lisa Gibbs</v>
      </c>
      <c r="R160" t="str">
        <v>R&amp;D</v>
      </c>
      <c r="S160" t="str">
        <v>Product Developer</v>
      </c>
      <c r="T160" t="str">
        <v>Female</v>
      </c>
      <c r="U160">
        <v>29</v>
      </c>
      <c r="V160">
        <v>45770</v>
      </c>
      <c r="W160" t="str">
        <v>Contract</v>
      </c>
      <c r="X160">
        <v>83979.39</v>
      </c>
      <c r="Y160">
        <v>2</v>
      </c>
      <c r="Z160">
        <v>95.36</v>
      </c>
      <c r="AA160">
        <v>0</v>
      </c>
      <c r="AB160">
        <v>16</v>
      </c>
      <c r="AC160">
        <v>27</v>
      </c>
      <c r="AD160" t="str">
        <v>Holly Wood</v>
      </c>
      <c r="AE160" t="str">
        <v>Resigned</v>
      </c>
      <c r="AF160">
        <v>1007752.6799999999</v>
      </c>
    </row>
    <row r="161" spans="16:32" x14ac:dyDescent="0.25">
      <c r="P161" t="str">
        <v>EMP0158</v>
      </c>
      <c r="Q161" t="str">
        <v>Jamie Kerr</v>
      </c>
      <c r="R161" t="str">
        <v>Sales</v>
      </c>
      <c r="S161" t="str">
        <v>Sales Rep</v>
      </c>
      <c r="T161" t="str">
        <v>Male</v>
      </c>
      <c r="U161">
        <v>40</v>
      </c>
      <c r="V161">
        <v>43705</v>
      </c>
      <c r="W161" t="str">
        <v>Full-Time</v>
      </c>
      <c r="X161">
        <v>36196.699999999997</v>
      </c>
      <c r="Y161">
        <v>2</v>
      </c>
      <c r="Z161">
        <v>86.92</v>
      </c>
      <c r="AA161">
        <v>6</v>
      </c>
      <c r="AB161">
        <v>66</v>
      </c>
      <c r="AC161">
        <v>57</v>
      </c>
      <c r="AD161" t="str">
        <v>Ryan Munoz</v>
      </c>
      <c r="AE161" t="str">
        <v>Active</v>
      </c>
      <c r="AF161">
        <v>434360.39999999997</v>
      </c>
    </row>
    <row r="162" spans="16:32" x14ac:dyDescent="0.25">
      <c r="P162" t="str">
        <v>EMP0159</v>
      </c>
      <c r="Q162" t="str">
        <v>Wanda Torres</v>
      </c>
      <c r="R162" t="str">
        <v>Finance</v>
      </c>
      <c r="S162" t="str">
        <v>Accountant</v>
      </c>
      <c r="T162" t="str">
        <v>Female</v>
      </c>
      <c r="U162">
        <v>29</v>
      </c>
      <c r="V162">
        <v>44150</v>
      </c>
      <c r="W162" t="str">
        <v>Contract</v>
      </c>
      <c r="X162">
        <v>50282.46</v>
      </c>
      <c r="Y162">
        <v>5</v>
      </c>
      <c r="Z162">
        <v>81.87</v>
      </c>
      <c r="AA162">
        <v>5</v>
      </c>
      <c r="AB162">
        <v>21</v>
      </c>
      <c r="AC162">
        <v>37</v>
      </c>
      <c r="AD162" t="str">
        <v>Lisa Jackson</v>
      </c>
      <c r="AE162" t="str">
        <v>Active</v>
      </c>
      <c r="AF162">
        <v>603389.52</v>
      </c>
    </row>
    <row r="163" spans="16:32" x14ac:dyDescent="0.25">
      <c r="P163" t="str">
        <v>EMP0160</v>
      </c>
      <c r="Q163" t="str">
        <v>Natalie Meza</v>
      </c>
      <c r="R163" t="str">
        <v>Operations</v>
      </c>
      <c r="S163" t="str">
        <v>Operations Associate</v>
      </c>
      <c r="T163" t="str">
        <v>Male</v>
      </c>
      <c r="U163">
        <v>26</v>
      </c>
      <c r="V163">
        <v>42677</v>
      </c>
      <c r="W163" t="str">
        <v>Full-Time</v>
      </c>
      <c r="X163">
        <v>114854.69</v>
      </c>
      <c r="Y163">
        <v>5</v>
      </c>
      <c r="Z163">
        <v>85.29</v>
      </c>
      <c r="AA163">
        <v>9</v>
      </c>
      <c r="AB163">
        <v>26</v>
      </c>
      <c r="AC163">
        <v>49</v>
      </c>
      <c r="AD163" t="str">
        <v>Lisa Jackson</v>
      </c>
      <c r="AE163" t="str">
        <v>Active</v>
      </c>
      <c r="AF163">
        <v>1378256.28</v>
      </c>
    </row>
    <row r="164" spans="16:32" x14ac:dyDescent="0.25">
      <c r="P164" t="str">
        <v>EMP0161</v>
      </c>
      <c r="Q164" t="str">
        <v>Deborah Miller</v>
      </c>
      <c r="R164" t="str">
        <v>Sales</v>
      </c>
      <c r="S164" t="str">
        <v>Sales Manager</v>
      </c>
      <c r="T164" t="str">
        <v>Female</v>
      </c>
      <c r="U164">
        <v>40</v>
      </c>
      <c r="V164">
        <v>43594</v>
      </c>
      <c r="W164" t="str">
        <v>Part-Time</v>
      </c>
      <c r="X164">
        <v>44487.79</v>
      </c>
      <c r="Y164">
        <v>4</v>
      </c>
      <c r="Z164">
        <v>85.95</v>
      </c>
      <c r="AA164">
        <v>6</v>
      </c>
      <c r="AB164">
        <v>9</v>
      </c>
      <c r="AC164">
        <v>44</v>
      </c>
      <c r="AD164" t="str">
        <v>Noah Rhodes</v>
      </c>
      <c r="AE164" t="str">
        <v>Active</v>
      </c>
      <c r="AF164">
        <v>533853.48</v>
      </c>
    </row>
    <row r="165" spans="16:32" x14ac:dyDescent="0.25">
      <c r="P165" t="str">
        <v>EMP0162</v>
      </c>
      <c r="Q165" t="str">
        <v>Benjamin Smith</v>
      </c>
      <c r="R165" t="str">
        <v>Customer Support</v>
      </c>
      <c r="S165" t="str">
        <v>Team Lead</v>
      </c>
      <c r="T165" t="str">
        <v>Female</v>
      </c>
      <c r="U165">
        <v>34</v>
      </c>
      <c r="V165">
        <v>43793</v>
      </c>
      <c r="W165" t="str">
        <v>Part-Time</v>
      </c>
      <c r="X165">
        <v>80666.03</v>
      </c>
      <c r="Y165">
        <v>3</v>
      </c>
      <c r="Z165">
        <v>97.23</v>
      </c>
      <c r="AA165">
        <v>6</v>
      </c>
      <c r="AB165">
        <v>40</v>
      </c>
      <c r="AC165">
        <v>46</v>
      </c>
      <c r="AD165" t="str">
        <v>Jamie Arnold</v>
      </c>
      <c r="AE165" t="str">
        <v>Resigned</v>
      </c>
      <c r="AF165">
        <v>967992.36</v>
      </c>
    </row>
    <row r="166" spans="16:32" x14ac:dyDescent="0.25">
      <c r="P166" t="str">
        <v>EMP0163</v>
      </c>
      <c r="Q166" t="str">
        <v>Julie Johnson</v>
      </c>
      <c r="R166" t="str">
        <v>HR</v>
      </c>
      <c r="S166" t="str">
        <v>Recruiter</v>
      </c>
      <c r="T166" t="str">
        <v>Male</v>
      </c>
      <c r="U166">
        <v>41</v>
      </c>
      <c r="V166">
        <v>45102</v>
      </c>
      <c r="W166" t="str">
        <v>Full-Time</v>
      </c>
      <c r="X166">
        <v>66647.259999999995</v>
      </c>
      <c r="Y166">
        <v>3</v>
      </c>
      <c r="Z166">
        <v>88.99</v>
      </c>
      <c r="AA166">
        <v>2</v>
      </c>
      <c r="AB166">
        <v>18</v>
      </c>
      <c r="AC166">
        <v>6</v>
      </c>
      <c r="AD166" t="str">
        <v>Noah Rhodes</v>
      </c>
      <c r="AE166" t="str">
        <v>Active</v>
      </c>
      <c r="AF166">
        <v>799767.11999999988</v>
      </c>
    </row>
    <row r="167" spans="16:32" x14ac:dyDescent="0.25">
      <c r="P167" t="str">
        <v>EMP0164</v>
      </c>
      <c r="Q167" t="str">
        <v>Michele Gibson</v>
      </c>
      <c r="R167" t="str">
        <v>Customer Support</v>
      </c>
      <c r="S167" t="str">
        <v>Team Lead</v>
      </c>
      <c r="T167" t="str">
        <v>Male</v>
      </c>
      <c r="U167">
        <v>31</v>
      </c>
      <c r="V167">
        <v>44093</v>
      </c>
      <c r="W167" t="str">
        <v>Part-Time</v>
      </c>
      <c r="X167">
        <v>113375.15</v>
      </c>
      <c r="Y167">
        <v>3</v>
      </c>
      <c r="Z167">
        <v>83.8</v>
      </c>
      <c r="AA167">
        <v>5</v>
      </c>
      <c r="AB167">
        <v>20</v>
      </c>
      <c r="AC167">
        <v>31</v>
      </c>
      <c r="AD167" t="str">
        <v>Holly Wood</v>
      </c>
      <c r="AE167" t="str">
        <v>Active</v>
      </c>
      <c r="AF167">
        <v>1360501.7999999998</v>
      </c>
    </row>
    <row r="168" spans="16:32" x14ac:dyDescent="0.25">
      <c r="P168" t="str">
        <v>EMP0165</v>
      </c>
      <c r="Q168" t="str">
        <v>Rachel Weber</v>
      </c>
      <c r="R168" t="str">
        <v>Finance</v>
      </c>
      <c r="S168" t="str">
        <v>Financial Analyst</v>
      </c>
      <c r="T168" t="str">
        <v>Male</v>
      </c>
      <c r="U168">
        <v>26</v>
      </c>
      <c r="V168">
        <v>43753</v>
      </c>
      <c r="W168" t="str">
        <v>Part-Time</v>
      </c>
      <c r="X168">
        <v>70544.45</v>
      </c>
      <c r="Y168">
        <v>2</v>
      </c>
      <c r="Z168">
        <v>84.3</v>
      </c>
      <c r="AA168">
        <v>6</v>
      </c>
      <c r="AB168">
        <v>45</v>
      </c>
      <c r="AC168">
        <v>3</v>
      </c>
      <c r="AD168" t="str">
        <v>Noah Rhodes</v>
      </c>
      <c r="AE168" t="str">
        <v>Active</v>
      </c>
      <c r="AF168">
        <v>846533.39999999991</v>
      </c>
    </row>
    <row r="169" spans="16:32" x14ac:dyDescent="0.25">
      <c r="P169" t="str">
        <v>EMP0166</v>
      </c>
      <c r="Q169" t="str">
        <v>Joshua Holland</v>
      </c>
      <c r="R169" t="str">
        <v>R&amp;D</v>
      </c>
      <c r="S169" t="str">
        <v>Product Developer</v>
      </c>
      <c r="T169" t="str">
        <v>Male</v>
      </c>
      <c r="U169">
        <v>27</v>
      </c>
      <c r="V169">
        <v>43532</v>
      </c>
      <c r="W169" t="str">
        <v>Part-Time</v>
      </c>
      <c r="X169">
        <v>33393.49</v>
      </c>
      <c r="Y169">
        <v>3</v>
      </c>
      <c r="Z169">
        <v>94.55</v>
      </c>
      <c r="AA169">
        <v>6</v>
      </c>
      <c r="AB169">
        <v>51</v>
      </c>
      <c r="AC169">
        <v>23</v>
      </c>
      <c r="AD169" t="str">
        <v>Noah Rhodes</v>
      </c>
      <c r="AE169" t="str">
        <v>Active</v>
      </c>
      <c r="AF169">
        <v>400721.88</v>
      </c>
    </row>
    <row r="170" spans="16:32" x14ac:dyDescent="0.25">
      <c r="P170" t="str">
        <v>EMP0167</v>
      </c>
      <c r="Q170" t="str">
        <v>Andrea Martin</v>
      </c>
      <c r="R170" t="str">
        <v>IT</v>
      </c>
      <c r="S170" t="str">
        <v>Software Engineer</v>
      </c>
      <c r="T170" t="str">
        <v>Female</v>
      </c>
      <c r="U170">
        <v>25</v>
      </c>
      <c r="V170">
        <v>43953</v>
      </c>
      <c r="W170" t="str">
        <v>Part-Time</v>
      </c>
      <c r="X170">
        <v>70425.55</v>
      </c>
      <c r="Y170">
        <v>5</v>
      </c>
      <c r="Z170">
        <v>85.59</v>
      </c>
      <c r="AA170">
        <v>5</v>
      </c>
      <c r="AB170">
        <v>79</v>
      </c>
      <c r="AC170">
        <v>43</v>
      </c>
      <c r="AD170" t="str">
        <v>Carla Gray</v>
      </c>
      <c r="AE170" t="str">
        <v>Active</v>
      </c>
      <c r="AF170">
        <v>845106.60000000009</v>
      </c>
    </row>
    <row r="171" spans="16:32" x14ac:dyDescent="0.25">
      <c r="P171" t="str">
        <v>EMP0168</v>
      </c>
      <c r="Q171" t="str">
        <v>Samantha Morse</v>
      </c>
      <c r="R171" t="str">
        <v>Marketing</v>
      </c>
      <c r="S171" t="str">
        <v>Brand Manager</v>
      </c>
      <c r="T171" t="str">
        <v>Female</v>
      </c>
      <c r="U171">
        <v>42</v>
      </c>
      <c r="V171">
        <v>44214</v>
      </c>
      <c r="W171" t="str">
        <v>Contract</v>
      </c>
      <c r="X171">
        <v>113894.86</v>
      </c>
      <c r="Y171">
        <v>2</v>
      </c>
      <c r="Z171">
        <v>83.98</v>
      </c>
      <c r="AA171">
        <v>4</v>
      </c>
      <c r="AB171">
        <v>65</v>
      </c>
      <c r="AC171">
        <v>25</v>
      </c>
      <c r="AD171" t="str">
        <v>Holly Wood</v>
      </c>
      <c r="AE171" t="str">
        <v>Active</v>
      </c>
      <c r="AF171">
        <v>1366738.32</v>
      </c>
    </row>
    <row r="172" spans="16:32" x14ac:dyDescent="0.25">
      <c r="P172" t="str">
        <v>EMP0169</v>
      </c>
      <c r="Q172" t="str">
        <v>Michael Lyons</v>
      </c>
      <c r="R172" t="str">
        <v>Sales</v>
      </c>
      <c r="S172" t="str">
        <v>Sales Rep</v>
      </c>
      <c r="T172" t="str">
        <v>Female</v>
      </c>
      <c r="U172">
        <v>51</v>
      </c>
      <c r="V172">
        <v>45031</v>
      </c>
      <c r="W172" t="str">
        <v>Contract</v>
      </c>
      <c r="X172">
        <v>65698.86</v>
      </c>
      <c r="Y172">
        <v>5</v>
      </c>
      <c r="Z172">
        <v>97.86</v>
      </c>
      <c r="AA172">
        <v>2</v>
      </c>
      <c r="AB172">
        <v>17</v>
      </c>
      <c r="AC172">
        <v>20</v>
      </c>
      <c r="AD172" t="str">
        <v>Carla Gray</v>
      </c>
      <c r="AE172" t="str">
        <v>Active</v>
      </c>
      <c r="AF172">
        <v>788386.32000000007</v>
      </c>
    </row>
    <row r="173" spans="16:32" x14ac:dyDescent="0.25">
      <c r="P173" t="str">
        <v>EMP0170</v>
      </c>
      <c r="Q173" t="str">
        <v>Katherine Miller</v>
      </c>
      <c r="R173" t="str">
        <v>Customer Support</v>
      </c>
      <c r="S173" t="str">
        <v>Team Lead</v>
      </c>
      <c r="T173" t="str">
        <v>Female</v>
      </c>
      <c r="U173">
        <v>53</v>
      </c>
      <c r="V173">
        <v>43994</v>
      </c>
      <c r="W173" t="str">
        <v>Contract</v>
      </c>
      <c r="X173">
        <v>73233.98</v>
      </c>
      <c r="Y173">
        <v>5</v>
      </c>
      <c r="Z173">
        <v>86</v>
      </c>
      <c r="AA173">
        <v>5</v>
      </c>
      <c r="AB173">
        <v>2</v>
      </c>
      <c r="AC173">
        <v>23</v>
      </c>
      <c r="AD173" t="str">
        <v>Monica Herrera</v>
      </c>
      <c r="AE173" t="str">
        <v>Active</v>
      </c>
      <c r="AF173">
        <v>878807.76</v>
      </c>
    </row>
    <row r="174" spans="16:32" x14ac:dyDescent="0.25">
      <c r="P174" t="str">
        <v>EMP0171</v>
      </c>
      <c r="Q174" t="str">
        <v>Morgan Munoz</v>
      </c>
      <c r="R174" t="str">
        <v>Customer Support</v>
      </c>
      <c r="S174" t="str">
        <v>Team Lead</v>
      </c>
      <c r="T174" t="str">
        <v>Male</v>
      </c>
      <c r="U174">
        <v>59</v>
      </c>
      <c r="V174">
        <v>42550</v>
      </c>
      <c r="W174" t="str">
        <v>Part-Time</v>
      </c>
      <c r="X174">
        <v>46553.04</v>
      </c>
      <c r="Y174">
        <v>5</v>
      </c>
      <c r="Z174">
        <v>91.55</v>
      </c>
      <c r="AA174">
        <v>9</v>
      </c>
      <c r="AB174">
        <v>6</v>
      </c>
      <c r="AC174">
        <v>37</v>
      </c>
      <c r="AD174" t="str">
        <v>Brian Ramirez</v>
      </c>
      <c r="AE174" t="str">
        <v>Active</v>
      </c>
      <c r="AF174">
        <v>558636.48</v>
      </c>
    </row>
    <row r="175" spans="16:32" x14ac:dyDescent="0.25">
      <c r="P175" t="str">
        <v>EMP0172</v>
      </c>
      <c r="Q175" t="str">
        <v>Vernon Huff</v>
      </c>
      <c r="R175" t="str">
        <v>Customer Support</v>
      </c>
      <c r="S175" t="str">
        <v>Support Agent</v>
      </c>
      <c r="T175" t="str">
        <v>Male</v>
      </c>
      <c r="U175">
        <v>23</v>
      </c>
      <c r="V175">
        <v>42463</v>
      </c>
      <c r="W175" t="str">
        <v>Contract</v>
      </c>
      <c r="X175">
        <v>114820.52</v>
      </c>
      <c r="Y175">
        <v>1</v>
      </c>
      <c r="Z175">
        <v>83.82</v>
      </c>
      <c r="AA175">
        <v>9</v>
      </c>
      <c r="AB175">
        <v>56</v>
      </c>
      <c r="AC175">
        <v>20</v>
      </c>
      <c r="AD175" t="str">
        <v>Michele Williams</v>
      </c>
      <c r="AE175" t="str">
        <v>Active</v>
      </c>
      <c r="AF175">
        <v>1377846.24</v>
      </c>
    </row>
    <row r="176" spans="16:32" x14ac:dyDescent="0.25">
      <c r="P176" t="str">
        <v>EMP0173</v>
      </c>
      <c r="Q176" t="str">
        <v>Alicia Hubbard</v>
      </c>
      <c r="R176" t="str">
        <v>IT</v>
      </c>
      <c r="S176" t="str">
        <v>Software Engineer</v>
      </c>
      <c r="T176" t="str">
        <v>Female</v>
      </c>
      <c r="U176">
        <v>24</v>
      </c>
      <c r="V176">
        <v>45877</v>
      </c>
      <c r="W176" t="str">
        <v>Contract</v>
      </c>
      <c r="X176">
        <v>33808.25</v>
      </c>
      <c r="Y176">
        <v>2</v>
      </c>
      <c r="Z176">
        <v>91.22</v>
      </c>
      <c r="AA176">
        <v>0</v>
      </c>
      <c r="AB176">
        <v>61</v>
      </c>
      <c r="AC176">
        <v>33</v>
      </c>
      <c r="AD176" t="str">
        <v>Lisa Hensley</v>
      </c>
      <c r="AE176" t="str">
        <v>Active</v>
      </c>
      <c r="AF176">
        <v>405699</v>
      </c>
    </row>
    <row r="177" spans="16:32" x14ac:dyDescent="0.25">
      <c r="P177" t="str">
        <v>EMP0174</v>
      </c>
      <c r="Q177" t="str">
        <v>Pamela Thompson</v>
      </c>
      <c r="R177" t="str">
        <v>HR</v>
      </c>
      <c r="S177" t="str">
        <v>Recruiter</v>
      </c>
      <c r="T177" t="str">
        <v>Female</v>
      </c>
      <c r="U177">
        <v>55</v>
      </c>
      <c r="V177">
        <v>43977</v>
      </c>
      <c r="W177" t="str">
        <v>Part-Time</v>
      </c>
      <c r="X177">
        <v>87586.86</v>
      </c>
      <c r="Y177">
        <v>3</v>
      </c>
      <c r="Z177">
        <v>92.2</v>
      </c>
      <c r="AA177">
        <v>5</v>
      </c>
      <c r="AB177">
        <v>24</v>
      </c>
      <c r="AC177">
        <v>15</v>
      </c>
      <c r="AD177" t="str">
        <v>Gabrielle Davis</v>
      </c>
      <c r="AE177" t="str">
        <v>Active</v>
      </c>
      <c r="AF177">
        <v>1051042.32</v>
      </c>
    </row>
    <row r="178" spans="16:32" x14ac:dyDescent="0.25">
      <c r="P178" t="str">
        <v>EMP0175</v>
      </c>
      <c r="Q178" t="str">
        <v>Sydney White</v>
      </c>
      <c r="R178" t="str">
        <v>IT</v>
      </c>
      <c r="S178" t="str">
        <v>Software Engineer</v>
      </c>
      <c r="T178" t="str">
        <v>Female</v>
      </c>
      <c r="U178">
        <v>34</v>
      </c>
      <c r="V178">
        <v>45527</v>
      </c>
      <c r="W178" t="str">
        <v>Contract</v>
      </c>
      <c r="X178">
        <v>90498.83</v>
      </c>
      <c r="Y178">
        <v>3</v>
      </c>
      <c r="Z178">
        <v>89.6</v>
      </c>
      <c r="AA178">
        <v>1</v>
      </c>
      <c r="AB178">
        <v>71</v>
      </c>
      <c r="AC178">
        <v>59</v>
      </c>
      <c r="AD178" t="str">
        <v>Gabrielle Davis</v>
      </c>
      <c r="AE178" t="str">
        <v>Active</v>
      </c>
      <c r="AF178">
        <v>1085985.96</v>
      </c>
    </row>
    <row r="179" spans="16:32" x14ac:dyDescent="0.25">
      <c r="P179" t="str">
        <v>EMP0176</v>
      </c>
      <c r="Q179" t="str">
        <v>Robert Costa</v>
      </c>
      <c r="R179" t="str">
        <v>Customer Support</v>
      </c>
      <c r="S179" t="str">
        <v>Team Lead</v>
      </c>
      <c r="T179" t="str">
        <v>Female</v>
      </c>
      <c r="U179">
        <v>30</v>
      </c>
      <c r="V179">
        <v>45940</v>
      </c>
      <c r="W179" t="str">
        <v>Part-Time</v>
      </c>
      <c r="X179">
        <v>24206.65</v>
      </c>
      <c r="Y179">
        <v>1</v>
      </c>
      <c r="Z179">
        <v>86.93</v>
      </c>
      <c r="AA179">
        <v>0</v>
      </c>
      <c r="AB179">
        <v>56</v>
      </c>
      <c r="AC179">
        <v>41</v>
      </c>
      <c r="AD179" t="str">
        <v>Gabrielle Davis</v>
      </c>
      <c r="AE179" t="str">
        <v>Active</v>
      </c>
      <c r="AF179">
        <v>290479.80000000005</v>
      </c>
    </row>
    <row r="180" spans="16:32" x14ac:dyDescent="0.25">
      <c r="P180" t="str">
        <v>EMP0177</v>
      </c>
      <c r="Q180" t="str">
        <v>Gary Santiago</v>
      </c>
      <c r="R180" t="str">
        <v>IT</v>
      </c>
      <c r="S180" t="str">
        <v>IT Support</v>
      </c>
      <c r="T180" t="str">
        <v>Female</v>
      </c>
      <c r="U180">
        <v>56</v>
      </c>
      <c r="V180">
        <v>45223</v>
      </c>
      <c r="W180" t="str">
        <v>Contract</v>
      </c>
      <c r="X180">
        <v>47162.15</v>
      </c>
      <c r="Y180">
        <v>1</v>
      </c>
      <c r="Z180">
        <v>92.31</v>
      </c>
      <c r="AA180">
        <v>2</v>
      </c>
      <c r="AB180">
        <v>75</v>
      </c>
      <c r="AC180">
        <v>15</v>
      </c>
      <c r="AD180" t="str">
        <v>Gina Moore</v>
      </c>
      <c r="AE180" t="str">
        <v>Active</v>
      </c>
      <c r="AF180">
        <v>565945.80000000005</v>
      </c>
    </row>
    <row r="181" spans="16:32" x14ac:dyDescent="0.25">
      <c r="P181" t="str">
        <v>EMP0178</v>
      </c>
      <c r="Q181" t="str">
        <v>Michael Roberts</v>
      </c>
      <c r="R181" t="str">
        <v>IT</v>
      </c>
      <c r="S181" t="str">
        <v>Data Analyst</v>
      </c>
      <c r="T181" t="str">
        <v>Male</v>
      </c>
      <c r="U181">
        <v>24</v>
      </c>
      <c r="V181">
        <v>43302</v>
      </c>
      <c r="W181" t="str">
        <v>Full-Time</v>
      </c>
      <c r="X181">
        <v>61330.14</v>
      </c>
      <c r="Y181">
        <v>4</v>
      </c>
      <c r="Z181">
        <v>82.01</v>
      </c>
      <c r="AA181">
        <v>7</v>
      </c>
      <c r="AB181">
        <v>17</v>
      </c>
      <c r="AC181">
        <v>0</v>
      </c>
      <c r="AD181" t="str">
        <v>Derek Zuniga</v>
      </c>
      <c r="AE181" t="str">
        <v>Resigned</v>
      </c>
      <c r="AF181">
        <v>735961.67999999993</v>
      </c>
    </row>
    <row r="182" spans="16:32" x14ac:dyDescent="0.25">
      <c r="P182" t="str">
        <v>EMP0179</v>
      </c>
      <c r="Q182" t="str">
        <v>Krista Gibson</v>
      </c>
      <c r="R182" t="str">
        <v>HR</v>
      </c>
      <c r="S182" t="str">
        <v>Recruiter</v>
      </c>
      <c r="T182" t="str">
        <v>Female</v>
      </c>
      <c r="U182">
        <v>51</v>
      </c>
      <c r="V182">
        <v>44791</v>
      </c>
      <c r="W182" t="str">
        <v>Contract</v>
      </c>
      <c r="X182">
        <v>39945.599999999999</v>
      </c>
      <c r="Y182">
        <v>3</v>
      </c>
      <c r="Z182">
        <v>86.42</v>
      </c>
      <c r="AA182">
        <v>3</v>
      </c>
      <c r="AB182">
        <v>7</v>
      </c>
      <c r="AC182">
        <v>58</v>
      </c>
      <c r="AD182" t="str">
        <v>Angie Henderson</v>
      </c>
      <c r="AE182" t="str">
        <v>Active</v>
      </c>
      <c r="AF182">
        <v>479347.19999999995</v>
      </c>
    </row>
    <row r="183" spans="16:32" x14ac:dyDescent="0.25">
      <c r="P183" t="str">
        <v>EMP0180</v>
      </c>
      <c r="Q183" t="str">
        <v>Brian Barton</v>
      </c>
      <c r="R183" t="str">
        <v>IT</v>
      </c>
      <c r="S183" t="str">
        <v>Data Analyst</v>
      </c>
      <c r="T183" t="str">
        <v>Male</v>
      </c>
      <c r="U183">
        <v>32</v>
      </c>
      <c r="V183">
        <v>44257</v>
      </c>
      <c r="W183" t="str">
        <v>Part-Time</v>
      </c>
      <c r="X183">
        <v>108224.5</v>
      </c>
      <c r="Y183">
        <v>2</v>
      </c>
      <c r="Z183">
        <v>98.68</v>
      </c>
      <c r="AA183">
        <v>4</v>
      </c>
      <c r="AB183">
        <v>4</v>
      </c>
      <c r="AC183">
        <v>53</v>
      </c>
      <c r="AD183" t="str">
        <v>Lisa Hensley</v>
      </c>
      <c r="AE183" t="str">
        <v>Active</v>
      </c>
      <c r="AF183">
        <v>1298694</v>
      </c>
    </row>
    <row r="184" spans="16:32" x14ac:dyDescent="0.25">
      <c r="P184" t="str">
        <v>EMP0181</v>
      </c>
      <c r="Q184" t="str">
        <v>April Booth</v>
      </c>
      <c r="R184" t="str">
        <v>HR</v>
      </c>
      <c r="S184" t="str">
        <v>HR Manager</v>
      </c>
      <c r="T184" t="str">
        <v>Female</v>
      </c>
      <c r="U184">
        <v>23</v>
      </c>
      <c r="V184">
        <v>45500</v>
      </c>
      <c r="W184" t="str">
        <v>Full-Time</v>
      </c>
      <c r="X184">
        <v>49839.22</v>
      </c>
      <c r="Y184">
        <v>5</v>
      </c>
      <c r="Z184">
        <v>82.15</v>
      </c>
      <c r="AA184">
        <v>1</v>
      </c>
      <c r="AB184">
        <v>42</v>
      </c>
      <c r="AC184">
        <v>18</v>
      </c>
      <c r="AD184" t="str">
        <v>Dylan Miller</v>
      </c>
      <c r="AE184" t="str">
        <v>Resigned</v>
      </c>
      <c r="AF184">
        <v>598070.64</v>
      </c>
    </row>
    <row r="185" spans="16:32" x14ac:dyDescent="0.25">
      <c r="P185" t="str">
        <v>EMP0182</v>
      </c>
      <c r="Q185" t="str">
        <v>Cody Cox</v>
      </c>
      <c r="R185" t="str">
        <v>R&amp;D</v>
      </c>
      <c r="S185" t="str">
        <v>Researcher</v>
      </c>
      <c r="T185" t="str">
        <v>Female</v>
      </c>
      <c r="U185">
        <v>38</v>
      </c>
      <c r="V185">
        <v>45173</v>
      </c>
      <c r="W185" t="str">
        <v>Full-Time</v>
      </c>
      <c r="X185">
        <v>100881.39</v>
      </c>
      <c r="Y185">
        <v>3</v>
      </c>
      <c r="Z185">
        <v>83.25</v>
      </c>
      <c r="AA185">
        <v>2</v>
      </c>
      <c r="AB185">
        <v>58</v>
      </c>
      <c r="AC185">
        <v>41</v>
      </c>
      <c r="AD185" t="str">
        <v>Gabrielle Davis</v>
      </c>
      <c r="AE185" t="str">
        <v>Active</v>
      </c>
      <c r="AF185">
        <v>1210576.68</v>
      </c>
    </row>
    <row r="186" spans="16:32" x14ac:dyDescent="0.25">
      <c r="P186" t="str">
        <v>EMP0183</v>
      </c>
      <c r="Q186" t="str">
        <v>Olivia Harris</v>
      </c>
      <c r="R186" t="str">
        <v>Sales</v>
      </c>
      <c r="S186" t="str">
        <v>Account Executive</v>
      </c>
      <c r="T186" t="str">
        <v>Female</v>
      </c>
      <c r="U186">
        <v>39</v>
      </c>
      <c r="V186">
        <v>45400</v>
      </c>
      <c r="W186" t="str">
        <v>Contract</v>
      </c>
      <c r="X186">
        <v>87440.11</v>
      </c>
      <c r="Y186">
        <v>2</v>
      </c>
      <c r="Z186">
        <v>83.51</v>
      </c>
      <c r="AA186">
        <v>1</v>
      </c>
      <c r="AB186">
        <v>51</v>
      </c>
      <c r="AC186">
        <v>52</v>
      </c>
      <c r="AD186" t="str">
        <v>Michele Williams</v>
      </c>
      <c r="AE186" t="str">
        <v>Active</v>
      </c>
      <c r="AF186">
        <v>1049281.32</v>
      </c>
    </row>
    <row r="187" spans="16:32" x14ac:dyDescent="0.25">
      <c r="P187" t="str">
        <v>EMP0184</v>
      </c>
      <c r="Q187" t="str">
        <v>Dwayne Gilmore</v>
      </c>
      <c r="R187" t="str">
        <v>Marketing</v>
      </c>
      <c r="S187" t="str">
        <v>Brand Manager</v>
      </c>
      <c r="T187" t="str">
        <v>Male</v>
      </c>
      <c r="U187">
        <v>32</v>
      </c>
      <c r="V187">
        <v>45715</v>
      </c>
      <c r="W187" t="str">
        <v>Full-Time</v>
      </c>
      <c r="X187">
        <v>67745.41</v>
      </c>
      <c r="Y187">
        <v>2</v>
      </c>
      <c r="Z187">
        <v>80.14</v>
      </c>
      <c r="AA187">
        <v>0</v>
      </c>
      <c r="AB187">
        <v>49</v>
      </c>
      <c r="AC187">
        <v>15</v>
      </c>
      <c r="AD187" t="str">
        <v>Dylan Miller</v>
      </c>
      <c r="AE187" t="str">
        <v>Active</v>
      </c>
      <c r="AF187">
        <v>812944.92</v>
      </c>
    </row>
    <row r="188" spans="16:32" x14ac:dyDescent="0.25">
      <c r="P188" t="str">
        <v>EMP0185</v>
      </c>
      <c r="Q188" t="str">
        <v>William Lynch</v>
      </c>
      <c r="R188" t="str">
        <v>Operations</v>
      </c>
      <c r="S188" t="str">
        <v>Operations Manager</v>
      </c>
      <c r="T188" t="str">
        <v>Male</v>
      </c>
      <c r="U188">
        <v>37</v>
      </c>
      <c r="V188">
        <v>45314</v>
      </c>
      <c r="W188" t="str">
        <v>Contract</v>
      </c>
      <c r="X188">
        <v>55955.21</v>
      </c>
      <c r="Y188">
        <v>2</v>
      </c>
      <c r="Z188">
        <v>81.239999999999995</v>
      </c>
      <c r="AA188">
        <v>1</v>
      </c>
      <c r="AB188">
        <v>15</v>
      </c>
      <c r="AC188">
        <v>29</v>
      </c>
      <c r="AD188" t="str">
        <v>Ryan Munoz</v>
      </c>
      <c r="AE188" t="str">
        <v>Active</v>
      </c>
      <c r="AF188">
        <v>671462.52</v>
      </c>
    </row>
    <row r="189" spans="16:32" x14ac:dyDescent="0.25">
      <c r="P189" t="str">
        <v>EMP0186</v>
      </c>
      <c r="Q189" t="str">
        <v>Emily Smith</v>
      </c>
      <c r="R189" t="str">
        <v>Finance</v>
      </c>
      <c r="S189" t="str">
        <v>Finance Manager</v>
      </c>
      <c r="T189" t="str">
        <v>Male</v>
      </c>
      <c r="U189">
        <v>39</v>
      </c>
      <c r="V189">
        <v>43789</v>
      </c>
      <c r="W189" t="str">
        <v>Part-Time</v>
      </c>
      <c r="X189">
        <v>81462.539999999994</v>
      </c>
      <c r="Y189">
        <v>2</v>
      </c>
      <c r="Z189">
        <v>99.15</v>
      </c>
      <c r="AA189">
        <v>6</v>
      </c>
      <c r="AB189">
        <v>61</v>
      </c>
      <c r="AC189">
        <v>9</v>
      </c>
      <c r="AD189" t="str">
        <v>Dylan Miller</v>
      </c>
      <c r="AE189" t="str">
        <v>Active</v>
      </c>
      <c r="AF189">
        <v>977550.48</v>
      </c>
    </row>
    <row r="190" spans="16:32" x14ac:dyDescent="0.25">
      <c r="P190" t="str">
        <v>EMP0187</v>
      </c>
      <c r="Q190" t="str">
        <v>Willie Durham</v>
      </c>
      <c r="R190" t="str">
        <v>Operations</v>
      </c>
      <c r="S190" t="str">
        <v>Operations Manager</v>
      </c>
      <c r="T190" t="str">
        <v>Female</v>
      </c>
      <c r="U190">
        <v>55</v>
      </c>
      <c r="V190">
        <v>44838</v>
      </c>
      <c r="W190" t="str">
        <v>Contract</v>
      </c>
      <c r="X190">
        <v>102560.35</v>
      </c>
      <c r="Y190">
        <v>2</v>
      </c>
      <c r="Z190">
        <v>93.61</v>
      </c>
      <c r="AA190">
        <v>3</v>
      </c>
      <c r="AB190">
        <v>76</v>
      </c>
      <c r="AC190">
        <v>55</v>
      </c>
      <c r="AD190" t="str">
        <v>Angie Henderson</v>
      </c>
      <c r="AE190" t="str">
        <v>Active</v>
      </c>
      <c r="AF190">
        <v>1230724.2000000002</v>
      </c>
    </row>
    <row r="191" spans="16:32" x14ac:dyDescent="0.25">
      <c r="P191" t="str">
        <v>EMP0188</v>
      </c>
      <c r="Q191" t="str">
        <v>Maria Moore</v>
      </c>
      <c r="R191" t="str">
        <v>Operations</v>
      </c>
      <c r="S191" t="str">
        <v>Operations Associate</v>
      </c>
      <c r="T191" t="str">
        <v>Male</v>
      </c>
      <c r="U191">
        <v>24</v>
      </c>
      <c r="V191">
        <v>45170</v>
      </c>
      <c r="W191" t="str">
        <v>Contract</v>
      </c>
      <c r="X191">
        <v>110288.82</v>
      </c>
      <c r="Y191">
        <v>2</v>
      </c>
      <c r="Z191">
        <v>91.45</v>
      </c>
      <c r="AA191">
        <v>2</v>
      </c>
      <c r="AB191">
        <v>19</v>
      </c>
      <c r="AC191">
        <v>10</v>
      </c>
      <c r="AD191" t="str">
        <v>Monica Herrera</v>
      </c>
      <c r="AE191" t="str">
        <v>Resigned</v>
      </c>
      <c r="AF191">
        <v>1323465.8400000001</v>
      </c>
    </row>
    <row r="192" spans="16:32" x14ac:dyDescent="0.25">
      <c r="P192" t="str">
        <v>EMP0189</v>
      </c>
      <c r="Q192" t="str">
        <v>Denise Davenport</v>
      </c>
      <c r="R192" t="str">
        <v>R&amp;D</v>
      </c>
      <c r="S192" t="str">
        <v>Researcher</v>
      </c>
      <c r="T192" t="str">
        <v>Male</v>
      </c>
      <c r="U192">
        <v>58</v>
      </c>
      <c r="V192">
        <v>44116</v>
      </c>
      <c r="W192" t="str">
        <v>Part-Time</v>
      </c>
      <c r="X192">
        <v>29094.16</v>
      </c>
      <c r="Y192">
        <v>5</v>
      </c>
      <c r="Z192">
        <v>88.91</v>
      </c>
      <c r="AA192">
        <v>5</v>
      </c>
      <c r="AB192">
        <v>7</v>
      </c>
      <c r="AC192">
        <v>29</v>
      </c>
      <c r="AD192" t="str">
        <v>Cristian Santos</v>
      </c>
      <c r="AE192" t="str">
        <v>Active</v>
      </c>
      <c r="AF192">
        <v>349129.92</v>
      </c>
    </row>
    <row r="193" spans="16:32" x14ac:dyDescent="0.25">
      <c r="P193" t="str">
        <v>EMP0190</v>
      </c>
      <c r="Q193" t="str">
        <v>Juan Reyes</v>
      </c>
      <c r="R193" t="str">
        <v>R&amp;D</v>
      </c>
      <c r="S193" t="str">
        <v>Researcher</v>
      </c>
      <c r="T193" t="str">
        <v>Female</v>
      </c>
      <c r="U193">
        <v>40</v>
      </c>
      <c r="V193">
        <v>45237</v>
      </c>
      <c r="W193" t="str">
        <v>Contract</v>
      </c>
      <c r="X193">
        <v>22177.05</v>
      </c>
      <c r="Y193">
        <v>3</v>
      </c>
      <c r="Z193">
        <v>96.33</v>
      </c>
      <c r="AA193">
        <v>2</v>
      </c>
      <c r="AB193">
        <v>27</v>
      </c>
      <c r="AC193">
        <v>37</v>
      </c>
      <c r="AD193" t="str">
        <v>Angie Henderson</v>
      </c>
      <c r="AE193" t="str">
        <v>Active</v>
      </c>
      <c r="AF193">
        <v>266124.59999999998</v>
      </c>
    </row>
    <row r="194" spans="16:32" x14ac:dyDescent="0.25">
      <c r="P194" t="str">
        <v>EMP0191</v>
      </c>
      <c r="Q194" t="str">
        <v>Breanna Jones</v>
      </c>
      <c r="R194" t="str">
        <v>Operations</v>
      </c>
      <c r="S194" t="str">
        <v>Operations Associate</v>
      </c>
      <c r="T194" t="str">
        <v>Male</v>
      </c>
      <c r="U194">
        <v>25</v>
      </c>
      <c r="V194">
        <v>45461</v>
      </c>
      <c r="W194" t="str">
        <v>Part-Time</v>
      </c>
      <c r="X194">
        <v>23173.49</v>
      </c>
      <c r="Y194">
        <v>4</v>
      </c>
      <c r="Z194">
        <v>83.6</v>
      </c>
      <c r="AA194">
        <v>1</v>
      </c>
      <c r="AB194">
        <v>17</v>
      </c>
      <c r="AC194">
        <v>49</v>
      </c>
      <c r="AD194" t="str">
        <v>Michele Williams</v>
      </c>
      <c r="AE194" t="str">
        <v>Active</v>
      </c>
      <c r="AF194">
        <v>278081.88</v>
      </c>
    </row>
    <row r="195" spans="16:32" x14ac:dyDescent="0.25">
      <c r="P195" t="str">
        <v>EMP0192</v>
      </c>
      <c r="Q195" t="str">
        <v>Richard Adams</v>
      </c>
      <c r="R195" t="str">
        <v>Customer Support</v>
      </c>
      <c r="S195" t="str">
        <v>Team Lead</v>
      </c>
      <c r="T195" t="str">
        <v>Female</v>
      </c>
      <c r="U195">
        <v>45</v>
      </c>
      <c r="V195">
        <v>44881</v>
      </c>
      <c r="W195" t="str">
        <v>Full-Time</v>
      </c>
      <c r="X195">
        <v>88273.04</v>
      </c>
      <c r="Y195">
        <v>5</v>
      </c>
      <c r="Z195">
        <v>82.66</v>
      </c>
      <c r="AA195">
        <v>3</v>
      </c>
      <c r="AB195">
        <v>44</v>
      </c>
      <c r="AC195">
        <v>7</v>
      </c>
      <c r="AD195" t="str">
        <v>Connie Lawrence</v>
      </c>
      <c r="AE195" t="str">
        <v>Resigned</v>
      </c>
      <c r="AF195">
        <v>1059276.48</v>
      </c>
    </row>
    <row r="196" spans="16:32" x14ac:dyDescent="0.25">
      <c r="P196" t="str">
        <v>EMP0193</v>
      </c>
      <c r="Q196" t="str">
        <v>Edwin Matthews</v>
      </c>
      <c r="R196" t="str">
        <v>Customer Support</v>
      </c>
      <c r="S196" t="str">
        <v>Support Agent</v>
      </c>
      <c r="T196" t="str">
        <v>Male</v>
      </c>
      <c r="U196">
        <v>21</v>
      </c>
      <c r="V196">
        <v>42318</v>
      </c>
      <c r="W196" t="str">
        <v>Full-Time</v>
      </c>
      <c r="X196">
        <v>117849.07</v>
      </c>
      <c r="Y196">
        <v>4</v>
      </c>
      <c r="Z196">
        <v>93.47</v>
      </c>
      <c r="AA196">
        <v>10</v>
      </c>
      <c r="AB196">
        <v>69</v>
      </c>
      <c r="AC196">
        <v>27</v>
      </c>
      <c r="AD196" t="str">
        <v>Derek Zuniga</v>
      </c>
      <c r="AE196" t="str">
        <v>Active</v>
      </c>
      <c r="AF196">
        <v>1414188.84</v>
      </c>
    </row>
    <row r="197" spans="16:32" x14ac:dyDescent="0.25">
      <c r="P197" t="str">
        <v>EMP0194</v>
      </c>
      <c r="Q197" t="str">
        <v>Jill Washington</v>
      </c>
      <c r="R197" t="str">
        <v>IT</v>
      </c>
      <c r="S197" t="str">
        <v>IT Support</v>
      </c>
      <c r="T197" t="str">
        <v>Female</v>
      </c>
      <c r="U197">
        <v>43</v>
      </c>
      <c r="V197">
        <v>45345</v>
      </c>
      <c r="W197" t="str">
        <v>Full-Time</v>
      </c>
      <c r="X197">
        <v>47564.97</v>
      </c>
      <c r="Y197">
        <v>1</v>
      </c>
      <c r="Z197">
        <v>80.64</v>
      </c>
      <c r="AA197">
        <v>1</v>
      </c>
      <c r="AB197">
        <v>53</v>
      </c>
      <c r="AC197">
        <v>39</v>
      </c>
      <c r="AD197" t="str">
        <v>Allison Hill</v>
      </c>
      <c r="AE197" t="str">
        <v>Active</v>
      </c>
      <c r="AF197">
        <v>570779.64</v>
      </c>
    </row>
    <row r="198" spans="16:32" x14ac:dyDescent="0.25">
      <c r="P198" t="str">
        <v>EMP0195</v>
      </c>
      <c r="Q198" t="str">
        <v>Kimberly Gibson</v>
      </c>
      <c r="R198" t="str">
        <v>Marketing</v>
      </c>
      <c r="S198" t="str">
        <v>Marketing Analyst</v>
      </c>
      <c r="T198" t="str">
        <v>Male</v>
      </c>
      <c r="U198">
        <v>49</v>
      </c>
      <c r="V198">
        <v>44368</v>
      </c>
      <c r="W198" t="str">
        <v>Contract</v>
      </c>
      <c r="X198">
        <v>87202.36</v>
      </c>
      <c r="Y198">
        <v>1</v>
      </c>
      <c r="Z198">
        <v>84.89</v>
      </c>
      <c r="AA198">
        <v>4</v>
      </c>
      <c r="AB198">
        <v>5</v>
      </c>
      <c r="AC198">
        <v>25</v>
      </c>
      <c r="AD198" t="str">
        <v>Dylan Miller</v>
      </c>
      <c r="AE198" t="str">
        <v>Active</v>
      </c>
      <c r="AF198">
        <v>1046428.3200000001</v>
      </c>
    </row>
    <row r="199" spans="16:32" x14ac:dyDescent="0.25">
      <c r="P199" t="str">
        <v>EMP0196</v>
      </c>
      <c r="Q199" t="str">
        <v>Veronica Allen</v>
      </c>
      <c r="R199" t="str">
        <v>IT</v>
      </c>
      <c r="S199" t="str">
        <v>IT Support</v>
      </c>
      <c r="T199" t="str">
        <v>Male</v>
      </c>
      <c r="U199">
        <v>53</v>
      </c>
      <c r="V199">
        <v>44302</v>
      </c>
      <c r="W199" t="str">
        <v>Part-Time</v>
      </c>
      <c r="X199">
        <v>43416.15</v>
      </c>
      <c r="Y199">
        <v>5</v>
      </c>
      <c r="Z199">
        <v>86.38</v>
      </c>
      <c r="AA199">
        <v>4</v>
      </c>
      <c r="AB199">
        <v>76</v>
      </c>
      <c r="AC199">
        <v>49</v>
      </c>
      <c r="AD199" t="str">
        <v>Monica Herrera</v>
      </c>
      <c r="AE199" t="str">
        <v>Active</v>
      </c>
      <c r="AF199">
        <v>520993.80000000005</v>
      </c>
    </row>
    <row r="200" spans="16:32" x14ac:dyDescent="0.25">
      <c r="P200" t="str">
        <v>EMP0197</v>
      </c>
      <c r="Q200" t="str">
        <v>Reginald Williams</v>
      </c>
      <c r="R200" t="str">
        <v>HR</v>
      </c>
      <c r="S200" t="str">
        <v>HR Manager</v>
      </c>
      <c r="T200" t="str">
        <v>Male</v>
      </c>
      <c r="U200">
        <v>47</v>
      </c>
      <c r="V200">
        <v>44682</v>
      </c>
      <c r="W200" t="str">
        <v>Part-Time</v>
      </c>
      <c r="X200">
        <v>47515.39</v>
      </c>
      <c r="Y200">
        <v>5</v>
      </c>
      <c r="Z200">
        <v>98.97</v>
      </c>
      <c r="AA200">
        <v>3</v>
      </c>
      <c r="AB200">
        <v>22</v>
      </c>
      <c r="AC200">
        <v>40</v>
      </c>
      <c r="AD200" t="str">
        <v>Michele Williams</v>
      </c>
      <c r="AE200" t="str">
        <v>Active</v>
      </c>
      <c r="AF200">
        <v>570184.67999999993</v>
      </c>
    </row>
    <row r="201" spans="16:32" x14ac:dyDescent="0.25">
      <c r="P201" t="str">
        <v>EMP0198</v>
      </c>
      <c r="Q201" t="str">
        <v>Roberta Hughes</v>
      </c>
      <c r="R201" t="str">
        <v>Sales</v>
      </c>
      <c r="S201" t="str">
        <v>Sales Manager</v>
      </c>
      <c r="T201" t="str">
        <v>Female</v>
      </c>
      <c r="U201">
        <v>54</v>
      </c>
      <c r="V201">
        <v>45241</v>
      </c>
      <c r="W201" t="str">
        <v>Part-Time</v>
      </c>
      <c r="X201">
        <v>89630.84</v>
      </c>
      <c r="Y201">
        <v>4</v>
      </c>
      <c r="Z201">
        <v>82.98</v>
      </c>
      <c r="AA201">
        <v>2</v>
      </c>
      <c r="AB201">
        <v>48</v>
      </c>
      <c r="AC201">
        <v>11</v>
      </c>
      <c r="AD201" t="str">
        <v>Derek Zuniga</v>
      </c>
      <c r="AE201" t="str">
        <v>Active</v>
      </c>
      <c r="AF201">
        <v>1075570.08</v>
      </c>
    </row>
    <row r="202" spans="16:32" x14ac:dyDescent="0.25">
      <c r="P202" t="str">
        <v>EMP0199</v>
      </c>
      <c r="Q202" t="str">
        <v>Andrew Shaw MD</v>
      </c>
      <c r="R202" t="str">
        <v>IT</v>
      </c>
      <c r="S202" t="str">
        <v>Software Engineer</v>
      </c>
      <c r="T202" t="str">
        <v>Male</v>
      </c>
      <c r="U202">
        <v>50</v>
      </c>
      <c r="V202">
        <v>43248</v>
      </c>
      <c r="W202" t="str">
        <v>Full-Time</v>
      </c>
      <c r="X202">
        <v>76238.59</v>
      </c>
      <c r="Y202">
        <v>4</v>
      </c>
      <c r="Z202">
        <v>91.15</v>
      </c>
      <c r="AA202">
        <v>7</v>
      </c>
      <c r="AB202">
        <v>17</v>
      </c>
      <c r="AC202">
        <v>24</v>
      </c>
      <c r="AD202" t="str">
        <v>Gina Moore</v>
      </c>
      <c r="AE202" t="str">
        <v>Active</v>
      </c>
      <c r="AF202">
        <v>914863.08</v>
      </c>
    </row>
    <row r="203" spans="16:32" x14ac:dyDescent="0.25">
      <c r="P203" t="str">
        <v>EMP0200</v>
      </c>
      <c r="Q203" t="str">
        <v>Jessica Fox</v>
      </c>
      <c r="R203" t="str">
        <v>Operations</v>
      </c>
      <c r="S203" t="str">
        <v>Operations Associate</v>
      </c>
      <c r="T203" t="str">
        <v>Female</v>
      </c>
      <c r="U203">
        <v>44</v>
      </c>
      <c r="V203">
        <v>42926</v>
      </c>
      <c r="W203" t="str">
        <v>Full-Time</v>
      </c>
      <c r="X203">
        <v>73563.55</v>
      </c>
      <c r="Y203">
        <v>2</v>
      </c>
      <c r="Z203">
        <v>81.03</v>
      </c>
      <c r="AA203">
        <v>8</v>
      </c>
      <c r="AB203">
        <v>48</v>
      </c>
      <c r="AC203">
        <v>43</v>
      </c>
      <c r="AD203" t="str">
        <v>Carla Gray</v>
      </c>
      <c r="AE203" t="str">
        <v>Active</v>
      </c>
      <c r="AF203">
        <v>882762.60000000009</v>
      </c>
    </row>
    <row r="204" spans="16:32" x14ac:dyDescent="0.25">
      <c r="P204" t="str">
        <v>EMP0201</v>
      </c>
      <c r="Q204" t="str">
        <v>Charles Pitts</v>
      </c>
      <c r="R204" t="str">
        <v>Marketing</v>
      </c>
      <c r="S204" t="str">
        <v>Marketing Analyst</v>
      </c>
      <c r="T204" t="str">
        <v>Male</v>
      </c>
      <c r="U204">
        <v>51</v>
      </c>
      <c r="V204">
        <v>45142</v>
      </c>
      <c r="W204" t="str">
        <v>Full-Time</v>
      </c>
      <c r="X204">
        <v>106947.39</v>
      </c>
      <c r="Y204">
        <v>3</v>
      </c>
      <c r="Z204">
        <v>86.06</v>
      </c>
      <c r="AA204">
        <v>2</v>
      </c>
      <c r="AB204">
        <v>1</v>
      </c>
      <c r="AC204">
        <v>13</v>
      </c>
      <c r="AD204" t="str">
        <v>Abigail Shaffer</v>
      </c>
      <c r="AE204" t="str">
        <v>Resigned</v>
      </c>
      <c r="AF204">
        <v>1283368.68</v>
      </c>
    </row>
    <row r="205" spans="16:32" x14ac:dyDescent="0.25">
      <c r="P205" t="str">
        <v>EMP0202</v>
      </c>
      <c r="Q205" t="str">
        <v>Richard Baker</v>
      </c>
      <c r="R205" t="str">
        <v>Marketing</v>
      </c>
      <c r="S205" t="str">
        <v>Content Specialist</v>
      </c>
      <c r="T205" t="str">
        <v>Female</v>
      </c>
      <c r="U205">
        <v>36</v>
      </c>
      <c r="V205">
        <v>43262</v>
      </c>
      <c r="W205" t="str">
        <v>Contract</v>
      </c>
      <c r="X205">
        <v>80440.149999999994</v>
      </c>
      <c r="Y205">
        <v>2</v>
      </c>
      <c r="Z205">
        <v>87.93</v>
      </c>
      <c r="AA205">
        <v>7</v>
      </c>
      <c r="AB205">
        <v>30</v>
      </c>
      <c r="AC205">
        <v>35</v>
      </c>
      <c r="AD205" t="str">
        <v>Monica Herrera</v>
      </c>
      <c r="AE205" t="str">
        <v>Active</v>
      </c>
      <c r="AF205">
        <v>965281.79999999993</v>
      </c>
    </row>
    <row r="206" spans="16:32" x14ac:dyDescent="0.25">
      <c r="P206" t="str">
        <v>EMP0203</v>
      </c>
      <c r="Q206" t="str">
        <v>Sarah Phelps</v>
      </c>
      <c r="R206" t="str">
        <v>Customer Support</v>
      </c>
      <c r="S206" t="str">
        <v>Team Lead</v>
      </c>
      <c r="T206" t="str">
        <v>Female</v>
      </c>
      <c r="U206">
        <v>40</v>
      </c>
      <c r="V206">
        <v>44772</v>
      </c>
      <c r="W206" t="str">
        <v>Part-Time</v>
      </c>
      <c r="X206">
        <v>55964.46</v>
      </c>
      <c r="Y206">
        <v>4</v>
      </c>
      <c r="Z206">
        <v>89.32</v>
      </c>
      <c r="AA206">
        <v>3</v>
      </c>
      <c r="AB206">
        <v>60</v>
      </c>
      <c r="AC206">
        <v>48</v>
      </c>
      <c r="AD206" t="str">
        <v>Monica Herrera</v>
      </c>
      <c r="AE206" t="str">
        <v>Resigned</v>
      </c>
      <c r="AF206">
        <v>671573.52</v>
      </c>
    </row>
    <row r="207" spans="16:32" x14ac:dyDescent="0.25">
      <c r="P207" t="str">
        <v>EMP0204</v>
      </c>
      <c r="Q207" t="str">
        <v>Eugene Higgins</v>
      </c>
      <c r="R207" t="str">
        <v>Operations</v>
      </c>
      <c r="S207" t="str">
        <v>Operations Manager</v>
      </c>
      <c r="T207" t="str">
        <v>Female</v>
      </c>
      <c r="U207">
        <v>23</v>
      </c>
      <c r="V207">
        <v>45618</v>
      </c>
      <c r="W207" t="str">
        <v>Contract</v>
      </c>
      <c r="X207">
        <v>106408.48</v>
      </c>
      <c r="Y207">
        <v>2</v>
      </c>
      <c r="Z207">
        <v>80.319999999999993</v>
      </c>
      <c r="AA207">
        <v>1</v>
      </c>
      <c r="AB207">
        <v>70</v>
      </c>
      <c r="AC207">
        <v>59</v>
      </c>
      <c r="AD207" t="str">
        <v>Lisa Jackson</v>
      </c>
      <c r="AE207" t="str">
        <v>Active</v>
      </c>
      <c r="AF207">
        <v>1276901.76</v>
      </c>
    </row>
    <row r="208" spans="16:32" x14ac:dyDescent="0.25">
      <c r="P208" t="str">
        <v>EMP0205</v>
      </c>
      <c r="Q208" t="str">
        <v>Amanda Jones</v>
      </c>
      <c r="R208" t="str">
        <v>Customer Support</v>
      </c>
      <c r="S208" t="str">
        <v>Team Lead</v>
      </c>
      <c r="T208" t="str">
        <v>Male</v>
      </c>
      <c r="U208">
        <v>33</v>
      </c>
      <c r="V208">
        <v>45335</v>
      </c>
      <c r="W208" t="str">
        <v>Part-Time</v>
      </c>
      <c r="X208">
        <v>43001.86</v>
      </c>
      <c r="Y208">
        <v>5</v>
      </c>
      <c r="Z208">
        <v>96.67</v>
      </c>
      <c r="AA208">
        <v>1</v>
      </c>
      <c r="AB208">
        <v>63</v>
      </c>
      <c r="AC208">
        <v>35</v>
      </c>
      <c r="AD208" t="str">
        <v>Monica Herrera</v>
      </c>
      <c r="AE208" t="str">
        <v>Active</v>
      </c>
      <c r="AF208">
        <v>516022.32</v>
      </c>
    </row>
    <row r="209" spans="16:32" x14ac:dyDescent="0.25">
      <c r="P209" t="str">
        <v>EMP0206</v>
      </c>
      <c r="Q209" t="str">
        <v>Nicole Hamilton MD</v>
      </c>
      <c r="R209" t="str">
        <v>R&amp;D</v>
      </c>
      <c r="S209" t="str">
        <v>Product Developer</v>
      </c>
      <c r="T209" t="str">
        <v>Female</v>
      </c>
      <c r="U209">
        <v>31</v>
      </c>
      <c r="V209">
        <v>44088</v>
      </c>
      <c r="W209" t="str">
        <v>Contract</v>
      </c>
      <c r="X209">
        <v>99497.55</v>
      </c>
      <c r="Y209">
        <v>2</v>
      </c>
      <c r="Z209">
        <v>82.8</v>
      </c>
      <c r="AA209">
        <v>5</v>
      </c>
      <c r="AB209">
        <v>69</v>
      </c>
      <c r="AC209">
        <v>31</v>
      </c>
      <c r="AD209" t="str">
        <v>Connie Lawrence</v>
      </c>
      <c r="AE209" t="str">
        <v>Resigned</v>
      </c>
      <c r="AF209">
        <v>1193970.6000000001</v>
      </c>
    </row>
    <row r="210" spans="16:32" x14ac:dyDescent="0.25">
      <c r="P210" t="str">
        <v>EMP0207</v>
      </c>
      <c r="Q210" t="str">
        <v>Michael Berger</v>
      </c>
      <c r="R210" t="str">
        <v>Sales</v>
      </c>
      <c r="S210" t="str">
        <v>Account Executive</v>
      </c>
      <c r="T210" t="str">
        <v>Male</v>
      </c>
      <c r="U210">
        <v>25</v>
      </c>
      <c r="V210">
        <v>42927</v>
      </c>
      <c r="W210" t="str">
        <v>Contract</v>
      </c>
      <c r="X210">
        <v>24851.439999999999</v>
      </c>
      <c r="Y210">
        <v>1</v>
      </c>
      <c r="Z210">
        <v>88.25</v>
      </c>
      <c r="AA210">
        <v>8</v>
      </c>
      <c r="AB210">
        <v>80</v>
      </c>
      <c r="AC210">
        <v>14</v>
      </c>
      <c r="AD210" t="str">
        <v>Angie Henderson</v>
      </c>
      <c r="AE210" t="str">
        <v>Active</v>
      </c>
      <c r="AF210">
        <v>298217.27999999997</v>
      </c>
    </row>
    <row r="211" spans="16:32" x14ac:dyDescent="0.25">
      <c r="P211" t="str">
        <v>EMP0208</v>
      </c>
      <c r="Q211" t="str">
        <v>Anthony Howard</v>
      </c>
      <c r="R211" t="str">
        <v>Sales</v>
      </c>
      <c r="S211" t="str">
        <v>Sales Rep</v>
      </c>
      <c r="T211" t="str">
        <v>Female</v>
      </c>
      <c r="U211">
        <v>44</v>
      </c>
      <c r="V211">
        <v>42588</v>
      </c>
      <c r="W211" t="str">
        <v>Full-Time</v>
      </c>
      <c r="X211">
        <v>81783.520000000004</v>
      </c>
      <c r="Y211">
        <v>5</v>
      </c>
      <c r="Z211">
        <v>98.26</v>
      </c>
      <c r="AA211">
        <v>9</v>
      </c>
      <c r="AB211">
        <v>62</v>
      </c>
      <c r="AC211">
        <v>1</v>
      </c>
      <c r="AD211" t="str">
        <v>Allison Hill</v>
      </c>
      <c r="AE211" t="str">
        <v>Active</v>
      </c>
      <c r="AF211">
        <v>981402.24</v>
      </c>
    </row>
    <row r="212" spans="16:32" x14ac:dyDescent="0.25">
      <c r="P212" t="str">
        <v>EMP0209</v>
      </c>
      <c r="Q212" t="str">
        <v>Joseph Knight</v>
      </c>
      <c r="R212" t="str">
        <v>Customer Support</v>
      </c>
      <c r="S212" t="str">
        <v>Support Agent</v>
      </c>
      <c r="T212" t="str">
        <v>Male</v>
      </c>
      <c r="U212">
        <v>54</v>
      </c>
      <c r="V212">
        <v>44979</v>
      </c>
      <c r="W212" t="str">
        <v>Contract</v>
      </c>
      <c r="X212">
        <v>47474.07</v>
      </c>
      <c r="Y212">
        <v>3</v>
      </c>
      <c r="Z212">
        <v>80.34</v>
      </c>
      <c r="AA212">
        <v>2</v>
      </c>
      <c r="AB212">
        <v>55</v>
      </c>
      <c r="AC212">
        <v>51</v>
      </c>
      <c r="AD212" t="str">
        <v>Connie Lawrence</v>
      </c>
      <c r="AE212" t="str">
        <v>Active</v>
      </c>
      <c r="AF212">
        <v>569688.84</v>
      </c>
    </row>
    <row r="213" spans="16:32" x14ac:dyDescent="0.25">
      <c r="P213" t="str">
        <v>EMP0210</v>
      </c>
      <c r="Q213" t="str">
        <v>Bob Pitts</v>
      </c>
      <c r="R213" t="str">
        <v>Marketing</v>
      </c>
      <c r="S213" t="str">
        <v>Content Specialist</v>
      </c>
      <c r="T213" t="str">
        <v>Male</v>
      </c>
      <c r="U213">
        <v>36</v>
      </c>
      <c r="V213">
        <v>43421</v>
      </c>
      <c r="W213" t="str">
        <v>Full-Time</v>
      </c>
      <c r="X213">
        <v>81978.080000000002</v>
      </c>
      <c r="Y213">
        <v>3</v>
      </c>
      <c r="Z213">
        <v>96.3</v>
      </c>
      <c r="AA213">
        <v>7</v>
      </c>
      <c r="AB213">
        <v>34</v>
      </c>
      <c r="AC213">
        <v>50</v>
      </c>
      <c r="AD213" t="str">
        <v>Lisa Hensley</v>
      </c>
      <c r="AE213" t="str">
        <v>Active</v>
      </c>
      <c r="AF213">
        <v>983736.96</v>
      </c>
    </row>
    <row r="214" spans="16:32" x14ac:dyDescent="0.25">
      <c r="P214" t="str">
        <v>EMP0211</v>
      </c>
      <c r="Q214" t="str">
        <v>Mr. David Little MD</v>
      </c>
      <c r="R214" t="str">
        <v>Customer Support</v>
      </c>
      <c r="S214" t="str">
        <v>Team Lead</v>
      </c>
      <c r="T214" t="str">
        <v>Male</v>
      </c>
      <c r="U214">
        <v>35</v>
      </c>
      <c r="V214">
        <v>43799</v>
      </c>
      <c r="W214" t="str">
        <v>Part-Time</v>
      </c>
      <c r="X214">
        <v>88404.160000000003</v>
      </c>
      <c r="Y214">
        <v>1</v>
      </c>
      <c r="Z214">
        <v>93.07</v>
      </c>
      <c r="AA214">
        <v>6</v>
      </c>
      <c r="AB214">
        <v>4</v>
      </c>
      <c r="AC214">
        <v>5</v>
      </c>
      <c r="AD214" t="str">
        <v>Lisa Hensley</v>
      </c>
      <c r="AE214" t="str">
        <v>Active</v>
      </c>
      <c r="AF214">
        <v>1060849.92</v>
      </c>
    </row>
    <row r="215" spans="16:32" x14ac:dyDescent="0.25">
      <c r="P215" t="str">
        <v>EMP0212</v>
      </c>
      <c r="Q215" t="str">
        <v>Julie Roberts</v>
      </c>
      <c r="R215" t="str">
        <v>R&amp;D</v>
      </c>
      <c r="S215" t="str">
        <v>Researcher</v>
      </c>
      <c r="T215" t="str">
        <v>Male</v>
      </c>
      <c r="U215">
        <v>31</v>
      </c>
      <c r="V215">
        <v>42361</v>
      </c>
      <c r="W215" t="str">
        <v>Full-Time</v>
      </c>
      <c r="X215">
        <v>69985.84</v>
      </c>
      <c r="Y215">
        <v>4</v>
      </c>
      <c r="Z215">
        <v>92.9</v>
      </c>
      <c r="AA215">
        <v>10</v>
      </c>
      <c r="AB215">
        <v>42</v>
      </c>
      <c r="AC215">
        <v>36</v>
      </c>
      <c r="AD215" t="str">
        <v>Daniel Wagner</v>
      </c>
      <c r="AE215" t="str">
        <v>Resigned</v>
      </c>
      <c r="AF215">
        <v>839830.08</v>
      </c>
    </row>
    <row r="216" spans="16:32" x14ac:dyDescent="0.25">
      <c r="P216" t="str">
        <v>EMP0213</v>
      </c>
      <c r="Q216" t="str">
        <v>Jeremy Reed</v>
      </c>
      <c r="R216" t="str">
        <v>Sales</v>
      </c>
      <c r="S216" t="str">
        <v>Sales Rep</v>
      </c>
      <c r="T216" t="str">
        <v>Male</v>
      </c>
      <c r="U216">
        <v>57</v>
      </c>
      <c r="V216">
        <v>45699</v>
      </c>
      <c r="W216" t="str">
        <v>Part-Time</v>
      </c>
      <c r="X216">
        <v>47109.51</v>
      </c>
      <c r="Y216">
        <v>1</v>
      </c>
      <c r="Z216">
        <v>93.69</v>
      </c>
      <c r="AA216">
        <v>0</v>
      </c>
      <c r="AB216">
        <v>35</v>
      </c>
      <c r="AC216">
        <v>57</v>
      </c>
      <c r="AD216" t="str">
        <v>Derek Zuniga</v>
      </c>
      <c r="AE216" t="str">
        <v>Active</v>
      </c>
      <c r="AF216">
        <v>565314.12</v>
      </c>
    </row>
    <row r="217" spans="16:32" x14ac:dyDescent="0.25">
      <c r="P217" t="str">
        <v>EMP0214</v>
      </c>
      <c r="Q217" t="str">
        <v>Victor Vaughn</v>
      </c>
      <c r="R217" t="str">
        <v>Sales</v>
      </c>
      <c r="S217" t="str">
        <v>Sales Rep</v>
      </c>
      <c r="T217" t="str">
        <v>Female</v>
      </c>
      <c r="U217">
        <v>22</v>
      </c>
      <c r="V217">
        <v>45954</v>
      </c>
      <c r="W217" t="str">
        <v>Full-Time</v>
      </c>
      <c r="X217">
        <v>78703.61</v>
      </c>
      <c r="Y217">
        <v>4</v>
      </c>
      <c r="Z217">
        <v>98.58</v>
      </c>
      <c r="AA217">
        <v>0</v>
      </c>
      <c r="AB217">
        <v>38</v>
      </c>
      <c r="AC217">
        <v>10</v>
      </c>
      <c r="AD217" t="str">
        <v>Lisa Jackson</v>
      </c>
      <c r="AE217" t="str">
        <v>Active</v>
      </c>
      <c r="AF217">
        <v>944443.32000000007</v>
      </c>
    </row>
    <row r="218" spans="16:32" x14ac:dyDescent="0.25">
      <c r="P218" t="str">
        <v>EMP0215</v>
      </c>
      <c r="Q218" t="str">
        <v>Christina Cruz</v>
      </c>
      <c r="R218" t="str">
        <v>Customer Support</v>
      </c>
      <c r="S218" t="str">
        <v>Team Lead</v>
      </c>
      <c r="T218" t="str">
        <v>Female</v>
      </c>
      <c r="U218">
        <v>29</v>
      </c>
      <c r="V218">
        <v>45141</v>
      </c>
      <c r="W218" t="str">
        <v>Contract</v>
      </c>
      <c r="X218">
        <v>92416.36</v>
      </c>
      <c r="Y218">
        <v>5</v>
      </c>
      <c r="Z218">
        <v>94.91</v>
      </c>
      <c r="AA218">
        <v>2</v>
      </c>
      <c r="AB218">
        <v>44</v>
      </c>
      <c r="AC218">
        <v>3</v>
      </c>
      <c r="AD218" t="str">
        <v>Daniel Wagner</v>
      </c>
      <c r="AE218" t="str">
        <v>Active</v>
      </c>
      <c r="AF218">
        <v>1108996.32</v>
      </c>
    </row>
    <row r="219" spans="16:32" x14ac:dyDescent="0.25">
      <c r="P219" t="str">
        <v>EMP0216</v>
      </c>
      <c r="Q219" t="str">
        <v>James Howard</v>
      </c>
      <c r="R219" t="str">
        <v>Marketing</v>
      </c>
      <c r="S219" t="str">
        <v>Brand Manager</v>
      </c>
      <c r="T219" t="str">
        <v>Female</v>
      </c>
      <c r="U219">
        <v>41</v>
      </c>
      <c r="V219">
        <v>45305</v>
      </c>
      <c r="W219" t="str">
        <v>Full-Time</v>
      </c>
      <c r="X219">
        <v>83412.289999999994</v>
      </c>
      <c r="Y219">
        <v>4</v>
      </c>
      <c r="Z219">
        <v>89.81</v>
      </c>
      <c r="AA219">
        <v>1</v>
      </c>
      <c r="AB219">
        <v>45</v>
      </c>
      <c r="AC219">
        <v>35</v>
      </c>
      <c r="AD219" t="str">
        <v>Lisa Hensley</v>
      </c>
      <c r="AE219" t="str">
        <v>Active</v>
      </c>
      <c r="AF219">
        <v>1000947.48</v>
      </c>
    </row>
    <row r="220" spans="16:32" x14ac:dyDescent="0.25">
      <c r="P220" t="str">
        <v>EMP0217</v>
      </c>
      <c r="Q220" t="str">
        <v>Elizabeth Spence DDS</v>
      </c>
      <c r="R220" t="str">
        <v>Customer Support</v>
      </c>
      <c r="S220" t="str">
        <v>Support Agent</v>
      </c>
      <c r="T220" t="str">
        <v>Female</v>
      </c>
      <c r="U220">
        <v>36</v>
      </c>
      <c r="V220">
        <v>44141</v>
      </c>
      <c r="W220" t="str">
        <v>Contract</v>
      </c>
      <c r="X220">
        <v>27350.67</v>
      </c>
      <c r="Y220">
        <v>3</v>
      </c>
      <c r="Z220">
        <v>83.08</v>
      </c>
      <c r="AA220">
        <v>5</v>
      </c>
      <c r="AB220">
        <v>19</v>
      </c>
      <c r="AC220">
        <v>47</v>
      </c>
      <c r="AD220" t="str">
        <v>Lisa Hensley</v>
      </c>
      <c r="AE220" t="str">
        <v>Active</v>
      </c>
      <c r="AF220">
        <v>328208.03999999998</v>
      </c>
    </row>
    <row r="221" spans="16:32" x14ac:dyDescent="0.25">
      <c r="P221" t="str">
        <v>EMP0218</v>
      </c>
      <c r="Q221" t="str">
        <v>Sean Osborne</v>
      </c>
      <c r="R221" t="str">
        <v>Marketing</v>
      </c>
      <c r="S221" t="str">
        <v>Marketing Analyst</v>
      </c>
      <c r="T221" t="str">
        <v>Male</v>
      </c>
      <c r="U221">
        <v>40</v>
      </c>
      <c r="V221">
        <v>44008</v>
      </c>
      <c r="W221" t="str">
        <v>Part-Time</v>
      </c>
      <c r="X221">
        <v>55991.75</v>
      </c>
      <c r="Y221">
        <v>3</v>
      </c>
      <c r="Z221">
        <v>82.04</v>
      </c>
      <c r="AA221">
        <v>5</v>
      </c>
      <c r="AB221">
        <v>11</v>
      </c>
      <c r="AC221">
        <v>11</v>
      </c>
      <c r="AD221" t="str">
        <v>Michele Williams</v>
      </c>
      <c r="AE221" t="str">
        <v>Active</v>
      </c>
      <c r="AF221">
        <v>671901</v>
      </c>
    </row>
    <row r="222" spans="16:32" x14ac:dyDescent="0.25">
      <c r="P222" t="str">
        <v>EMP0219</v>
      </c>
      <c r="Q222" t="str">
        <v>Natasha Wall</v>
      </c>
      <c r="R222" t="str">
        <v>Customer Support</v>
      </c>
      <c r="S222" t="str">
        <v>Support Agent</v>
      </c>
      <c r="T222" t="str">
        <v>Male</v>
      </c>
      <c r="U222">
        <v>26</v>
      </c>
      <c r="V222">
        <v>42607</v>
      </c>
      <c r="W222" t="str">
        <v>Part-Time</v>
      </c>
      <c r="X222">
        <v>75421.98</v>
      </c>
      <c r="Y222">
        <v>5</v>
      </c>
      <c r="Z222">
        <v>91.96</v>
      </c>
      <c r="AA222">
        <v>9</v>
      </c>
      <c r="AB222">
        <v>41</v>
      </c>
      <c r="AC222">
        <v>55</v>
      </c>
      <c r="AD222" t="str">
        <v>Lisa Hensley</v>
      </c>
      <c r="AE222" t="str">
        <v>Active</v>
      </c>
      <c r="AF222">
        <v>905063.76</v>
      </c>
    </row>
    <row r="223" spans="16:32" x14ac:dyDescent="0.25">
      <c r="P223" t="str">
        <v>EMP0220</v>
      </c>
      <c r="Q223" t="str">
        <v>Crystal Pham</v>
      </c>
      <c r="R223" t="str">
        <v>Customer Support</v>
      </c>
      <c r="S223" t="str">
        <v>Team Lead</v>
      </c>
      <c r="T223" t="str">
        <v>Male</v>
      </c>
      <c r="U223">
        <v>56</v>
      </c>
      <c r="V223">
        <v>44081</v>
      </c>
      <c r="W223" t="str">
        <v>Full-Time</v>
      </c>
      <c r="X223">
        <v>77196.039999999994</v>
      </c>
      <c r="Y223">
        <v>2</v>
      </c>
      <c r="Z223">
        <v>93.71</v>
      </c>
      <c r="AA223">
        <v>5</v>
      </c>
      <c r="AB223">
        <v>21</v>
      </c>
      <c r="AC223">
        <v>8</v>
      </c>
      <c r="AD223" t="str">
        <v>Gabrielle Davis</v>
      </c>
      <c r="AE223" t="str">
        <v>Active</v>
      </c>
      <c r="AF223">
        <v>926352.48</v>
      </c>
    </row>
    <row r="224" spans="16:32" x14ac:dyDescent="0.25">
      <c r="P224" t="str">
        <v>EMP0221</v>
      </c>
      <c r="Q224" t="str">
        <v>Lisa Byrd</v>
      </c>
      <c r="R224" t="str">
        <v>R&amp;D</v>
      </c>
      <c r="S224" t="str">
        <v>Researcher</v>
      </c>
      <c r="T224" t="str">
        <v>Male</v>
      </c>
      <c r="U224">
        <v>31</v>
      </c>
      <c r="V224">
        <v>43663</v>
      </c>
      <c r="W224" t="str">
        <v>Part-Time</v>
      </c>
      <c r="X224">
        <v>47596.19</v>
      </c>
      <c r="Y224">
        <v>3</v>
      </c>
      <c r="Z224">
        <v>89.68</v>
      </c>
      <c r="AA224">
        <v>6</v>
      </c>
      <c r="AB224">
        <v>9</v>
      </c>
      <c r="AC224">
        <v>23</v>
      </c>
      <c r="AD224" t="str">
        <v>Gabrielle Davis</v>
      </c>
      <c r="AE224" t="str">
        <v>Resigned</v>
      </c>
      <c r="AF224">
        <v>571154.28</v>
      </c>
    </row>
    <row r="225" spans="16:32" x14ac:dyDescent="0.25">
      <c r="P225" t="str">
        <v>EMP0222</v>
      </c>
      <c r="Q225" t="str">
        <v>Stephanie Lucas</v>
      </c>
      <c r="R225" t="str">
        <v>R&amp;D</v>
      </c>
      <c r="S225" t="str">
        <v>Researcher</v>
      </c>
      <c r="T225" t="str">
        <v>Female</v>
      </c>
      <c r="U225">
        <v>27</v>
      </c>
      <c r="V225">
        <v>43152</v>
      </c>
      <c r="W225" t="str">
        <v>Full-Time</v>
      </c>
      <c r="X225">
        <v>50465.8</v>
      </c>
      <c r="Y225">
        <v>4</v>
      </c>
      <c r="Z225">
        <v>86.64</v>
      </c>
      <c r="AA225">
        <v>7</v>
      </c>
      <c r="AB225">
        <v>79</v>
      </c>
      <c r="AC225">
        <v>24</v>
      </c>
      <c r="AD225" t="str">
        <v>Monica Herrera</v>
      </c>
      <c r="AE225" t="str">
        <v>Active</v>
      </c>
      <c r="AF225">
        <v>605589.60000000009</v>
      </c>
    </row>
    <row r="226" spans="16:32" x14ac:dyDescent="0.25">
      <c r="P226" t="str">
        <v>EMP0223</v>
      </c>
      <c r="Q226" t="str">
        <v>Amanda Diaz</v>
      </c>
      <c r="R226" t="str">
        <v>Customer Support</v>
      </c>
      <c r="S226" t="str">
        <v>Support Agent</v>
      </c>
      <c r="T226" t="str">
        <v>Female</v>
      </c>
      <c r="U226">
        <v>41</v>
      </c>
      <c r="V226">
        <v>44222</v>
      </c>
      <c r="W226" t="str">
        <v>Contract</v>
      </c>
      <c r="X226">
        <v>114727.89</v>
      </c>
      <c r="Y226">
        <v>2</v>
      </c>
      <c r="Z226">
        <v>89.58</v>
      </c>
      <c r="AA226">
        <v>4</v>
      </c>
      <c r="AB226">
        <v>22</v>
      </c>
      <c r="AC226">
        <v>25</v>
      </c>
      <c r="AD226" t="str">
        <v>Monica Herrera</v>
      </c>
      <c r="AE226" t="str">
        <v>Active</v>
      </c>
      <c r="AF226">
        <v>1376734.68</v>
      </c>
    </row>
    <row r="227" spans="16:32" x14ac:dyDescent="0.25">
      <c r="P227" t="str">
        <v>EMP0224</v>
      </c>
      <c r="Q227" t="str">
        <v>Edward Burgess</v>
      </c>
      <c r="R227" t="str">
        <v>R&amp;D</v>
      </c>
      <c r="S227" t="str">
        <v>Researcher</v>
      </c>
      <c r="T227" t="str">
        <v>Female</v>
      </c>
      <c r="U227">
        <v>45</v>
      </c>
      <c r="V227">
        <v>43119</v>
      </c>
      <c r="W227" t="str">
        <v>Part-Time</v>
      </c>
      <c r="X227">
        <v>101649.45</v>
      </c>
      <c r="Y227">
        <v>4</v>
      </c>
      <c r="Z227">
        <v>87.3</v>
      </c>
      <c r="AA227">
        <v>7</v>
      </c>
      <c r="AB227">
        <v>72</v>
      </c>
      <c r="AC227">
        <v>12</v>
      </c>
      <c r="AD227" t="str">
        <v>Lisa Jackson</v>
      </c>
      <c r="AE227" t="str">
        <v>Resigned</v>
      </c>
      <c r="AF227">
        <v>1219793.3999999999</v>
      </c>
    </row>
    <row r="228" spans="16:32" x14ac:dyDescent="0.25">
      <c r="P228" t="str">
        <v>EMP0225</v>
      </c>
      <c r="Q228" t="str">
        <v>Richard Walter</v>
      </c>
      <c r="R228" t="str">
        <v>HR</v>
      </c>
      <c r="S228" t="str">
        <v>HR Manager</v>
      </c>
      <c r="T228" t="str">
        <v>Male</v>
      </c>
      <c r="U228">
        <v>50</v>
      </c>
      <c r="V228">
        <v>43394</v>
      </c>
      <c r="W228" t="str">
        <v>Contract</v>
      </c>
      <c r="X228">
        <v>40964.839999999997</v>
      </c>
      <c r="Y228">
        <v>3</v>
      </c>
      <c r="Z228">
        <v>96.63</v>
      </c>
      <c r="AA228">
        <v>7</v>
      </c>
      <c r="AB228">
        <v>8</v>
      </c>
      <c r="AC228">
        <v>52</v>
      </c>
      <c r="AD228" t="str">
        <v>Michele Williams</v>
      </c>
      <c r="AE228" t="str">
        <v>Active</v>
      </c>
      <c r="AF228">
        <v>491578.07999999996</v>
      </c>
    </row>
    <row r="229" spans="16:32" x14ac:dyDescent="0.25">
      <c r="P229" t="str">
        <v>EMP0226</v>
      </c>
      <c r="Q229" t="str">
        <v>Susan Rivas</v>
      </c>
      <c r="R229" t="str">
        <v>HR</v>
      </c>
      <c r="S229" t="str">
        <v>HR Manager</v>
      </c>
      <c r="T229" t="str">
        <v>Female</v>
      </c>
      <c r="U229">
        <v>36</v>
      </c>
      <c r="V229">
        <v>44576</v>
      </c>
      <c r="W229" t="str">
        <v>Part-Time</v>
      </c>
      <c r="X229">
        <v>85866.3</v>
      </c>
      <c r="Y229">
        <v>4</v>
      </c>
      <c r="Z229">
        <v>95.78</v>
      </c>
      <c r="AA229">
        <v>3</v>
      </c>
      <c r="AB229">
        <v>9</v>
      </c>
      <c r="AC229">
        <v>28</v>
      </c>
      <c r="AD229" t="str">
        <v>Carla Gray</v>
      </c>
      <c r="AE229" t="str">
        <v>Active</v>
      </c>
      <c r="AF229">
        <v>1030395.6000000001</v>
      </c>
    </row>
    <row r="230" spans="16:32" x14ac:dyDescent="0.25">
      <c r="P230" t="str">
        <v>EMP0227</v>
      </c>
      <c r="Q230" t="str">
        <v>Terry Coffey</v>
      </c>
      <c r="R230" t="str">
        <v>Customer Support</v>
      </c>
      <c r="S230" t="str">
        <v>Team Lead</v>
      </c>
      <c r="T230" t="str">
        <v>Male</v>
      </c>
      <c r="U230">
        <v>44</v>
      </c>
      <c r="V230">
        <v>43899</v>
      </c>
      <c r="W230" t="str">
        <v>Contract</v>
      </c>
      <c r="X230">
        <v>109550.15</v>
      </c>
      <c r="Y230">
        <v>5</v>
      </c>
      <c r="Z230">
        <v>91.88</v>
      </c>
      <c r="AA230">
        <v>5</v>
      </c>
      <c r="AB230">
        <v>10</v>
      </c>
      <c r="AC230">
        <v>6</v>
      </c>
      <c r="AD230" t="str">
        <v>Gina Moore</v>
      </c>
      <c r="AE230" t="str">
        <v>Active</v>
      </c>
      <c r="AF230">
        <v>1314601.7999999998</v>
      </c>
    </row>
    <row r="231" spans="16:32" x14ac:dyDescent="0.25">
      <c r="P231" t="str">
        <v>EMP0228</v>
      </c>
      <c r="Q231" t="str">
        <v>Gina Wilson</v>
      </c>
      <c r="R231" t="str">
        <v>Operations</v>
      </c>
      <c r="S231" t="str">
        <v>Operations Associate</v>
      </c>
      <c r="T231" t="str">
        <v>Male</v>
      </c>
      <c r="U231">
        <v>57</v>
      </c>
      <c r="V231">
        <v>44136</v>
      </c>
      <c r="W231" t="str">
        <v>Contract</v>
      </c>
      <c r="X231">
        <v>87747.19</v>
      </c>
      <c r="Y231">
        <v>4</v>
      </c>
      <c r="Z231">
        <v>99.34</v>
      </c>
      <c r="AA231">
        <v>5</v>
      </c>
      <c r="AB231">
        <v>42</v>
      </c>
      <c r="AC231">
        <v>50</v>
      </c>
      <c r="AD231" t="str">
        <v>Michele Williams</v>
      </c>
      <c r="AE231" t="str">
        <v>Active</v>
      </c>
      <c r="AF231">
        <v>1052966.28</v>
      </c>
    </row>
    <row r="232" spans="16:32" x14ac:dyDescent="0.25">
      <c r="P232" t="str">
        <v>EMP0229</v>
      </c>
      <c r="Q232" t="str">
        <v>Vincent Dalton</v>
      </c>
      <c r="R232" t="str">
        <v>Marketing</v>
      </c>
      <c r="S232" t="str">
        <v>Brand Manager</v>
      </c>
      <c r="T232" t="str">
        <v>Male</v>
      </c>
      <c r="U232">
        <v>53</v>
      </c>
      <c r="V232">
        <v>42770</v>
      </c>
      <c r="W232" t="str">
        <v>Contract</v>
      </c>
      <c r="X232">
        <v>71879.78</v>
      </c>
      <c r="Y232">
        <v>5</v>
      </c>
      <c r="Z232">
        <v>93.75</v>
      </c>
      <c r="AA232">
        <v>8</v>
      </c>
      <c r="AB232">
        <v>28</v>
      </c>
      <c r="AC232">
        <v>28</v>
      </c>
      <c r="AD232" t="str">
        <v>Jamie Arnold</v>
      </c>
      <c r="AE232" t="str">
        <v>Active</v>
      </c>
      <c r="AF232">
        <v>862557.36</v>
      </c>
    </row>
    <row r="233" spans="16:32" x14ac:dyDescent="0.25">
      <c r="P233" t="str">
        <v>EMP0230</v>
      </c>
      <c r="Q233" t="str">
        <v>Regina Diaz</v>
      </c>
      <c r="R233" t="str">
        <v>HR</v>
      </c>
      <c r="S233" t="str">
        <v>Recruiter</v>
      </c>
      <c r="T233" t="str">
        <v>Male</v>
      </c>
      <c r="U233">
        <v>51</v>
      </c>
      <c r="V233">
        <v>44772</v>
      </c>
      <c r="W233" t="str">
        <v>Full-Time</v>
      </c>
      <c r="X233">
        <v>49543.22</v>
      </c>
      <c r="Y233">
        <v>1</v>
      </c>
      <c r="Z233">
        <v>82.32</v>
      </c>
      <c r="AA233">
        <v>3</v>
      </c>
      <c r="AB233">
        <v>18</v>
      </c>
      <c r="AC233">
        <v>22</v>
      </c>
      <c r="AD233" t="str">
        <v>Ryan Munoz</v>
      </c>
      <c r="AE233" t="str">
        <v>Active</v>
      </c>
      <c r="AF233">
        <v>594518.64</v>
      </c>
    </row>
    <row r="234" spans="16:32" x14ac:dyDescent="0.25">
      <c r="P234" t="str">
        <v>EMP0231</v>
      </c>
      <c r="Q234" t="str">
        <v>Joshua Gibson</v>
      </c>
      <c r="R234" t="str">
        <v>IT</v>
      </c>
      <c r="S234" t="str">
        <v>Data Analyst</v>
      </c>
      <c r="T234" t="str">
        <v>Female</v>
      </c>
      <c r="U234">
        <v>43</v>
      </c>
      <c r="V234">
        <v>44754</v>
      </c>
      <c r="W234" t="str">
        <v>Part-Time</v>
      </c>
      <c r="X234">
        <v>29762.3</v>
      </c>
      <c r="Y234">
        <v>4</v>
      </c>
      <c r="Z234">
        <v>86.38</v>
      </c>
      <c r="AA234">
        <v>3</v>
      </c>
      <c r="AB234">
        <v>38</v>
      </c>
      <c r="AC234">
        <v>2</v>
      </c>
      <c r="AD234" t="str">
        <v>Daniel Wagner</v>
      </c>
      <c r="AE234" t="str">
        <v>Active</v>
      </c>
      <c r="AF234">
        <v>357147.6</v>
      </c>
    </row>
    <row r="235" spans="16:32" x14ac:dyDescent="0.25">
      <c r="P235" t="str">
        <v>EMP0232</v>
      </c>
      <c r="Q235" t="str">
        <v>Samantha Bentley</v>
      </c>
      <c r="R235" t="str">
        <v>Operations</v>
      </c>
      <c r="S235" t="str">
        <v>Operations Associate</v>
      </c>
      <c r="T235" t="str">
        <v>Male</v>
      </c>
      <c r="U235">
        <v>36</v>
      </c>
      <c r="V235">
        <v>43932</v>
      </c>
      <c r="W235" t="str">
        <v>Contract</v>
      </c>
      <c r="X235">
        <v>37445.32</v>
      </c>
      <c r="Y235">
        <v>2</v>
      </c>
      <c r="Z235">
        <v>86.62</v>
      </c>
      <c r="AA235">
        <v>5</v>
      </c>
      <c r="AB235">
        <v>54</v>
      </c>
      <c r="AC235">
        <v>29</v>
      </c>
      <c r="AD235" t="str">
        <v>Gina Moore</v>
      </c>
      <c r="AE235" t="str">
        <v>Active</v>
      </c>
      <c r="AF235">
        <v>449343.83999999997</v>
      </c>
    </row>
    <row r="236" spans="16:32" x14ac:dyDescent="0.25">
      <c r="P236" t="str">
        <v>EMP0233</v>
      </c>
      <c r="Q236" t="str">
        <v>Kaitlyn Harvey</v>
      </c>
      <c r="R236" t="str">
        <v>HR</v>
      </c>
      <c r="S236" t="str">
        <v>HR Officer</v>
      </c>
      <c r="T236" t="str">
        <v>Female</v>
      </c>
      <c r="U236">
        <v>46</v>
      </c>
      <c r="V236">
        <v>42976</v>
      </c>
      <c r="W236" t="str">
        <v>Full-Time</v>
      </c>
      <c r="X236">
        <v>93738.84</v>
      </c>
      <c r="Y236">
        <v>2</v>
      </c>
      <c r="Z236">
        <v>88.99</v>
      </c>
      <c r="AA236">
        <v>8</v>
      </c>
      <c r="AB236">
        <v>54</v>
      </c>
      <c r="AC236">
        <v>24</v>
      </c>
      <c r="AD236" t="str">
        <v>Allison Hill</v>
      </c>
      <c r="AE236" t="str">
        <v>Active</v>
      </c>
      <c r="AF236">
        <v>1124866.08</v>
      </c>
    </row>
    <row r="237" spans="16:32" x14ac:dyDescent="0.25">
      <c r="P237" t="str">
        <v>EMP0234</v>
      </c>
      <c r="Q237" t="str">
        <v>Leonard Holland</v>
      </c>
      <c r="R237" t="str">
        <v>IT</v>
      </c>
      <c r="S237" t="str">
        <v>Software Engineer</v>
      </c>
      <c r="T237" t="str">
        <v>Male</v>
      </c>
      <c r="U237">
        <v>57</v>
      </c>
      <c r="V237">
        <v>45791</v>
      </c>
      <c r="W237" t="str">
        <v>Full-Time</v>
      </c>
      <c r="X237">
        <v>99950.24</v>
      </c>
      <c r="Y237">
        <v>5</v>
      </c>
      <c r="Z237">
        <v>83.74</v>
      </c>
      <c r="AA237">
        <v>0</v>
      </c>
      <c r="AB237">
        <v>41</v>
      </c>
      <c r="AC237">
        <v>12</v>
      </c>
      <c r="AD237" t="str">
        <v>Dylan Miller</v>
      </c>
      <c r="AE237" t="str">
        <v>Active</v>
      </c>
      <c r="AF237">
        <v>1199402.8800000001</v>
      </c>
    </row>
    <row r="238" spans="16:32" x14ac:dyDescent="0.25">
      <c r="P238" t="str">
        <v>EMP0235</v>
      </c>
      <c r="Q238" t="str">
        <v>Elizabeth Ortiz</v>
      </c>
      <c r="R238" t="str">
        <v>R&amp;D</v>
      </c>
      <c r="S238" t="str">
        <v>Product Developer</v>
      </c>
      <c r="T238" t="str">
        <v>Female</v>
      </c>
      <c r="U238">
        <v>60</v>
      </c>
      <c r="V238">
        <v>45187</v>
      </c>
      <c r="W238" t="str">
        <v>Part-Time</v>
      </c>
      <c r="X238">
        <v>78700.47</v>
      </c>
      <c r="Y238">
        <v>3</v>
      </c>
      <c r="Z238">
        <v>87.04</v>
      </c>
      <c r="AA238">
        <v>2</v>
      </c>
      <c r="AB238">
        <v>58</v>
      </c>
      <c r="AC238">
        <v>39</v>
      </c>
      <c r="AD238" t="str">
        <v>Connie Lawrence</v>
      </c>
      <c r="AE238" t="str">
        <v>Active</v>
      </c>
      <c r="AF238">
        <v>944405.64</v>
      </c>
    </row>
    <row r="239" spans="16:32" x14ac:dyDescent="0.25">
      <c r="P239" t="str">
        <v>EMP0236</v>
      </c>
      <c r="Q239" t="str">
        <v>Andrew Ferrell</v>
      </c>
      <c r="R239" t="str">
        <v>Finance</v>
      </c>
      <c r="S239" t="str">
        <v>Finance Manager</v>
      </c>
      <c r="T239" t="str">
        <v>Male</v>
      </c>
      <c r="U239">
        <v>29</v>
      </c>
      <c r="V239">
        <v>43171</v>
      </c>
      <c r="W239" t="str">
        <v>Part-Time</v>
      </c>
      <c r="X239">
        <v>31786.17</v>
      </c>
      <c r="Y239">
        <v>3</v>
      </c>
      <c r="Z239">
        <v>82.34</v>
      </c>
      <c r="AA239">
        <v>7</v>
      </c>
      <c r="AB239">
        <v>47</v>
      </c>
      <c r="AC239">
        <v>44</v>
      </c>
      <c r="AD239" t="str">
        <v>Cristian Santos</v>
      </c>
      <c r="AE239" t="str">
        <v>Active</v>
      </c>
      <c r="AF239">
        <v>381434.04</v>
      </c>
    </row>
    <row r="240" spans="16:32" x14ac:dyDescent="0.25">
      <c r="P240" t="str">
        <v>EMP0237</v>
      </c>
      <c r="Q240" t="str">
        <v>Stephen Taylor</v>
      </c>
      <c r="R240" t="str">
        <v>Customer Support</v>
      </c>
      <c r="S240" t="str">
        <v>Support Agent</v>
      </c>
      <c r="T240" t="str">
        <v>Female</v>
      </c>
      <c r="U240">
        <v>48</v>
      </c>
      <c r="V240">
        <v>43024</v>
      </c>
      <c r="W240" t="str">
        <v>Full-Time</v>
      </c>
      <c r="X240">
        <v>68667.02</v>
      </c>
      <c r="Y240">
        <v>5</v>
      </c>
      <c r="Z240">
        <v>93.87</v>
      </c>
      <c r="AA240">
        <v>8</v>
      </c>
      <c r="AB240">
        <v>22</v>
      </c>
      <c r="AC240">
        <v>35</v>
      </c>
      <c r="AD240" t="str">
        <v>Connie Lawrence</v>
      </c>
      <c r="AE240" t="str">
        <v>Active</v>
      </c>
      <c r="AF240">
        <v>824004.24</v>
      </c>
    </row>
    <row r="241" spans="16:32" x14ac:dyDescent="0.25">
      <c r="P241" t="str">
        <v>EMP0238</v>
      </c>
      <c r="Q241" t="str">
        <v>Travis Horton</v>
      </c>
      <c r="R241" t="str">
        <v>HR</v>
      </c>
      <c r="S241" t="str">
        <v>HR Officer</v>
      </c>
      <c r="T241" t="str">
        <v>Female</v>
      </c>
      <c r="U241">
        <v>49</v>
      </c>
      <c r="V241">
        <v>45121</v>
      </c>
      <c r="W241" t="str">
        <v>Contract</v>
      </c>
      <c r="X241">
        <v>25361.13</v>
      </c>
      <c r="Y241">
        <v>3</v>
      </c>
      <c r="Z241">
        <v>99.04</v>
      </c>
      <c r="AA241">
        <v>2</v>
      </c>
      <c r="AB241">
        <v>62</v>
      </c>
      <c r="AC241">
        <v>8</v>
      </c>
      <c r="AD241" t="str">
        <v>Abigail Shaffer</v>
      </c>
      <c r="AE241" t="str">
        <v>Active</v>
      </c>
      <c r="AF241">
        <v>304333.56</v>
      </c>
    </row>
    <row r="242" spans="16:32" x14ac:dyDescent="0.25">
      <c r="P242" t="str">
        <v>EMP0239</v>
      </c>
      <c r="Q242" t="str">
        <v>Patrick Moore</v>
      </c>
      <c r="R242" t="str">
        <v>R&amp;D</v>
      </c>
      <c r="S242" t="str">
        <v>Product Developer</v>
      </c>
      <c r="T242" t="str">
        <v>Female</v>
      </c>
      <c r="U242">
        <v>47</v>
      </c>
      <c r="V242">
        <v>45659</v>
      </c>
      <c r="W242" t="str">
        <v>Contract</v>
      </c>
      <c r="X242">
        <v>103989.18</v>
      </c>
      <c r="Y242">
        <v>4</v>
      </c>
      <c r="Z242">
        <v>83.35</v>
      </c>
      <c r="AA242">
        <v>0</v>
      </c>
      <c r="AB242">
        <v>72</v>
      </c>
      <c r="AC242">
        <v>1</v>
      </c>
      <c r="AD242" t="str">
        <v>Gina Moore</v>
      </c>
      <c r="AE242" t="str">
        <v>Active</v>
      </c>
      <c r="AF242">
        <v>1247870.1599999999</v>
      </c>
    </row>
    <row r="243" spans="16:32" x14ac:dyDescent="0.25">
      <c r="P243" t="str">
        <v>EMP0240</v>
      </c>
      <c r="Q243" t="str">
        <v>Sandra Gilbert</v>
      </c>
      <c r="R243" t="str">
        <v>Finance</v>
      </c>
      <c r="S243" t="str">
        <v>Accountant</v>
      </c>
      <c r="T243" t="str">
        <v>Female</v>
      </c>
      <c r="U243">
        <v>31</v>
      </c>
      <c r="V243">
        <v>44881</v>
      </c>
      <c r="W243" t="str">
        <v>Part-Time</v>
      </c>
      <c r="X243">
        <v>76565.05</v>
      </c>
      <c r="Y243">
        <v>4</v>
      </c>
      <c r="Z243">
        <v>90.99</v>
      </c>
      <c r="AA243">
        <v>3</v>
      </c>
      <c r="AB243">
        <v>14</v>
      </c>
      <c r="AC243">
        <v>36</v>
      </c>
      <c r="AD243" t="str">
        <v>Daniel Wagner</v>
      </c>
      <c r="AE243" t="str">
        <v>Active</v>
      </c>
      <c r="AF243">
        <v>918780.60000000009</v>
      </c>
    </row>
    <row r="244" spans="16:32" x14ac:dyDescent="0.25">
      <c r="P244" t="str">
        <v>EMP0241</v>
      </c>
      <c r="Q244" t="str">
        <v>Jacob Ramos</v>
      </c>
      <c r="R244" t="str">
        <v>Operations</v>
      </c>
      <c r="S244" t="str">
        <v>Operations Associate</v>
      </c>
      <c r="T244" t="str">
        <v>Female</v>
      </c>
      <c r="U244">
        <v>55</v>
      </c>
      <c r="V244">
        <v>44041</v>
      </c>
      <c r="W244" t="str">
        <v>Full-Time</v>
      </c>
      <c r="X244">
        <v>118977.57</v>
      </c>
      <c r="Y244">
        <v>1</v>
      </c>
      <c r="Z244">
        <v>94.72</v>
      </c>
      <c r="AA244">
        <v>5</v>
      </c>
      <c r="AB244">
        <v>31</v>
      </c>
      <c r="AC244">
        <v>19</v>
      </c>
      <c r="AD244" t="str">
        <v>Noah Rhodes</v>
      </c>
      <c r="AE244" t="str">
        <v>Active</v>
      </c>
      <c r="AF244">
        <v>1427730.84</v>
      </c>
    </row>
    <row r="245" spans="16:32" x14ac:dyDescent="0.25">
      <c r="P245" t="str">
        <v>EMP0242</v>
      </c>
      <c r="Q245" t="str">
        <v>Ariana Jennings</v>
      </c>
      <c r="R245" t="str">
        <v>Operations</v>
      </c>
      <c r="S245" t="str">
        <v>Operations Associate</v>
      </c>
      <c r="T245" t="str">
        <v>Female</v>
      </c>
      <c r="U245">
        <v>28</v>
      </c>
      <c r="V245">
        <v>43770</v>
      </c>
      <c r="W245" t="str">
        <v>Full-Time</v>
      </c>
      <c r="X245">
        <v>40987.82</v>
      </c>
      <c r="Y245">
        <v>5</v>
      </c>
      <c r="Z245">
        <v>93.78</v>
      </c>
      <c r="AA245">
        <v>6</v>
      </c>
      <c r="AB245">
        <v>78</v>
      </c>
      <c r="AC245">
        <v>40</v>
      </c>
      <c r="AD245" t="str">
        <v>Michele Williams</v>
      </c>
      <c r="AE245" t="str">
        <v>Active</v>
      </c>
      <c r="AF245">
        <v>491853.83999999997</v>
      </c>
    </row>
    <row r="246" spans="16:32" x14ac:dyDescent="0.25">
      <c r="P246" t="str">
        <v>EMP0243</v>
      </c>
      <c r="Q246" t="str">
        <v>Maria Brown</v>
      </c>
      <c r="R246" t="str">
        <v>HR</v>
      </c>
      <c r="S246" t="str">
        <v>HR Officer</v>
      </c>
      <c r="T246" t="str">
        <v>Male</v>
      </c>
      <c r="U246">
        <v>24</v>
      </c>
      <c r="V246">
        <v>45686</v>
      </c>
      <c r="W246" t="str">
        <v>Contract</v>
      </c>
      <c r="X246">
        <v>55081.55</v>
      </c>
      <c r="Y246">
        <v>3</v>
      </c>
      <c r="Z246">
        <v>91.94</v>
      </c>
      <c r="AA246">
        <v>0</v>
      </c>
      <c r="AB246">
        <v>21</v>
      </c>
      <c r="AC246">
        <v>20</v>
      </c>
      <c r="AD246" t="str">
        <v>Ryan Munoz</v>
      </c>
      <c r="AE246" t="str">
        <v>Active</v>
      </c>
      <c r="AF246">
        <v>660978.60000000009</v>
      </c>
    </row>
    <row r="247" spans="16:32" x14ac:dyDescent="0.25">
      <c r="P247" t="str">
        <v>EMP0244</v>
      </c>
      <c r="Q247" t="str">
        <v>Bryan Charles</v>
      </c>
      <c r="R247" t="str">
        <v>Finance</v>
      </c>
      <c r="S247" t="str">
        <v>Finance Manager</v>
      </c>
      <c r="T247" t="str">
        <v>Male</v>
      </c>
      <c r="U247">
        <v>29</v>
      </c>
      <c r="V247">
        <v>44017</v>
      </c>
      <c r="W247" t="str">
        <v>Part-Time</v>
      </c>
      <c r="X247">
        <v>111876.87</v>
      </c>
      <c r="Y247">
        <v>3</v>
      </c>
      <c r="Z247">
        <v>97.34</v>
      </c>
      <c r="AA247">
        <v>5</v>
      </c>
      <c r="AB247">
        <v>16</v>
      </c>
      <c r="AC247">
        <v>44</v>
      </c>
      <c r="AD247" t="str">
        <v>Cristian Santos</v>
      </c>
      <c r="AE247" t="str">
        <v>Active</v>
      </c>
      <c r="AF247">
        <v>1342522.44</v>
      </c>
    </row>
    <row r="248" spans="16:32" x14ac:dyDescent="0.25">
      <c r="P248" t="str">
        <v>EMP0245</v>
      </c>
      <c r="Q248" t="str">
        <v>Daniel Fowler</v>
      </c>
      <c r="R248" t="str">
        <v>Operations</v>
      </c>
      <c r="S248" t="str">
        <v>Operations Associate</v>
      </c>
      <c r="T248" t="str">
        <v>Female</v>
      </c>
      <c r="U248">
        <v>52</v>
      </c>
      <c r="V248">
        <v>45128</v>
      </c>
      <c r="W248" t="str">
        <v>Full-Time</v>
      </c>
      <c r="X248">
        <v>77742.55</v>
      </c>
      <c r="Y248">
        <v>3</v>
      </c>
      <c r="Z248">
        <v>92.56</v>
      </c>
      <c r="AA248">
        <v>2</v>
      </c>
      <c r="AB248">
        <v>48</v>
      </c>
      <c r="AC248">
        <v>28</v>
      </c>
      <c r="AD248" t="str">
        <v>Angie Henderson</v>
      </c>
      <c r="AE248" t="str">
        <v>Active</v>
      </c>
      <c r="AF248">
        <v>932910.60000000009</v>
      </c>
    </row>
    <row r="249" spans="16:32" x14ac:dyDescent="0.25">
      <c r="P249" t="str">
        <v>EMP0246</v>
      </c>
      <c r="Q249" t="str">
        <v>Gavin Zhang</v>
      </c>
      <c r="R249" t="str">
        <v>Marketing</v>
      </c>
      <c r="S249" t="str">
        <v>Brand Manager</v>
      </c>
      <c r="T249" t="str">
        <v>Female</v>
      </c>
      <c r="U249">
        <v>44</v>
      </c>
      <c r="V249">
        <v>42435</v>
      </c>
      <c r="W249" t="str">
        <v>Part-Time</v>
      </c>
      <c r="X249">
        <v>115025.41</v>
      </c>
      <c r="Y249">
        <v>3</v>
      </c>
      <c r="Z249">
        <v>91.64</v>
      </c>
      <c r="AA249">
        <v>9</v>
      </c>
      <c r="AB249">
        <v>11</v>
      </c>
      <c r="AC249">
        <v>46</v>
      </c>
      <c r="AD249" t="str">
        <v>Dylan Miller</v>
      </c>
      <c r="AE249" t="str">
        <v>Active</v>
      </c>
      <c r="AF249">
        <v>1380304.92</v>
      </c>
    </row>
    <row r="250" spans="16:32" x14ac:dyDescent="0.25">
      <c r="P250" t="str">
        <v>EMP0247</v>
      </c>
      <c r="Q250" t="str">
        <v>Ronald Spencer</v>
      </c>
      <c r="R250" t="str">
        <v>Operations</v>
      </c>
      <c r="S250" t="str">
        <v>Operations Associate</v>
      </c>
      <c r="T250" t="str">
        <v>Female</v>
      </c>
      <c r="U250">
        <v>34</v>
      </c>
      <c r="V250">
        <v>45811</v>
      </c>
      <c r="W250" t="str">
        <v>Part-Time</v>
      </c>
      <c r="X250">
        <v>102484.76</v>
      </c>
      <c r="Y250">
        <v>4</v>
      </c>
      <c r="Z250">
        <v>85.37</v>
      </c>
      <c r="AA250">
        <v>0</v>
      </c>
      <c r="AB250">
        <v>36</v>
      </c>
      <c r="AC250">
        <v>21</v>
      </c>
      <c r="AD250" t="str">
        <v>Derek Zuniga</v>
      </c>
      <c r="AE250" t="str">
        <v>Active</v>
      </c>
      <c r="AF250">
        <v>1229817.1199999999</v>
      </c>
    </row>
    <row r="251" spans="16:32" x14ac:dyDescent="0.25">
      <c r="P251" t="str">
        <v>EMP0248</v>
      </c>
      <c r="Q251" t="str">
        <v>Sergio Murphy</v>
      </c>
      <c r="R251" t="str">
        <v>R&amp;D</v>
      </c>
      <c r="S251" t="str">
        <v>Product Developer</v>
      </c>
      <c r="T251" t="str">
        <v>Male</v>
      </c>
      <c r="U251">
        <v>23</v>
      </c>
      <c r="V251">
        <v>45946</v>
      </c>
      <c r="W251" t="str">
        <v>Full-Time</v>
      </c>
      <c r="X251">
        <v>82617.95</v>
      </c>
      <c r="Y251">
        <v>4</v>
      </c>
      <c r="Z251">
        <v>80.33</v>
      </c>
      <c r="AA251">
        <v>0</v>
      </c>
      <c r="AB251">
        <v>20</v>
      </c>
      <c r="AC251">
        <v>28</v>
      </c>
      <c r="AD251" t="str">
        <v>Dylan Miller</v>
      </c>
      <c r="AE251" t="str">
        <v>Active</v>
      </c>
      <c r="AF251">
        <v>991415.39999999991</v>
      </c>
    </row>
    <row r="252" spans="16:32" x14ac:dyDescent="0.25">
      <c r="P252" t="str">
        <v>EMP0249</v>
      </c>
      <c r="Q252" t="str">
        <v>Linda Ramirez</v>
      </c>
      <c r="R252" t="str">
        <v>Customer Support</v>
      </c>
      <c r="S252" t="str">
        <v>Support Agent</v>
      </c>
      <c r="T252" t="str">
        <v>Male</v>
      </c>
      <c r="U252">
        <v>40</v>
      </c>
      <c r="V252">
        <v>43219</v>
      </c>
      <c r="W252" t="str">
        <v>Full-Time</v>
      </c>
      <c r="X252">
        <v>107442.34</v>
      </c>
      <c r="Y252">
        <v>3</v>
      </c>
      <c r="Z252">
        <v>81.87</v>
      </c>
      <c r="AA252">
        <v>7</v>
      </c>
      <c r="AB252">
        <v>46</v>
      </c>
      <c r="AC252">
        <v>16</v>
      </c>
      <c r="AD252" t="str">
        <v>Angie Henderson</v>
      </c>
      <c r="AE252" t="str">
        <v>Active</v>
      </c>
      <c r="AF252">
        <v>1289308.08</v>
      </c>
    </row>
    <row r="253" spans="16:32" x14ac:dyDescent="0.25">
      <c r="P253" t="str">
        <v>EMP0250</v>
      </c>
      <c r="Q253" t="str">
        <v>Ms. Rebecca Rodriguez</v>
      </c>
      <c r="R253" t="str">
        <v>HR</v>
      </c>
      <c r="S253" t="str">
        <v>HR Officer</v>
      </c>
      <c r="T253" t="str">
        <v>Female</v>
      </c>
      <c r="U253">
        <v>40</v>
      </c>
      <c r="V253">
        <v>43202</v>
      </c>
      <c r="W253" t="str">
        <v>Contract</v>
      </c>
      <c r="X253">
        <v>89944.14</v>
      </c>
      <c r="Y253">
        <v>2</v>
      </c>
      <c r="Z253">
        <v>88.58</v>
      </c>
      <c r="AA253">
        <v>7</v>
      </c>
      <c r="AB253">
        <v>11</v>
      </c>
      <c r="AC253">
        <v>45</v>
      </c>
      <c r="AD253" t="str">
        <v>Daniel Wagner</v>
      </c>
      <c r="AE253" t="str">
        <v>Active</v>
      </c>
      <c r="AF253">
        <v>1079329.68</v>
      </c>
    </row>
    <row r="254" spans="16:32" x14ac:dyDescent="0.25">
      <c r="P254" t="str">
        <v>EMP0251</v>
      </c>
      <c r="Q254" t="str">
        <v>Hunter Kramer</v>
      </c>
      <c r="R254" t="str">
        <v>R&amp;D</v>
      </c>
      <c r="S254" t="str">
        <v>Researcher</v>
      </c>
      <c r="T254" t="str">
        <v>Male</v>
      </c>
      <c r="U254">
        <v>58</v>
      </c>
      <c r="V254">
        <v>42463</v>
      </c>
      <c r="W254" t="str">
        <v>Full-Time</v>
      </c>
      <c r="X254">
        <v>71944.429999999993</v>
      </c>
      <c r="Y254">
        <v>4</v>
      </c>
      <c r="Z254">
        <v>80.19</v>
      </c>
      <c r="AA254">
        <v>9</v>
      </c>
      <c r="AB254">
        <v>43</v>
      </c>
      <c r="AC254">
        <v>52</v>
      </c>
      <c r="AD254" t="str">
        <v>Daniel Wagner</v>
      </c>
      <c r="AE254" t="str">
        <v>Resigned</v>
      </c>
      <c r="AF254">
        <v>863333.15999999992</v>
      </c>
    </row>
    <row r="255" spans="16:32" x14ac:dyDescent="0.25">
      <c r="P255" t="str">
        <v>EMP0252</v>
      </c>
      <c r="Q255" t="str">
        <v>Derek Martinez</v>
      </c>
      <c r="R255" t="str">
        <v>Customer Support</v>
      </c>
      <c r="S255" t="str">
        <v>Support Agent</v>
      </c>
      <c r="T255" t="str">
        <v>Female</v>
      </c>
      <c r="U255">
        <v>25</v>
      </c>
      <c r="V255">
        <v>44314</v>
      </c>
      <c r="W255" t="str">
        <v>Full-Time</v>
      </c>
      <c r="X255">
        <v>58306.99</v>
      </c>
      <c r="Y255">
        <v>1</v>
      </c>
      <c r="Z255">
        <v>82.06</v>
      </c>
      <c r="AA255">
        <v>4</v>
      </c>
      <c r="AB255">
        <v>47</v>
      </c>
      <c r="AC255">
        <v>56</v>
      </c>
      <c r="AD255" t="str">
        <v>Ryan Munoz</v>
      </c>
      <c r="AE255" t="str">
        <v>Active</v>
      </c>
      <c r="AF255">
        <v>699683.88</v>
      </c>
    </row>
    <row r="256" spans="16:32" x14ac:dyDescent="0.25">
      <c r="P256" t="str">
        <v>EMP0253</v>
      </c>
      <c r="Q256" t="str">
        <v>Nichole Alvarez</v>
      </c>
      <c r="R256" t="str">
        <v>HR</v>
      </c>
      <c r="S256" t="str">
        <v>HR Manager</v>
      </c>
      <c r="T256" t="str">
        <v>Male</v>
      </c>
      <c r="U256">
        <v>25</v>
      </c>
      <c r="V256">
        <v>44918</v>
      </c>
      <c r="W256" t="str">
        <v>Contract</v>
      </c>
      <c r="X256">
        <v>76329.119999999995</v>
      </c>
      <c r="Y256">
        <v>5</v>
      </c>
      <c r="Z256">
        <v>93</v>
      </c>
      <c r="AA256">
        <v>3</v>
      </c>
      <c r="AB256">
        <v>56</v>
      </c>
      <c r="AC256">
        <v>22</v>
      </c>
      <c r="AD256" t="str">
        <v>Abigail Shaffer</v>
      </c>
      <c r="AE256" t="str">
        <v>Active</v>
      </c>
      <c r="AF256">
        <v>915949.44</v>
      </c>
    </row>
    <row r="257" spans="16:32" x14ac:dyDescent="0.25">
      <c r="P257" t="str">
        <v>EMP0254</v>
      </c>
      <c r="Q257" t="str">
        <v>Ashley Gordon</v>
      </c>
      <c r="R257" t="str">
        <v>HR</v>
      </c>
      <c r="S257" t="str">
        <v>Recruiter</v>
      </c>
      <c r="T257" t="str">
        <v>Female</v>
      </c>
      <c r="U257">
        <v>34</v>
      </c>
      <c r="V257">
        <v>44552</v>
      </c>
      <c r="W257" t="str">
        <v>Full-Time</v>
      </c>
      <c r="X257">
        <v>109659.29</v>
      </c>
      <c r="Y257">
        <v>2</v>
      </c>
      <c r="Z257">
        <v>95.05</v>
      </c>
      <c r="AA257">
        <v>4</v>
      </c>
      <c r="AB257">
        <v>75</v>
      </c>
      <c r="AC257">
        <v>46</v>
      </c>
      <c r="AD257" t="str">
        <v>Lisa Hensley</v>
      </c>
      <c r="AE257" t="str">
        <v>Active</v>
      </c>
      <c r="AF257">
        <v>1315911.48</v>
      </c>
    </row>
    <row r="258" spans="16:32" x14ac:dyDescent="0.25">
      <c r="P258" t="str">
        <v>EMP0255</v>
      </c>
      <c r="Q258" t="str">
        <v>Susan Hopkins</v>
      </c>
      <c r="R258" t="str">
        <v>Customer Support</v>
      </c>
      <c r="S258" t="str">
        <v>Team Lead</v>
      </c>
      <c r="T258" t="str">
        <v>Male</v>
      </c>
      <c r="U258">
        <v>36</v>
      </c>
      <c r="V258">
        <v>42572</v>
      </c>
      <c r="W258" t="str">
        <v>Part-Time</v>
      </c>
      <c r="X258">
        <v>84462.06</v>
      </c>
      <c r="Y258">
        <v>2</v>
      </c>
      <c r="Z258">
        <v>91.07</v>
      </c>
      <c r="AA258">
        <v>9</v>
      </c>
      <c r="AB258">
        <v>76</v>
      </c>
      <c r="AC258">
        <v>46</v>
      </c>
      <c r="AD258" t="str">
        <v>Carla Gray</v>
      </c>
      <c r="AE258" t="str">
        <v>Active</v>
      </c>
      <c r="AF258">
        <v>1013544.72</v>
      </c>
    </row>
    <row r="259" spans="16:32" x14ac:dyDescent="0.25">
      <c r="P259" t="str">
        <v>EMP0256</v>
      </c>
      <c r="Q259" t="str">
        <v>Victor Brown</v>
      </c>
      <c r="R259" t="str">
        <v>Sales</v>
      </c>
      <c r="S259" t="str">
        <v>Account Executive</v>
      </c>
      <c r="T259" t="str">
        <v>Female</v>
      </c>
      <c r="U259">
        <v>34</v>
      </c>
      <c r="V259">
        <v>44177</v>
      </c>
      <c r="W259" t="str">
        <v>Contract</v>
      </c>
      <c r="X259">
        <v>80692.69</v>
      </c>
      <c r="Y259">
        <v>2</v>
      </c>
      <c r="Z259">
        <v>94.96</v>
      </c>
      <c r="AA259">
        <v>5</v>
      </c>
      <c r="AB259">
        <v>37</v>
      </c>
      <c r="AC259">
        <v>41</v>
      </c>
      <c r="AD259" t="str">
        <v>Noah Rhodes</v>
      </c>
      <c r="AE259" t="str">
        <v>Active</v>
      </c>
      <c r="AF259">
        <v>968312.28</v>
      </c>
    </row>
    <row r="260" spans="16:32" x14ac:dyDescent="0.25">
      <c r="P260" t="str">
        <v>EMP0257</v>
      </c>
      <c r="Q260" t="str">
        <v>Jessica Rodriguez</v>
      </c>
      <c r="R260" t="str">
        <v>IT</v>
      </c>
      <c r="S260" t="str">
        <v>Software Engineer</v>
      </c>
      <c r="T260" t="str">
        <v>Female</v>
      </c>
      <c r="U260">
        <v>28</v>
      </c>
      <c r="V260">
        <v>45279</v>
      </c>
      <c r="W260" t="str">
        <v>Full-Time</v>
      </c>
      <c r="X260">
        <v>69958.25</v>
      </c>
      <c r="Y260">
        <v>5</v>
      </c>
      <c r="Z260">
        <v>81.42</v>
      </c>
      <c r="AA260">
        <v>2</v>
      </c>
      <c r="AB260">
        <v>1</v>
      </c>
      <c r="AC260">
        <v>23</v>
      </c>
      <c r="AD260" t="str">
        <v>Monica Herrera</v>
      </c>
      <c r="AE260" t="str">
        <v>Active</v>
      </c>
      <c r="AF260">
        <v>839499</v>
      </c>
    </row>
    <row r="261" spans="16:32" x14ac:dyDescent="0.25">
      <c r="P261" t="str">
        <v>EMP0258</v>
      </c>
      <c r="Q261" t="str">
        <v>Bobby Franklin</v>
      </c>
      <c r="R261" t="str">
        <v>Customer Support</v>
      </c>
      <c r="S261" t="str">
        <v>Team Lead</v>
      </c>
      <c r="T261" t="str">
        <v>Male</v>
      </c>
      <c r="U261">
        <v>51</v>
      </c>
      <c r="V261">
        <v>45059</v>
      </c>
      <c r="W261" t="str">
        <v>Full-Time</v>
      </c>
      <c r="X261">
        <v>21668.94</v>
      </c>
      <c r="Y261">
        <v>1</v>
      </c>
      <c r="Z261">
        <v>80.28</v>
      </c>
      <c r="AA261">
        <v>2</v>
      </c>
      <c r="AB261">
        <v>27</v>
      </c>
      <c r="AC261">
        <v>2</v>
      </c>
      <c r="AD261" t="str">
        <v>Noah Rhodes</v>
      </c>
      <c r="AE261" t="str">
        <v>Resigned</v>
      </c>
      <c r="AF261">
        <v>260027.27999999997</v>
      </c>
    </row>
    <row r="262" spans="16:32" x14ac:dyDescent="0.25">
      <c r="P262" t="str">
        <v>EMP0259</v>
      </c>
      <c r="Q262" t="str">
        <v>Marcus Richards</v>
      </c>
      <c r="R262" t="str">
        <v>Customer Support</v>
      </c>
      <c r="S262" t="str">
        <v>Team Lead</v>
      </c>
      <c r="T262" t="str">
        <v>Female</v>
      </c>
      <c r="U262">
        <v>48</v>
      </c>
      <c r="V262">
        <v>42711</v>
      </c>
      <c r="W262" t="str">
        <v>Contract</v>
      </c>
      <c r="X262">
        <v>60227.74</v>
      </c>
      <c r="Y262">
        <v>5</v>
      </c>
      <c r="Z262">
        <v>90.75</v>
      </c>
      <c r="AA262">
        <v>9</v>
      </c>
      <c r="AB262">
        <v>19</v>
      </c>
      <c r="AC262">
        <v>17</v>
      </c>
      <c r="AD262" t="str">
        <v>Angie Henderson</v>
      </c>
      <c r="AE262" t="str">
        <v>Active</v>
      </c>
      <c r="AF262">
        <v>722732.88</v>
      </c>
    </row>
    <row r="263" spans="16:32" x14ac:dyDescent="0.25">
      <c r="P263" t="str">
        <v>EMP0260</v>
      </c>
      <c r="Q263" t="str">
        <v>Kyle Phillips</v>
      </c>
      <c r="R263" t="str">
        <v>IT</v>
      </c>
      <c r="S263" t="str">
        <v>IT Support</v>
      </c>
      <c r="T263" t="str">
        <v>Female</v>
      </c>
      <c r="U263">
        <v>46</v>
      </c>
      <c r="V263">
        <v>44323</v>
      </c>
      <c r="W263" t="str">
        <v>Contract</v>
      </c>
      <c r="X263">
        <v>83429.42</v>
      </c>
      <c r="Y263">
        <v>1</v>
      </c>
      <c r="Z263">
        <v>86.2</v>
      </c>
      <c r="AA263">
        <v>4</v>
      </c>
      <c r="AB263">
        <v>55</v>
      </c>
      <c r="AC263">
        <v>46</v>
      </c>
      <c r="AD263" t="str">
        <v>Gina Moore</v>
      </c>
      <c r="AE263" t="str">
        <v>Active</v>
      </c>
      <c r="AF263">
        <v>1001153.04</v>
      </c>
    </row>
    <row r="264" spans="16:32" x14ac:dyDescent="0.25">
      <c r="P264" t="str">
        <v>EMP0261</v>
      </c>
      <c r="Q264" t="str">
        <v>Annette Miles</v>
      </c>
      <c r="R264" t="str">
        <v>Marketing</v>
      </c>
      <c r="S264" t="str">
        <v>Brand Manager</v>
      </c>
      <c r="T264" t="str">
        <v>Male</v>
      </c>
      <c r="U264">
        <v>50</v>
      </c>
      <c r="V264">
        <v>45444</v>
      </c>
      <c r="W264" t="str">
        <v>Contract</v>
      </c>
      <c r="X264">
        <v>80883.240000000005</v>
      </c>
      <c r="Y264">
        <v>3</v>
      </c>
      <c r="Z264">
        <v>93.32</v>
      </c>
      <c r="AA264">
        <v>1</v>
      </c>
      <c r="AB264">
        <v>22</v>
      </c>
      <c r="AC264">
        <v>7</v>
      </c>
      <c r="AD264" t="str">
        <v>Allison Hill</v>
      </c>
      <c r="AE264" t="str">
        <v>Active</v>
      </c>
      <c r="AF264">
        <v>970598.88000000012</v>
      </c>
    </row>
    <row r="265" spans="16:32" x14ac:dyDescent="0.25">
      <c r="P265" t="str">
        <v>EMP0262</v>
      </c>
      <c r="Q265" t="str">
        <v>Cindy Hayes</v>
      </c>
      <c r="R265" t="str">
        <v>Sales</v>
      </c>
      <c r="S265" t="str">
        <v>Sales Rep</v>
      </c>
      <c r="T265" t="str">
        <v>Female</v>
      </c>
      <c r="U265">
        <v>43</v>
      </c>
      <c r="V265">
        <v>45728</v>
      </c>
      <c r="W265" t="str">
        <v>Contract</v>
      </c>
      <c r="X265">
        <v>71722.28</v>
      </c>
      <c r="Y265">
        <v>3</v>
      </c>
      <c r="Z265">
        <v>83.34</v>
      </c>
      <c r="AA265">
        <v>0</v>
      </c>
      <c r="AB265">
        <v>16</v>
      </c>
      <c r="AC265">
        <v>47</v>
      </c>
      <c r="AD265" t="str">
        <v>Gabrielle Davis</v>
      </c>
      <c r="AE265" t="str">
        <v>Active</v>
      </c>
      <c r="AF265">
        <v>860667.36</v>
      </c>
    </row>
    <row r="266" spans="16:32" x14ac:dyDescent="0.25">
      <c r="P266" t="str">
        <v>EMP0263</v>
      </c>
      <c r="Q266" t="str">
        <v>Ronald Ross</v>
      </c>
      <c r="R266" t="str">
        <v>Marketing</v>
      </c>
      <c r="S266" t="str">
        <v>Marketing Analyst</v>
      </c>
      <c r="T266" t="str">
        <v>Female</v>
      </c>
      <c r="U266">
        <v>48</v>
      </c>
      <c r="V266">
        <v>43722</v>
      </c>
      <c r="W266" t="str">
        <v>Part-Time</v>
      </c>
      <c r="X266">
        <v>72385.42</v>
      </c>
      <c r="Y266">
        <v>3</v>
      </c>
      <c r="Z266">
        <v>94.25</v>
      </c>
      <c r="AA266">
        <v>6</v>
      </c>
      <c r="AB266">
        <v>73</v>
      </c>
      <c r="AC266">
        <v>40</v>
      </c>
      <c r="AD266" t="str">
        <v>Angie Henderson</v>
      </c>
      <c r="AE266" t="str">
        <v>Active</v>
      </c>
      <c r="AF266">
        <v>868625.04</v>
      </c>
    </row>
    <row r="267" spans="16:32" x14ac:dyDescent="0.25">
      <c r="P267" t="str">
        <v>EMP0264</v>
      </c>
      <c r="Q267" t="str">
        <v>Erik Scott</v>
      </c>
      <c r="R267" t="str">
        <v>Operations</v>
      </c>
      <c r="S267" t="str">
        <v>Operations Associate</v>
      </c>
      <c r="T267" t="str">
        <v>Female</v>
      </c>
      <c r="U267">
        <v>57</v>
      </c>
      <c r="V267">
        <v>42893</v>
      </c>
      <c r="W267" t="str">
        <v>Full-Time</v>
      </c>
      <c r="X267">
        <v>56768.78</v>
      </c>
      <c r="Y267">
        <v>3</v>
      </c>
      <c r="Z267">
        <v>95.47</v>
      </c>
      <c r="AA267">
        <v>8</v>
      </c>
      <c r="AB267">
        <v>73</v>
      </c>
      <c r="AC267">
        <v>43</v>
      </c>
      <c r="AD267" t="str">
        <v>Daniel Wagner</v>
      </c>
      <c r="AE267" t="str">
        <v>Active</v>
      </c>
      <c r="AF267">
        <v>681225.36</v>
      </c>
    </row>
    <row r="268" spans="16:32" x14ac:dyDescent="0.25">
      <c r="P268" t="str">
        <v>EMP0265</v>
      </c>
      <c r="Q268" t="str">
        <v>Kara Davis</v>
      </c>
      <c r="R268" t="str">
        <v>Sales</v>
      </c>
      <c r="S268" t="str">
        <v>Sales Rep</v>
      </c>
      <c r="T268" t="str">
        <v>Male</v>
      </c>
      <c r="U268">
        <v>36</v>
      </c>
      <c r="V268">
        <v>43251</v>
      </c>
      <c r="W268" t="str">
        <v>Full-Time</v>
      </c>
      <c r="X268">
        <v>67176.460000000006</v>
      </c>
      <c r="Y268">
        <v>4</v>
      </c>
      <c r="Z268">
        <v>98.4</v>
      </c>
      <c r="AA268">
        <v>7</v>
      </c>
      <c r="AB268">
        <v>22</v>
      </c>
      <c r="AC268">
        <v>59</v>
      </c>
      <c r="AD268" t="str">
        <v>Noah Rhodes</v>
      </c>
      <c r="AE268" t="str">
        <v>Active</v>
      </c>
      <c r="AF268">
        <v>806117.52</v>
      </c>
    </row>
    <row r="269" spans="16:32" x14ac:dyDescent="0.25">
      <c r="P269" t="str">
        <v>EMP0266</v>
      </c>
      <c r="Q269" t="str">
        <v>Brent Rodgers</v>
      </c>
      <c r="R269" t="str">
        <v>Customer Support</v>
      </c>
      <c r="S269" t="str">
        <v>Support Agent</v>
      </c>
      <c r="T269" t="str">
        <v>Female</v>
      </c>
      <c r="U269">
        <v>36</v>
      </c>
      <c r="V269">
        <v>42833</v>
      </c>
      <c r="W269" t="str">
        <v>Part-Time</v>
      </c>
      <c r="X269">
        <v>111585.48</v>
      </c>
      <c r="Y269">
        <v>3</v>
      </c>
      <c r="Z269">
        <v>85.43</v>
      </c>
      <c r="AA269">
        <v>8</v>
      </c>
      <c r="AB269">
        <v>9</v>
      </c>
      <c r="AC269">
        <v>36</v>
      </c>
      <c r="AD269" t="str">
        <v>Jamie Arnold</v>
      </c>
      <c r="AE269" t="str">
        <v>Active</v>
      </c>
      <c r="AF269">
        <v>1339025.76</v>
      </c>
    </row>
    <row r="270" spans="16:32" x14ac:dyDescent="0.25">
      <c r="P270" t="str">
        <v>EMP0267</v>
      </c>
      <c r="Q270" t="str">
        <v>Laurie Hoffman</v>
      </c>
      <c r="R270" t="str">
        <v>Sales</v>
      </c>
      <c r="S270" t="str">
        <v>Sales Rep</v>
      </c>
      <c r="T270" t="str">
        <v>Male</v>
      </c>
      <c r="U270">
        <v>54</v>
      </c>
      <c r="V270">
        <v>43111</v>
      </c>
      <c r="W270" t="str">
        <v>Full-Time</v>
      </c>
      <c r="X270">
        <v>115407.94</v>
      </c>
      <c r="Y270">
        <v>1</v>
      </c>
      <c r="Z270">
        <v>97.54</v>
      </c>
      <c r="AA270">
        <v>7</v>
      </c>
      <c r="AB270">
        <v>36</v>
      </c>
      <c r="AC270">
        <v>49</v>
      </c>
      <c r="AD270" t="str">
        <v>Ryan Munoz</v>
      </c>
      <c r="AE270" t="str">
        <v>Active</v>
      </c>
      <c r="AF270">
        <v>1384895.28</v>
      </c>
    </row>
    <row r="271" spans="16:32" x14ac:dyDescent="0.25">
      <c r="P271" t="str">
        <v>EMP0268</v>
      </c>
      <c r="Q271" t="str">
        <v>Jennifer Russo</v>
      </c>
      <c r="R271" t="str">
        <v>R&amp;D</v>
      </c>
      <c r="S271" t="str">
        <v>Researcher</v>
      </c>
      <c r="T271" t="str">
        <v>Female</v>
      </c>
      <c r="U271">
        <v>33</v>
      </c>
      <c r="V271">
        <v>44351</v>
      </c>
      <c r="W271" t="str">
        <v>Part-Time</v>
      </c>
      <c r="X271">
        <v>76380.67</v>
      </c>
      <c r="Y271">
        <v>3</v>
      </c>
      <c r="Z271">
        <v>94.79</v>
      </c>
      <c r="AA271">
        <v>4</v>
      </c>
      <c r="AB271">
        <v>31</v>
      </c>
      <c r="AC271">
        <v>29</v>
      </c>
      <c r="AD271" t="str">
        <v>Jamie Arnold</v>
      </c>
      <c r="AE271" t="str">
        <v>Active</v>
      </c>
      <c r="AF271">
        <v>916568.04</v>
      </c>
    </row>
    <row r="272" spans="16:32" x14ac:dyDescent="0.25">
      <c r="P272" t="str">
        <v>EMP0269</v>
      </c>
      <c r="Q272" t="str">
        <v>Michelle Schmitt</v>
      </c>
      <c r="R272" t="str">
        <v>R&amp;D</v>
      </c>
      <c r="S272" t="str">
        <v>Researcher</v>
      </c>
      <c r="T272" t="str">
        <v>Male</v>
      </c>
      <c r="U272">
        <v>30</v>
      </c>
      <c r="V272">
        <v>44931</v>
      </c>
      <c r="W272" t="str">
        <v>Full-Time</v>
      </c>
      <c r="X272">
        <v>113239.75</v>
      </c>
      <c r="Y272">
        <v>1</v>
      </c>
      <c r="Z272">
        <v>84.66</v>
      </c>
      <c r="AA272">
        <v>2</v>
      </c>
      <c r="AB272">
        <v>44</v>
      </c>
      <c r="AC272">
        <v>40</v>
      </c>
      <c r="AD272" t="str">
        <v>Allison Hill</v>
      </c>
      <c r="AE272" t="str">
        <v>Resigned</v>
      </c>
      <c r="AF272">
        <v>1358877</v>
      </c>
    </row>
    <row r="273" spans="16:32" x14ac:dyDescent="0.25">
      <c r="P273" t="str">
        <v>EMP0270</v>
      </c>
      <c r="Q273" t="str">
        <v>Kenneth Lewis</v>
      </c>
      <c r="R273" t="str">
        <v>Sales</v>
      </c>
      <c r="S273" t="str">
        <v>Account Executive</v>
      </c>
      <c r="T273" t="str">
        <v>Female</v>
      </c>
      <c r="U273">
        <v>40</v>
      </c>
      <c r="V273">
        <v>44244</v>
      </c>
      <c r="W273" t="str">
        <v>Full-Time</v>
      </c>
      <c r="X273">
        <v>40519.440000000002</v>
      </c>
      <c r="Y273">
        <v>2</v>
      </c>
      <c r="Z273">
        <v>88.4</v>
      </c>
      <c r="AA273">
        <v>4</v>
      </c>
      <c r="AB273">
        <v>7</v>
      </c>
      <c r="AC273">
        <v>9</v>
      </c>
      <c r="AD273" t="str">
        <v>Gabrielle Davis</v>
      </c>
      <c r="AE273" t="str">
        <v>Active</v>
      </c>
      <c r="AF273">
        <v>486233.28</v>
      </c>
    </row>
    <row r="274" spans="16:32" x14ac:dyDescent="0.25">
      <c r="P274" t="str">
        <v>EMP0271</v>
      </c>
      <c r="Q274" t="str">
        <v>Brian Bruce</v>
      </c>
      <c r="R274" t="str">
        <v>IT</v>
      </c>
      <c r="S274" t="str">
        <v>Data Analyst</v>
      </c>
      <c r="T274" t="str">
        <v>Female</v>
      </c>
      <c r="U274">
        <v>44</v>
      </c>
      <c r="V274">
        <v>45299</v>
      </c>
      <c r="W274" t="str">
        <v>Part-Time</v>
      </c>
      <c r="X274">
        <v>117455.48</v>
      </c>
      <c r="Y274">
        <v>1</v>
      </c>
      <c r="Z274">
        <v>91.62</v>
      </c>
      <c r="AA274">
        <v>1</v>
      </c>
      <c r="AB274">
        <v>64</v>
      </c>
      <c r="AC274">
        <v>8</v>
      </c>
      <c r="AD274" t="str">
        <v>Lisa Hensley</v>
      </c>
      <c r="AE274" t="str">
        <v>Active</v>
      </c>
      <c r="AF274">
        <v>1409465.76</v>
      </c>
    </row>
    <row r="275" spans="16:32" x14ac:dyDescent="0.25">
      <c r="P275" t="str">
        <v>EMP0272</v>
      </c>
      <c r="Q275" t="str">
        <v>Donald Perez</v>
      </c>
      <c r="R275" t="str">
        <v>Sales</v>
      </c>
      <c r="S275" t="str">
        <v>Sales Manager</v>
      </c>
      <c r="T275" t="str">
        <v>Male</v>
      </c>
      <c r="U275">
        <v>36</v>
      </c>
      <c r="V275">
        <v>44586</v>
      </c>
      <c r="W275" t="str">
        <v>Part-Time</v>
      </c>
      <c r="X275">
        <v>46099.09</v>
      </c>
      <c r="Y275">
        <v>3</v>
      </c>
      <c r="Z275">
        <v>98.52</v>
      </c>
      <c r="AA275">
        <v>3</v>
      </c>
      <c r="AB275">
        <v>50</v>
      </c>
      <c r="AC275">
        <v>44</v>
      </c>
      <c r="AD275" t="str">
        <v>Monica Herrera</v>
      </c>
      <c r="AE275" t="str">
        <v>Active</v>
      </c>
      <c r="AF275">
        <v>553189.07999999996</v>
      </c>
    </row>
    <row r="276" spans="16:32" x14ac:dyDescent="0.25">
      <c r="P276" t="str">
        <v>EMP0273</v>
      </c>
      <c r="Q276" t="str">
        <v>Vanessa Cardenas</v>
      </c>
      <c r="R276" t="str">
        <v>Finance</v>
      </c>
      <c r="S276" t="str">
        <v>Accountant</v>
      </c>
      <c r="T276" t="str">
        <v>Male</v>
      </c>
      <c r="U276">
        <v>33</v>
      </c>
      <c r="V276">
        <v>44969</v>
      </c>
      <c r="W276" t="str">
        <v>Full-Time</v>
      </c>
      <c r="X276">
        <v>97993.7</v>
      </c>
      <c r="Y276">
        <v>5</v>
      </c>
      <c r="Z276">
        <v>82.18</v>
      </c>
      <c r="AA276">
        <v>2</v>
      </c>
      <c r="AB276">
        <v>13</v>
      </c>
      <c r="AC276">
        <v>10</v>
      </c>
      <c r="AD276" t="str">
        <v>Dylan Miller</v>
      </c>
      <c r="AE276" t="str">
        <v>Active</v>
      </c>
      <c r="AF276">
        <v>1175924.3999999999</v>
      </c>
    </row>
    <row r="277" spans="16:32" x14ac:dyDescent="0.25">
      <c r="P277" t="str">
        <v>EMP0274</v>
      </c>
      <c r="Q277" t="str">
        <v>Timothy Gallegos</v>
      </c>
      <c r="R277" t="str">
        <v>Customer Support</v>
      </c>
      <c r="S277" t="str">
        <v>Support Agent</v>
      </c>
      <c r="T277" t="str">
        <v>Female</v>
      </c>
      <c r="U277">
        <v>34</v>
      </c>
      <c r="V277">
        <v>45762</v>
      </c>
      <c r="W277" t="str">
        <v>Part-Time</v>
      </c>
      <c r="X277">
        <v>50830.77</v>
      </c>
      <c r="Y277">
        <v>3</v>
      </c>
      <c r="Z277">
        <v>97.05</v>
      </c>
      <c r="AA277">
        <v>0</v>
      </c>
      <c r="AB277">
        <v>11</v>
      </c>
      <c r="AC277">
        <v>10</v>
      </c>
      <c r="AD277" t="str">
        <v>Ryan Munoz</v>
      </c>
      <c r="AE277" t="str">
        <v>Active</v>
      </c>
      <c r="AF277">
        <v>609969.24</v>
      </c>
    </row>
    <row r="278" spans="16:32" x14ac:dyDescent="0.25">
      <c r="P278" t="str">
        <v>EMP0275</v>
      </c>
      <c r="Q278" t="str">
        <v>Donald Farmer</v>
      </c>
      <c r="R278" t="str">
        <v>Sales</v>
      </c>
      <c r="S278" t="str">
        <v>Sales Rep</v>
      </c>
      <c r="T278" t="str">
        <v>Female</v>
      </c>
      <c r="U278">
        <v>30</v>
      </c>
      <c r="V278">
        <v>43964</v>
      </c>
      <c r="W278" t="str">
        <v>Full-Time</v>
      </c>
      <c r="X278">
        <v>91115.74</v>
      </c>
      <c r="Y278">
        <v>3</v>
      </c>
      <c r="Z278">
        <v>87.92</v>
      </c>
      <c r="AA278">
        <v>5</v>
      </c>
      <c r="AB278">
        <v>6</v>
      </c>
      <c r="AC278">
        <v>43</v>
      </c>
      <c r="AD278" t="str">
        <v>Ryan Munoz</v>
      </c>
      <c r="AE278" t="str">
        <v>Active</v>
      </c>
      <c r="AF278">
        <v>1093388.8800000001</v>
      </c>
    </row>
    <row r="279" spans="16:32" x14ac:dyDescent="0.25">
      <c r="P279" t="str">
        <v>EMP0276</v>
      </c>
      <c r="Q279" t="str">
        <v>Christopher Thomas</v>
      </c>
      <c r="R279" t="str">
        <v>HR</v>
      </c>
      <c r="S279" t="str">
        <v>HR Officer</v>
      </c>
      <c r="T279" t="str">
        <v>Female</v>
      </c>
      <c r="U279">
        <v>49</v>
      </c>
      <c r="V279">
        <v>44414</v>
      </c>
      <c r="W279" t="str">
        <v>Contract</v>
      </c>
      <c r="X279">
        <v>94807.84</v>
      </c>
      <c r="Y279">
        <v>2</v>
      </c>
      <c r="Z279">
        <v>81.89</v>
      </c>
      <c r="AA279">
        <v>4</v>
      </c>
      <c r="AB279">
        <v>13</v>
      </c>
      <c r="AC279">
        <v>51</v>
      </c>
      <c r="AD279" t="str">
        <v>Cristian Santos</v>
      </c>
      <c r="AE279" t="str">
        <v>Active</v>
      </c>
      <c r="AF279">
        <v>1137694.08</v>
      </c>
    </row>
    <row r="280" spans="16:32" x14ac:dyDescent="0.25">
      <c r="P280" t="str">
        <v>EMP0277</v>
      </c>
      <c r="Q280" t="str">
        <v>Patrick Bonilla</v>
      </c>
      <c r="R280" t="str">
        <v>Sales</v>
      </c>
      <c r="S280" t="str">
        <v>Sales Rep</v>
      </c>
      <c r="T280" t="str">
        <v>Male</v>
      </c>
      <c r="U280">
        <v>33</v>
      </c>
      <c r="V280">
        <v>44793</v>
      </c>
      <c r="W280" t="str">
        <v>Part-Time</v>
      </c>
      <c r="X280">
        <v>57223.97</v>
      </c>
      <c r="Y280">
        <v>1</v>
      </c>
      <c r="Z280">
        <v>91.65</v>
      </c>
      <c r="AA280">
        <v>3</v>
      </c>
      <c r="AB280">
        <v>33</v>
      </c>
      <c r="AC280">
        <v>58</v>
      </c>
      <c r="AD280" t="str">
        <v>Angie Henderson</v>
      </c>
      <c r="AE280" t="str">
        <v>Active</v>
      </c>
      <c r="AF280">
        <v>686687.64</v>
      </c>
    </row>
    <row r="281" spans="16:32" x14ac:dyDescent="0.25">
      <c r="P281" t="str">
        <v>EMP0278</v>
      </c>
      <c r="Q281" t="str">
        <v>Cindy Barnes</v>
      </c>
      <c r="R281" t="str">
        <v>Marketing</v>
      </c>
      <c r="S281" t="str">
        <v>Marketing Analyst</v>
      </c>
      <c r="T281" t="str">
        <v>Female</v>
      </c>
      <c r="U281">
        <v>29</v>
      </c>
      <c r="V281">
        <v>42873</v>
      </c>
      <c r="W281" t="str">
        <v>Full-Time</v>
      </c>
      <c r="X281">
        <v>110507.8</v>
      </c>
      <c r="Y281">
        <v>3</v>
      </c>
      <c r="Z281">
        <v>82.45</v>
      </c>
      <c r="AA281">
        <v>8</v>
      </c>
      <c r="AB281">
        <v>59</v>
      </c>
      <c r="AC281">
        <v>3</v>
      </c>
      <c r="AD281" t="str">
        <v>Connie Lawrence</v>
      </c>
      <c r="AE281" t="str">
        <v>Resigned</v>
      </c>
      <c r="AF281">
        <v>1326093.6000000001</v>
      </c>
    </row>
    <row r="282" spans="16:32" x14ac:dyDescent="0.25">
      <c r="P282" t="str">
        <v>EMP0279</v>
      </c>
      <c r="Q282" t="str">
        <v>Eric Nguyen</v>
      </c>
      <c r="R282" t="str">
        <v>Customer Support</v>
      </c>
      <c r="S282" t="str">
        <v>Team Lead</v>
      </c>
      <c r="T282" t="str">
        <v>Female</v>
      </c>
      <c r="U282">
        <v>22</v>
      </c>
      <c r="V282">
        <v>44421</v>
      </c>
      <c r="W282" t="str">
        <v>Part-Time</v>
      </c>
      <c r="X282">
        <v>88321.29</v>
      </c>
      <c r="Y282">
        <v>2</v>
      </c>
      <c r="Z282">
        <v>87.08</v>
      </c>
      <c r="AA282">
        <v>4</v>
      </c>
      <c r="AB282">
        <v>23</v>
      </c>
      <c r="AC282">
        <v>17</v>
      </c>
      <c r="AD282" t="str">
        <v>Gabrielle Davis</v>
      </c>
      <c r="AE282" t="str">
        <v>Active</v>
      </c>
      <c r="AF282">
        <v>1059855.48</v>
      </c>
    </row>
    <row r="283" spans="16:32" x14ac:dyDescent="0.25">
      <c r="P283" t="str">
        <v>EMP0280</v>
      </c>
      <c r="Q283" t="str">
        <v>Sophia Moore</v>
      </c>
      <c r="R283" t="str">
        <v>HR</v>
      </c>
      <c r="S283" t="str">
        <v>HR Officer</v>
      </c>
      <c r="T283" t="str">
        <v>Male</v>
      </c>
      <c r="U283">
        <v>39</v>
      </c>
      <c r="V283">
        <v>45829</v>
      </c>
      <c r="W283" t="str">
        <v>Part-Time</v>
      </c>
      <c r="X283">
        <v>61199.22</v>
      </c>
      <c r="Y283">
        <v>5</v>
      </c>
      <c r="Z283">
        <v>89.58</v>
      </c>
      <c r="AA283">
        <v>0</v>
      </c>
      <c r="AB283">
        <v>11</v>
      </c>
      <c r="AC283">
        <v>17</v>
      </c>
      <c r="AD283" t="str">
        <v>Lisa Hensley</v>
      </c>
      <c r="AE283" t="str">
        <v>Active</v>
      </c>
      <c r="AF283">
        <v>734390.64</v>
      </c>
    </row>
    <row r="284" spans="16:32" x14ac:dyDescent="0.25">
      <c r="P284" t="str">
        <v>EMP0281</v>
      </c>
      <c r="Q284" t="str">
        <v>Denise Stanley</v>
      </c>
      <c r="R284" t="str">
        <v>IT</v>
      </c>
      <c r="S284" t="str">
        <v>Data Analyst</v>
      </c>
      <c r="T284" t="str">
        <v>Male</v>
      </c>
      <c r="U284">
        <v>55</v>
      </c>
      <c r="V284">
        <v>42612</v>
      </c>
      <c r="W284" t="str">
        <v>Full-Time</v>
      </c>
      <c r="X284">
        <v>118940.36</v>
      </c>
      <c r="Y284">
        <v>3</v>
      </c>
      <c r="Z284">
        <v>89.59</v>
      </c>
      <c r="AA284">
        <v>9</v>
      </c>
      <c r="AB284">
        <v>62</v>
      </c>
      <c r="AC284">
        <v>22</v>
      </c>
      <c r="AD284" t="str">
        <v>Lisa Jackson</v>
      </c>
      <c r="AE284" t="str">
        <v>Active</v>
      </c>
      <c r="AF284">
        <v>1427284.32</v>
      </c>
    </row>
    <row r="285" spans="16:32" x14ac:dyDescent="0.25">
      <c r="P285" t="str">
        <v>EMP0282</v>
      </c>
      <c r="Q285" t="str">
        <v>Jennifer Lewis</v>
      </c>
      <c r="R285" t="str">
        <v>Customer Support</v>
      </c>
      <c r="S285" t="str">
        <v>Team Lead</v>
      </c>
      <c r="T285" t="str">
        <v>Male</v>
      </c>
      <c r="U285">
        <v>22</v>
      </c>
      <c r="V285">
        <v>45320</v>
      </c>
      <c r="W285" t="str">
        <v>Part-Time</v>
      </c>
      <c r="X285">
        <v>79711.64</v>
      </c>
      <c r="Y285">
        <v>1</v>
      </c>
      <c r="Z285">
        <v>97.92</v>
      </c>
      <c r="AA285">
        <v>1</v>
      </c>
      <c r="AB285">
        <v>35</v>
      </c>
      <c r="AC285">
        <v>3</v>
      </c>
      <c r="AD285" t="str">
        <v>Brian Ramirez</v>
      </c>
      <c r="AE285" t="str">
        <v>Active</v>
      </c>
      <c r="AF285">
        <v>956539.67999999993</v>
      </c>
    </row>
    <row r="286" spans="16:32" x14ac:dyDescent="0.25">
      <c r="P286" t="str">
        <v>EMP0283</v>
      </c>
      <c r="Q286" t="str">
        <v>Jeffrey Campbell</v>
      </c>
      <c r="R286" t="str">
        <v>IT</v>
      </c>
      <c r="S286" t="str">
        <v>IT Support</v>
      </c>
      <c r="T286" t="str">
        <v>Male</v>
      </c>
      <c r="U286">
        <v>36</v>
      </c>
      <c r="V286">
        <v>45486</v>
      </c>
      <c r="W286" t="str">
        <v>Contract</v>
      </c>
      <c r="X286">
        <v>44115.28</v>
      </c>
      <c r="Y286">
        <v>5</v>
      </c>
      <c r="Z286">
        <v>96.33</v>
      </c>
      <c r="AA286">
        <v>1</v>
      </c>
      <c r="AB286">
        <v>7</v>
      </c>
      <c r="AC286">
        <v>48</v>
      </c>
      <c r="AD286" t="str">
        <v>Gina Moore</v>
      </c>
      <c r="AE286" t="str">
        <v>Active</v>
      </c>
      <c r="AF286">
        <v>529383.36</v>
      </c>
    </row>
    <row r="287" spans="16:32" x14ac:dyDescent="0.25">
      <c r="P287" t="str">
        <v>EMP0284</v>
      </c>
      <c r="Q287" t="str">
        <v>Elizabeth Walker</v>
      </c>
      <c r="R287" t="str">
        <v>Customer Support</v>
      </c>
      <c r="S287" t="str">
        <v>Team Lead</v>
      </c>
      <c r="T287" t="str">
        <v>Male</v>
      </c>
      <c r="U287">
        <v>32</v>
      </c>
      <c r="V287">
        <v>45326</v>
      </c>
      <c r="W287" t="str">
        <v>Full-Time</v>
      </c>
      <c r="X287">
        <v>79251.95</v>
      </c>
      <c r="Y287">
        <v>3</v>
      </c>
      <c r="Z287">
        <v>98.28</v>
      </c>
      <c r="AA287">
        <v>1</v>
      </c>
      <c r="AB287">
        <v>3</v>
      </c>
      <c r="AC287">
        <v>45</v>
      </c>
      <c r="AD287" t="str">
        <v>Jamie Arnold</v>
      </c>
      <c r="AE287" t="str">
        <v>Resigned</v>
      </c>
      <c r="AF287">
        <v>951023.39999999991</v>
      </c>
    </row>
    <row r="288" spans="16:32" x14ac:dyDescent="0.25">
      <c r="P288" t="str">
        <v>EMP0285</v>
      </c>
      <c r="Q288" t="str">
        <v>Eric Clark</v>
      </c>
      <c r="R288" t="str">
        <v>HR</v>
      </c>
      <c r="S288" t="str">
        <v>HR Manager</v>
      </c>
      <c r="T288" t="str">
        <v>Male</v>
      </c>
      <c r="U288">
        <v>52</v>
      </c>
      <c r="V288">
        <v>42643</v>
      </c>
      <c r="W288" t="str">
        <v>Contract</v>
      </c>
      <c r="X288">
        <v>50905.31</v>
      </c>
      <c r="Y288">
        <v>4</v>
      </c>
      <c r="Z288">
        <v>80.760000000000005</v>
      </c>
      <c r="AA288">
        <v>9</v>
      </c>
      <c r="AB288">
        <v>7</v>
      </c>
      <c r="AC288">
        <v>14</v>
      </c>
      <c r="AD288" t="str">
        <v>Carla Gray</v>
      </c>
      <c r="AE288" t="str">
        <v>Active</v>
      </c>
      <c r="AF288">
        <v>610863.72</v>
      </c>
    </row>
    <row r="289" spans="16:32" x14ac:dyDescent="0.25">
      <c r="P289" t="str">
        <v>EMP0286</v>
      </c>
      <c r="Q289" t="str">
        <v>Donna Wilson</v>
      </c>
      <c r="R289" t="str">
        <v>R&amp;D</v>
      </c>
      <c r="S289" t="str">
        <v>Researcher</v>
      </c>
      <c r="T289" t="str">
        <v>Female</v>
      </c>
      <c r="U289">
        <v>60</v>
      </c>
      <c r="V289">
        <v>43155</v>
      </c>
      <c r="W289" t="str">
        <v>Full-Time</v>
      </c>
      <c r="X289">
        <v>100644.54</v>
      </c>
      <c r="Y289">
        <v>3</v>
      </c>
      <c r="Z289">
        <v>94.34</v>
      </c>
      <c r="AA289">
        <v>7</v>
      </c>
      <c r="AB289">
        <v>41</v>
      </c>
      <c r="AC289">
        <v>3</v>
      </c>
      <c r="AD289" t="str">
        <v>Allison Hill</v>
      </c>
      <c r="AE289" t="str">
        <v>Active</v>
      </c>
      <c r="AF289">
        <v>1207734.48</v>
      </c>
    </row>
    <row r="290" spans="16:32" x14ac:dyDescent="0.25">
      <c r="P290" t="str">
        <v>EMP0287</v>
      </c>
      <c r="Q290" t="str">
        <v>Casey James</v>
      </c>
      <c r="R290" t="str">
        <v>HR</v>
      </c>
      <c r="S290" t="str">
        <v>HR Officer</v>
      </c>
      <c r="T290" t="str">
        <v>Female</v>
      </c>
      <c r="U290">
        <v>25</v>
      </c>
      <c r="V290">
        <v>45393</v>
      </c>
      <c r="W290" t="str">
        <v>Part-Time</v>
      </c>
      <c r="X290">
        <v>90453.8</v>
      </c>
      <c r="Y290">
        <v>4</v>
      </c>
      <c r="Z290">
        <v>91.72</v>
      </c>
      <c r="AA290">
        <v>1</v>
      </c>
      <c r="AB290">
        <v>43</v>
      </c>
      <c r="AC290">
        <v>19</v>
      </c>
      <c r="AD290" t="str">
        <v>Monica Herrera</v>
      </c>
      <c r="AE290" t="str">
        <v>Active</v>
      </c>
      <c r="AF290">
        <v>1085445.6000000001</v>
      </c>
    </row>
    <row r="291" spans="16:32" x14ac:dyDescent="0.25">
      <c r="P291" t="str">
        <v>EMP0288</v>
      </c>
      <c r="Q291" t="str">
        <v>Sandra Drake</v>
      </c>
      <c r="R291" t="str">
        <v>HR</v>
      </c>
      <c r="S291" t="str">
        <v>HR Manager</v>
      </c>
      <c r="T291" t="str">
        <v>Female</v>
      </c>
      <c r="U291">
        <v>52</v>
      </c>
      <c r="V291">
        <v>43732</v>
      </c>
      <c r="W291" t="str">
        <v>Contract</v>
      </c>
      <c r="X291">
        <v>51728.34</v>
      </c>
      <c r="Y291">
        <v>5</v>
      </c>
      <c r="Z291">
        <v>93.87</v>
      </c>
      <c r="AA291">
        <v>6</v>
      </c>
      <c r="AB291">
        <v>78</v>
      </c>
      <c r="AC291">
        <v>50</v>
      </c>
      <c r="AD291" t="str">
        <v>Jamie Arnold</v>
      </c>
      <c r="AE291" t="str">
        <v>Active</v>
      </c>
      <c r="AF291">
        <v>620740.07999999996</v>
      </c>
    </row>
    <row r="292" spans="16:32" x14ac:dyDescent="0.25">
      <c r="P292" t="str">
        <v>EMP0289</v>
      </c>
      <c r="Q292" t="str">
        <v>Patrick Graham</v>
      </c>
      <c r="R292" t="str">
        <v>HR</v>
      </c>
      <c r="S292" t="str">
        <v>Recruiter</v>
      </c>
      <c r="T292" t="str">
        <v>Female</v>
      </c>
      <c r="U292">
        <v>39</v>
      </c>
      <c r="V292">
        <v>42750</v>
      </c>
      <c r="W292" t="str">
        <v>Full-Time</v>
      </c>
      <c r="X292">
        <v>37770.83</v>
      </c>
      <c r="Y292">
        <v>1</v>
      </c>
      <c r="Z292">
        <v>98.98</v>
      </c>
      <c r="AA292">
        <v>8</v>
      </c>
      <c r="AB292">
        <v>73</v>
      </c>
      <c r="AC292">
        <v>25</v>
      </c>
      <c r="AD292" t="str">
        <v>Lisa Jackson</v>
      </c>
      <c r="AE292" t="str">
        <v>Active</v>
      </c>
      <c r="AF292">
        <v>453249.96</v>
      </c>
    </row>
    <row r="293" spans="16:32" x14ac:dyDescent="0.25">
      <c r="P293" t="str">
        <v>EMP0290</v>
      </c>
      <c r="Q293" t="str">
        <v>Shannon Johnston</v>
      </c>
      <c r="R293" t="str">
        <v>Operations</v>
      </c>
      <c r="S293" t="str">
        <v>Operations Associate</v>
      </c>
      <c r="T293" t="str">
        <v>Male</v>
      </c>
      <c r="U293">
        <v>52</v>
      </c>
      <c r="V293">
        <v>45159</v>
      </c>
      <c r="W293" t="str">
        <v>Full-Time</v>
      </c>
      <c r="X293">
        <v>53116.84</v>
      </c>
      <c r="Y293">
        <v>1</v>
      </c>
      <c r="Z293">
        <v>84.76</v>
      </c>
      <c r="AA293">
        <v>2</v>
      </c>
      <c r="AB293">
        <v>40</v>
      </c>
      <c r="AC293">
        <v>10</v>
      </c>
      <c r="AD293" t="str">
        <v>Angie Henderson</v>
      </c>
      <c r="AE293" t="str">
        <v>Active</v>
      </c>
      <c r="AF293">
        <v>637402.07999999996</v>
      </c>
    </row>
    <row r="294" spans="16:32" x14ac:dyDescent="0.25">
      <c r="P294" t="str">
        <v>EMP0291</v>
      </c>
      <c r="Q294" t="str">
        <v>Mark Roberts</v>
      </c>
      <c r="R294" t="str">
        <v>Operations</v>
      </c>
      <c r="S294" t="str">
        <v>Operations Manager</v>
      </c>
      <c r="T294" t="str">
        <v>Male</v>
      </c>
      <c r="U294">
        <v>37</v>
      </c>
      <c r="V294">
        <v>45865</v>
      </c>
      <c r="W294" t="str">
        <v>Full-Time</v>
      </c>
      <c r="X294">
        <v>44954.09</v>
      </c>
      <c r="Y294">
        <v>1</v>
      </c>
      <c r="Z294">
        <v>87.01</v>
      </c>
      <c r="AA294">
        <v>0</v>
      </c>
      <c r="AB294">
        <v>13</v>
      </c>
      <c r="AC294">
        <v>46</v>
      </c>
      <c r="AD294" t="str">
        <v>Allison Hill</v>
      </c>
      <c r="AE294" t="str">
        <v>Active</v>
      </c>
      <c r="AF294">
        <v>539449.07999999996</v>
      </c>
    </row>
    <row r="295" spans="16:32" x14ac:dyDescent="0.25">
      <c r="P295" t="str">
        <v>EMP0292</v>
      </c>
      <c r="Q295" t="str">
        <v>Frederick Solis</v>
      </c>
      <c r="R295" t="str">
        <v>R&amp;D</v>
      </c>
      <c r="S295" t="str">
        <v>Product Developer</v>
      </c>
      <c r="T295" t="str">
        <v>Male</v>
      </c>
      <c r="U295">
        <v>47</v>
      </c>
      <c r="V295">
        <v>44819</v>
      </c>
      <c r="W295" t="str">
        <v>Part-Time</v>
      </c>
      <c r="X295">
        <v>108177.07</v>
      </c>
      <c r="Y295">
        <v>3</v>
      </c>
      <c r="Z295">
        <v>90.92</v>
      </c>
      <c r="AA295">
        <v>3</v>
      </c>
      <c r="AB295">
        <v>12</v>
      </c>
      <c r="AC295">
        <v>53</v>
      </c>
      <c r="AD295" t="str">
        <v>Brian Ramirez</v>
      </c>
      <c r="AE295" t="str">
        <v>Active</v>
      </c>
      <c r="AF295">
        <v>1298124.8400000001</v>
      </c>
    </row>
    <row r="296" spans="16:32" x14ac:dyDescent="0.25">
      <c r="P296" t="str">
        <v>EMP0293</v>
      </c>
      <c r="Q296" t="str">
        <v>Tamara Davis</v>
      </c>
      <c r="R296" t="str">
        <v>IT</v>
      </c>
      <c r="S296" t="str">
        <v>IT Support</v>
      </c>
      <c r="T296" t="str">
        <v>Female</v>
      </c>
      <c r="U296">
        <v>25</v>
      </c>
      <c r="V296">
        <v>45161</v>
      </c>
      <c r="W296" t="str">
        <v>Full-Time</v>
      </c>
      <c r="X296">
        <v>49490.86</v>
      </c>
      <c r="Y296">
        <v>3</v>
      </c>
      <c r="Z296">
        <v>85.22</v>
      </c>
      <c r="AA296">
        <v>2</v>
      </c>
      <c r="AB296">
        <v>13</v>
      </c>
      <c r="AC296">
        <v>4</v>
      </c>
      <c r="AD296" t="str">
        <v>Monica Herrera</v>
      </c>
      <c r="AE296" t="str">
        <v>Active</v>
      </c>
      <c r="AF296">
        <v>593890.32000000007</v>
      </c>
    </row>
    <row r="297" spans="16:32" x14ac:dyDescent="0.25">
      <c r="P297" t="str">
        <v>EMP0294</v>
      </c>
      <c r="Q297" t="str">
        <v>Kevin Warren</v>
      </c>
      <c r="R297" t="str">
        <v>Customer Support</v>
      </c>
      <c r="S297" t="str">
        <v>Support Agent</v>
      </c>
      <c r="T297" t="str">
        <v>Male</v>
      </c>
      <c r="U297">
        <v>56</v>
      </c>
      <c r="V297">
        <v>42960</v>
      </c>
      <c r="W297" t="str">
        <v>Full-Time</v>
      </c>
      <c r="X297">
        <v>53795.06</v>
      </c>
      <c r="Y297">
        <v>5</v>
      </c>
      <c r="Z297">
        <v>97.86</v>
      </c>
      <c r="AA297">
        <v>8</v>
      </c>
      <c r="AB297">
        <v>3</v>
      </c>
      <c r="AC297">
        <v>27</v>
      </c>
      <c r="AD297" t="str">
        <v>Connie Lawrence</v>
      </c>
      <c r="AE297" t="str">
        <v>Active</v>
      </c>
      <c r="AF297">
        <v>645540.72</v>
      </c>
    </row>
    <row r="298" spans="16:32" x14ac:dyDescent="0.25">
      <c r="P298" t="str">
        <v>EMP0295</v>
      </c>
      <c r="Q298" t="str">
        <v>Nichole Walker</v>
      </c>
      <c r="R298" t="str">
        <v>Customer Support</v>
      </c>
      <c r="S298" t="str">
        <v>Support Agent</v>
      </c>
      <c r="T298" t="str">
        <v>Male</v>
      </c>
      <c r="U298">
        <v>27</v>
      </c>
      <c r="V298">
        <v>44762</v>
      </c>
      <c r="W298" t="str">
        <v>Part-Time</v>
      </c>
      <c r="X298">
        <v>40555.050000000003</v>
      </c>
      <c r="Y298">
        <v>2</v>
      </c>
      <c r="Z298">
        <v>88.19</v>
      </c>
      <c r="AA298">
        <v>3</v>
      </c>
      <c r="AB298">
        <v>70</v>
      </c>
      <c r="AC298">
        <v>46</v>
      </c>
      <c r="AD298" t="str">
        <v>Derek Zuniga</v>
      </c>
      <c r="AE298" t="str">
        <v>Active</v>
      </c>
      <c r="AF298">
        <v>486660.60000000003</v>
      </c>
    </row>
    <row r="299" spans="16:32" x14ac:dyDescent="0.25">
      <c r="P299" t="str">
        <v>EMP0296</v>
      </c>
      <c r="Q299" t="str">
        <v>Mark Schmidt</v>
      </c>
      <c r="R299" t="str">
        <v>Finance</v>
      </c>
      <c r="S299" t="str">
        <v>Financial Analyst</v>
      </c>
      <c r="T299" t="str">
        <v>Male</v>
      </c>
      <c r="U299">
        <v>27</v>
      </c>
      <c r="V299">
        <v>43347</v>
      </c>
      <c r="W299" t="str">
        <v>Full-Time</v>
      </c>
      <c r="X299">
        <v>59290.22</v>
      </c>
      <c r="Y299">
        <v>5</v>
      </c>
      <c r="Z299">
        <v>96.8</v>
      </c>
      <c r="AA299">
        <v>7</v>
      </c>
      <c r="AB299">
        <v>19</v>
      </c>
      <c r="AC299">
        <v>3</v>
      </c>
      <c r="AD299" t="str">
        <v>Jamie Arnold</v>
      </c>
      <c r="AE299" t="str">
        <v>Active</v>
      </c>
      <c r="AF299">
        <v>711482.64</v>
      </c>
    </row>
    <row r="300" spans="16:32" x14ac:dyDescent="0.25">
      <c r="P300" t="str">
        <v>EMP0297</v>
      </c>
      <c r="Q300" t="str">
        <v>Hannah Luna</v>
      </c>
      <c r="R300" t="str">
        <v>Marketing</v>
      </c>
      <c r="S300" t="str">
        <v>Brand Manager</v>
      </c>
      <c r="T300" t="str">
        <v>Female</v>
      </c>
      <c r="U300">
        <v>33</v>
      </c>
      <c r="V300">
        <v>43507</v>
      </c>
      <c r="W300" t="str">
        <v>Full-Time</v>
      </c>
      <c r="X300">
        <v>22573.57</v>
      </c>
      <c r="Y300">
        <v>2</v>
      </c>
      <c r="Z300">
        <v>92.76</v>
      </c>
      <c r="AA300">
        <v>6</v>
      </c>
      <c r="AB300">
        <v>10</v>
      </c>
      <c r="AC300">
        <v>30</v>
      </c>
      <c r="AD300" t="str">
        <v>Daniel Wagner</v>
      </c>
      <c r="AE300" t="str">
        <v>Active</v>
      </c>
      <c r="AF300">
        <v>270882.83999999997</v>
      </c>
    </row>
    <row r="301" spans="16:32" x14ac:dyDescent="0.25">
      <c r="P301" t="str">
        <v>EMP0298</v>
      </c>
      <c r="Q301" t="str">
        <v>Charles Gonzalez</v>
      </c>
      <c r="R301" t="str">
        <v>Customer Support</v>
      </c>
      <c r="S301" t="str">
        <v>Team Lead</v>
      </c>
      <c r="T301" t="str">
        <v>Female</v>
      </c>
      <c r="U301">
        <v>37</v>
      </c>
      <c r="V301">
        <v>43220</v>
      </c>
      <c r="W301" t="str">
        <v>Full-Time</v>
      </c>
      <c r="X301">
        <v>84186.64</v>
      </c>
      <c r="Y301">
        <v>4</v>
      </c>
      <c r="Z301">
        <v>83.7</v>
      </c>
      <c r="AA301">
        <v>7</v>
      </c>
      <c r="AB301">
        <v>48</v>
      </c>
      <c r="AC301">
        <v>23</v>
      </c>
      <c r="AD301" t="str">
        <v>Connie Lawrence</v>
      </c>
      <c r="AE301" t="str">
        <v>Active</v>
      </c>
      <c r="AF301">
        <v>1010239.6799999999</v>
      </c>
    </row>
    <row r="302" spans="16:32" x14ac:dyDescent="0.25">
      <c r="P302" t="str">
        <v>EMP0299</v>
      </c>
      <c r="Q302" t="str">
        <v>Mary Thompson</v>
      </c>
      <c r="R302" t="str">
        <v>Finance</v>
      </c>
      <c r="S302" t="str">
        <v>Financial Analyst</v>
      </c>
      <c r="T302" t="str">
        <v>Female</v>
      </c>
      <c r="U302">
        <v>37</v>
      </c>
      <c r="V302">
        <v>43252</v>
      </c>
      <c r="W302" t="str">
        <v>Full-Time</v>
      </c>
      <c r="X302">
        <v>103707.88</v>
      </c>
      <c r="Y302">
        <v>5</v>
      </c>
      <c r="Z302">
        <v>81.23</v>
      </c>
      <c r="AA302">
        <v>7</v>
      </c>
      <c r="AB302">
        <v>12</v>
      </c>
      <c r="AC302">
        <v>5</v>
      </c>
      <c r="AD302" t="str">
        <v>Jamie Arnold</v>
      </c>
      <c r="AE302" t="str">
        <v>Active</v>
      </c>
      <c r="AF302">
        <v>1244494.56</v>
      </c>
    </row>
    <row r="303" spans="16:32" x14ac:dyDescent="0.25">
      <c r="P303" t="str">
        <v>EMP0300</v>
      </c>
      <c r="Q303" t="str">
        <v>Justin Riley</v>
      </c>
      <c r="R303" t="str">
        <v>Customer Support</v>
      </c>
      <c r="S303" t="str">
        <v>Support Agent</v>
      </c>
      <c r="T303" t="str">
        <v>Male</v>
      </c>
      <c r="U303">
        <v>45</v>
      </c>
      <c r="V303">
        <v>45373</v>
      </c>
      <c r="W303" t="str">
        <v>Contract</v>
      </c>
      <c r="X303">
        <v>61863.21</v>
      </c>
      <c r="Y303">
        <v>5</v>
      </c>
      <c r="Z303">
        <v>93.74</v>
      </c>
      <c r="AA303">
        <v>1</v>
      </c>
      <c r="AB303">
        <v>60</v>
      </c>
      <c r="AC303">
        <v>36</v>
      </c>
      <c r="AD303" t="str">
        <v>Gina Moore</v>
      </c>
      <c r="AE303" t="str">
        <v>Active</v>
      </c>
      <c r="AF303">
        <v>742358.52</v>
      </c>
    </row>
    <row r="304" spans="16:32" x14ac:dyDescent="0.25">
      <c r="P304" t="str">
        <v>EMP0301</v>
      </c>
      <c r="Q304" t="str">
        <v>Victoria Morris</v>
      </c>
      <c r="R304" t="str">
        <v>Marketing</v>
      </c>
      <c r="S304" t="str">
        <v>Brand Manager</v>
      </c>
      <c r="T304" t="str">
        <v>Male</v>
      </c>
      <c r="U304">
        <v>53</v>
      </c>
      <c r="V304">
        <v>45810</v>
      </c>
      <c r="W304" t="str">
        <v>Contract</v>
      </c>
      <c r="X304">
        <v>110045.51</v>
      </c>
      <c r="Y304">
        <v>5</v>
      </c>
      <c r="Z304">
        <v>93.55</v>
      </c>
      <c r="AA304">
        <v>0</v>
      </c>
      <c r="AB304">
        <v>79</v>
      </c>
      <c r="AC304">
        <v>9</v>
      </c>
      <c r="AD304" t="str">
        <v>Daniel Wagner</v>
      </c>
      <c r="AE304" t="str">
        <v>Resigned</v>
      </c>
      <c r="AF304">
        <v>1320546.1199999999</v>
      </c>
    </row>
    <row r="305" spans="16:32" x14ac:dyDescent="0.25">
      <c r="P305" t="str">
        <v>EMP0302</v>
      </c>
      <c r="Q305" t="str">
        <v>Barry Ramos</v>
      </c>
      <c r="R305" t="str">
        <v>R&amp;D</v>
      </c>
      <c r="S305" t="str">
        <v>Researcher</v>
      </c>
      <c r="T305" t="str">
        <v>Male</v>
      </c>
      <c r="U305">
        <v>34</v>
      </c>
      <c r="V305">
        <v>44267</v>
      </c>
      <c r="W305" t="str">
        <v>Full-Time</v>
      </c>
      <c r="X305">
        <v>32618.6</v>
      </c>
      <c r="Y305">
        <v>4</v>
      </c>
      <c r="Z305">
        <v>81.569999999999993</v>
      </c>
      <c r="AA305">
        <v>4</v>
      </c>
      <c r="AB305">
        <v>55</v>
      </c>
      <c r="AC305">
        <v>12</v>
      </c>
      <c r="AD305" t="str">
        <v>Cristian Santos</v>
      </c>
      <c r="AE305" t="str">
        <v>Active</v>
      </c>
      <c r="AF305">
        <v>391423.19999999995</v>
      </c>
    </row>
    <row r="306" spans="16:32" x14ac:dyDescent="0.25">
      <c r="P306" t="str">
        <v>EMP0303</v>
      </c>
      <c r="Q306" t="str">
        <v>Leslie Bell</v>
      </c>
      <c r="R306" t="str">
        <v>Finance</v>
      </c>
      <c r="S306" t="str">
        <v>Financial Analyst</v>
      </c>
      <c r="T306" t="str">
        <v>Male</v>
      </c>
      <c r="U306">
        <v>26</v>
      </c>
      <c r="V306">
        <v>44184</v>
      </c>
      <c r="W306" t="str">
        <v>Part-Time</v>
      </c>
      <c r="X306">
        <v>75636.42</v>
      </c>
      <c r="Y306">
        <v>5</v>
      </c>
      <c r="Z306">
        <v>86.52</v>
      </c>
      <c r="AA306">
        <v>5</v>
      </c>
      <c r="AB306">
        <v>35</v>
      </c>
      <c r="AC306">
        <v>33</v>
      </c>
      <c r="AD306" t="str">
        <v>Dylan Miller</v>
      </c>
      <c r="AE306" t="str">
        <v>Resigned</v>
      </c>
      <c r="AF306">
        <v>907637.04</v>
      </c>
    </row>
    <row r="307" spans="16:32" x14ac:dyDescent="0.25">
      <c r="P307" t="str">
        <v>EMP0304</v>
      </c>
      <c r="Q307" t="str">
        <v>Jesse Brown</v>
      </c>
      <c r="R307" t="str">
        <v>Sales</v>
      </c>
      <c r="S307" t="str">
        <v>Account Executive</v>
      </c>
      <c r="T307" t="str">
        <v>Female</v>
      </c>
      <c r="U307">
        <v>28</v>
      </c>
      <c r="V307">
        <v>42764</v>
      </c>
      <c r="W307" t="str">
        <v>Part-Time</v>
      </c>
      <c r="X307">
        <v>34964.230000000003</v>
      </c>
      <c r="Y307">
        <v>5</v>
      </c>
      <c r="Z307">
        <v>91.76</v>
      </c>
      <c r="AA307">
        <v>8</v>
      </c>
      <c r="AB307">
        <v>12</v>
      </c>
      <c r="AC307">
        <v>59</v>
      </c>
      <c r="AD307" t="str">
        <v>Daniel Wagner</v>
      </c>
      <c r="AE307" t="str">
        <v>Active</v>
      </c>
      <c r="AF307">
        <v>419570.76</v>
      </c>
    </row>
    <row r="308" spans="16:32" x14ac:dyDescent="0.25">
      <c r="P308" t="str">
        <v>EMP0305</v>
      </c>
      <c r="Q308" t="str">
        <v>Sean Wyatt</v>
      </c>
      <c r="R308" t="str">
        <v>Marketing</v>
      </c>
      <c r="S308" t="str">
        <v>Brand Manager</v>
      </c>
      <c r="T308" t="str">
        <v>Female</v>
      </c>
      <c r="U308">
        <v>47</v>
      </c>
      <c r="V308">
        <v>44086</v>
      </c>
      <c r="W308" t="str">
        <v>Part-Time</v>
      </c>
      <c r="X308">
        <v>58304.35</v>
      </c>
      <c r="Y308">
        <v>4</v>
      </c>
      <c r="Z308">
        <v>91.44</v>
      </c>
      <c r="AA308">
        <v>5</v>
      </c>
      <c r="AB308">
        <v>60</v>
      </c>
      <c r="AC308">
        <v>2</v>
      </c>
      <c r="AD308" t="str">
        <v>Connie Lawrence</v>
      </c>
      <c r="AE308" t="str">
        <v>Active</v>
      </c>
      <c r="AF308">
        <v>699652.2</v>
      </c>
    </row>
    <row r="309" spans="16:32" x14ac:dyDescent="0.25">
      <c r="P309" t="str">
        <v>EMP0306</v>
      </c>
      <c r="Q309" t="str">
        <v>Kevin Best</v>
      </c>
      <c r="R309" t="str">
        <v>HR</v>
      </c>
      <c r="S309" t="str">
        <v>HR Manager</v>
      </c>
      <c r="T309" t="str">
        <v>Female</v>
      </c>
      <c r="U309">
        <v>23</v>
      </c>
      <c r="V309">
        <v>45453</v>
      </c>
      <c r="W309" t="str">
        <v>Part-Time</v>
      </c>
      <c r="X309">
        <v>108957.42</v>
      </c>
      <c r="Y309">
        <v>3</v>
      </c>
      <c r="Z309">
        <v>93.81</v>
      </c>
      <c r="AA309">
        <v>1</v>
      </c>
      <c r="AB309">
        <v>6</v>
      </c>
      <c r="AC309">
        <v>47</v>
      </c>
      <c r="AD309" t="str">
        <v>Brian Ramirez</v>
      </c>
      <c r="AE309" t="str">
        <v>Resigned</v>
      </c>
      <c r="AF309">
        <v>1307489.04</v>
      </c>
    </row>
    <row r="310" spans="16:32" x14ac:dyDescent="0.25">
      <c r="P310" t="str">
        <v>EMP0307</v>
      </c>
      <c r="Q310" t="str">
        <v>Robert Pearson</v>
      </c>
      <c r="R310" t="str">
        <v>Operations</v>
      </c>
      <c r="S310" t="str">
        <v>Operations Associate</v>
      </c>
      <c r="T310" t="str">
        <v>Female</v>
      </c>
      <c r="U310">
        <v>40</v>
      </c>
      <c r="V310">
        <v>42557</v>
      </c>
      <c r="W310" t="str">
        <v>Part-Time</v>
      </c>
      <c r="X310">
        <v>48034.67</v>
      </c>
      <c r="Y310">
        <v>4</v>
      </c>
      <c r="Z310">
        <v>97.16</v>
      </c>
      <c r="AA310">
        <v>9</v>
      </c>
      <c r="AB310">
        <v>12</v>
      </c>
      <c r="AC310">
        <v>55</v>
      </c>
      <c r="AD310" t="str">
        <v>Gina Moore</v>
      </c>
      <c r="AE310" t="str">
        <v>Active</v>
      </c>
      <c r="AF310">
        <v>576416.04</v>
      </c>
    </row>
    <row r="311" spans="16:32" x14ac:dyDescent="0.25">
      <c r="P311" t="str">
        <v>EMP0308</v>
      </c>
      <c r="Q311" t="str">
        <v>Kathryn Rosario</v>
      </c>
      <c r="R311" t="str">
        <v>R&amp;D</v>
      </c>
      <c r="S311" t="str">
        <v>Product Developer</v>
      </c>
      <c r="T311" t="str">
        <v>Female</v>
      </c>
      <c r="U311">
        <v>47</v>
      </c>
      <c r="V311">
        <v>44300</v>
      </c>
      <c r="W311" t="str">
        <v>Contract</v>
      </c>
      <c r="X311">
        <v>84555.48</v>
      </c>
      <c r="Y311">
        <v>2</v>
      </c>
      <c r="Z311">
        <v>88.83</v>
      </c>
      <c r="AA311">
        <v>4</v>
      </c>
      <c r="AB311">
        <v>52</v>
      </c>
      <c r="AC311">
        <v>47</v>
      </c>
      <c r="AD311" t="str">
        <v>Brian Ramirez</v>
      </c>
      <c r="AE311" t="str">
        <v>Active</v>
      </c>
      <c r="AF311">
        <v>1014665.76</v>
      </c>
    </row>
    <row r="312" spans="16:32" x14ac:dyDescent="0.25">
      <c r="P312" t="str">
        <v>EMP0309</v>
      </c>
      <c r="Q312" t="str">
        <v>Steven Cooper</v>
      </c>
      <c r="R312" t="str">
        <v>Operations</v>
      </c>
      <c r="S312" t="str">
        <v>Operations Associate</v>
      </c>
      <c r="T312" t="str">
        <v>Male</v>
      </c>
      <c r="U312">
        <v>25</v>
      </c>
      <c r="V312">
        <v>45102</v>
      </c>
      <c r="W312" t="str">
        <v>Part-Time</v>
      </c>
      <c r="X312">
        <v>90956.94</v>
      </c>
      <c r="Y312">
        <v>4</v>
      </c>
      <c r="Z312">
        <v>82.71</v>
      </c>
      <c r="AA312">
        <v>2</v>
      </c>
      <c r="AB312">
        <v>67</v>
      </c>
      <c r="AC312">
        <v>56</v>
      </c>
      <c r="AD312" t="str">
        <v>Lisa Jackson</v>
      </c>
      <c r="AE312" t="str">
        <v>Active</v>
      </c>
      <c r="AF312">
        <v>1091483.28</v>
      </c>
    </row>
    <row r="313" spans="16:32" x14ac:dyDescent="0.25">
      <c r="P313" t="str">
        <v>EMP0310</v>
      </c>
      <c r="Q313" t="str">
        <v>Carrie Wright</v>
      </c>
      <c r="R313" t="str">
        <v>IT</v>
      </c>
      <c r="S313" t="str">
        <v>IT Support</v>
      </c>
      <c r="T313" t="str">
        <v>Male</v>
      </c>
      <c r="U313">
        <v>36</v>
      </c>
      <c r="V313">
        <v>42827</v>
      </c>
      <c r="W313" t="str">
        <v>Full-Time</v>
      </c>
      <c r="X313">
        <v>65644.87</v>
      </c>
      <c r="Y313">
        <v>3</v>
      </c>
      <c r="Z313">
        <v>94.09</v>
      </c>
      <c r="AA313">
        <v>8</v>
      </c>
      <c r="AB313">
        <v>35</v>
      </c>
      <c r="AC313">
        <v>23</v>
      </c>
      <c r="AD313" t="str">
        <v>Dylan Miller</v>
      </c>
      <c r="AE313" t="str">
        <v>Active</v>
      </c>
      <c r="AF313">
        <v>787738.44</v>
      </c>
    </row>
    <row r="314" spans="16:32" x14ac:dyDescent="0.25">
      <c r="P314" t="str">
        <v>EMP0311</v>
      </c>
      <c r="Q314" t="str">
        <v>Kelly Bishop MD</v>
      </c>
      <c r="R314" t="str">
        <v>Marketing</v>
      </c>
      <c r="S314" t="str">
        <v>Content Specialist</v>
      </c>
      <c r="T314" t="str">
        <v>Male</v>
      </c>
      <c r="U314">
        <v>36</v>
      </c>
      <c r="V314">
        <v>45023</v>
      </c>
      <c r="W314" t="str">
        <v>Part-Time</v>
      </c>
      <c r="X314">
        <v>68878.67</v>
      </c>
      <c r="Y314">
        <v>4</v>
      </c>
      <c r="Z314">
        <v>83.55</v>
      </c>
      <c r="AA314">
        <v>2</v>
      </c>
      <c r="AB314">
        <v>60</v>
      </c>
      <c r="AC314">
        <v>37</v>
      </c>
      <c r="AD314" t="str">
        <v>Derek Zuniga</v>
      </c>
      <c r="AE314" t="str">
        <v>Active</v>
      </c>
      <c r="AF314">
        <v>826544.04</v>
      </c>
    </row>
    <row r="315" spans="16:32" x14ac:dyDescent="0.25">
      <c r="P315" t="str">
        <v>EMP0312</v>
      </c>
      <c r="Q315" t="str">
        <v>Raymond Shelton</v>
      </c>
      <c r="R315" t="str">
        <v>HR</v>
      </c>
      <c r="S315" t="str">
        <v>Recruiter</v>
      </c>
      <c r="T315" t="str">
        <v>Male</v>
      </c>
      <c r="U315">
        <v>39</v>
      </c>
      <c r="V315">
        <v>44060</v>
      </c>
      <c r="W315" t="str">
        <v>Full-Time</v>
      </c>
      <c r="X315">
        <v>58656.57</v>
      </c>
      <c r="Y315">
        <v>2</v>
      </c>
      <c r="Z315">
        <v>97.08</v>
      </c>
      <c r="AA315">
        <v>5</v>
      </c>
      <c r="AB315">
        <v>27</v>
      </c>
      <c r="AC315">
        <v>54</v>
      </c>
      <c r="AD315" t="str">
        <v>Gina Moore</v>
      </c>
      <c r="AE315" t="str">
        <v>Active</v>
      </c>
      <c r="AF315">
        <v>703878.84</v>
      </c>
    </row>
    <row r="316" spans="16:32" x14ac:dyDescent="0.25">
      <c r="P316" t="str">
        <v>EMP0313</v>
      </c>
      <c r="Q316" t="str">
        <v>Maria Jones</v>
      </c>
      <c r="R316" t="str">
        <v>IT</v>
      </c>
      <c r="S316" t="str">
        <v>Software Engineer</v>
      </c>
      <c r="T316" t="str">
        <v>Female</v>
      </c>
      <c r="U316">
        <v>53</v>
      </c>
      <c r="V316">
        <v>42628</v>
      </c>
      <c r="W316" t="str">
        <v>Full-Time</v>
      </c>
      <c r="X316">
        <v>106462.99</v>
      </c>
      <c r="Y316">
        <v>1</v>
      </c>
      <c r="Z316">
        <v>89.48</v>
      </c>
      <c r="AA316">
        <v>9</v>
      </c>
      <c r="AB316">
        <v>16</v>
      </c>
      <c r="AC316">
        <v>41</v>
      </c>
      <c r="AD316" t="str">
        <v>Connie Lawrence</v>
      </c>
      <c r="AE316" t="str">
        <v>Active</v>
      </c>
      <c r="AF316">
        <v>1277555.8800000001</v>
      </c>
    </row>
    <row r="317" spans="16:32" x14ac:dyDescent="0.25">
      <c r="P317" t="str">
        <v>EMP0314</v>
      </c>
      <c r="Q317" t="str">
        <v>Jasmine King</v>
      </c>
      <c r="R317" t="str">
        <v>Sales</v>
      </c>
      <c r="S317" t="str">
        <v>Sales Rep</v>
      </c>
      <c r="T317" t="str">
        <v>Female</v>
      </c>
      <c r="U317">
        <v>59</v>
      </c>
      <c r="V317">
        <v>42890</v>
      </c>
      <c r="W317" t="str">
        <v>Part-Time</v>
      </c>
      <c r="X317">
        <v>91274.05</v>
      </c>
      <c r="Y317">
        <v>3</v>
      </c>
      <c r="Z317">
        <v>88.48</v>
      </c>
      <c r="AA317">
        <v>8</v>
      </c>
      <c r="AB317">
        <v>48</v>
      </c>
      <c r="AC317">
        <v>54</v>
      </c>
      <c r="AD317" t="str">
        <v>Jamie Arnold</v>
      </c>
      <c r="AE317" t="str">
        <v>Active</v>
      </c>
      <c r="AF317">
        <v>1095288.6000000001</v>
      </c>
    </row>
    <row r="318" spans="16:32" x14ac:dyDescent="0.25">
      <c r="P318" t="str">
        <v>EMP0315</v>
      </c>
      <c r="Q318" t="str">
        <v>Kevin Thomas</v>
      </c>
      <c r="R318" t="str">
        <v>IT</v>
      </c>
      <c r="S318" t="str">
        <v>Software Engineer</v>
      </c>
      <c r="T318" t="str">
        <v>Female</v>
      </c>
      <c r="U318">
        <v>54</v>
      </c>
      <c r="V318">
        <v>43237</v>
      </c>
      <c r="W318" t="str">
        <v>Contract</v>
      </c>
      <c r="X318">
        <v>59715.25</v>
      </c>
      <c r="Y318">
        <v>1</v>
      </c>
      <c r="Z318">
        <v>80.150000000000006</v>
      </c>
      <c r="AA318">
        <v>7</v>
      </c>
      <c r="AB318">
        <v>47</v>
      </c>
      <c r="AC318">
        <v>35</v>
      </c>
      <c r="AD318" t="str">
        <v>Carla Gray</v>
      </c>
      <c r="AE318" t="str">
        <v>Active</v>
      </c>
      <c r="AF318">
        <v>716583</v>
      </c>
    </row>
    <row r="319" spans="16:32" x14ac:dyDescent="0.25">
      <c r="P319" t="str">
        <v>EMP0316</v>
      </c>
      <c r="Q319" t="str">
        <v>Matthew Bates</v>
      </c>
      <c r="R319" t="str">
        <v>Finance</v>
      </c>
      <c r="S319" t="str">
        <v>Finance Manager</v>
      </c>
      <c r="T319" t="str">
        <v>Male</v>
      </c>
      <c r="U319">
        <v>51</v>
      </c>
      <c r="V319">
        <v>44476</v>
      </c>
      <c r="W319" t="str">
        <v>Full-Time</v>
      </c>
      <c r="X319">
        <v>53628.37</v>
      </c>
      <c r="Y319">
        <v>3</v>
      </c>
      <c r="Z319">
        <v>92.81</v>
      </c>
      <c r="AA319">
        <v>4</v>
      </c>
      <c r="AB319">
        <v>35</v>
      </c>
      <c r="AC319">
        <v>16</v>
      </c>
      <c r="AD319" t="str">
        <v>Ryan Munoz</v>
      </c>
      <c r="AE319" t="str">
        <v>Active</v>
      </c>
      <c r="AF319">
        <v>643540.44000000006</v>
      </c>
    </row>
    <row r="320" spans="16:32" x14ac:dyDescent="0.25">
      <c r="P320" t="str">
        <v>EMP0317</v>
      </c>
      <c r="Q320" t="str">
        <v>Teresa Collins</v>
      </c>
      <c r="R320" t="str">
        <v>IT</v>
      </c>
      <c r="S320" t="str">
        <v>IT Support</v>
      </c>
      <c r="T320" t="str">
        <v>Female</v>
      </c>
      <c r="U320">
        <v>41</v>
      </c>
      <c r="V320">
        <v>43104</v>
      </c>
      <c r="W320" t="str">
        <v>Contract</v>
      </c>
      <c r="X320">
        <v>33992.949999999997</v>
      </c>
      <c r="Y320">
        <v>1</v>
      </c>
      <c r="Z320">
        <v>93.11</v>
      </c>
      <c r="AA320">
        <v>7</v>
      </c>
      <c r="AB320">
        <v>37</v>
      </c>
      <c r="AC320">
        <v>16</v>
      </c>
      <c r="AD320" t="str">
        <v>Michele Williams</v>
      </c>
      <c r="AE320" t="str">
        <v>Active</v>
      </c>
      <c r="AF320">
        <v>407915.39999999997</v>
      </c>
    </row>
    <row r="321" spans="16:32" x14ac:dyDescent="0.25">
      <c r="P321" t="str">
        <v>EMP0318</v>
      </c>
      <c r="Q321" t="str">
        <v>Erin Anderson</v>
      </c>
      <c r="R321" t="str">
        <v>Sales</v>
      </c>
      <c r="S321" t="str">
        <v>Account Executive</v>
      </c>
      <c r="T321" t="str">
        <v>Male</v>
      </c>
      <c r="U321">
        <v>42</v>
      </c>
      <c r="V321">
        <v>44643</v>
      </c>
      <c r="W321" t="str">
        <v>Contract</v>
      </c>
      <c r="X321">
        <v>91336.93</v>
      </c>
      <c r="Y321">
        <v>5</v>
      </c>
      <c r="Z321">
        <v>92.77</v>
      </c>
      <c r="AA321">
        <v>3</v>
      </c>
      <c r="AB321">
        <v>60</v>
      </c>
      <c r="AC321">
        <v>58</v>
      </c>
      <c r="AD321" t="str">
        <v>Jamie Arnold</v>
      </c>
      <c r="AE321" t="str">
        <v>Active</v>
      </c>
      <c r="AF321">
        <v>1096043.1599999999</v>
      </c>
    </row>
    <row r="322" spans="16:32" x14ac:dyDescent="0.25">
      <c r="P322" t="str">
        <v>EMP0319</v>
      </c>
      <c r="Q322" t="str">
        <v>Michael Romero</v>
      </c>
      <c r="R322" t="str">
        <v>HR</v>
      </c>
      <c r="S322" t="str">
        <v>HR Manager</v>
      </c>
      <c r="T322" t="str">
        <v>Male</v>
      </c>
      <c r="U322">
        <v>39</v>
      </c>
      <c r="V322">
        <v>45573</v>
      </c>
      <c r="W322" t="str">
        <v>Full-Time</v>
      </c>
      <c r="X322">
        <v>67078.09</v>
      </c>
      <c r="Y322">
        <v>3</v>
      </c>
      <c r="Z322">
        <v>94.5</v>
      </c>
      <c r="AA322">
        <v>1</v>
      </c>
      <c r="AB322">
        <v>71</v>
      </c>
      <c r="AC322">
        <v>48</v>
      </c>
      <c r="AD322" t="str">
        <v>Connie Lawrence</v>
      </c>
      <c r="AE322" t="str">
        <v>Resigned</v>
      </c>
      <c r="AF322">
        <v>804937.08</v>
      </c>
    </row>
    <row r="323" spans="16:32" x14ac:dyDescent="0.25">
      <c r="P323" t="str">
        <v>EMP0320</v>
      </c>
      <c r="Q323" t="str">
        <v>Christopher Lewis</v>
      </c>
      <c r="R323" t="str">
        <v>Operations</v>
      </c>
      <c r="S323" t="str">
        <v>Operations Associate</v>
      </c>
      <c r="T323" t="str">
        <v>Male</v>
      </c>
      <c r="U323">
        <v>43</v>
      </c>
      <c r="V323">
        <v>42416</v>
      </c>
      <c r="W323" t="str">
        <v>Full-Time</v>
      </c>
      <c r="X323">
        <v>94420.99</v>
      </c>
      <c r="Y323">
        <v>3</v>
      </c>
      <c r="Z323">
        <v>88.41</v>
      </c>
      <c r="AA323">
        <v>9</v>
      </c>
      <c r="AB323">
        <v>42</v>
      </c>
      <c r="AC323">
        <v>23</v>
      </c>
      <c r="AD323" t="str">
        <v>Gabrielle Davis</v>
      </c>
      <c r="AE323" t="str">
        <v>Active</v>
      </c>
      <c r="AF323">
        <v>1133051.8800000001</v>
      </c>
    </row>
    <row r="324" spans="16:32" x14ac:dyDescent="0.25">
      <c r="P324" t="str">
        <v>EMP0321</v>
      </c>
      <c r="Q324" t="str">
        <v>Zachary Moore</v>
      </c>
      <c r="R324" t="str">
        <v>R&amp;D</v>
      </c>
      <c r="S324" t="str">
        <v>Researcher</v>
      </c>
      <c r="T324" t="str">
        <v>Female</v>
      </c>
      <c r="U324">
        <v>24</v>
      </c>
      <c r="V324">
        <v>45324</v>
      </c>
      <c r="W324" t="str">
        <v>Contract</v>
      </c>
      <c r="X324">
        <v>78357.460000000006</v>
      </c>
      <c r="Y324">
        <v>5</v>
      </c>
      <c r="Z324">
        <v>81.42</v>
      </c>
      <c r="AA324">
        <v>1</v>
      </c>
      <c r="AB324">
        <v>24</v>
      </c>
      <c r="AC324">
        <v>32</v>
      </c>
      <c r="AD324" t="str">
        <v>Daniel Wagner</v>
      </c>
      <c r="AE324" t="str">
        <v>Resigned</v>
      </c>
      <c r="AF324">
        <v>940289.52</v>
      </c>
    </row>
    <row r="325" spans="16:32" x14ac:dyDescent="0.25">
      <c r="P325" t="str">
        <v>EMP0322</v>
      </c>
      <c r="Q325" t="str">
        <v>Ashley Wise</v>
      </c>
      <c r="R325" t="str">
        <v>Customer Support</v>
      </c>
      <c r="S325" t="str">
        <v>Team Lead</v>
      </c>
      <c r="T325" t="str">
        <v>Female</v>
      </c>
      <c r="U325">
        <v>24</v>
      </c>
      <c r="V325">
        <v>44140</v>
      </c>
      <c r="W325" t="str">
        <v>Full-Time</v>
      </c>
      <c r="X325">
        <v>33736.53</v>
      </c>
      <c r="Y325">
        <v>2</v>
      </c>
      <c r="Z325">
        <v>86.85</v>
      </c>
      <c r="AA325">
        <v>5</v>
      </c>
      <c r="AB325">
        <v>72</v>
      </c>
      <c r="AC325">
        <v>57</v>
      </c>
      <c r="AD325" t="str">
        <v>Dylan Miller</v>
      </c>
      <c r="AE325" t="str">
        <v>Active</v>
      </c>
      <c r="AF325">
        <v>404838.36</v>
      </c>
    </row>
    <row r="326" spans="16:32" x14ac:dyDescent="0.25">
      <c r="P326" t="str">
        <v>EMP0323</v>
      </c>
      <c r="Q326" t="str">
        <v>George Miranda</v>
      </c>
      <c r="R326" t="str">
        <v>HR</v>
      </c>
      <c r="S326" t="str">
        <v>HR Officer</v>
      </c>
      <c r="T326" t="str">
        <v>Female</v>
      </c>
      <c r="U326">
        <v>42</v>
      </c>
      <c r="V326">
        <v>45574</v>
      </c>
      <c r="W326" t="str">
        <v>Contract</v>
      </c>
      <c r="X326">
        <v>118664.04</v>
      </c>
      <c r="Y326">
        <v>3</v>
      </c>
      <c r="Z326">
        <v>92.69</v>
      </c>
      <c r="AA326">
        <v>1</v>
      </c>
      <c r="AB326">
        <v>0</v>
      </c>
      <c r="AC326">
        <v>28</v>
      </c>
      <c r="AD326" t="str">
        <v>Gabrielle Davis</v>
      </c>
      <c r="AE326" t="str">
        <v>Active</v>
      </c>
      <c r="AF326">
        <v>1423968.48</v>
      </c>
    </row>
    <row r="327" spans="16:32" x14ac:dyDescent="0.25">
      <c r="P327" t="str">
        <v>EMP0324</v>
      </c>
      <c r="Q327" t="str">
        <v>Brittany White</v>
      </c>
      <c r="R327" t="str">
        <v>HR</v>
      </c>
      <c r="S327" t="str">
        <v>HR Manager</v>
      </c>
      <c r="T327" t="str">
        <v>Male</v>
      </c>
      <c r="U327">
        <v>52</v>
      </c>
      <c r="V327">
        <v>43117</v>
      </c>
      <c r="W327" t="str">
        <v>Full-Time</v>
      </c>
      <c r="X327">
        <v>32940.6</v>
      </c>
      <c r="Y327">
        <v>4</v>
      </c>
      <c r="Z327">
        <v>92.67</v>
      </c>
      <c r="AA327">
        <v>7</v>
      </c>
      <c r="AB327">
        <v>51</v>
      </c>
      <c r="AC327">
        <v>27</v>
      </c>
      <c r="AD327" t="str">
        <v>Brian Ramirez</v>
      </c>
      <c r="AE327" t="str">
        <v>Active</v>
      </c>
      <c r="AF327">
        <v>395287.19999999995</v>
      </c>
    </row>
    <row r="328" spans="16:32" x14ac:dyDescent="0.25">
      <c r="P328" t="str">
        <v>EMP0325</v>
      </c>
      <c r="Q328" t="str">
        <v>Amanda Diaz</v>
      </c>
      <c r="R328" t="str">
        <v>Sales</v>
      </c>
      <c r="S328" t="str">
        <v>Account Executive</v>
      </c>
      <c r="T328" t="str">
        <v>Male</v>
      </c>
      <c r="U328">
        <v>44</v>
      </c>
      <c r="V328">
        <v>43331</v>
      </c>
      <c r="W328" t="str">
        <v>Full-Time</v>
      </c>
      <c r="X328">
        <v>109200.64</v>
      </c>
      <c r="Y328">
        <v>5</v>
      </c>
      <c r="Z328">
        <v>83.81</v>
      </c>
      <c r="AA328">
        <v>7</v>
      </c>
      <c r="AB328">
        <v>0</v>
      </c>
      <c r="AC328">
        <v>40</v>
      </c>
      <c r="AD328" t="str">
        <v>Gina Moore</v>
      </c>
      <c r="AE328" t="str">
        <v>Active</v>
      </c>
      <c r="AF328">
        <v>1310407.6799999999</v>
      </c>
    </row>
    <row r="329" spans="16:32" x14ac:dyDescent="0.25">
      <c r="P329" t="str">
        <v>EMP0326</v>
      </c>
      <c r="Q329" t="str">
        <v>Lisa Goodwin</v>
      </c>
      <c r="R329" t="str">
        <v>Operations</v>
      </c>
      <c r="S329" t="str">
        <v>Operations Manager</v>
      </c>
      <c r="T329" t="str">
        <v>Male</v>
      </c>
      <c r="U329">
        <v>27</v>
      </c>
      <c r="V329">
        <v>43778</v>
      </c>
      <c r="W329" t="str">
        <v>Part-Time</v>
      </c>
      <c r="X329">
        <v>70333.649999999994</v>
      </c>
      <c r="Y329">
        <v>3</v>
      </c>
      <c r="Z329">
        <v>83.34</v>
      </c>
      <c r="AA329">
        <v>6</v>
      </c>
      <c r="AB329">
        <v>5</v>
      </c>
      <c r="AC329">
        <v>19</v>
      </c>
      <c r="AD329" t="str">
        <v>Ryan Munoz</v>
      </c>
      <c r="AE329" t="str">
        <v>Active</v>
      </c>
      <c r="AF329">
        <v>844003.79999999993</v>
      </c>
    </row>
    <row r="330" spans="16:32" x14ac:dyDescent="0.25">
      <c r="P330" t="str">
        <v>EMP0327</v>
      </c>
      <c r="Q330" t="str">
        <v>David Sheppard</v>
      </c>
      <c r="R330" t="str">
        <v>Operations</v>
      </c>
      <c r="S330" t="str">
        <v>Operations Manager</v>
      </c>
      <c r="T330" t="str">
        <v>Male</v>
      </c>
      <c r="U330">
        <v>42</v>
      </c>
      <c r="V330">
        <v>45092</v>
      </c>
      <c r="W330" t="str">
        <v>Part-Time</v>
      </c>
      <c r="X330">
        <v>55925.09</v>
      </c>
      <c r="Y330">
        <v>2</v>
      </c>
      <c r="Z330">
        <v>83.3</v>
      </c>
      <c r="AA330">
        <v>2</v>
      </c>
      <c r="AB330">
        <v>51</v>
      </c>
      <c r="AC330">
        <v>1</v>
      </c>
      <c r="AD330" t="str">
        <v>Gina Moore</v>
      </c>
      <c r="AE330" t="str">
        <v>Active</v>
      </c>
      <c r="AF330">
        <v>671101.08</v>
      </c>
    </row>
    <row r="331" spans="16:32" x14ac:dyDescent="0.25">
      <c r="P331" t="str">
        <v>EMP0328</v>
      </c>
      <c r="Q331" t="str">
        <v>Cheyenne Gregory</v>
      </c>
      <c r="R331" t="str">
        <v>HR</v>
      </c>
      <c r="S331" t="str">
        <v>HR Officer</v>
      </c>
      <c r="T331" t="str">
        <v>Male</v>
      </c>
      <c r="U331">
        <v>58</v>
      </c>
      <c r="V331">
        <v>45217</v>
      </c>
      <c r="W331" t="str">
        <v>Contract</v>
      </c>
      <c r="X331">
        <v>36898.47</v>
      </c>
      <c r="Y331">
        <v>3</v>
      </c>
      <c r="Z331">
        <v>94.22</v>
      </c>
      <c r="AA331">
        <v>2</v>
      </c>
      <c r="AB331">
        <v>4</v>
      </c>
      <c r="AC331">
        <v>24</v>
      </c>
      <c r="AD331" t="str">
        <v>Gabrielle Davis</v>
      </c>
      <c r="AE331" t="str">
        <v>Active</v>
      </c>
      <c r="AF331">
        <v>442781.64</v>
      </c>
    </row>
    <row r="332" spans="16:32" x14ac:dyDescent="0.25">
      <c r="P332" t="str">
        <v>EMP0329</v>
      </c>
      <c r="Q332" t="str">
        <v>Mrs. Diane Reyes</v>
      </c>
      <c r="R332" t="str">
        <v>Sales</v>
      </c>
      <c r="S332" t="str">
        <v>Account Executive</v>
      </c>
      <c r="T332" t="str">
        <v>Male</v>
      </c>
      <c r="U332">
        <v>27</v>
      </c>
      <c r="V332">
        <v>45847</v>
      </c>
      <c r="W332" t="str">
        <v>Contract</v>
      </c>
      <c r="X332">
        <v>103612</v>
      </c>
      <c r="Y332">
        <v>1</v>
      </c>
      <c r="Z332">
        <v>93.79</v>
      </c>
      <c r="AA332">
        <v>0</v>
      </c>
      <c r="AB332">
        <v>53</v>
      </c>
      <c r="AC332">
        <v>28</v>
      </c>
      <c r="AD332" t="str">
        <v>Lisa Hensley</v>
      </c>
      <c r="AE332" t="str">
        <v>Active</v>
      </c>
      <c r="AF332">
        <v>1243344</v>
      </c>
    </row>
    <row r="333" spans="16:32" x14ac:dyDescent="0.25">
      <c r="P333" t="str">
        <v>EMP0330</v>
      </c>
      <c r="Q333" t="str">
        <v>Christopher Gonzalez</v>
      </c>
      <c r="R333" t="str">
        <v>Finance</v>
      </c>
      <c r="S333" t="str">
        <v>Financial Analyst</v>
      </c>
      <c r="T333" t="str">
        <v>Male</v>
      </c>
      <c r="U333">
        <v>34</v>
      </c>
      <c r="V333">
        <v>45580</v>
      </c>
      <c r="W333" t="str">
        <v>Contract</v>
      </c>
      <c r="X333">
        <v>88574</v>
      </c>
      <c r="Y333">
        <v>1</v>
      </c>
      <c r="Z333">
        <v>86.02</v>
      </c>
      <c r="AA333">
        <v>1</v>
      </c>
      <c r="AB333">
        <v>12</v>
      </c>
      <c r="AC333">
        <v>42</v>
      </c>
      <c r="AD333" t="str">
        <v>Holly Wood</v>
      </c>
      <c r="AE333" t="str">
        <v>Active</v>
      </c>
      <c r="AF333">
        <v>1062888</v>
      </c>
    </row>
    <row r="334" spans="16:32" x14ac:dyDescent="0.25">
      <c r="P334" t="str">
        <v>EMP0331</v>
      </c>
      <c r="Q334" t="str">
        <v>Amy Castillo</v>
      </c>
      <c r="R334" t="str">
        <v>HR</v>
      </c>
      <c r="S334" t="str">
        <v>Recruiter</v>
      </c>
      <c r="T334" t="str">
        <v>Male</v>
      </c>
      <c r="U334">
        <v>53</v>
      </c>
      <c r="V334">
        <v>43162</v>
      </c>
      <c r="W334" t="str">
        <v>Contract</v>
      </c>
      <c r="X334">
        <v>81769.8</v>
      </c>
      <c r="Y334">
        <v>3</v>
      </c>
      <c r="Z334">
        <v>82.28</v>
      </c>
      <c r="AA334">
        <v>7</v>
      </c>
      <c r="AB334">
        <v>13</v>
      </c>
      <c r="AC334">
        <v>31</v>
      </c>
      <c r="AD334" t="str">
        <v>Abigail Shaffer</v>
      </c>
      <c r="AE334" t="str">
        <v>Active</v>
      </c>
      <c r="AF334">
        <v>981237.60000000009</v>
      </c>
    </row>
    <row r="335" spans="16:32" x14ac:dyDescent="0.25">
      <c r="P335" t="str">
        <v>EMP0332</v>
      </c>
      <c r="Q335" t="str">
        <v>Ashley Singleton</v>
      </c>
      <c r="R335" t="str">
        <v>Finance</v>
      </c>
      <c r="S335" t="str">
        <v>Finance Manager</v>
      </c>
      <c r="T335" t="str">
        <v>Male</v>
      </c>
      <c r="U335">
        <v>43</v>
      </c>
      <c r="V335">
        <v>44609</v>
      </c>
      <c r="W335" t="str">
        <v>Contract</v>
      </c>
      <c r="X335">
        <v>60975.62</v>
      </c>
      <c r="Y335">
        <v>2</v>
      </c>
      <c r="Z335">
        <v>80.790000000000006</v>
      </c>
      <c r="AA335">
        <v>3</v>
      </c>
      <c r="AB335">
        <v>63</v>
      </c>
      <c r="AC335">
        <v>58</v>
      </c>
      <c r="AD335" t="str">
        <v>Abigail Shaffer</v>
      </c>
      <c r="AE335" t="str">
        <v>Active</v>
      </c>
      <c r="AF335">
        <v>731707.44000000006</v>
      </c>
    </row>
    <row r="336" spans="16:32" x14ac:dyDescent="0.25">
      <c r="P336" t="str">
        <v>EMP0333</v>
      </c>
      <c r="Q336" t="str">
        <v>Phillip Nelson</v>
      </c>
      <c r="R336" t="str">
        <v>R&amp;D</v>
      </c>
      <c r="S336" t="str">
        <v>Product Developer</v>
      </c>
      <c r="T336" t="str">
        <v>Male</v>
      </c>
      <c r="U336">
        <v>21</v>
      </c>
      <c r="V336">
        <v>43077</v>
      </c>
      <c r="W336" t="str">
        <v>Full-Time</v>
      </c>
      <c r="X336">
        <v>87163.31</v>
      </c>
      <c r="Y336">
        <v>1</v>
      </c>
      <c r="Z336">
        <v>96.7</v>
      </c>
      <c r="AA336">
        <v>8</v>
      </c>
      <c r="AB336">
        <v>63</v>
      </c>
      <c r="AC336">
        <v>9</v>
      </c>
      <c r="AD336" t="str">
        <v>Angie Henderson</v>
      </c>
      <c r="AE336" t="str">
        <v>Active</v>
      </c>
      <c r="AF336">
        <v>1045959.72</v>
      </c>
    </row>
    <row r="337" spans="16:32" x14ac:dyDescent="0.25">
      <c r="P337" t="str">
        <v>EMP0334</v>
      </c>
      <c r="Q337" t="str">
        <v>Jeffrey Potts</v>
      </c>
      <c r="R337" t="str">
        <v>Marketing</v>
      </c>
      <c r="S337" t="str">
        <v>Content Specialist</v>
      </c>
      <c r="T337" t="str">
        <v>Male</v>
      </c>
      <c r="U337">
        <v>37</v>
      </c>
      <c r="V337">
        <v>45492</v>
      </c>
      <c r="W337" t="str">
        <v>Contract</v>
      </c>
      <c r="X337">
        <v>43116.03</v>
      </c>
      <c r="Y337">
        <v>3</v>
      </c>
      <c r="Z337">
        <v>85.28</v>
      </c>
      <c r="AA337">
        <v>1</v>
      </c>
      <c r="AB337">
        <v>6</v>
      </c>
      <c r="AC337">
        <v>6</v>
      </c>
      <c r="AD337" t="str">
        <v>Connie Lawrence</v>
      </c>
      <c r="AE337" t="str">
        <v>Resigned</v>
      </c>
      <c r="AF337">
        <v>517392.36</v>
      </c>
    </row>
    <row r="338" spans="16:32" x14ac:dyDescent="0.25">
      <c r="P338" t="str">
        <v>EMP0335</v>
      </c>
      <c r="Q338" t="str">
        <v>Stacey Arias</v>
      </c>
      <c r="R338" t="str">
        <v>Finance</v>
      </c>
      <c r="S338" t="str">
        <v>Financial Analyst</v>
      </c>
      <c r="T338" t="str">
        <v>Female</v>
      </c>
      <c r="U338">
        <v>48</v>
      </c>
      <c r="V338">
        <v>43682</v>
      </c>
      <c r="W338" t="str">
        <v>Contract</v>
      </c>
      <c r="X338">
        <v>31590.11</v>
      </c>
      <c r="Y338">
        <v>1</v>
      </c>
      <c r="Z338">
        <v>80.19</v>
      </c>
      <c r="AA338">
        <v>6</v>
      </c>
      <c r="AB338">
        <v>17</v>
      </c>
      <c r="AC338">
        <v>42</v>
      </c>
      <c r="AD338" t="str">
        <v>Connie Lawrence</v>
      </c>
      <c r="AE338" t="str">
        <v>Active</v>
      </c>
      <c r="AF338">
        <v>379081.32</v>
      </c>
    </row>
    <row r="339" spans="16:32" x14ac:dyDescent="0.25">
      <c r="P339" t="str">
        <v>EMP0336</v>
      </c>
      <c r="Q339" t="str">
        <v>Jonathan Young</v>
      </c>
      <c r="R339" t="str">
        <v>R&amp;D</v>
      </c>
      <c r="S339" t="str">
        <v>Product Developer</v>
      </c>
      <c r="T339" t="str">
        <v>Male</v>
      </c>
      <c r="U339">
        <v>44</v>
      </c>
      <c r="V339">
        <v>44881</v>
      </c>
      <c r="W339" t="str">
        <v>Part-Time</v>
      </c>
      <c r="X339">
        <v>38286.94</v>
      </c>
      <c r="Y339">
        <v>4</v>
      </c>
      <c r="Z339">
        <v>88.01</v>
      </c>
      <c r="AA339">
        <v>3</v>
      </c>
      <c r="AB339">
        <v>58</v>
      </c>
      <c r="AC339">
        <v>17</v>
      </c>
      <c r="AD339" t="str">
        <v>Lisa Hensley</v>
      </c>
      <c r="AE339" t="str">
        <v>Active</v>
      </c>
      <c r="AF339">
        <v>459443.28</v>
      </c>
    </row>
    <row r="340" spans="16:32" x14ac:dyDescent="0.25">
      <c r="P340" t="str">
        <v>EMP0337</v>
      </c>
      <c r="Q340" t="str">
        <v>Alfred Galvan</v>
      </c>
      <c r="R340" t="str">
        <v>R&amp;D</v>
      </c>
      <c r="S340" t="str">
        <v>Product Developer</v>
      </c>
      <c r="T340" t="str">
        <v>Male</v>
      </c>
      <c r="U340">
        <v>28</v>
      </c>
      <c r="V340">
        <v>42810</v>
      </c>
      <c r="W340" t="str">
        <v>Full-Time</v>
      </c>
      <c r="X340">
        <v>89616.99</v>
      </c>
      <c r="Y340">
        <v>1</v>
      </c>
      <c r="Z340">
        <v>99.63</v>
      </c>
      <c r="AA340">
        <v>8</v>
      </c>
      <c r="AB340">
        <v>20</v>
      </c>
      <c r="AC340">
        <v>6</v>
      </c>
      <c r="AD340" t="str">
        <v>Michele Williams</v>
      </c>
      <c r="AE340" t="str">
        <v>Resigned</v>
      </c>
      <c r="AF340">
        <v>1075403.8800000001</v>
      </c>
    </row>
    <row r="341" spans="16:32" x14ac:dyDescent="0.25">
      <c r="P341" t="str">
        <v>EMP0338</v>
      </c>
      <c r="Q341" t="str">
        <v>Brenda Mitchell</v>
      </c>
      <c r="R341" t="str">
        <v>R&amp;D</v>
      </c>
      <c r="S341" t="str">
        <v>Product Developer</v>
      </c>
      <c r="T341" t="str">
        <v>Male</v>
      </c>
      <c r="U341">
        <v>60</v>
      </c>
      <c r="V341">
        <v>44386</v>
      </c>
      <c r="W341" t="str">
        <v>Part-Time</v>
      </c>
      <c r="X341">
        <v>97916.43</v>
      </c>
      <c r="Y341">
        <v>5</v>
      </c>
      <c r="Z341">
        <v>80.58</v>
      </c>
      <c r="AA341">
        <v>4</v>
      </c>
      <c r="AB341">
        <v>16</v>
      </c>
      <c r="AC341">
        <v>30</v>
      </c>
      <c r="AD341" t="str">
        <v>Brian Ramirez</v>
      </c>
      <c r="AE341" t="str">
        <v>Active</v>
      </c>
      <c r="AF341">
        <v>1174997.1599999999</v>
      </c>
    </row>
    <row r="342" spans="16:32" x14ac:dyDescent="0.25">
      <c r="P342" t="str">
        <v>EMP0339</v>
      </c>
      <c r="Q342" t="str">
        <v>Brenda Thornton</v>
      </c>
      <c r="R342" t="str">
        <v>Customer Support</v>
      </c>
      <c r="S342" t="str">
        <v>Team Lead</v>
      </c>
      <c r="T342" t="str">
        <v>Male</v>
      </c>
      <c r="U342">
        <v>25</v>
      </c>
      <c r="V342">
        <v>45238</v>
      </c>
      <c r="W342" t="str">
        <v>Part-Time</v>
      </c>
      <c r="X342">
        <v>85497.36</v>
      </c>
      <c r="Y342">
        <v>1</v>
      </c>
      <c r="Z342">
        <v>94.09</v>
      </c>
      <c r="AA342">
        <v>2</v>
      </c>
      <c r="AB342">
        <v>67</v>
      </c>
      <c r="AC342">
        <v>49</v>
      </c>
      <c r="AD342" t="str">
        <v>Lisa Jackson</v>
      </c>
      <c r="AE342" t="str">
        <v>Active</v>
      </c>
      <c r="AF342">
        <v>1025968.3200000001</v>
      </c>
    </row>
    <row r="343" spans="16:32" x14ac:dyDescent="0.25">
      <c r="P343" t="str">
        <v>EMP0340</v>
      </c>
      <c r="Q343" t="str">
        <v>Susan Smith</v>
      </c>
      <c r="R343" t="str">
        <v>IT</v>
      </c>
      <c r="S343" t="str">
        <v>Data Analyst</v>
      </c>
      <c r="T343" t="str">
        <v>Female</v>
      </c>
      <c r="U343">
        <v>54</v>
      </c>
      <c r="V343">
        <v>45090</v>
      </c>
      <c r="W343" t="str">
        <v>Contract</v>
      </c>
      <c r="X343">
        <v>88824.16</v>
      </c>
      <c r="Y343">
        <v>5</v>
      </c>
      <c r="Z343">
        <v>81.900000000000006</v>
      </c>
      <c r="AA343">
        <v>2</v>
      </c>
      <c r="AB343">
        <v>31</v>
      </c>
      <c r="AC343">
        <v>30</v>
      </c>
      <c r="AD343" t="str">
        <v>Jamie Arnold</v>
      </c>
      <c r="AE343" t="str">
        <v>Active</v>
      </c>
      <c r="AF343">
        <v>1065889.92</v>
      </c>
    </row>
    <row r="344" spans="16:32" x14ac:dyDescent="0.25">
      <c r="P344" t="str">
        <v>EMP0341</v>
      </c>
      <c r="Q344" t="str">
        <v>Kimberly Acosta</v>
      </c>
      <c r="R344" t="str">
        <v>Customer Support</v>
      </c>
      <c r="S344" t="str">
        <v>Support Agent</v>
      </c>
      <c r="T344" t="str">
        <v>Male</v>
      </c>
      <c r="U344">
        <v>21</v>
      </c>
      <c r="V344">
        <v>43643</v>
      </c>
      <c r="W344" t="str">
        <v>Contract</v>
      </c>
      <c r="X344">
        <v>113437.14</v>
      </c>
      <c r="Y344">
        <v>5</v>
      </c>
      <c r="Z344">
        <v>96.98</v>
      </c>
      <c r="AA344">
        <v>6</v>
      </c>
      <c r="AB344">
        <v>63</v>
      </c>
      <c r="AC344">
        <v>55</v>
      </c>
      <c r="AD344" t="str">
        <v>Connie Lawrence</v>
      </c>
      <c r="AE344" t="str">
        <v>Active</v>
      </c>
      <c r="AF344">
        <v>1361245.68</v>
      </c>
    </row>
    <row r="345" spans="16:32" x14ac:dyDescent="0.25">
      <c r="P345" t="str">
        <v>EMP0342</v>
      </c>
      <c r="Q345" t="str">
        <v>Ricardo Young</v>
      </c>
      <c r="R345" t="str">
        <v>R&amp;D</v>
      </c>
      <c r="S345" t="str">
        <v>Product Developer</v>
      </c>
      <c r="T345" t="str">
        <v>Male</v>
      </c>
      <c r="U345">
        <v>42</v>
      </c>
      <c r="V345">
        <v>45582</v>
      </c>
      <c r="W345" t="str">
        <v>Part-Time</v>
      </c>
      <c r="X345">
        <v>25035.07</v>
      </c>
      <c r="Y345">
        <v>2</v>
      </c>
      <c r="Z345">
        <v>91.01</v>
      </c>
      <c r="AA345">
        <v>1</v>
      </c>
      <c r="AB345">
        <v>48</v>
      </c>
      <c r="AC345">
        <v>25</v>
      </c>
      <c r="AD345" t="str">
        <v>Gina Moore</v>
      </c>
      <c r="AE345" t="str">
        <v>Active</v>
      </c>
      <c r="AF345">
        <v>300420.83999999997</v>
      </c>
    </row>
    <row r="346" spans="16:32" x14ac:dyDescent="0.25">
      <c r="P346" t="str">
        <v>EMP0343</v>
      </c>
      <c r="Q346" t="str">
        <v>Jason Bauer</v>
      </c>
      <c r="R346" t="str">
        <v>R&amp;D</v>
      </c>
      <c r="S346" t="str">
        <v>Product Developer</v>
      </c>
      <c r="T346" t="str">
        <v>Male</v>
      </c>
      <c r="U346">
        <v>52</v>
      </c>
      <c r="V346">
        <v>43060</v>
      </c>
      <c r="W346" t="str">
        <v>Part-Time</v>
      </c>
      <c r="X346">
        <v>51606.15</v>
      </c>
      <c r="Y346">
        <v>4</v>
      </c>
      <c r="Z346">
        <v>94.9</v>
      </c>
      <c r="AA346">
        <v>8</v>
      </c>
      <c r="AB346">
        <v>2</v>
      </c>
      <c r="AC346">
        <v>6</v>
      </c>
      <c r="AD346" t="str">
        <v>Lisa Hensley</v>
      </c>
      <c r="AE346" t="str">
        <v>Active</v>
      </c>
      <c r="AF346">
        <v>619273.80000000005</v>
      </c>
    </row>
    <row r="347" spans="16:32" x14ac:dyDescent="0.25">
      <c r="P347" t="str">
        <v>EMP0344</v>
      </c>
      <c r="Q347" t="str">
        <v>Russell Porter</v>
      </c>
      <c r="R347" t="str">
        <v>Sales</v>
      </c>
      <c r="S347" t="str">
        <v>Sales Rep</v>
      </c>
      <c r="T347" t="str">
        <v>Female</v>
      </c>
      <c r="U347">
        <v>53</v>
      </c>
      <c r="V347">
        <v>45143</v>
      </c>
      <c r="W347" t="str">
        <v>Contract</v>
      </c>
      <c r="X347">
        <v>40685.120000000003</v>
      </c>
      <c r="Y347">
        <v>4</v>
      </c>
      <c r="Z347">
        <v>99.01</v>
      </c>
      <c r="AA347">
        <v>2</v>
      </c>
      <c r="AB347">
        <v>46</v>
      </c>
      <c r="AC347">
        <v>52</v>
      </c>
      <c r="AD347" t="str">
        <v>Noah Rhodes</v>
      </c>
      <c r="AE347" t="str">
        <v>Active</v>
      </c>
      <c r="AF347">
        <v>488221.44000000006</v>
      </c>
    </row>
    <row r="348" spans="16:32" x14ac:dyDescent="0.25">
      <c r="P348" t="str">
        <v>EMP0345</v>
      </c>
      <c r="Q348" t="str">
        <v>Jose Allen</v>
      </c>
      <c r="R348" t="str">
        <v>R&amp;D</v>
      </c>
      <c r="S348" t="str">
        <v>Product Developer</v>
      </c>
      <c r="T348" t="str">
        <v>Female</v>
      </c>
      <c r="U348">
        <v>44</v>
      </c>
      <c r="V348">
        <v>45633</v>
      </c>
      <c r="W348" t="str">
        <v>Contract</v>
      </c>
      <c r="X348">
        <v>65253.25</v>
      </c>
      <c r="Y348">
        <v>1</v>
      </c>
      <c r="Z348">
        <v>95.19</v>
      </c>
      <c r="AA348">
        <v>1</v>
      </c>
      <c r="AB348">
        <v>28</v>
      </c>
      <c r="AC348">
        <v>0</v>
      </c>
      <c r="AD348" t="str">
        <v>Monica Herrera</v>
      </c>
      <c r="AE348" t="str">
        <v>Active</v>
      </c>
      <c r="AF348">
        <v>783039</v>
      </c>
    </row>
    <row r="349" spans="16:32" x14ac:dyDescent="0.25">
      <c r="P349" t="str">
        <v>EMP0346</v>
      </c>
      <c r="Q349" t="str">
        <v>Aaron Gomez</v>
      </c>
      <c r="R349" t="str">
        <v>Finance</v>
      </c>
      <c r="S349" t="str">
        <v>Finance Manager</v>
      </c>
      <c r="T349" t="str">
        <v>Female</v>
      </c>
      <c r="U349">
        <v>27</v>
      </c>
      <c r="V349">
        <v>43195</v>
      </c>
      <c r="W349" t="str">
        <v>Full-Time</v>
      </c>
      <c r="X349">
        <v>109687.71</v>
      </c>
      <c r="Y349">
        <v>4</v>
      </c>
      <c r="Z349">
        <v>82.81</v>
      </c>
      <c r="AA349">
        <v>7</v>
      </c>
      <c r="AB349">
        <v>52</v>
      </c>
      <c r="AC349">
        <v>6</v>
      </c>
      <c r="AD349" t="str">
        <v>Gabrielle Davis</v>
      </c>
      <c r="AE349" t="str">
        <v>Active</v>
      </c>
      <c r="AF349">
        <v>1316252.52</v>
      </c>
    </row>
    <row r="350" spans="16:32" x14ac:dyDescent="0.25">
      <c r="P350" t="str">
        <v>EMP0347</v>
      </c>
      <c r="Q350" t="str">
        <v>Matthew Miller</v>
      </c>
      <c r="R350" t="str">
        <v>IT</v>
      </c>
      <c r="S350" t="str">
        <v>IT Support</v>
      </c>
      <c r="T350" t="str">
        <v>Female</v>
      </c>
      <c r="U350">
        <v>34</v>
      </c>
      <c r="V350">
        <v>45848</v>
      </c>
      <c r="W350" t="str">
        <v>Part-Time</v>
      </c>
      <c r="X350">
        <v>102455.41</v>
      </c>
      <c r="Y350">
        <v>2</v>
      </c>
      <c r="Z350">
        <v>94.34</v>
      </c>
      <c r="AA350">
        <v>0</v>
      </c>
      <c r="AB350">
        <v>13</v>
      </c>
      <c r="AC350">
        <v>48</v>
      </c>
      <c r="AD350" t="str">
        <v>Michele Williams</v>
      </c>
      <c r="AE350" t="str">
        <v>Active</v>
      </c>
      <c r="AF350">
        <v>1229464.92</v>
      </c>
    </row>
    <row r="351" spans="16:32" x14ac:dyDescent="0.25">
      <c r="P351" t="str">
        <v>EMP0348</v>
      </c>
      <c r="Q351" t="str">
        <v>Joseph Romero</v>
      </c>
      <c r="R351" t="str">
        <v>Marketing</v>
      </c>
      <c r="S351" t="str">
        <v>Brand Manager</v>
      </c>
      <c r="T351" t="str">
        <v>Female</v>
      </c>
      <c r="U351">
        <v>58</v>
      </c>
      <c r="V351">
        <v>44543</v>
      </c>
      <c r="W351" t="str">
        <v>Contract</v>
      </c>
      <c r="X351">
        <v>33463.599999999999</v>
      </c>
      <c r="Y351">
        <v>4</v>
      </c>
      <c r="Z351">
        <v>80.09</v>
      </c>
      <c r="AA351">
        <v>4</v>
      </c>
      <c r="AB351">
        <v>6</v>
      </c>
      <c r="AC351">
        <v>35</v>
      </c>
      <c r="AD351" t="str">
        <v>Michele Williams</v>
      </c>
      <c r="AE351" t="str">
        <v>Active</v>
      </c>
      <c r="AF351">
        <v>401563.19999999995</v>
      </c>
    </row>
    <row r="352" spans="16:32" x14ac:dyDescent="0.25">
      <c r="P352" t="str">
        <v>EMP0349</v>
      </c>
      <c r="Q352" t="str">
        <v>Jeanette Harrison</v>
      </c>
      <c r="R352" t="str">
        <v>R&amp;D</v>
      </c>
      <c r="S352" t="str">
        <v>Researcher</v>
      </c>
      <c r="T352" t="str">
        <v>Male</v>
      </c>
      <c r="U352">
        <v>29</v>
      </c>
      <c r="V352">
        <v>45457</v>
      </c>
      <c r="W352" t="str">
        <v>Full-Time</v>
      </c>
      <c r="X352">
        <v>58740.56</v>
      </c>
      <c r="Y352">
        <v>5</v>
      </c>
      <c r="Z352">
        <v>92.12</v>
      </c>
      <c r="AA352">
        <v>1</v>
      </c>
      <c r="AB352">
        <v>41</v>
      </c>
      <c r="AC352">
        <v>32</v>
      </c>
      <c r="AD352" t="str">
        <v>Lisa Hensley</v>
      </c>
      <c r="AE352" t="str">
        <v>Active</v>
      </c>
      <c r="AF352">
        <v>704886.72</v>
      </c>
    </row>
    <row r="353" spans="16:32" x14ac:dyDescent="0.25">
      <c r="P353" t="str">
        <v>EMP0350</v>
      </c>
      <c r="Q353" t="str">
        <v>Mrs. Alexis Kramer</v>
      </c>
      <c r="R353" t="str">
        <v>IT</v>
      </c>
      <c r="S353" t="str">
        <v>Software Engineer</v>
      </c>
      <c r="T353" t="str">
        <v>Female</v>
      </c>
      <c r="U353">
        <v>42</v>
      </c>
      <c r="V353">
        <v>44706</v>
      </c>
      <c r="W353" t="str">
        <v>Part-Time</v>
      </c>
      <c r="X353">
        <v>65284.57</v>
      </c>
      <c r="Y353">
        <v>2</v>
      </c>
      <c r="Z353">
        <v>82.76</v>
      </c>
      <c r="AA353">
        <v>3</v>
      </c>
      <c r="AB353">
        <v>77</v>
      </c>
      <c r="AC353">
        <v>44</v>
      </c>
      <c r="AD353" t="str">
        <v>Holly Wood</v>
      </c>
      <c r="AE353" t="str">
        <v>Active</v>
      </c>
      <c r="AF353">
        <v>783414.84</v>
      </c>
    </row>
    <row r="354" spans="16:32" x14ac:dyDescent="0.25">
      <c r="P354" t="str">
        <v>EMP0351</v>
      </c>
      <c r="Q354" t="str">
        <v>Matthew Garcia</v>
      </c>
      <c r="R354" t="str">
        <v>Operations</v>
      </c>
      <c r="S354" t="str">
        <v>Operations Associate</v>
      </c>
      <c r="T354" t="str">
        <v>Male</v>
      </c>
      <c r="U354">
        <v>34</v>
      </c>
      <c r="V354">
        <v>44445</v>
      </c>
      <c r="W354" t="str">
        <v>Contract</v>
      </c>
      <c r="X354">
        <v>91438.45</v>
      </c>
      <c r="Y354">
        <v>3</v>
      </c>
      <c r="Z354">
        <v>98.42</v>
      </c>
      <c r="AA354">
        <v>4</v>
      </c>
      <c r="AB354">
        <v>16</v>
      </c>
      <c r="AC354">
        <v>45</v>
      </c>
      <c r="AD354" t="str">
        <v>Connie Lawrence</v>
      </c>
      <c r="AE354" t="str">
        <v>Active</v>
      </c>
      <c r="AF354">
        <v>1097261.3999999999</v>
      </c>
    </row>
    <row r="355" spans="16:32" x14ac:dyDescent="0.25">
      <c r="P355" t="str">
        <v>EMP0352</v>
      </c>
      <c r="Q355" t="str">
        <v>Evelyn Williams</v>
      </c>
      <c r="R355" t="str">
        <v>Operations</v>
      </c>
      <c r="S355" t="str">
        <v>Operations Associate</v>
      </c>
      <c r="T355" t="str">
        <v>Female</v>
      </c>
      <c r="U355">
        <v>56</v>
      </c>
      <c r="V355">
        <v>45918</v>
      </c>
      <c r="W355" t="str">
        <v>Part-Time</v>
      </c>
      <c r="X355">
        <v>78280.63</v>
      </c>
      <c r="Y355">
        <v>4</v>
      </c>
      <c r="Z355">
        <v>93.48</v>
      </c>
      <c r="AA355">
        <v>0</v>
      </c>
      <c r="AB355">
        <v>68</v>
      </c>
      <c r="AC355">
        <v>18</v>
      </c>
      <c r="AD355" t="str">
        <v>Michele Williams</v>
      </c>
      <c r="AE355" t="str">
        <v>Active</v>
      </c>
      <c r="AF355">
        <v>939367.56</v>
      </c>
    </row>
    <row r="356" spans="16:32" x14ac:dyDescent="0.25">
      <c r="P356" t="str">
        <v>EMP0353</v>
      </c>
      <c r="Q356" t="str">
        <v>Marvin Greer</v>
      </c>
      <c r="R356" t="str">
        <v>Marketing</v>
      </c>
      <c r="S356" t="str">
        <v>Marketing Analyst</v>
      </c>
      <c r="T356" t="str">
        <v>Female</v>
      </c>
      <c r="U356">
        <v>30</v>
      </c>
      <c r="V356">
        <v>45695</v>
      </c>
      <c r="W356" t="str">
        <v>Full-Time</v>
      </c>
      <c r="X356">
        <v>87025.42</v>
      </c>
      <c r="Y356">
        <v>2</v>
      </c>
      <c r="Z356">
        <v>85.34</v>
      </c>
      <c r="AA356">
        <v>0</v>
      </c>
      <c r="AB356">
        <v>20</v>
      </c>
      <c r="AC356">
        <v>18</v>
      </c>
      <c r="AD356" t="str">
        <v>Gabrielle Davis</v>
      </c>
      <c r="AE356" t="str">
        <v>Active</v>
      </c>
      <c r="AF356">
        <v>1044305.04</v>
      </c>
    </row>
    <row r="357" spans="16:32" x14ac:dyDescent="0.25">
      <c r="P357" t="str">
        <v>EMP0354</v>
      </c>
      <c r="Q357" t="str">
        <v>Mrs. Catherine Taylor</v>
      </c>
      <c r="R357" t="str">
        <v>Sales</v>
      </c>
      <c r="S357" t="str">
        <v>Account Executive</v>
      </c>
      <c r="T357" t="str">
        <v>Female</v>
      </c>
      <c r="U357">
        <v>34</v>
      </c>
      <c r="V357">
        <v>45190</v>
      </c>
      <c r="W357" t="str">
        <v>Contract</v>
      </c>
      <c r="X357">
        <v>23230.639999999999</v>
      </c>
      <c r="Y357">
        <v>4</v>
      </c>
      <c r="Z357">
        <v>82.05</v>
      </c>
      <c r="AA357">
        <v>2</v>
      </c>
      <c r="AB357">
        <v>71</v>
      </c>
      <c r="AC357">
        <v>55</v>
      </c>
      <c r="AD357" t="str">
        <v>Gina Moore</v>
      </c>
      <c r="AE357" t="str">
        <v>Active</v>
      </c>
      <c r="AF357">
        <v>278767.68</v>
      </c>
    </row>
    <row r="358" spans="16:32" x14ac:dyDescent="0.25">
      <c r="P358" t="str">
        <v>EMP0355</v>
      </c>
      <c r="Q358" t="str">
        <v>Dakota Moody</v>
      </c>
      <c r="R358" t="str">
        <v>Customer Support</v>
      </c>
      <c r="S358" t="str">
        <v>Support Agent</v>
      </c>
      <c r="T358" t="str">
        <v>Female</v>
      </c>
      <c r="U358">
        <v>24</v>
      </c>
      <c r="V358">
        <v>45146</v>
      </c>
      <c r="W358" t="str">
        <v>Part-Time</v>
      </c>
      <c r="X358">
        <v>58755.46</v>
      </c>
      <c r="Y358">
        <v>3</v>
      </c>
      <c r="Z358">
        <v>99.32</v>
      </c>
      <c r="AA358">
        <v>2</v>
      </c>
      <c r="AB358">
        <v>6</v>
      </c>
      <c r="AC358">
        <v>0</v>
      </c>
      <c r="AD358" t="str">
        <v>Gabrielle Davis</v>
      </c>
      <c r="AE358" t="str">
        <v>Active</v>
      </c>
      <c r="AF358">
        <v>705065.52</v>
      </c>
    </row>
    <row r="359" spans="16:32" x14ac:dyDescent="0.25">
      <c r="P359" t="str">
        <v>EMP0356</v>
      </c>
      <c r="Q359" t="str">
        <v>Eric Sanders</v>
      </c>
      <c r="R359" t="str">
        <v>R&amp;D</v>
      </c>
      <c r="S359" t="str">
        <v>Researcher</v>
      </c>
      <c r="T359" t="str">
        <v>Female</v>
      </c>
      <c r="U359">
        <v>58</v>
      </c>
      <c r="V359">
        <v>42563</v>
      </c>
      <c r="W359" t="str">
        <v>Contract</v>
      </c>
      <c r="X359">
        <v>93845</v>
      </c>
      <c r="Y359">
        <v>2</v>
      </c>
      <c r="Z359">
        <v>95.52</v>
      </c>
      <c r="AA359">
        <v>9</v>
      </c>
      <c r="AB359">
        <v>24</v>
      </c>
      <c r="AC359">
        <v>18</v>
      </c>
      <c r="AD359" t="str">
        <v>Dylan Miller</v>
      </c>
      <c r="AE359" t="str">
        <v>Active</v>
      </c>
      <c r="AF359">
        <v>1126140</v>
      </c>
    </row>
    <row r="360" spans="16:32" x14ac:dyDescent="0.25">
      <c r="P360" t="str">
        <v>EMP0357</v>
      </c>
      <c r="Q360" t="str">
        <v>Andrew Lucas</v>
      </c>
      <c r="R360" t="str">
        <v>Marketing</v>
      </c>
      <c r="S360" t="str">
        <v>Marketing Analyst</v>
      </c>
      <c r="T360" t="str">
        <v>Male</v>
      </c>
      <c r="U360">
        <v>53</v>
      </c>
      <c r="V360">
        <v>45677</v>
      </c>
      <c r="W360" t="str">
        <v>Full-Time</v>
      </c>
      <c r="X360">
        <v>57719.82</v>
      </c>
      <c r="Y360">
        <v>4</v>
      </c>
      <c r="Z360">
        <v>85.58</v>
      </c>
      <c r="AA360">
        <v>0</v>
      </c>
      <c r="AB360">
        <v>33</v>
      </c>
      <c r="AC360">
        <v>8</v>
      </c>
      <c r="AD360" t="str">
        <v>Connie Lawrence</v>
      </c>
      <c r="AE360" t="str">
        <v>Active</v>
      </c>
      <c r="AF360">
        <v>692637.84</v>
      </c>
    </row>
    <row r="361" spans="16:32" x14ac:dyDescent="0.25">
      <c r="P361" t="str">
        <v>EMP0358</v>
      </c>
      <c r="Q361" t="str">
        <v>Richard Glenn</v>
      </c>
      <c r="R361" t="str">
        <v>Finance</v>
      </c>
      <c r="S361" t="str">
        <v>Accountant</v>
      </c>
      <c r="T361" t="str">
        <v>Female</v>
      </c>
      <c r="U361">
        <v>50</v>
      </c>
      <c r="V361">
        <v>44080</v>
      </c>
      <c r="W361" t="str">
        <v>Contract</v>
      </c>
      <c r="X361">
        <v>113749.45</v>
      </c>
      <c r="Y361">
        <v>1</v>
      </c>
      <c r="Z361">
        <v>83.07</v>
      </c>
      <c r="AA361">
        <v>5</v>
      </c>
      <c r="AB361">
        <v>41</v>
      </c>
      <c r="AC361">
        <v>38</v>
      </c>
      <c r="AD361" t="str">
        <v>Noah Rhodes</v>
      </c>
      <c r="AE361" t="str">
        <v>Active</v>
      </c>
      <c r="AF361">
        <v>1364993.4</v>
      </c>
    </row>
    <row r="362" spans="16:32" x14ac:dyDescent="0.25">
      <c r="P362" t="str">
        <v>EMP0359</v>
      </c>
      <c r="Q362" t="str">
        <v>Robert Kim</v>
      </c>
      <c r="R362" t="str">
        <v>Finance</v>
      </c>
      <c r="S362" t="str">
        <v>Financial Analyst</v>
      </c>
      <c r="T362" t="str">
        <v>Female</v>
      </c>
      <c r="U362">
        <v>25</v>
      </c>
      <c r="V362">
        <v>44365</v>
      </c>
      <c r="W362" t="str">
        <v>Contract</v>
      </c>
      <c r="X362">
        <v>51785.9</v>
      </c>
      <c r="Y362">
        <v>2</v>
      </c>
      <c r="Z362">
        <v>99.14</v>
      </c>
      <c r="AA362">
        <v>4</v>
      </c>
      <c r="AB362">
        <v>66</v>
      </c>
      <c r="AC362">
        <v>4</v>
      </c>
      <c r="AD362" t="str">
        <v>Holly Wood</v>
      </c>
      <c r="AE362" t="str">
        <v>Active</v>
      </c>
      <c r="AF362">
        <v>621430.80000000005</v>
      </c>
    </row>
    <row r="363" spans="16:32" x14ac:dyDescent="0.25">
      <c r="P363" t="str">
        <v>EMP0360</v>
      </c>
      <c r="Q363" t="str">
        <v>Stephanie Hughes</v>
      </c>
      <c r="R363" t="str">
        <v>Customer Support</v>
      </c>
      <c r="S363" t="str">
        <v>Support Agent</v>
      </c>
      <c r="T363" t="str">
        <v>Female</v>
      </c>
      <c r="U363">
        <v>35</v>
      </c>
      <c r="V363">
        <v>44788</v>
      </c>
      <c r="W363" t="str">
        <v>Full-Time</v>
      </c>
      <c r="X363">
        <v>86333.45</v>
      </c>
      <c r="Y363">
        <v>3</v>
      </c>
      <c r="Z363">
        <v>87.22</v>
      </c>
      <c r="AA363">
        <v>3</v>
      </c>
      <c r="AB363">
        <v>27</v>
      </c>
      <c r="AC363">
        <v>60</v>
      </c>
      <c r="AD363" t="str">
        <v>Carla Gray</v>
      </c>
      <c r="AE363" t="str">
        <v>Active</v>
      </c>
      <c r="AF363">
        <v>1036001.3999999999</v>
      </c>
    </row>
    <row r="364" spans="16:32" x14ac:dyDescent="0.25">
      <c r="P364" t="str">
        <v>EMP0361</v>
      </c>
      <c r="Q364" t="str">
        <v>Jonathan Glass MD</v>
      </c>
      <c r="R364" t="str">
        <v>Sales</v>
      </c>
      <c r="S364" t="str">
        <v>Sales Rep</v>
      </c>
      <c r="T364" t="str">
        <v>Female</v>
      </c>
      <c r="U364">
        <v>49</v>
      </c>
      <c r="V364">
        <v>43463</v>
      </c>
      <c r="W364" t="str">
        <v>Full-Time</v>
      </c>
      <c r="X364">
        <v>110449.65</v>
      </c>
      <c r="Y364">
        <v>5</v>
      </c>
      <c r="Z364">
        <v>98.37</v>
      </c>
      <c r="AA364">
        <v>7</v>
      </c>
      <c r="AB364">
        <v>31</v>
      </c>
      <c r="AC364">
        <v>2</v>
      </c>
      <c r="AD364" t="str">
        <v>Monica Herrera</v>
      </c>
      <c r="AE364" t="str">
        <v>Active</v>
      </c>
      <c r="AF364">
        <v>1325395.7999999998</v>
      </c>
    </row>
    <row r="365" spans="16:32" x14ac:dyDescent="0.25">
      <c r="P365" t="str">
        <v>EMP0362</v>
      </c>
      <c r="Q365" t="str">
        <v>Angela Morrison</v>
      </c>
      <c r="R365" t="str">
        <v>Marketing</v>
      </c>
      <c r="S365" t="str">
        <v>Brand Manager</v>
      </c>
      <c r="T365" t="str">
        <v>Female</v>
      </c>
      <c r="U365">
        <v>55</v>
      </c>
      <c r="V365">
        <v>42816</v>
      </c>
      <c r="W365" t="str">
        <v>Contract</v>
      </c>
      <c r="X365">
        <v>48282.9</v>
      </c>
      <c r="Y365">
        <v>5</v>
      </c>
      <c r="Z365">
        <v>96.44</v>
      </c>
      <c r="AA365">
        <v>8</v>
      </c>
      <c r="AB365">
        <v>47</v>
      </c>
      <c r="AC365">
        <v>32</v>
      </c>
      <c r="AD365" t="str">
        <v>Holly Wood</v>
      </c>
      <c r="AE365" t="str">
        <v>Active</v>
      </c>
      <c r="AF365">
        <v>579394.80000000005</v>
      </c>
    </row>
    <row r="366" spans="16:32" x14ac:dyDescent="0.25">
      <c r="P366" t="str">
        <v>EMP0363</v>
      </c>
      <c r="Q366" t="str">
        <v>Erica Miller</v>
      </c>
      <c r="R366" t="str">
        <v>Sales</v>
      </c>
      <c r="S366" t="str">
        <v>Sales Manager</v>
      </c>
      <c r="T366" t="str">
        <v>Male</v>
      </c>
      <c r="U366">
        <v>41</v>
      </c>
      <c r="V366">
        <v>43424</v>
      </c>
      <c r="W366" t="str">
        <v>Contract</v>
      </c>
      <c r="X366">
        <v>28234.54</v>
      </c>
      <c r="Y366">
        <v>1</v>
      </c>
      <c r="Z366">
        <v>83.35</v>
      </c>
      <c r="AA366">
        <v>7</v>
      </c>
      <c r="AB366">
        <v>68</v>
      </c>
      <c r="AC366">
        <v>34</v>
      </c>
      <c r="AD366" t="str">
        <v>Allison Hill</v>
      </c>
      <c r="AE366" t="str">
        <v>Active</v>
      </c>
      <c r="AF366">
        <v>338814.48</v>
      </c>
    </row>
    <row r="367" spans="16:32" x14ac:dyDescent="0.25">
      <c r="P367" t="str">
        <v>EMP0364</v>
      </c>
      <c r="Q367" t="str">
        <v>Lance Simmons</v>
      </c>
      <c r="R367" t="str">
        <v>IT</v>
      </c>
      <c r="S367" t="str">
        <v>Data Analyst</v>
      </c>
      <c r="T367" t="str">
        <v>Male</v>
      </c>
      <c r="U367">
        <v>48</v>
      </c>
      <c r="V367">
        <v>44140</v>
      </c>
      <c r="W367" t="str">
        <v>Full-Time</v>
      </c>
      <c r="X367">
        <v>40557.96</v>
      </c>
      <c r="Y367">
        <v>4</v>
      </c>
      <c r="Z367">
        <v>92.93</v>
      </c>
      <c r="AA367">
        <v>5</v>
      </c>
      <c r="AB367">
        <v>9</v>
      </c>
      <c r="AC367">
        <v>47</v>
      </c>
      <c r="AD367" t="str">
        <v>Cristian Santos</v>
      </c>
      <c r="AE367" t="str">
        <v>Active</v>
      </c>
      <c r="AF367">
        <v>486695.52</v>
      </c>
    </row>
    <row r="368" spans="16:32" x14ac:dyDescent="0.25">
      <c r="P368" t="str">
        <v>EMP0365</v>
      </c>
      <c r="Q368" t="str">
        <v>Andrew Berg</v>
      </c>
      <c r="R368" t="str">
        <v>Operations</v>
      </c>
      <c r="S368" t="str">
        <v>Operations Associate</v>
      </c>
      <c r="T368" t="str">
        <v>Male</v>
      </c>
      <c r="U368">
        <v>25</v>
      </c>
      <c r="V368">
        <v>45061</v>
      </c>
      <c r="W368" t="str">
        <v>Full-Time</v>
      </c>
      <c r="X368">
        <v>37799.22</v>
      </c>
      <c r="Y368">
        <v>3</v>
      </c>
      <c r="Z368">
        <v>91.16</v>
      </c>
      <c r="AA368">
        <v>2</v>
      </c>
      <c r="AB368">
        <v>73</v>
      </c>
      <c r="AC368">
        <v>52</v>
      </c>
      <c r="AD368" t="str">
        <v>Gina Moore</v>
      </c>
      <c r="AE368" t="str">
        <v>Resigned</v>
      </c>
      <c r="AF368">
        <v>453590.64</v>
      </c>
    </row>
    <row r="369" spans="16:32" x14ac:dyDescent="0.25">
      <c r="P369" t="str">
        <v>EMP0366</v>
      </c>
      <c r="Q369" t="str">
        <v>Jessica Fowler</v>
      </c>
      <c r="R369" t="str">
        <v>Customer Support</v>
      </c>
      <c r="S369" t="str">
        <v>Team Lead</v>
      </c>
      <c r="T369" t="str">
        <v>Female</v>
      </c>
      <c r="U369">
        <v>46</v>
      </c>
      <c r="V369">
        <v>44493</v>
      </c>
      <c r="W369" t="str">
        <v>Part-Time</v>
      </c>
      <c r="X369">
        <v>51640.42</v>
      </c>
      <c r="Y369">
        <v>4</v>
      </c>
      <c r="Z369">
        <v>93.47</v>
      </c>
      <c r="AA369">
        <v>4</v>
      </c>
      <c r="AB369">
        <v>68</v>
      </c>
      <c r="AC369">
        <v>0</v>
      </c>
      <c r="AD369" t="str">
        <v>Carla Gray</v>
      </c>
      <c r="AE369" t="str">
        <v>Active</v>
      </c>
      <c r="AF369">
        <v>619685.04</v>
      </c>
    </row>
    <row r="370" spans="16:32" x14ac:dyDescent="0.25">
      <c r="P370" t="str">
        <v>EMP0367</v>
      </c>
      <c r="Q370" t="str">
        <v>Mark Cox</v>
      </c>
      <c r="R370" t="str">
        <v>Sales</v>
      </c>
      <c r="S370" t="str">
        <v>Account Executive</v>
      </c>
      <c r="T370" t="str">
        <v>Male</v>
      </c>
      <c r="U370">
        <v>43</v>
      </c>
      <c r="V370">
        <v>42659</v>
      </c>
      <c r="W370" t="str">
        <v>Contract</v>
      </c>
      <c r="X370">
        <v>30613.55</v>
      </c>
      <c r="Y370">
        <v>3</v>
      </c>
      <c r="Z370">
        <v>92.13</v>
      </c>
      <c r="AA370">
        <v>9</v>
      </c>
      <c r="AB370">
        <v>36</v>
      </c>
      <c r="AC370">
        <v>48</v>
      </c>
      <c r="AD370" t="str">
        <v>Dylan Miller</v>
      </c>
      <c r="AE370" t="str">
        <v>Active</v>
      </c>
      <c r="AF370">
        <v>367362.6</v>
      </c>
    </row>
    <row r="371" spans="16:32" x14ac:dyDescent="0.25">
      <c r="P371" t="str">
        <v>EMP0368</v>
      </c>
      <c r="Q371" t="str">
        <v>Brenda Lawson</v>
      </c>
      <c r="R371" t="str">
        <v>Sales</v>
      </c>
      <c r="S371" t="str">
        <v>Sales Manager</v>
      </c>
      <c r="T371" t="str">
        <v>Male</v>
      </c>
      <c r="U371">
        <v>55</v>
      </c>
      <c r="V371">
        <v>43297</v>
      </c>
      <c r="W371" t="str">
        <v>Full-Time</v>
      </c>
      <c r="X371">
        <v>33638.15</v>
      </c>
      <c r="Y371">
        <v>4</v>
      </c>
      <c r="Z371">
        <v>95.94</v>
      </c>
      <c r="AA371">
        <v>7</v>
      </c>
      <c r="AB371">
        <v>69</v>
      </c>
      <c r="AC371">
        <v>18</v>
      </c>
      <c r="AD371" t="str">
        <v>Cristian Santos</v>
      </c>
      <c r="AE371" t="str">
        <v>Active</v>
      </c>
      <c r="AF371">
        <v>403657.80000000005</v>
      </c>
    </row>
    <row r="372" spans="16:32" x14ac:dyDescent="0.25">
      <c r="P372" t="str">
        <v>EMP0369</v>
      </c>
      <c r="Q372" t="str">
        <v>Austin Osborne</v>
      </c>
      <c r="R372" t="str">
        <v>Operations</v>
      </c>
      <c r="S372" t="str">
        <v>Operations Associate</v>
      </c>
      <c r="T372" t="str">
        <v>Male</v>
      </c>
      <c r="U372">
        <v>28</v>
      </c>
      <c r="V372">
        <v>45025</v>
      </c>
      <c r="W372" t="str">
        <v>Full-Time</v>
      </c>
      <c r="X372">
        <v>20502.98</v>
      </c>
      <c r="Y372">
        <v>5</v>
      </c>
      <c r="Z372">
        <v>87.88</v>
      </c>
      <c r="AA372">
        <v>2</v>
      </c>
      <c r="AB372">
        <v>70</v>
      </c>
      <c r="AC372">
        <v>60</v>
      </c>
      <c r="AD372" t="str">
        <v>Angie Henderson</v>
      </c>
      <c r="AE372" t="str">
        <v>Active</v>
      </c>
      <c r="AF372">
        <v>246035.76</v>
      </c>
    </row>
    <row r="373" spans="16:32" x14ac:dyDescent="0.25">
      <c r="P373" t="str">
        <v>EMP0370</v>
      </c>
      <c r="Q373" t="str">
        <v>Travis Johnson</v>
      </c>
      <c r="R373" t="str">
        <v>Operations</v>
      </c>
      <c r="S373" t="str">
        <v>Operations Associate</v>
      </c>
      <c r="T373" t="str">
        <v>Female</v>
      </c>
      <c r="U373">
        <v>53</v>
      </c>
      <c r="V373">
        <v>44579</v>
      </c>
      <c r="W373" t="str">
        <v>Full-Time</v>
      </c>
      <c r="X373">
        <v>36095.440000000002</v>
      </c>
      <c r="Y373">
        <v>2</v>
      </c>
      <c r="Z373">
        <v>92.34</v>
      </c>
      <c r="AA373">
        <v>3</v>
      </c>
      <c r="AB373">
        <v>32</v>
      </c>
      <c r="AC373">
        <v>12</v>
      </c>
      <c r="AD373" t="str">
        <v>Daniel Wagner</v>
      </c>
      <c r="AE373" t="str">
        <v>Active</v>
      </c>
      <c r="AF373">
        <v>433145.28</v>
      </c>
    </row>
    <row r="374" spans="16:32" x14ac:dyDescent="0.25">
      <c r="P374" t="str">
        <v>EMP0371</v>
      </c>
      <c r="Q374" t="str">
        <v>Tiffany Watson</v>
      </c>
      <c r="R374" t="str">
        <v>Sales</v>
      </c>
      <c r="S374" t="str">
        <v>Account Executive</v>
      </c>
      <c r="T374" t="str">
        <v>Female</v>
      </c>
      <c r="U374">
        <v>56</v>
      </c>
      <c r="V374">
        <v>43256</v>
      </c>
      <c r="W374" t="str">
        <v>Full-Time</v>
      </c>
      <c r="X374">
        <v>49065.27</v>
      </c>
      <c r="Y374">
        <v>1</v>
      </c>
      <c r="Z374">
        <v>85.01</v>
      </c>
      <c r="AA374">
        <v>7</v>
      </c>
      <c r="AB374">
        <v>25</v>
      </c>
      <c r="AC374">
        <v>46</v>
      </c>
      <c r="AD374" t="str">
        <v>Lisa Jackson</v>
      </c>
      <c r="AE374" t="str">
        <v>Active</v>
      </c>
      <c r="AF374">
        <v>588783.24</v>
      </c>
    </row>
    <row r="375" spans="16:32" x14ac:dyDescent="0.25">
      <c r="P375" t="str">
        <v>EMP0372</v>
      </c>
      <c r="Q375" t="str">
        <v>Kendra Sanders</v>
      </c>
      <c r="R375" t="str">
        <v>Operations</v>
      </c>
      <c r="S375" t="str">
        <v>Operations Manager</v>
      </c>
      <c r="T375" t="str">
        <v>Male</v>
      </c>
      <c r="U375">
        <v>36</v>
      </c>
      <c r="V375">
        <v>42780</v>
      </c>
      <c r="W375" t="str">
        <v>Full-Time</v>
      </c>
      <c r="X375">
        <v>48513.71</v>
      </c>
      <c r="Y375">
        <v>1</v>
      </c>
      <c r="Z375">
        <v>98</v>
      </c>
      <c r="AA375">
        <v>8</v>
      </c>
      <c r="AB375">
        <v>40</v>
      </c>
      <c r="AC375">
        <v>31</v>
      </c>
      <c r="AD375" t="str">
        <v>Dylan Miller</v>
      </c>
      <c r="AE375" t="str">
        <v>Active</v>
      </c>
      <c r="AF375">
        <v>582164.52</v>
      </c>
    </row>
    <row r="376" spans="16:32" x14ac:dyDescent="0.25">
      <c r="P376" t="str">
        <v>EMP0373</v>
      </c>
      <c r="Q376" t="str">
        <v>Brian Fitzgerald</v>
      </c>
      <c r="R376" t="str">
        <v>Finance</v>
      </c>
      <c r="S376" t="str">
        <v>Finance Manager</v>
      </c>
      <c r="T376" t="str">
        <v>Male</v>
      </c>
      <c r="U376">
        <v>57</v>
      </c>
      <c r="V376">
        <v>44034</v>
      </c>
      <c r="W376" t="str">
        <v>Contract</v>
      </c>
      <c r="X376">
        <v>56449.34</v>
      </c>
      <c r="Y376">
        <v>3</v>
      </c>
      <c r="Z376">
        <v>99.17</v>
      </c>
      <c r="AA376">
        <v>5</v>
      </c>
      <c r="AB376">
        <v>21</v>
      </c>
      <c r="AC376">
        <v>0</v>
      </c>
      <c r="AD376" t="str">
        <v>Monica Herrera</v>
      </c>
      <c r="AE376" t="str">
        <v>Active</v>
      </c>
      <c r="AF376">
        <v>677392.08</v>
      </c>
    </row>
    <row r="377" spans="16:32" x14ac:dyDescent="0.25">
      <c r="P377" t="str">
        <v>EMP0374</v>
      </c>
      <c r="Q377" t="str">
        <v>Susan Wilson</v>
      </c>
      <c r="R377" t="str">
        <v>IT</v>
      </c>
      <c r="S377" t="str">
        <v>Data Analyst</v>
      </c>
      <c r="T377" t="str">
        <v>Female</v>
      </c>
      <c r="U377">
        <v>38</v>
      </c>
      <c r="V377">
        <v>45403</v>
      </c>
      <c r="W377" t="str">
        <v>Part-Time</v>
      </c>
      <c r="X377">
        <v>33430.58</v>
      </c>
      <c r="Y377">
        <v>3</v>
      </c>
      <c r="Z377">
        <v>97.56</v>
      </c>
      <c r="AA377">
        <v>1</v>
      </c>
      <c r="AB377">
        <v>59</v>
      </c>
      <c r="AC377">
        <v>28</v>
      </c>
      <c r="AD377" t="str">
        <v>Jamie Arnold</v>
      </c>
      <c r="AE377" t="str">
        <v>Active</v>
      </c>
      <c r="AF377">
        <v>401166.96</v>
      </c>
    </row>
    <row r="378" spans="16:32" x14ac:dyDescent="0.25">
      <c r="P378" t="str">
        <v>EMP0375</v>
      </c>
      <c r="Q378" t="str">
        <v>Cindy Carr</v>
      </c>
      <c r="R378" t="str">
        <v>R&amp;D</v>
      </c>
      <c r="S378" t="str">
        <v>Researcher</v>
      </c>
      <c r="T378" t="str">
        <v>Male</v>
      </c>
      <c r="U378">
        <v>59</v>
      </c>
      <c r="V378">
        <v>43920</v>
      </c>
      <c r="W378" t="str">
        <v>Full-Time</v>
      </c>
      <c r="X378">
        <v>104179.3</v>
      </c>
      <c r="Y378">
        <v>2</v>
      </c>
      <c r="Z378">
        <v>97.83</v>
      </c>
      <c r="AA378">
        <v>5</v>
      </c>
      <c r="AB378">
        <v>25</v>
      </c>
      <c r="AC378">
        <v>16</v>
      </c>
      <c r="AD378" t="str">
        <v>Angie Henderson</v>
      </c>
      <c r="AE378" t="str">
        <v>Active</v>
      </c>
      <c r="AF378">
        <v>1250151.6000000001</v>
      </c>
    </row>
    <row r="379" spans="16:32" x14ac:dyDescent="0.25">
      <c r="P379" t="str">
        <v>EMP0376</v>
      </c>
      <c r="Q379" t="str">
        <v>Chad Jones</v>
      </c>
      <c r="R379" t="str">
        <v>Sales</v>
      </c>
      <c r="S379" t="str">
        <v>Account Executive</v>
      </c>
      <c r="T379" t="str">
        <v>Male</v>
      </c>
      <c r="U379">
        <v>58</v>
      </c>
      <c r="V379">
        <v>45355</v>
      </c>
      <c r="W379" t="str">
        <v>Contract</v>
      </c>
      <c r="X379">
        <v>60513.45</v>
      </c>
      <c r="Y379">
        <v>5</v>
      </c>
      <c r="Z379">
        <v>84.26</v>
      </c>
      <c r="AA379">
        <v>1</v>
      </c>
      <c r="AB379">
        <v>4</v>
      </c>
      <c r="AC379">
        <v>35</v>
      </c>
      <c r="AD379" t="str">
        <v>Gabrielle Davis</v>
      </c>
      <c r="AE379" t="str">
        <v>Active</v>
      </c>
      <c r="AF379">
        <v>726161.39999999991</v>
      </c>
    </row>
    <row r="380" spans="16:32" x14ac:dyDescent="0.25">
      <c r="P380" t="str">
        <v>EMP0377</v>
      </c>
      <c r="Q380" t="str">
        <v>Jill Miller</v>
      </c>
      <c r="R380" t="str">
        <v>R&amp;D</v>
      </c>
      <c r="S380" t="str">
        <v>Researcher</v>
      </c>
      <c r="T380" t="str">
        <v>Female</v>
      </c>
      <c r="U380">
        <v>46</v>
      </c>
      <c r="V380">
        <v>43375</v>
      </c>
      <c r="W380" t="str">
        <v>Full-Time</v>
      </c>
      <c r="X380">
        <v>109143.75</v>
      </c>
      <c r="Y380">
        <v>5</v>
      </c>
      <c r="Z380">
        <v>94.66</v>
      </c>
      <c r="AA380">
        <v>7</v>
      </c>
      <c r="AB380">
        <v>37</v>
      </c>
      <c r="AC380">
        <v>8</v>
      </c>
      <c r="AD380" t="str">
        <v>Dylan Miller</v>
      </c>
      <c r="AE380" t="str">
        <v>Active</v>
      </c>
      <c r="AF380">
        <v>1309725</v>
      </c>
    </row>
    <row r="381" spans="16:32" x14ac:dyDescent="0.25">
      <c r="P381" t="str">
        <v>EMP0378</v>
      </c>
      <c r="Q381" t="str">
        <v>Michelle Pierce</v>
      </c>
      <c r="R381" t="str">
        <v>Marketing</v>
      </c>
      <c r="S381" t="str">
        <v>Brand Manager</v>
      </c>
      <c r="T381" t="str">
        <v>Female</v>
      </c>
      <c r="U381">
        <v>53</v>
      </c>
      <c r="V381">
        <v>44288</v>
      </c>
      <c r="W381" t="str">
        <v>Full-Time</v>
      </c>
      <c r="X381">
        <v>86267.85</v>
      </c>
      <c r="Y381">
        <v>5</v>
      </c>
      <c r="Z381">
        <v>93.68</v>
      </c>
      <c r="AA381">
        <v>4</v>
      </c>
      <c r="AB381">
        <v>65</v>
      </c>
      <c r="AC381">
        <v>8</v>
      </c>
      <c r="AD381" t="str">
        <v>Dylan Miller</v>
      </c>
      <c r="AE381" t="str">
        <v>Active</v>
      </c>
      <c r="AF381">
        <v>1035214.2000000001</v>
      </c>
    </row>
    <row r="382" spans="16:32" x14ac:dyDescent="0.25">
      <c r="P382" t="str">
        <v>EMP0379</v>
      </c>
      <c r="Q382" t="str">
        <v>Sarah Joseph</v>
      </c>
      <c r="R382" t="str">
        <v>HR</v>
      </c>
      <c r="S382" t="str">
        <v>HR Manager</v>
      </c>
      <c r="T382" t="str">
        <v>Female</v>
      </c>
      <c r="U382">
        <v>43</v>
      </c>
      <c r="V382">
        <v>44107</v>
      </c>
      <c r="W382" t="str">
        <v>Full-Time</v>
      </c>
      <c r="X382">
        <v>41881.910000000003</v>
      </c>
      <c r="Y382">
        <v>4</v>
      </c>
      <c r="Z382">
        <v>84.63</v>
      </c>
      <c r="AA382">
        <v>5</v>
      </c>
      <c r="AB382">
        <v>33</v>
      </c>
      <c r="AC382">
        <v>23</v>
      </c>
      <c r="AD382" t="str">
        <v>Gina Moore</v>
      </c>
      <c r="AE382" t="str">
        <v>Active</v>
      </c>
      <c r="AF382">
        <v>502582.92000000004</v>
      </c>
    </row>
    <row r="383" spans="16:32" x14ac:dyDescent="0.25">
      <c r="P383" t="str">
        <v>EMP0380</v>
      </c>
      <c r="Q383" t="str">
        <v>Katie Martinez</v>
      </c>
      <c r="R383" t="str">
        <v>IT</v>
      </c>
      <c r="S383" t="str">
        <v>Data Analyst</v>
      </c>
      <c r="T383" t="str">
        <v>Female</v>
      </c>
      <c r="U383">
        <v>45</v>
      </c>
      <c r="V383">
        <v>43384</v>
      </c>
      <c r="W383" t="str">
        <v>Part-Time</v>
      </c>
      <c r="X383">
        <v>111790.19</v>
      </c>
      <c r="Y383">
        <v>1</v>
      </c>
      <c r="Z383">
        <v>80.8</v>
      </c>
      <c r="AA383">
        <v>7</v>
      </c>
      <c r="AB383">
        <v>41</v>
      </c>
      <c r="AC383">
        <v>6</v>
      </c>
      <c r="AD383" t="str">
        <v>Holly Wood</v>
      </c>
      <c r="AE383" t="str">
        <v>Active</v>
      </c>
      <c r="AF383">
        <v>1341482.28</v>
      </c>
    </row>
    <row r="384" spans="16:32" x14ac:dyDescent="0.25">
      <c r="P384" t="str">
        <v>EMP0381</v>
      </c>
      <c r="Q384" t="str">
        <v>Cynthia Snyder</v>
      </c>
      <c r="R384" t="str">
        <v>Finance</v>
      </c>
      <c r="S384" t="str">
        <v>Finance Manager</v>
      </c>
      <c r="T384" t="str">
        <v>Female</v>
      </c>
      <c r="U384">
        <v>58</v>
      </c>
      <c r="V384">
        <v>43551</v>
      </c>
      <c r="W384" t="str">
        <v>Contract</v>
      </c>
      <c r="X384">
        <v>77016.02</v>
      </c>
      <c r="Y384">
        <v>4</v>
      </c>
      <c r="Z384">
        <v>93.07</v>
      </c>
      <c r="AA384">
        <v>6</v>
      </c>
      <c r="AB384">
        <v>46</v>
      </c>
      <c r="AC384">
        <v>37</v>
      </c>
      <c r="AD384" t="str">
        <v>Angie Henderson</v>
      </c>
      <c r="AE384" t="str">
        <v>Active</v>
      </c>
      <c r="AF384">
        <v>924192.24</v>
      </c>
    </row>
    <row r="385" spans="16:32" x14ac:dyDescent="0.25">
      <c r="P385" t="str">
        <v>EMP0382</v>
      </c>
      <c r="Q385" t="str">
        <v>Jackie Lara</v>
      </c>
      <c r="R385" t="str">
        <v>Customer Support</v>
      </c>
      <c r="S385" t="str">
        <v>Support Agent</v>
      </c>
      <c r="T385" t="str">
        <v>Female</v>
      </c>
      <c r="U385">
        <v>43</v>
      </c>
      <c r="V385">
        <v>44545</v>
      </c>
      <c r="W385" t="str">
        <v>Part-Time</v>
      </c>
      <c r="X385">
        <v>68686.16</v>
      </c>
      <c r="Y385">
        <v>4</v>
      </c>
      <c r="Z385">
        <v>97.74</v>
      </c>
      <c r="AA385">
        <v>4</v>
      </c>
      <c r="AB385">
        <v>0</v>
      </c>
      <c r="AC385">
        <v>32</v>
      </c>
      <c r="AD385" t="str">
        <v>Cristian Santos</v>
      </c>
      <c r="AE385" t="str">
        <v>Active</v>
      </c>
      <c r="AF385">
        <v>824233.92</v>
      </c>
    </row>
    <row r="386" spans="16:32" x14ac:dyDescent="0.25">
      <c r="P386" t="str">
        <v>EMP0383</v>
      </c>
      <c r="Q386" t="str">
        <v>Stephen Jones</v>
      </c>
      <c r="R386" t="str">
        <v>IT</v>
      </c>
      <c r="S386" t="str">
        <v>IT Support</v>
      </c>
      <c r="T386" t="str">
        <v>Female</v>
      </c>
      <c r="U386">
        <v>34</v>
      </c>
      <c r="V386">
        <v>45730</v>
      </c>
      <c r="W386" t="str">
        <v>Full-Time</v>
      </c>
      <c r="X386">
        <v>38690.57</v>
      </c>
      <c r="Y386">
        <v>3</v>
      </c>
      <c r="Z386">
        <v>92.04</v>
      </c>
      <c r="AA386">
        <v>0</v>
      </c>
      <c r="AB386">
        <v>15</v>
      </c>
      <c r="AC386">
        <v>42</v>
      </c>
      <c r="AD386" t="str">
        <v>Gina Moore</v>
      </c>
      <c r="AE386" t="str">
        <v>Active</v>
      </c>
      <c r="AF386">
        <v>464286.83999999997</v>
      </c>
    </row>
    <row r="387" spans="16:32" x14ac:dyDescent="0.25">
      <c r="P387" t="str">
        <v>EMP0384</v>
      </c>
      <c r="Q387" t="str">
        <v>Dr. Kelly Hammond DVM</v>
      </c>
      <c r="R387" t="str">
        <v>Operations</v>
      </c>
      <c r="S387" t="str">
        <v>Operations Associate</v>
      </c>
      <c r="T387" t="str">
        <v>Female</v>
      </c>
      <c r="U387">
        <v>51</v>
      </c>
      <c r="V387">
        <v>44777</v>
      </c>
      <c r="W387" t="str">
        <v>Part-Time</v>
      </c>
      <c r="X387">
        <v>41070.400000000001</v>
      </c>
      <c r="Y387">
        <v>2</v>
      </c>
      <c r="Z387">
        <v>92.95</v>
      </c>
      <c r="AA387">
        <v>3</v>
      </c>
      <c r="AB387">
        <v>52</v>
      </c>
      <c r="AC387">
        <v>1</v>
      </c>
      <c r="AD387" t="str">
        <v>Gina Moore</v>
      </c>
      <c r="AE387" t="str">
        <v>Active</v>
      </c>
      <c r="AF387">
        <v>492844.80000000005</v>
      </c>
    </row>
    <row r="388" spans="16:32" x14ac:dyDescent="0.25">
      <c r="P388" t="str">
        <v>EMP0385</v>
      </c>
      <c r="Q388" t="str">
        <v>Evan Jones</v>
      </c>
      <c r="R388" t="str">
        <v>HR</v>
      </c>
      <c r="S388" t="str">
        <v>HR Officer</v>
      </c>
      <c r="T388" t="str">
        <v>Male</v>
      </c>
      <c r="U388">
        <v>57</v>
      </c>
      <c r="V388">
        <v>42761</v>
      </c>
      <c r="W388" t="str">
        <v>Full-Time</v>
      </c>
      <c r="X388">
        <v>25591.200000000001</v>
      </c>
      <c r="Y388">
        <v>3</v>
      </c>
      <c r="Z388">
        <v>98.45</v>
      </c>
      <c r="AA388">
        <v>8</v>
      </c>
      <c r="AB388">
        <v>66</v>
      </c>
      <c r="AC388">
        <v>25</v>
      </c>
      <c r="AD388" t="str">
        <v>Carla Gray</v>
      </c>
      <c r="AE388" t="str">
        <v>Resigned</v>
      </c>
      <c r="AF388">
        <v>307094.40000000002</v>
      </c>
    </row>
    <row r="389" spans="16:32" x14ac:dyDescent="0.25">
      <c r="P389" t="str">
        <v>EMP0386</v>
      </c>
      <c r="Q389" t="str">
        <v>Haley Humphrey</v>
      </c>
      <c r="R389" t="str">
        <v>Sales</v>
      </c>
      <c r="S389" t="str">
        <v>Account Executive</v>
      </c>
      <c r="T389" t="str">
        <v>Female</v>
      </c>
      <c r="U389">
        <v>26</v>
      </c>
      <c r="V389">
        <v>45197</v>
      </c>
      <c r="W389" t="str">
        <v>Full-Time</v>
      </c>
      <c r="X389">
        <v>64920.34</v>
      </c>
      <c r="Y389">
        <v>4</v>
      </c>
      <c r="Z389">
        <v>97.35</v>
      </c>
      <c r="AA389">
        <v>2</v>
      </c>
      <c r="AB389">
        <v>21</v>
      </c>
      <c r="AC389">
        <v>14</v>
      </c>
      <c r="AD389" t="str">
        <v>Michele Williams</v>
      </c>
      <c r="AE389" t="str">
        <v>Active</v>
      </c>
      <c r="AF389">
        <v>779044.08</v>
      </c>
    </row>
    <row r="390" spans="16:32" x14ac:dyDescent="0.25">
      <c r="P390" t="str">
        <v>EMP0387</v>
      </c>
      <c r="Q390" t="str">
        <v>Catherine Burch</v>
      </c>
      <c r="R390" t="str">
        <v>HR</v>
      </c>
      <c r="S390" t="str">
        <v>HR Manager</v>
      </c>
      <c r="T390" t="str">
        <v>Female</v>
      </c>
      <c r="U390">
        <v>31</v>
      </c>
      <c r="V390">
        <v>45728</v>
      </c>
      <c r="W390" t="str">
        <v>Contract</v>
      </c>
      <c r="X390">
        <v>88559.12</v>
      </c>
      <c r="Y390">
        <v>4</v>
      </c>
      <c r="Z390">
        <v>91.93</v>
      </c>
      <c r="AA390">
        <v>0</v>
      </c>
      <c r="AB390">
        <v>8</v>
      </c>
      <c r="AC390">
        <v>14</v>
      </c>
      <c r="AD390" t="str">
        <v>Lisa Hensley</v>
      </c>
      <c r="AE390" t="str">
        <v>Active</v>
      </c>
      <c r="AF390">
        <v>1062709.44</v>
      </c>
    </row>
    <row r="391" spans="16:32" x14ac:dyDescent="0.25">
      <c r="P391" t="str">
        <v>EMP0388</v>
      </c>
      <c r="Q391" t="str">
        <v>Sheena Guerra</v>
      </c>
      <c r="R391" t="str">
        <v>Marketing</v>
      </c>
      <c r="S391" t="str">
        <v>Marketing Analyst</v>
      </c>
      <c r="T391" t="str">
        <v>Male</v>
      </c>
      <c r="U391">
        <v>54</v>
      </c>
      <c r="V391">
        <v>44991</v>
      </c>
      <c r="W391" t="str">
        <v>Contract</v>
      </c>
      <c r="X391">
        <v>88436.78</v>
      </c>
      <c r="Y391">
        <v>2</v>
      </c>
      <c r="Z391">
        <v>92.11</v>
      </c>
      <c r="AA391">
        <v>2</v>
      </c>
      <c r="AB391">
        <v>22</v>
      </c>
      <c r="AC391">
        <v>30</v>
      </c>
      <c r="AD391" t="str">
        <v>Carla Gray</v>
      </c>
      <c r="AE391" t="str">
        <v>Active</v>
      </c>
      <c r="AF391">
        <v>1061241.3599999999</v>
      </c>
    </row>
    <row r="392" spans="16:32" x14ac:dyDescent="0.25">
      <c r="P392" t="str">
        <v>EMP0389</v>
      </c>
      <c r="Q392" t="str">
        <v>Christopher Morris</v>
      </c>
      <c r="R392" t="str">
        <v>Marketing</v>
      </c>
      <c r="S392" t="str">
        <v>Marketing Analyst</v>
      </c>
      <c r="T392" t="str">
        <v>Female</v>
      </c>
      <c r="U392">
        <v>29</v>
      </c>
      <c r="V392">
        <v>45522</v>
      </c>
      <c r="W392" t="str">
        <v>Contract</v>
      </c>
      <c r="X392">
        <v>73928.600000000006</v>
      </c>
      <c r="Y392">
        <v>1</v>
      </c>
      <c r="Z392">
        <v>97.94</v>
      </c>
      <c r="AA392">
        <v>1</v>
      </c>
      <c r="AB392">
        <v>55</v>
      </c>
      <c r="AC392">
        <v>33</v>
      </c>
      <c r="AD392" t="str">
        <v>Michele Williams</v>
      </c>
      <c r="AE392" t="str">
        <v>Active</v>
      </c>
      <c r="AF392">
        <v>887143.20000000007</v>
      </c>
    </row>
    <row r="393" spans="16:32" x14ac:dyDescent="0.25">
      <c r="P393" t="str">
        <v>EMP0390</v>
      </c>
      <c r="Q393" t="str">
        <v>Todd Jacobson</v>
      </c>
      <c r="R393" t="str">
        <v>Sales</v>
      </c>
      <c r="S393" t="str">
        <v>Account Executive</v>
      </c>
      <c r="T393" t="str">
        <v>Female</v>
      </c>
      <c r="U393">
        <v>35</v>
      </c>
      <c r="V393">
        <v>43704</v>
      </c>
      <c r="W393" t="str">
        <v>Part-Time</v>
      </c>
      <c r="X393">
        <v>98955.56</v>
      </c>
      <c r="Y393">
        <v>4</v>
      </c>
      <c r="Z393">
        <v>87.01</v>
      </c>
      <c r="AA393">
        <v>6</v>
      </c>
      <c r="AB393">
        <v>73</v>
      </c>
      <c r="AC393">
        <v>6</v>
      </c>
      <c r="AD393" t="str">
        <v>Michele Williams</v>
      </c>
      <c r="AE393" t="str">
        <v>Active</v>
      </c>
      <c r="AF393">
        <v>1187466.72</v>
      </c>
    </row>
    <row r="394" spans="16:32" x14ac:dyDescent="0.25">
      <c r="P394" t="str">
        <v>EMP0391</v>
      </c>
      <c r="Q394" t="str">
        <v>Mark Pierce</v>
      </c>
      <c r="R394" t="str">
        <v>R&amp;D</v>
      </c>
      <c r="S394" t="str">
        <v>Researcher</v>
      </c>
      <c r="T394" t="str">
        <v>Male</v>
      </c>
      <c r="U394">
        <v>39</v>
      </c>
      <c r="V394">
        <v>42793</v>
      </c>
      <c r="W394" t="str">
        <v>Contract</v>
      </c>
      <c r="X394">
        <v>107676.63</v>
      </c>
      <c r="Y394">
        <v>4</v>
      </c>
      <c r="Z394">
        <v>85.16</v>
      </c>
      <c r="AA394">
        <v>8</v>
      </c>
      <c r="AB394">
        <v>0</v>
      </c>
      <c r="AC394">
        <v>45</v>
      </c>
      <c r="AD394" t="str">
        <v>Allison Hill</v>
      </c>
      <c r="AE394" t="str">
        <v>Active</v>
      </c>
      <c r="AF394">
        <v>1292119.56</v>
      </c>
    </row>
    <row r="395" spans="16:32" x14ac:dyDescent="0.25">
      <c r="P395" t="str">
        <v>EMP0392</v>
      </c>
      <c r="Q395" t="str">
        <v>Lisa Davis</v>
      </c>
      <c r="R395" t="str">
        <v>Marketing</v>
      </c>
      <c r="S395" t="str">
        <v>Content Specialist</v>
      </c>
      <c r="T395" t="str">
        <v>Male</v>
      </c>
      <c r="U395">
        <v>45</v>
      </c>
      <c r="V395">
        <v>43080</v>
      </c>
      <c r="W395" t="str">
        <v>Contract</v>
      </c>
      <c r="X395">
        <v>40541.870000000003</v>
      </c>
      <c r="Y395">
        <v>3</v>
      </c>
      <c r="Z395">
        <v>88.18</v>
      </c>
      <c r="AA395">
        <v>8</v>
      </c>
      <c r="AB395">
        <v>13</v>
      </c>
      <c r="AC395">
        <v>9</v>
      </c>
      <c r="AD395" t="str">
        <v>Michele Williams</v>
      </c>
      <c r="AE395" t="str">
        <v>Active</v>
      </c>
      <c r="AF395">
        <v>486502.44000000006</v>
      </c>
    </row>
    <row r="396" spans="16:32" x14ac:dyDescent="0.25">
      <c r="P396" t="str">
        <v>EMP0393</v>
      </c>
      <c r="Q396" t="str">
        <v>Lauren Jackson</v>
      </c>
      <c r="R396" t="str">
        <v>Finance</v>
      </c>
      <c r="S396" t="str">
        <v>Financial Analyst</v>
      </c>
      <c r="T396" t="str">
        <v>Female</v>
      </c>
      <c r="U396">
        <v>57</v>
      </c>
      <c r="V396">
        <v>43350</v>
      </c>
      <c r="W396" t="str">
        <v>Part-Time</v>
      </c>
      <c r="X396">
        <v>81188.070000000007</v>
      </c>
      <c r="Y396">
        <v>4</v>
      </c>
      <c r="Z396">
        <v>95.1</v>
      </c>
      <c r="AA396">
        <v>7</v>
      </c>
      <c r="AB396">
        <v>52</v>
      </c>
      <c r="AC396">
        <v>35</v>
      </c>
      <c r="AD396" t="str">
        <v>Derek Zuniga</v>
      </c>
      <c r="AE396" t="str">
        <v>Active</v>
      </c>
      <c r="AF396">
        <v>974256.84000000008</v>
      </c>
    </row>
    <row r="397" spans="16:32" x14ac:dyDescent="0.25">
      <c r="P397" t="str">
        <v>EMP0394</v>
      </c>
      <c r="Q397" t="str">
        <v>Kristy Bryan</v>
      </c>
      <c r="R397" t="str">
        <v>Operations</v>
      </c>
      <c r="S397" t="str">
        <v>Operations Manager</v>
      </c>
      <c r="T397" t="str">
        <v>Female</v>
      </c>
      <c r="U397">
        <v>40</v>
      </c>
      <c r="V397">
        <v>44400</v>
      </c>
      <c r="W397" t="str">
        <v>Contract</v>
      </c>
      <c r="X397">
        <v>54435.63</v>
      </c>
      <c r="Y397">
        <v>4</v>
      </c>
      <c r="Z397">
        <v>94.72</v>
      </c>
      <c r="AA397">
        <v>4</v>
      </c>
      <c r="AB397">
        <v>15</v>
      </c>
      <c r="AC397">
        <v>47</v>
      </c>
      <c r="AD397" t="str">
        <v>Gina Moore</v>
      </c>
      <c r="AE397" t="str">
        <v>Active</v>
      </c>
      <c r="AF397">
        <v>653227.55999999994</v>
      </c>
    </row>
    <row r="398" spans="16:32" x14ac:dyDescent="0.25">
      <c r="P398" t="str">
        <v>EMP0395</v>
      </c>
      <c r="Q398" t="str">
        <v>Travis Wise</v>
      </c>
      <c r="R398" t="str">
        <v>HR</v>
      </c>
      <c r="S398" t="str">
        <v>HR Officer</v>
      </c>
      <c r="T398" t="str">
        <v>Male</v>
      </c>
      <c r="U398">
        <v>53</v>
      </c>
      <c r="V398">
        <v>42479</v>
      </c>
      <c r="W398" t="str">
        <v>Part-Time</v>
      </c>
      <c r="X398">
        <v>98608.11</v>
      </c>
      <c r="Y398">
        <v>5</v>
      </c>
      <c r="Z398">
        <v>92.28</v>
      </c>
      <c r="AA398">
        <v>9</v>
      </c>
      <c r="AB398">
        <v>6</v>
      </c>
      <c r="AC398">
        <v>10</v>
      </c>
      <c r="AD398" t="str">
        <v>Lisa Hensley</v>
      </c>
      <c r="AE398" t="str">
        <v>Resigned</v>
      </c>
      <c r="AF398">
        <v>1183297.32</v>
      </c>
    </row>
    <row r="399" spans="16:32" x14ac:dyDescent="0.25">
      <c r="P399" t="str">
        <v>EMP0396</v>
      </c>
      <c r="Q399" t="str">
        <v>Pamela Butler</v>
      </c>
      <c r="R399" t="str">
        <v>Sales</v>
      </c>
      <c r="S399" t="str">
        <v>Sales Rep</v>
      </c>
      <c r="T399" t="str">
        <v>Male</v>
      </c>
      <c r="U399">
        <v>51</v>
      </c>
      <c r="V399">
        <v>43947</v>
      </c>
      <c r="W399" t="str">
        <v>Contract</v>
      </c>
      <c r="X399">
        <v>63537.74</v>
      </c>
      <c r="Y399">
        <v>1</v>
      </c>
      <c r="Z399">
        <v>85.26</v>
      </c>
      <c r="AA399">
        <v>5</v>
      </c>
      <c r="AB399">
        <v>47</v>
      </c>
      <c r="AC399">
        <v>5</v>
      </c>
      <c r="AD399" t="str">
        <v>Carla Gray</v>
      </c>
      <c r="AE399" t="str">
        <v>Active</v>
      </c>
      <c r="AF399">
        <v>762452.88</v>
      </c>
    </row>
    <row r="400" spans="16:32" x14ac:dyDescent="0.25">
      <c r="P400" t="str">
        <v>EMP0397</v>
      </c>
      <c r="Q400" t="str">
        <v>Mr. Dylan Frye MD</v>
      </c>
      <c r="R400" t="str">
        <v>Customer Support</v>
      </c>
      <c r="S400" t="str">
        <v>Team Lead</v>
      </c>
      <c r="T400" t="str">
        <v>Female</v>
      </c>
      <c r="U400">
        <v>59</v>
      </c>
      <c r="V400">
        <v>42491</v>
      </c>
      <c r="W400" t="str">
        <v>Full-Time</v>
      </c>
      <c r="X400">
        <v>114571.59</v>
      </c>
      <c r="Y400">
        <v>2</v>
      </c>
      <c r="Z400">
        <v>92.81</v>
      </c>
      <c r="AA400">
        <v>9</v>
      </c>
      <c r="AB400">
        <v>56</v>
      </c>
      <c r="AC400">
        <v>0</v>
      </c>
      <c r="AD400" t="str">
        <v>Abigail Shaffer</v>
      </c>
      <c r="AE400" t="str">
        <v>Resigned</v>
      </c>
      <c r="AF400">
        <v>1374859.08</v>
      </c>
    </row>
    <row r="401" spans="16:32" x14ac:dyDescent="0.25">
      <c r="P401" t="str">
        <v>EMP0398</v>
      </c>
      <c r="Q401" t="str">
        <v>Benjamin Brown</v>
      </c>
      <c r="R401" t="str">
        <v>Finance</v>
      </c>
      <c r="S401" t="str">
        <v>Accountant</v>
      </c>
      <c r="T401" t="str">
        <v>Male</v>
      </c>
      <c r="U401">
        <v>59</v>
      </c>
      <c r="V401">
        <v>44826</v>
      </c>
      <c r="W401" t="str">
        <v>Contract</v>
      </c>
      <c r="X401">
        <v>71581.36</v>
      </c>
      <c r="Y401">
        <v>2</v>
      </c>
      <c r="Z401">
        <v>92.3</v>
      </c>
      <c r="AA401">
        <v>3</v>
      </c>
      <c r="AB401">
        <v>4</v>
      </c>
      <c r="AC401">
        <v>23</v>
      </c>
      <c r="AD401" t="str">
        <v>Gina Moore</v>
      </c>
      <c r="AE401" t="str">
        <v>Active</v>
      </c>
      <c r="AF401">
        <v>858976.32000000007</v>
      </c>
    </row>
    <row r="402" spans="16:32" x14ac:dyDescent="0.25">
      <c r="P402" t="str">
        <v>EMP0399</v>
      </c>
      <c r="Q402" t="str">
        <v>John Peterson</v>
      </c>
      <c r="R402" t="str">
        <v>HR</v>
      </c>
      <c r="S402" t="str">
        <v>HR Officer</v>
      </c>
      <c r="T402" t="str">
        <v>Female</v>
      </c>
      <c r="U402">
        <v>46</v>
      </c>
      <c r="V402">
        <v>45034</v>
      </c>
      <c r="W402" t="str">
        <v>Part-Time</v>
      </c>
      <c r="X402">
        <v>86966.2</v>
      </c>
      <c r="Y402">
        <v>4</v>
      </c>
      <c r="Z402">
        <v>91.72</v>
      </c>
      <c r="AA402">
        <v>2</v>
      </c>
      <c r="AB402">
        <v>66</v>
      </c>
      <c r="AC402">
        <v>0</v>
      </c>
      <c r="AD402" t="str">
        <v>Angie Henderson</v>
      </c>
      <c r="AE402" t="str">
        <v>Resigned</v>
      </c>
      <c r="AF402">
        <v>1043594.3999999999</v>
      </c>
    </row>
    <row r="403" spans="16:32" x14ac:dyDescent="0.25">
      <c r="P403" t="str">
        <v>EMP0400</v>
      </c>
      <c r="Q403" t="str">
        <v>Nathan Gross</v>
      </c>
      <c r="R403" t="str">
        <v>Finance</v>
      </c>
      <c r="S403" t="str">
        <v>Finance Manager</v>
      </c>
      <c r="T403" t="str">
        <v>Female</v>
      </c>
      <c r="U403">
        <v>43</v>
      </c>
      <c r="V403">
        <v>43195</v>
      </c>
      <c r="W403" t="str">
        <v>Part-Time</v>
      </c>
      <c r="X403">
        <v>42629.55</v>
      </c>
      <c r="Y403">
        <v>2</v>
      </c>
      <c r="Z403">
        <v>89.1</v>
      </c>
      <c r="AA403">
        <v>7</v>
      </c>
      <c r="AB403">
        <v>51</v>
      </c>
      <c r="AC403">
        <v>36</v>
      </c>
      <c r="AD403" t="str">
        <v>Allison Hill</v>
      </c>
      <c r="AE403" t="str">
        <v>Active</v>
      </c>
      <c r="AF403">
        <v>511554.60000000003</v>
      </c>
    </row>
    <row r="404" spans="16:32" x14ac:dyDescent="0.25">
      <c r="P404" t="str">
        <v>EMP0401</v>
      </c>
      <c r="Q404" t="str">
        <v>Bianca Wood</v>
      </c>
      <c r="R404" t="str">
        <v>Customer Support</v>
      </c>
      <c r="S404" t="str">
        <v>Support Agent</v>
      </c>
      <c r="T404" t="str">
        <v>Male</v>
      </c>
      <c r="U404">
        <v>53</v>
      </c>
      <c r="V404">
        <v>44449</v>
      </c>
      <c r="W404" t="str">
        <v>Part-Time</v>
      </c>
      <c r="X404">
        <v>53996.59</v>
      </c>
      <c r="Y404">
        <v>1</v>
      </c>
      <c r="Z404">
        <v>96.06</v>
      </c>
      <c r="AA404">
        <v>4</v>
      </c>
      <c r="AB404">
        <v>32</v>
      </c>
      <c r="AC404">
        <v>56</v>
      </c>
      <c r="AD404" t="str">
        <v>Derek Zuniga</v>
      </c>
      <c r="AE404" t="str">
        <v>Active</v>
      </c>
      <c r="AF404">
        <v>647959.07999999996</v>
      </c>
    </row>
    <row r="405" spans="16:32" x14ac:dyDescent="0.25">
      <c r="P405" t="str">
        <v>EMP0402</v>
      </c>
      <c r="Q405" t="str">
        <v>David Martinez</v>
      </c>
      <c r="R405" t="str">
        <v>Finance</v>
      </c>
      <c r="S405" t="str">
        <v>Finance Manager</v>
      </c>
      <c r="T405" t="str">
        <v>Female</v>
      </c>
      <c r="U405">
        <v>45</v>
      </c>
      <c r="V405">
        <v>45792</v>
      </c>
      <c r="W405" t="str">
        <v>Contract</v>
      </c>
      <c r="X405">
        <v>68362.990000000005</v>
      </c>
      <c r="Y405">
        <v>2</v>
      </c>
      <c r="Z405">
        <v>95.15</v>
      </c>
      <c r="AA405">
        <v>0</v>
      </c>
      <c r="AB405">
        <v>58</v>
      </c>
      <c r="AC405">
        <v>43</v>
      </c>
      <c r="AD405" t="str">
        <v>Dylan Miller</v>
      </c>
      <c r="AE405" t="str">
        <v>Resigned</v>
      </c>
      <c r="AF405">
        <v>820355.88000000012</v>
      </c>
    </row>
    <row r="406" spans="16:32" x14ac:dyDescent="0.25">
      <c r="P406" t="str">
        <v>EMP0403</v>
      </c>
      <c r="Q406" t="str">
        <v>Brent Roberts</v>
      </c>
      <c r="R406" t="str">
        <v>Sales</v>
      </c>
      <c r="S406" t="str">
        <v>Sales Manager</v>
      </c>
      <c r="T406" t="str">
        <v>Male</v>
      </c>
      <c r="U406">
        <v>37</v>
      </c>
      <c r="V406">
        <v>45096</v>
      </c>
      <c r="W406" t="str">
        <v>Full-Time</v>
      </c>
      <c r="X406">
        <v>58267.32</v>
      </c>
      <c r="Y406">
        <v>2</v>
      </c>
      <c r="Z406">
        <v>93.54</v>
      </c>
      <c r="AA406">
        <v>2</v>
      </c>
      <c r="AB406">
        <v>29</v>
      </c>
      <c r="AC406">
        <v>51</v>
      </c>
      <c r="AD406" t="str">
        <v>Monica Herrera</v>
      </c>
      <c r="AE406" t="str">
        <v>Active</v>
      </c>
      <c r="AF406">
        <v>699207.84</v>
      </c>
    </row>
    <row r="407" spans="16:32" x14ac:dyDescent="0.25">
      <c r="P407" t="str">
        <v>EMP0404</v>
      </c>
      <c r="Q407" t="str">
        <v>Jennifer Estes</v>
      </c>
      <c r="R407" t="str">
        <v>Operations</v>
      </c>
      <c r="S407" t="str">
        <v>Operations Associate</v>
      </c>
      <c r="T407" t="str">
        <v>Female</v>
      </c>
      <c r="U407">
        <v>36</v>
      </c>
      <c r="V407">
        <v>44690</v>
      </c>
      <c r="W407" t="str">
        <v>Part-Time</v>
      </c>
      <c r="X407">
        <v>29300.94</v>
      </c>
      <c r="Y407">
        <v>3</v>
      </c>
      <c r="Z407">
        <v>81.52</v>
      </c>
      <c r="AA407">
        <v>3</v>
      </c>
      <c r="AB407">
        <v>22</v>
      </c>
      <c r="AC407">
        <v>30</v>
      </c>
      <c r="AD407" t="str">
        <v>Monica Herrera</v>
      </c>
      <c r="AE407" t="str">
        <v>Active</v>
      </c>
      <c r="AF407">
        <v>351611.27999999997</v>
      </c>
    </row>
    <row r="408" spans="16:32" x14ac:dyDescent="0.25">
      <c r="P408" t="str">
        <v>EMP0405</v>
      </c>
      <c r="Q408" t="str">
        <v>Taylor Griffith</v>
      </c>
      <c r="R408" t="str">
        <v>Finance</v>
      </c>
      <c r="S408" t="str">
        <v>Accountant</v>
      </c>
      <c r="T408" t="str">
        <v>Male</v>
      </c>
      <c r="U408">
        <v>52</v>
      </c>
      <c r="V408">
        <v>43295</v>
      </c>
      <c r="W408" t="str">
        <v>Contract</v>
      </c>
      <c r="X408">
        <v>39966.65</v>
      </c>
      <c r="Y408">
        <v>2</v>
      </c>
      <c r="Z408">
        <v>97.45</v>
      </c>
      <c r="AA408">
        <v>7</v>
      </c>
      <c r="AB408">
        <v>26</v>
      </c>
      <c r="AC408">
        <v>14</v>
      </c>
      <c r="AD408" t="str">
        <v>Abigail Shaffer</v>
      </c>
      <c r="AE408" t="str">
        <v>Active</v>
      </c>
      <c r="AF408">
        <v>479599.80000000005</v>
      </c>
    </row>
    <row r="409" spans="16:32" x14ac:dyDescent="0.25">
      <c r="P409" t="str">
        <v>EMP0406</v>
      </c>
      <c r="Q409" t="str">
        <v>Kathleen Robertson</v>
      </c>
      <c r="R409" t="str">
        <v>Operations</v>
      </c>
      <c r="S409" t="str">
        <v>Operations Associate</v>
      </c>
      <c r="T409" t="str">
        <v>Male</v>
      </c>
      <c r="U409">
        <v>28</v>
      </c>
      <c r="V409">
        <v>43482</v>
      </c>
      <c r="W409" t="str">
        <v>Full-Time</v>
      </c>
      <c r="X409">
        <v>87581.21</v>
      </c>
      <c r="Y409">
        <v>4</v>
      </c>
      <c r="Z409">
        <v>92.28</v>
      </c>
      <c r="AA409">
        <v>6</v>
      </c>
      <c r="AB409">
        <v>69</v>
      </c>
      <c r="AC409">
        <v>2</v>
      </c>
      <c r="AD409" t="str">
        <v>Brian Ramirez</v>
      </c>
      <c r="AE409" t="str">
        <v>Active</v>
      </c>
      <c r="AF409">
        <v>1050974.52</v>
      </c>
    </row>
    <row r="410" spans="16:32" x14ac:dyDescent="0.25">
      <c r="P410" t="str">
        <v>EMP0407</v>
      </c>
      <c r="Q410" t="str">
        <v>Kathleen Davis</v>
      </c>
      <c r="R410" t="str">
        <v>Operations</v>
      </c>
      <c r="S410" t="str">
        <v>Operations Manager</v>
      </c>
      <c r="T410" t="str">
        <v>Female</v>
      </c>
      <c r="U410">
        <v>52</v>
      </c>
      <c r="V410">
        <v>45402</v>
      </c>
      <c r="W410" t="str">
        <v>Full-Time</v>
      </c>
      <c r="X410">
        <v>118439.47</v>
      </c>
      <c r="Y410">
        <v>5</v>
      </c>
      <c r="Z410">
        <v>85.61</v>
      </c>
      <c r="AA410">
        <v>1</v>
      </c>
      <c r="AB410">
        <v>28</v>
      </c>
      <c r="AC410">
        <v>48</v>
      </c>
      <c r="AD410" t="str">
        <v>Lisa Jackson</v>
      </c>
      <c r="AE410" t="str">
        <v>Active</v>
      </c>
      <c r="AF410">
        <v>1421273.6400000001</v>
      </c>
    </row>
    <row r="411" spans="16:32" x14ac:dyDescent="0.25">
      <c r="P411" t="str">
        <v>EMP0408</v>
      </c>
      <c r="Q411" t="str">
        <v>Tracy Lewis</v>
      </c>
      <c r="R411" t="str">
        <v>Customer Support</v>
      </c>
      <c r="S411" t="str">
        <v>Team Lead</v>
      </c>
      <c r="T411" t="str">
        <v>Male</v>
      </c>
      <c r="U411">
        <v>53</v>
      </c>
      <c r="V411">
        <v>44746</v>
      </c>
      <c r="W411" t="str">
        <v>Part-Time</v>
      </c>
      <c r="X411">
        <v>59371.69</v>
      </c>
      <c r="Y411">
        <v>2</v>
      </c>
      <c r="Z411">
        <v>89.14</v>
      </c>
      <c r="AA411">
        <v>3</v>
      </c>
      <c r="AB411">
        <v>15</v>
      </c>
      <c r="AC411">
        <v>44</v>
      </c>
      <c r="AD411" t="str">
        <v>Holly Wood</v>
      </c>
      <c r="AE411" t="str">
        <v>Active</v>
      </c>
      <c r="AF411">
        <v>712460.28</v>
      </c>
    </row>
    <row r="412" spans="16:32" x14ac:dyDescent="0.25">
      <c r="P412" t="str">
        <v>EMP0409</v>
      </c>
      <c r="Q412" t="str">
        <v>Douglas Harper</v>
      </c>
      <c r="R412" t="str">
        <v>Sales</v>
      </c>
      <c r="S412" t="str">
        <v>Sales Rep</v>
      </c>
      <c r="T412" t="str">
        <v>Male</v>
      </c>
      <c r="U412">
        <v>45</v>
      </c>
      <c r="V412">
        <v>44495</v>
      </c>
      <c r="W412" t="str">
        <v>Contract</v>
      </c>
      <c r="X412">
        <v>30074.78</v>
      </c>
      <c r="Y412">
        <v>3</v>
      </c>
      <c r="Z412">
        <v>92.26</v>
      </c>
      <c r="AA412">
        <v>4</v>
      </c>
      <c r="AB412">
        <v>33</v>
      </c>
      <c r="AC412">
        <v>11</v>
      </c>
      <c r="AD412" t="str">
        <v>Derek Zuniga</v>
      </c>
      <c r="AE412" t="str">
        <v>Active</v>
      </c>
      <c r="AF412">
        <v>360897.36</v>
      </c>
    </row>
    <row r="413" spans="16:32" x14ac:dyDescent="0.25">
      <c r="P413" t="str">
        <v>EMP0410</v>
      </c>
      <c r="Q413" t="str">
        <v>Adam Rodriguez</v>
      </c>
      <c r="R413" t="str">
        <v>Finance</v>
      </c>
      <c r="S413" t="str">
        <v>Financial Analyst</v>
      </c>
      <c r="T413" t="str">
        <v>Female</v>
      </c>
      <c r="U413">
        <v>44</v>
      </c>
      <c r="V413">
        <v>45227</v>
      </c>
      <c r="W413" t="str">
        <v>Full-Time</v>
      </c>
      <c r="X413">
        <v>69877</v>
      </c>
      <c r="Y413">
        <v>2</v>
      </c>
      <c r="Z413">
        <v>88.38</v>
      </c>
      <c r="AA413">
        <v>2</v>
      </c>
      <c r="AB413">
        <v>47</v>
      </c>
      <c r="AC413">
        <v>23</v>
      </c>
      <c r="AD413" t="str">
        <v>Lisa Hensley</v>
      </c>
      <c r="AE413" t="str">
        <v>Active</v>
      </c>
      <c r="AF413">
        <v>838524</v>
      </c>
    </row>
    <row r="414" spans="16:32" x14ac:dyDescent="0.25">
      <c r="P414" t="str">
        <v>EMP0411</v>
      </c>
      <c r="Q414" t="str">
        <v>Monica Gallagher</v>
      </c>
      <c r="R414" t="str">
        <v>HR</v>
      </c>
      <c r="S414" t="str">
        <v>HR Manager</v>
      </c>
      <c r="T414" t="str">
        <v>Male</v>
      </c>
      <c r="U414">
        <v>57</v>
      </c>
      <c r="V414">
        <v>43135</v>
      </c>
      <c r="W414" t="str">
        <v>Contract</v>
      </c>
      <c r="X414">
        <v>42856.67</v>
      </c>
      <c r="Y414">
        <v>1</v>
      </c>
      <c r="Z414">
        <v>94.42</v>
      </c>
      <c r="AA414">
        <v>7</v>
      </c>
      <c r="AB414">
        <v>30</v>
      </c>
      <c r="AC414">
        <v>35</v>
      </c>
      <c r="AD414" t="str">
        <v>Michele Williams</v>
      </c>
      <c r="AE414" t="str">
        <v>Resigned</v>
      </c>
      <c r="AF414">
        <v>514280.04</v>
      </c>
    </row>
    <row r="415" spans="16:32" x14ac:dyDescent="0.25">
      <c r="P415" t="str">
        <v>EMP0412</v>
      </c>
      <c r="Q415" t="str">
        <v>Anthony Hoffman</v>
      </c>
      <c r="R415" t="str">
        <v>IT</v>
      </c>
      <c r="S415" t="str">
        <v>IT Support</v>
      </c>
      <c r="T415" t="str">
        <v>Male</v>
      </c>
      <c r="U415">
        <v>51</v>
      </c>
      <c r="V415">
        <v>44576</v>
      </c>
      <c r="W415" t="str">
        <v>Full-Time</v>
      </c>
      <c r="X415">
        <v>37660.730000000003</v>
      </c>
      <c r="Y415">
        <v>4</v>
      </c>
      <c r="Z415">
        <v>82.69</v>
      </c>
      <c r="AA415">
        <v>3</v>
      </c>
      <c r="AB415">
        <v>80</v>
      </c>
      <c r="AC415">
        <v>33</v>
      </c>
      <c r="AD415" t="str">
        <v>Derek Zuniga</v>
      </c>
      <c r="AE415" t="str">
        <v>Active</v>
      </c>
      <c r="AF415">
        <v>451928.76</v>
      </c>
    </row>
    <row r="416" spans="16:32" x14ac:dyDescent="0.25">
      <c r="P416" t="str">
        <v>EMP0413</v>
      </c>
      <c r="Q416" t="str">
        <v>Angel Gordon</v>
      </c>
      <c r="R416" t="str">
        <v>R&amp;D</v>
      </c>
      <c r="S416" t="str">
        <v>Product Developer</v>
      </c>
      <c r="T416" t="str">
        <v>Female</v>
      </c>
      <c r="U416">
        <v>56</v>
      </c>
      <c r="V416">
        <v>44555</v>
      </c>
      <c r="W416" t="str">
        <v>Contract</v>
      </c>
      <c r="X416">
        <v>24770.93</v>
      </c>
      <c r="Y416">
        <v>1</v>
      </c>
      <c r="Z416">
        <v>93.81</v>
      </c>
      <c r="AA416">
        <v>4</v>
      </c>
      <c r="AB416">
        <v>7</v>
      </c>
      <c r="AC416">
        <v>13</v>
      </c>
      <c r="AD416" t="str">
        <v>Gabrielle Davis</v>
      </c>
      <c r="AE416" t="str">
        <v>Active</v>
      </c>
      <c r="AF416">
        <v>297251.16000000003</v>
      </c>
    </row>
    <row r="417" spans="16:32" x14ac:dyDescent="0.25">
      <c r="P417" t="str">
        <v>EMP0414</v>
      </c>
      <c r="Q417" t="str">
        <v>William Becker</v>
      </c>
      <c r="R417" t="str">
        <v>Marketing</v>
      </c>
      <c r="S417" t="str">
        <v>Brand Manager</v>
      </c>
      <c r="T417" t="str">
        <v>Female</v>
      </c>
      <c r="U417">
        <v>37</v>
      </c>
      <c r="V417">
        <v>45719</v>
      </c>
      <c r="W417" t="str">
        <v>Part-Time</v>
      </c>
      <c r="X417">
        <v>56030.66</v>
      </c>
      <c r="Y417">
        <v>5</v>
      </c>
      <c r="Z417">
        <v>98.64</v>
      </c>
      <c r="AA417">
        <v>0</v>
      </c>
      <c r="AB417">
        <v>32</v>
      </c>
      <c r="AC417">
        <v>22</v>
      </c>
      <c r="AD417" t="str">
        <v>Allison Hill</v>
      </c>
      <c r="AE417" t="str">
        <v>Active</v>
      </c>
      <c r="AF417">
        <v>672367.92</v>
      </c>
    </row>
    <row r="418" spans="16:32" x14ac:dyDescent="0.25">
      <c r="P418" t="str">
        <v>EMP0415</v>
      </c>
      <c r="Q418" t="str">
        <v>Brent Brooks</v>
      </c>
      <c r="R418" t="str">
        <v>Operations</v>
      </c>
      <c r="S418" t="str">
        <v>Operations Associate</v>
      </c>
      <c r="T418" t="str">
        <v>Male</v>
      </c>
      <c r="U418">
        <v>39</v>
      </c>
      <c r="V418">
        <v>43041</v>
      </c>
      <c r="W418" t="str">
        <v>Part-Time</v>
      </c>
      <c r="X418">
        <v>52509.03</v>
      </c>
      <c r="Y418">
        <v>5</v>
      </c>
      <c r="Z418">
        <v>89.75</v>
      </c>
      <c r="AA418">
        <v>8</v>
      </c>
      <c r="AB418">
        <v>57</v>
      </c>
      <c r="AC418">
        <v>56</v>
      </c>
      <c r="AD418" t="str">
        <v>Angie Henderson</v>
      </c>
      <c r="AE418" t="str">
        <v>Active</v>
      </c>
      <c r="AF418">
        <v>630108.36</v>
      </c>
    </row>
    <row r="419" spans="16:32" x14ac:dyDescent="0.25">
      <c r="P419" t="str">
        <v>EMP0416</v>
      </c>
      <c r="Q419" t="str">
        <v>Holly Thomas</v>
      </c>
      <c r="R419" t="str">
        <v>Finance</v>
      </c>
      <c r="S419" t="str">
        <v>Financial Analyst</v>
      </c>
      <c r="T419" t="str">
        <v>Male</v>
      </c>
      <c r="U419">
        <v>31</v>
      </c>
      <c r="V419">
        <v>44410</v>
      </c>
      <c r="W419" t="str">
        <v>Contract</v>
      </c>
      <c r="X419">
        <v>100771.71</v>
      </c>
      <c r="Y419">
        <v>3</v>
      </c>
      <c r="Z419">
        <v>88.44</v>
      </c>
      <c r="AA419">
        <v>4</v>
      </c>
      <c r="AB419">
        <v>78</v>
      </c>
      <c r="AC419">
        <v>36</v>
      </c>
      <c r="AD419" t="str">
        <v>Lisa Hensley</v>
      </c>
      <c r="AE419" t="str">
        <v>Active</v>
      </c>
      <c r="AF419">
        <v>1209260.52</v>
      </c>
    </row>
    <row r="420" spans="16:32" x14ac:dyDescent="0.25">
      <c r="P420" t="str">
        <v>EMP0417</v>
      </c>
      <c r="Q420" t="str">
        <v>Andrew Williams</v>
      </c>
      <c r="R420" t="str">
        <v>Marketing</v>
      </c>
      <c r="S420" t="str">
        <v>Marketing Analyst</v>
      </c>
      <c r="T420" t="str">
        <v>Male</v>
      </c>
      <c r="U420">
        <v>42</v>
      </c>
      <c r="V420">
        <v>45466</v>
      </c>
      <c r="W420" t="str">
        <v>Full-Time</v>
      </c>
      <c r="X420">
        <v>51348.21</v>
      </c>
      <c r="Y420">
        <v>3</v>
      </c>
      <c r="Z420">
        <v>94.21</v>
      </c>
      <c r="AA420">
        <v>1</v>
      </c>
      <c r="AB420">
        <v>77</v>
      </c>
      <c r="AC420">
        <v>41</v>
      </c>
      <c r="AD420" t="str">
        <v>Lisa Hensley</v>
      </c>
      <c r="AE420" t="str">
        <v>Active</v>
      </c>
      <c r="AF420">
        <v>616178.52</v>
      </c>
    </row>
    <row r="421" spans="16:32" x14ac:dyDescent="0.25">
      <c r="P421" t="str">
        <v>EMP0418</v>
      </c>
      <c r="Q421" t="str">
        <v>Kelly Hernandez</v>
      </c>
      <c r="R421" t="str">
        <v>R&amp;D</v>
      </c>
      <c r="S421" t="str">
        <v>Product Developer</v>
      </c>
      <c r="T421" t="str">
        <v>Female</v>
      </c>
      <c r="U421">
        <v>47</v>
      </c>
      <c r="V421">
        <v>44372</v>
      </c>
      <c r="W421" t="str">
        <v>Full-Time</v>
      </c>
      <c r="X421">
        <v>38388.620000000003</v>
      </c>
      <c r="Y421">
        <v>1</v>
      </c>
      <c r="Z421">
        <v>82.5</v>
      </c>
      <c r="AA421">
        <v>4</v>
      </c>
      <c r="AB421">
        <v>30</v>
      </c>
      <c r="AC421">
        <v>42</v>
      </c>
      <c r="AD421" t="str">
        <v>Gabrielle Davis</v>
      </c>
      <c r="AE421" t="str">
        <v>Resigned</v>
      </c>
      <c r="AF421">
        <v>460663.44000000006</v>
      </c>
    </row>
    <row r="422" spans="16:32" x14ac:dyDescent="0.25">
      <c r="P422" t="str">
        <v>EMP0419</v>
      </c>
      <c r="Q422" t="str">
        <v>Timothy Flores</v>
      </c>
      <c r="R422" t="str">
        <v>Marketing</v>
      </c>
      <c r="S422" t="str">
        <v>Marketing Analyst</v>
      </c>
      <c r="T422" t="str">
        <v>Male</v>
      </c>
      <c r="U422">
        <v>46</v>
      </c>
      <c r="V422">
        <v>45506</v>
      </c>
      <c r="W422" t="str">
        <v>Full-Time</v>
      </c>
      <c r="X422">
        <v>29555.37</v>
      </c>
      <c r="Y422">
        <v>4</v>
      </c>
      <c r="Z422">
        <v>90.97</v>
      </c>
      <c r="AA422">
        <v>1</v>
      </c>
      <c r="AB422">
        <v>3</v>
      </c>
      <c r="AC422">
        <v>49</v>
      </c>
      <c r="AD422" t="str">
        <v>Lisa Hensley</v>
      </c>
      <c r="AE422" t="str">
        <v>Active</v>
      </c>
      <c r="AF422">
        <v>354664.44</v>
      </c>
    </row>
    <row r="423" spans="16:32" x14ac:dyDescent="0.25">
      <c r="P423" t="str">
        <v>EMP0420</v>
      </c>
      <c r="Q423" t="str">
        <v>Nancy Evans MD</v>
      </c>
      <c r="R423" t="str">
        <v>Marketing</v>
      </c>
      <c r="S423" t="str">
        <v>Marketing Analyst</v>
      </c>
      <c r="T423" t="str">
        <v>Female</v>
      </c>
      <c r="U423">
        <v>60</v>
      </c>
      <c r="V423">
        <v>44744</v>
      </c>
      <c r="W423" t="str">
        <v>Full-Time</v>
      </c>
      <c r="X423">
        <v>28431.13</v>
      </c>
      <c r="Y423">
        <v>4</v>
      </c>
      <c r="Z423">
        <v>86.19</v>
      </c>
      <c r="AA423">
        <v>3</v>
      </c>
      <c r="AB423">
        <v>31</v>
      </c>
      <c r="AC423">
        <v>47</v>
      </c>
      <c r="AD423" t="str">
        <v>Ryan Munoz</v>
      </c>
      <c r="AE423" t="str">
        <v>Active</v>
      </c>
      <c r="AF423">
        <v>341173.56</v>
      </c>
    </row>
    <row r="424" spans="16:32" x14ac:dyDescent="0.25">
      <c r="P424" t="str">
        <v>EMP0421</v>
      </c>
      <c r="Q424" t="str">
        <v>Michelle Evans</v>
      </c>
      <c r="R424" t="str">
        <v>HR</v>
      </c>
      <c r="S424" t="str">
        <v>HR Officer</v>
      </c>
      <c r="T424" t="str">
        <v>Male</v>
      </c>
      <c r="U424">
        <v>22</v>
      </c>
      <c r="V424">
        <v>45470</v>
      </c>
      <c r="W424" t="str">
        <v>Full-Time</v>
      </c>
      <c r="X424">
        <v>86354.91</v>
      </c>
      <c r="Y424">
        <v>3</v>
      </c>
      <c r="Z424">
        <v>97.28</v>
      </c>
      <c r="AA424">
        <v>1</v>
      </c>
      <c r="AB424">
        <v>59</v>
      </c>
      <c r="AC424">
        <v>55</v>
      </c>
      <c r="AD424" t="str">
        <v>Derek Zuniga</v>
      </c>
      <c r="AE424" t="str">
        <v>Resigned</v>
      </c>
      <c r="AF424">
        <v>1036258.92</v>
      </c>
    </row>
    <row r="425" spans="16:32" x14ac:dyDescent="0.25">
      <c r="P425" t="str">
        <v>EMP0422</v>
      </c>
      <c r="Q425" t="str">
        <v>Michael Whitney</v>
      </c>
      <c r="R425" t="str">
        <v>R&amp;D</v>
      </c>
      <c r="S425" t="str">
        <v>Researcher</v>
      </c>
      <c r="T425" t="str">
        <v>Male</v>
      </c>
      <c r="U425">
        <v>58</v>
      </c>
      <c r="V425">
        <v>42406</v>
      </c>
      <c r="W425" t="str">
        <v>Contract</v>
      </c>
      <c r="X425">
        <v>65654.34</v>
      </c>
      <c r="Y425">
        <v>5</v>
      </c>
      <c r="Z425">
        <v>88.7</v>
      </c>
      <c r="AA425">
        <v>9</v>
      </c>
      <c r="AB425">
        <v>68</v>
      </c>
      <c r="AC425">
        <v>19</v>
      </c>
      <c r="AD425" t="str">
        <v>Jamie Arnold</v>
      </c>
      <c r="AE425" t="str">
        <v>Active</v>
      </c>
      <c r="AF425">
        <v>787852.08</v>
      </c>
    </row>
    <row r="426" spans="16:32" x14ac:dyDescent="0.25">
      <c r="P426" t="str">
        <v>EMP0423</v>
      </c>
      <c r="Q426" t="str">
        <v>Steven Wiggins</v>
      </c>
      <c r="R426" t="str">
        <v>IT</v>
      </c>
      <c r="S426" t="str">
        <v>IT Support</v>
      </c>
      <c r="T426" t="str">
        <v>Female</v>
      </c>
      <c r="U426">
        <v>40</v>
      </c>
      <c r="V426">
        <v>45929</v>
      </c>
      <c r="W426" t="str">
        <v>Part-Time</v>
      </c>
      <c r="X426">
        <v>61220.38</v>
      </c>
      <c r="Y426">
        <v>2</v>
      </c>
      <c r="Z426">
        <v>86.07</v>
      </c>
      <c r="AA426">
        <v>0</v>
      </c>
      <c r="AB426">
        <v>0</v>
      </c>
      <c r="AC426">
        <v>33</v>
      </c>
      <c r="AD426" t="str">
        <v>Cristian Santos</v>
      </c>
      <c r="AE426" t="str">
        <v>Active</v>
      </c>
      <c r="AF426">
        <v>734644.55999999994</v>
      </c>
    </row>
    <row r="427" spans="16:32" x14ac:dyDescent="0.25">
      <c r="P427" t="str">
        <v>EMP0424</v>
      </c>
      <c r="Q427" t="str">
        <v>Deborah Rios</v>
      </c>
      <c r="R427" t="str">
        <v>R&amp;D</v>
      </c>
      <c r="S427" t="str">
        <v>Researcher</v>
      </c>
      <c r="T427" t="str">
        <v>Female</v>
      </c>
      <c r="U427">
        <v>51</v>
      </c>
      <c r="V427">
        <v>42468</v>
      </c>
      <c r="W427" t="str">
        <v>Part-Time</v>
      </c>
      <c r="X427">
        <v>20913.259999999998</v>
      </c>
      <c r="Y427">
        <v>4</v>
      </c>
      <c r="Z427">
        <v>95.96</v>
      </c>
      <c r="AA427">
        <v>9</v>
      </c>
      <c r="AB427">
        <v>76</v>
      </c>
      <c r="AC427">
        <v>14</v>
      </c>
      <c r="AD427" t="str">
        <v>Allison Hill</v>
      </c>
      <c r="AE427" t="str">
        <v>Active</v>
      </c>
      <c r="AF427">
        <v>250959.12</v>
      </c>
    </row>
    <row r="428" spans="16:32" x14ac:dyDescent="0.25">
      <c r="P428" t="str">
        <v>EMP0425</v>
      </c>
      <c r="Q428" t="str">
        <v>Mikayla Silva</v>
      </c>
      <c r="R428" t="str">
        <v>IT</v>
      </c>
      <c r="S428" t="str">
        <v>Software Engineer</v>
      </c>
      <c r="T428" t="str">
        <v>Female</v>
      </c>
      <c r="U428">
        <v>46</v>
      </c>
      <c r="V428">
        <v>45897</v>
      </c>
      <c r="W428" t="str">
        <v>Full-Time</v>
      </c>
      <c r="X428">
        <v>36326.949999999997</v>
      </c>
      <c r="Y428">
        <v>4</v>
      </c>
      <c r="Z428">
        <v>96.57</v>
      </c>
      <c r="AA428">
        <v>0</v>
      </c>
      <c r="AB428">
        <v>28</v>
      </c>
      <c r="AC428">
        <v>16</v>
      </c>
      <c r="AD428" t="str">
        <v>Angie Henderson</v>
      </c>
      <c r="AE428" t="str">
        <v>Active</v>
      </c>
      <c r="AF428">
        <v>435923.39999999997</v>
      </c>
    </row>
    <row r="429" spans="16:32" x14ac:dyDescent="0.25">
      <c r="P429" t="str">
        <v>EMP0426</v>
      </c>
      <c r="Q429" t="str">
        <v>Michelle Hampton</v>
      </c>
      <c r="R429" t="str">
        <v>IT</v>
      </c>
      <c r="S429" t="str">
        <v>Data Analyst</v>
      </c>
      <c r="T429" t="str">
        <v>Female</v>
      </c>
      <c r="U429">
        <v>39</v>
      </c>
      <c r="V429">
        <v>43362</v>
      </c>
      <c r="W429" t="str">
        <v>Contract</v>
      </c>
      <c r="X429">
        <v>94292.69</v>
      </c>
      <c r="Y429">
        <v>3</v>
      </c>
      <c r="Z429">
        <v>88.26</v>
      </c>
      <c r="AA429">
        <v>7</v>
      </c>
      <c r="AB429">
        <v>8</v>
      </c>
      <c r="AC429">
        <v>11</v>
      </c>
      <c r="AD429" t="str">
        <v>Cristian Santos</v>
      </c>
      <c r="AE429" t="str">
        <v>Active</v>
      </c>
      <c r="AF429">
        <v>1131512.28</v>
      </c>
    </row>
    <row r="430" spans="16:32" x14ac:dyDescent="0.25">
      <c r="P430" t="str">
        <v>EMP0427</v>
      </c>
      <c r="Q430" t="str">
        <v>Michael Johnson</v>
      </c>
      <c r="R430" t="str">
        <v>R&amp;D</v>
      </c>
      <c r="S430" t="str">
        <v>Product Developer</v>
      </c>
      <c r="T430" t="str">
        <v>Female</v>
      </c>
      <c r="U430">
        <v>60</v>
      </c>
      <c r="V430">
        <v>44665</v>
      </c>
      <c r="W430" t="str">
        <v>Part-Time</v>
      </c>
      <c r="X430">
        <v>38778.94</v>
      </c>
      <c r="Y430">
        <v>1</v>
      </c>
      <c r="Z430">
        <v>83.04</v>
      </c>
      <c r="AA430">
        <v>3</v>
      </c>
      <c r="AB430">
        <v>68</v>
      </c>
      <c r="AC430">
        <v>1</v>
      </c>
      <c r="AD430" t="str">
        <v>Connie Lawrence</v>
      </c>
      <c r="AE430" t="str">
        <v>Resigned</v>
      </c>
      <c r="AF430">
        <v>465347.28</v>
      </c>
    </row>
    <row r="431" spans="16:32" x14ac:dyDescent="0.25">
      <c r="P431" t="str">
        <v>EMP0428</v>
      </c>
      <c r="Q431" t="str">
        <v>Jeremy Barnes</v>
      </c>
      <c r="R431" t="str">
        <v>Finance</v>
      </c>
      <c r="S431" t="str">
        <v>Financial Analyst</v>
      </c>
      <c r="T431" t="str">
        <v>Male</v>
      </c>
      <c r="U431">
        <v>49</v>
      </c>
      <c r="V431">
        <v>42985</v>
      </c>
      <c r="W431" t="str">
        <v>Contract</v>
      </c>
      <c r="X431">
        <v>20820.41</v>
      </c>
      <c r="Y431">
        <v>1</v>
      </c>
      <c r="Z431">
        <v>83.01</v>
      </c>
      <c r="AA431">
        <v>8</v>
      </c>
      <c r="AB431">
        <v>63</v>
      </c>
      <c r="AC431">
        <v>13</v>
      </c>
      <c r="AD431" t="str">
        <v>Monica Herrera</v>
      </c>
      <c r="AE431" t="str">
        <v>Active</v>
      </c>
      <c r="AF431">
        <v>249844.91999999998</v>
      </c>
    </row>
    <row r="432" spans="16:32" x14ac:dyDescent="0.25">
      <c r="P432" t="str">
        <v>EMP0429</v>
      </c>
      <c r="Q432" t="str">
        <v>Jennifer Hampton</v>
      </c>
      <c r="R432" t="str">
        <v>R&amp;D</v>
      </c>
      <c r="S432" t="str">
        <v>Product Developer</v>
      </c>
      <c r="T432" t="str">
        <v>Female</v>
      </c>
      <c r="U432">
        <v>23</v>
      </c>
      <c r="V432">
        <v>44869</v>
      </c>
      <c r="W432" t="str">
        <v>Part-Time</v>
      </c>
      <c r="X432">
        <v>28022.31</v>
      </c>
      <c r="Y432">
        <v>2</v>
      </c>
      <c r="Z432">
        <v>81.12</v>
      </c>
      <c r="AA432">
        <v>3</v>
      </c>
      <c r="AB432">
        <v>50</v>
      </c>
      <c r="AC432">
        <v>4</v>
      </c>
      <c r="AD432" t="str">
        <v>Derek Zuniga</v>
      </c>
      <c r="AE432" t="str">
        <v>Active</v>
      </c>
      <c r="AF432">
        <v>336267.72000000003</v>
      </c>
    </row>
    <row r="433" spans="16:32" x14ac:dyDescent="0.25">
      <c r="P433" t="str">
        <v>EMP0430</v>
      </c>
      <c r="Q433" t="str">
        <v>Nancy Brown</v>
      </c>
      <c r="R433" t="str">
        <v>IT</v>
      </c>
      <c r="S433" t="str">
        <v>Software Engineer</v>
      </c>
      <c r="T433" t="str">
        <v>Female</v>
      </c>
      <c r="U433">
        <v>21</v>
      </c>
      <c r="V433">
        <v>45233</v>
      </c>
      <c r="W433" t="str">
        <v>Full-Time</v>
      </c>
      <c r="X433">
        <v>117459.85</v>
      </c>
      <c r="Y433">
        <v>2</v>
      </c>
      <c r="Z433">
        <v>87.7</v>
      </c>
      <c r="AA433">
        <v>2</v>
      </c>
      <c r="AB433">
        <v>56</v>
      </c>
      <c r="AC433">
        <v>15</v>
      </c>
      <c r="AD433" t="str">
        <v>Noah Rhodes</v>
      </c>
      <c r="AE433" t="str">
        <v>Active</v>
      </c>
      <c r="AF433">
        <v>1409518.2000000002</v>
      </c>
    </row>
    <row r="434" spans="16:32" x14ac:dyDescent="0.25">
      <c r="P434" t="str">
        <v>EMP0431</v>
      </c>
      <c r="Q434" t="str">
        <v>Kristina Bolton</v>
      </c>
      <c r="R434" t="str">
        <v>Marketing</v>
      </c>
      <c r="S434" t="str">
        <v>Content Specialist</v>
      </c>
      <c r="T434" t="str">
        <v>Male</v>
      </c>
      <c r="U434">
        <v>51</v>
      </c>
      <c r="V434">
        <v>43161</v>
      </c>
      <c r="W434" t="str">
        <v>Part-Time</v>
      </c>
      <c r="X434">
        <v>88144.23</v>
      </c>
      <c r="Y434">
        <v>3</v>
      </c>
      <c r="Z434">
        <v>98.72</v>
      </c>
      <c r="AA434">
        <v>7</v>
      </c>
      <c r="AB434">
        <v>20</v>
      </c>
      <c r="AC434">
        <v>40</v>
      </c>
      <c r="AD434" t="str">
        <v>Noah Rhodes</v>
      </c>
      <c r="AE434" t="str">
        <v>Active</v>
      </c>
      <c r="AF434">
        <v>1057730.76</v>
      </c>
    </row>
    <row r="435" spans="16:32" x14ac:dyDescent="0.25">
      <c r="P435" t="str">
        <v>EMP0432</v>
      </c>
      <c r="Q435" t="str">
        <v>Emily Thompson</v>
      </c>
      <c r="R435" t="str">
        <v>Marketing</v>
      </c>
      <c r="S435" t="str">
        <v>Brand Manager</v>
      </c>
      <c r="T435" t="str">
        <v>Female</v>
      </c>
      <c r="U435">
        <v>40</v>
      </c>
      <c r="V435">
        <v>45275</v>
      </c>
      <c r="W435" t="str">
        <v>Full-Time</v>
      </c>
      <c r="X435">
        <v>56042.67</v>
      </c>
      <c r="Y435">
        <v>1</v>
      </c>
      <c r="Z435">
        <v>97.27</v>
      </c>
      <c r="AA435">
        <v>2</v>
      </c>
      <c r="AB435">
        <v>27</v>
      </c>
      <c r="AC435">
        <v>7</v>
      </c>
      <c r="AD435" t="str">
        <v>Gina Moore</v>
      </c>
      <c r="AE435" t="str">
        <v>Active</v>
      </c>
      <c r="AF435">
        <v>672512.04</v>
      </c>
    </row>
    <row r="436" spans="16:32" x14ac:dyDescent="0.25">
      <c r="P436" t="str">
        <v>EMP0433</v>
      </c>
      <c r="Q436" t="str">
        <v>Hector Ingram</v>
      </c>
      <c r="R436" t="str">
        <v>Operations</v>
      </c>
      <c r="S436" t="str">
        <v>Operations Associate</v>
      </c>
      <c r="T436" t="str">
        <v>Male</v>
      </c>
      <c r="U436">
        <v>38</v>
      </c>
      <c r="V436">
        <v>45615</v>
      </c>
      <c r="W436" t="str">
        <v>Contract</v>
      </c>
      <c r="X436">
        <v>31964.959999999999</v>
      </c>
      <c r="Y436">
        <v>2</v>
      </c>
      <c r="Z436">
        <v>80.180000000000007</v>
      </c>
      <c r="AA436">
        <v>1</v>
      </c>
      <c r="AB436">
        <v>5</v>
      </c>
      <c r="AC436">
        <v>37</v>
      </c>
      <c r="AD436" t="str">
        <v>Brian Ramirez</v>
      </c>
      <c r="AE436" t="str">
        <v>Active</v>
      </c>
      <c r="AF436">
        <v>383579.52</v>
      </c>
    </row>
    <row r="437" spans="16:32" x14ac:dyDescent="0.25">
      <c r="P437" t="str">
        <v>EMP0434</v>
      </c>
      <c r="Q437" t="str">
        <v>Cheryl Wright</v>
      </c>
      <c r="R437" t="str">
        <v>HR</v>
      </c>
      <c r="S437" t="str">
        <v>Recruiter</v>
      </c>
      <c r="T437" t="str">
        <v>Male</v>
      </c>
      <c r="U437">
        <v>36</v>
      </c>
      <c r="V437">
        <v>43945</v>
      </c>
      <c r="W437" t="str">
        <v>Full-Time</v>
      </c>
      <c r="X437">
        <v>69991.92</v>
      </c>
      <c r="Y437">
        <v>5</v>
      </c>
      <c r="Z437">
        <v>86.77</v>
      </c>
      <c r="AA437">
        <v>5</v>
      </c>
      <c r="AB437">
        <v>80</v>
      </c>
      <c r="AC437">
        <v>3</v>
      </c>
      <c r="AD437" t="str">
        <v>Noah Rhodes</v>
      </c>
      <c r="AE437" t="str">
        <v>Active</v>
      </c>
      <c r="AF437">
        <v>839903.04</v>
      </c>
    </row>
    <row r="438" spans="16:32" x14ac:dyDescent="0.25">
      <c r="P438" t="str">
        <v>EMP0435</v>
      </c>
      <c r="Q438" t="str">
        <v>Todd Hendrix</v>
      </c>
      <c r="R438" t="str">
        <v>HR</v>
      </c>
      <c r="S438" t="str">
        <v>HR Manager</v>
      </c>
      <c r="T438" t="str">
        <v>Male</v>
      </c>
      <c r="U438">
        <v>29</v>
      </c>
      <c r="V438">
        <v>45770</v>
      </c>
      <c r="W438" t="str">
        <v>Part-Time</v>
      </c>
      <c r="X438">
        <v>43267.46</v>
      </c>
      <c r="Y438">
        <v>5</v>
      </c>
      <c r="Z438">
        <v>95.77</v>
      </c>
      <c r="AA438">
        <v>0</v>
      </c>
      <c r="AB438">
        <v>44</v>
      </c>
      <c r="AC438">
        <v>51</v>
      </c>
      <c r="AD438" t="str">
        <v>Dylan Miller</v>
      </c>
      <c r="AE438" t="str">
        <v>Active</v>
      </c>
      <c r="AF438">
        <v>519209.52</v>
      </c>
    </row>
    <row r="439" spans="16:32" x14ac:dyDescent="0.25">
      <c r="P439" t="str">
        <v>EMP0436</v>
      </c>
      <c r="Q439" t="str">
        <v>Melissa Burns</v>
      </c>
      <c r="R439" t="str">
        <v>Sales</v>
      </c>
      <c r="S439" t="str">
        <v>Account Executive</v>
      </c>
      <c r="T439" t="str">
        <v>Female</v>
      </c>
      <c r="U439">
        <v>43</v>
      </c>
      <c r="V439">
        <v>44098</v>
      </c>
      <c r="W439" t="str">
        <v>Contract</v>
      </c>
      <c r="X439">
        <v>33473.22</v>
      </c>
      <c r="Y439">
        <v>1</v>
      </c>
      <c r="Z439">
        <v>89.71</v>
      </c>
      <c r="AA439">
        <v>5</v>
      </c>
      <c r="AB439">
        <v>56</v>
      </c>
      <c r="AC439">
        <v>35</v>
      </c>
      <c r="AD439" t="str">
        <v>Ryan Munoz</v>
      </c>
      <c r="AE439" t="str">
        <v>Active</v>
      </c>
      <c r="AF439">
        <v>401678.64</v>
      </c>
    </row>
    <row r="440" spans="16:32" x14ac:dyDescent="0.25">
      <c r="P440" t="str">
        <v>EMP0437</v>
      </c>
      <c r="Q440" t="str">
        <v>Timothy Pope</v>
      </c>
      <c r="R440" t="str">
        <v>R&amp;D</v>
      </c>
      <c r="S440" t="str">
        <v>Researcher</v>
      </c>
      <c r="T440" t="str">
        <v>Male</v>
      </c>
      <c r="U440">
        <v>55</v>
      </c>
      <c r="V440">
        <v>45284</v>
      </c>
      <c r="W440" t="str">
        <v>Part-Time</v>
      </c>
      <c r="X440">
        <v>52368.09</v>
      </c>
      <c r="Y440">
        <v>4</v>
      </c>
      <c r="Z440">
        <v>85.51</v>
      </c>
      <c r="AA440">
        <v>2</v>
      </c>
      <c r="AB440">
        <v>76</v>
      </c>
      <c r="AC440">
        <v>58</v>
      </c>
      <c r="AD440" t="str">
        <v>Derek Zuniga</v>
      </c>
      <c r="AE440" t="str">
        <v>Active</v>
      </c>
      <c r="AF440">
        <v>628417.07999999996</v>
      </c>
    </row>
    <row r="441" spans="16:32" x14ac:dyDescent="0.25">
      <c r="P441" t="str">
        <v>EMP0438</v>
      </c>
      <c r="Q441" t="str">
        <v>Kenneth Daniels</v>
      </c>
      <c r="R441" t="str">
        <v>HR</v>
      </c>
      <c r="S441" t="str">
        <v>Recruiter</v>
      </c>
      <c r="T441" t="str">
        <v>Female</v>
      </c>
      <c r="U441">
        <v>37</v>
      </c>
      <c r="V441">
        <v>44002</v>
      </c>
      <c r="W441" t="str">
        <v>Contract</v>
      </c>
      <c r="X441">
        <v>56711.27</v>
      </c>
      <c r="Y441">
        <v>1</v>
      </c>
      <c r="Z441">
        <v>95.52</v>
      </c>
      <c r="AA441">
        <v>5</v>
      </c>
      <c r="AB441">
        <v>64</v>
      </c>
      <c r="AC441">
        <v>24</v>
      </c>
      <c r="AD441" t="str">
        <v>Connie Lawrence</v>
      </c>
      <c r="AE441" t="str">
        <v>Resigned</v>
      </c>
      <c r="AF441">
        <v>680535.24</v>
      </c>
    </row>
    <row r="442" spans="16:32" x14ac:dyDescent="0.25">
      <c r="P442" t="str">
        <v>EMP0439</v>
      </c>
      <c r="Q442" t="str">
        <v>Tina Ballard</v>
      </c>
      <c r="R442" t="str">
        <v>Operations</v>
      </c>
      <c r="S442" t="str">
        <v>Operations Associate</v>
      </c>
      <c r="T442" t="str">
        <v>Female</v>
      </c>
      <c r="U442">
        <v>25</v>
      </c>
      <c r="V442">
        <v>44754</v>
      </c>
      <c r="W442" t="str">
        <v>Contract</v>
      </c>
      <c r="X442">
        <v>116716.32</v>
      </c>
      <c r="Y442">
        <v>4</v>
      </c>
      <c r="Z442">
        <v>83.8</v>
      </c>
      <c r="AA442">
        <v>3</v>
      </c>
      <c r="AB442">
        <v>63</v>
      </c>
      <c r="AC442">
        <v>49</v>
      </c>
      <c r="AD442" t="str">
        <v>Derek Zuniga</v>
      </c>
      <c r="AE442" t="str">
        <v>Active</v>
      </c>
      <c r="AF442">
        <v>1400595.84</v>
      </c>
    </row>
    <row r="443" spans="16:32" x14ac:dyDescent="0.25">
      <c r="P443" t="str">
        <v>EMP0440</v>
      </c>
      <c r="Q443" t="str">
        <v>Tyler Miller</v>
      </c>
      <c r="R443" t="str">
        <v>Finance</v>
      </c>
      <c r="S443" t="str">
        <v>Financial Analyst</v>
      </c>
      <c r="T443" t="str">
        <v>Female</v>
      </c>
      <c r="U443">
        <v>41</v>
      </c>
      <c r="V443">
        <v>44107</v>
      </c>
      <c r="W443" t="str">
        <v>Full-Time</v>
      </c>
      <c r="X443">
        <v>29625.63</v>
      </c>
      <c r="Y443">
        <v>1</v>
      </c>
      <c r="Z443">
        <v>80.88</v>
      </c>
      <c r="AA443">
        <v>5</v>
      </c>
      <c r="AB443">
        <v>16</v>
      </c>
      <c r="AC443">
        <v>11</v>
      </c>
      <c r="AD443" t="str">
        <v>Noah Rhodes</v>
      </c>
      <c r="AE443" t="str">
        <v>Active</v>
      </c>
      <c r="AF443">
        <v>355507.56</v>
      </c>
    </row>
    <row r="444" spans="16:32" x14ac:dyDescent="0.25">
      <c r="P444" t="str">
        <v>EMP0441</v>
      </c>
      <c r="Q444" t="str">
        <v>Nicole Lewis</v>
      </c>
      <c r="R444" t="str">
        <v>R&amp;D</v>
      </c>
      <c r="S444" t="str">
        <v>Researcher</v>
      </c>
      <c r="T444" t="str">
        <v>Male</v>
      </c>
      <c r="U444">
        <v>23</v>
      </c>
      <c r="V444">
        <v>45051</v>
      </c>
      <c r="W444" t="str">
        <v>Contract</v>
      </c>
      <c r="X444">
        <v>84175.17</v>
      </c>
      <c r="Y444">
        <v>4</v>
      </c>
      <c r="Z444">
        <v>93.16</v>
      </c>
      <c r="AA444">
        <v>2</v>
      </c>
      <c r="AB444">
        <v>67</v>
      </c>
      <c r="AC444">
        <v>39</v>
      </c>
      <c r="AD444" t="str">
        <v>Lisa Jackson</v>
      </c>
      <c r="AE444" t="str">
        <v>Active</v>
      </c>
      <c r="AF444">
        <v>1010102.04</v>
      </c>
    </row>
    <row r="445" spans="16:32" x14ac:dyDescent="0.25">
      <c r="P445" t="str">
        <v>EMP0442</v>
      </c>
      <c r="Q445" t="str">
        <v>Justin Nelson</v>
      </c>
      <c r="R445" t="str">
        <v>Operations</v>
      </c>
      <c r="S445" t="str">
        <v>Operations Associate</v>
      </c>
      <c r="T445" t="str">
        <v>Male</v>
      </c>
      <c r="U445">
        <v>21</v>
      </c>
      <c r="V445">
        <v>45649</v>
      </c>
      <c r="W445" t="str">
        <v>Full-Time</v>
      </c>
      <c r="X445">
        <v>85574.94</v>
      </c>
      <c r="Y445">
        <v>1</v>
      </c>
      <c r="Z445">
        <v>89.36</v>
      </c>
      <c r="AA445">
        <v>1</v>
      </c>
      <c r="AB445">
        <v>7</v>
      </c>
      <c r="AC445">
        <v>23</v>
      </c>
      <c r="AD445" t="str">
        <v>Derek Zuniga</v>
      </c>
      <c r="AE445" t="str">
        <v>Active</v>
      </c>
      <c r="AF445">
        <v>1026899.28</v>
      </c>
    </row>
    <row r="446" spans="16:32" x14ac:dyDescent="0.25">
      <c r="P446" t="str">
        <v>EMP0443</v>
      </c>
      <c r="Q446" t="str">
        <v>Laurie Sanchez</v>
      </c>
      <c r="R446" t="str">
        <v>Customer Support</v>
      </c>
      <c r="S446" t="str">
        <v>Team Lead</v>
      </c>
      <c r="T446" t="str">
        <v>Male</v>
      </c>
      <c r="U446">
        <v>60</v>
      </c>
      <c r="V446">
        <v>42981</v>
      </c>
      <c r="W446" t="str">
        <v>Part-Time</v>
      </c>
      <c r="X446">
        <v>72902.080000000002</v>
      </c>
      <c r="Y446">
        <v>1</v>
      </c>
      <c r="Z446">
        <v>96.69</v>
      </c>
      <c r="AA446">
        <v>8</v>
      </c>
      <c r="AB446">
        <v>9</v>
      </c>
      <c r="AC446">
        <v>60</v>
      </c>
      <c r="AD446" t="str">
        <v>Abigail Shaffer</v>
      </c>
      <c r="AE446" t="str">
        <v>Resigned</v>
      </c>
      <c r="AF446">
        <v>874824.96</v>
      </c>
    </row>
    <row r="447" spans="16:32" x14ac:dyDescent="0.25">
      <c r="P447" t="str">
        <v>EMP0444</v>
      </c>
      <c r="Q447" t="str">
        <v>David Garcia</v>
      </c>
      <c r="R447" t="str">
        <v>Marketing</v>
      </c>
      <c r="S447" t="str">
        <v>Marketing Analyst</v>
      </c>
      <c r="T447" t="str">
        <v>Male</v>
      </c>
      <c r="U447">
        <v>55</v>
      </c>
      <c r="V447">
        <v>45602</v>
      </c>
      <c r="W447" t="str">
        <v>Part-Time</v>
      </c>
      <c r="X447">
        <v>38946.04</v>
      </c>
      <c r="Y447">
        <v>5</v>
      </c>
      <c r="Z447">
        <v>93.14</v>
      </c>
      <c r="AA447">
        <v>1</v>
      </c>
      <c r="AB447">
        <v>72</v>
      </c>
      <c r="AC447">
        <v>40</v>
      </c>
      <c r="AD447" t="str">
        <v>Connie Lawrence</v>
      </c>
      <c r="AE447" t="str">
        <v>Active</v>
      </c>
      <c r="AF447">
        <v>467352.48</v>
      </c>
    </row>
    <row r="448" spans="16:32" x14ac:dyDescent="0.25">
      <c r="P448" t="str">
        <v>EMP0445</v>
      </c>
      <c r="Q448" t="str">
        <v>Ashlee Townsend</v>
      </c>
      <c r="R448" t="str">
        <v>Customer Support</v>
      </c>
      <c r="S448" t="str">
        <v>Support Agent</v>
      </c>
      <c r="T448" t="str">
        <v>Female</v>
      </c>
      <c r="U448">
        <v>50</v>
      </c>
      <c r="V448">
        <v>44355</v>
      </c>
      <c r="W448" t="str">
        <v>Contract</v>
      </c>
      <c r="X448">
        <v>86524.24</v>
      </c>
      <c r="Y448">
        <v>1</v>
      </c>
      <c r="Z448">
        <v>83.34</v>
      </c>
      <c r="AA448">
        <v>4</v>
      </c>
      <c r="AB448">
        <v>23</v>
      </c>
      <c r="AC448">
        <v>35</v>
      </c>
      <c r="AD448" t="str">
        <v>Lisa Hensley</v>
      </c>
      <c r="AE448" t="str">
        <v>Active</v>
      </c>
      <c r="AF448">
        <v>1038290.8800000001</v>
      </c>
    </row>
    <row r="449" spans="16:32" x14ac:dyDescent="0.25">
      <c r="P449" t="str">
        <v>EMP0446</v>
      </c>
      <c r="Q449" t="str">
        <v>Vanessa Moore</v>
      </c>
      <c r="R449" t="str">
        <v>HR</v>
      </c>
      <c r="S449" t="str">
        <v>HR Manager</v>
      </c>
      <c r="T449" t="str">
        <v>Female</v>
      </c>
      <c r="U449">
        <v>43</v>
      </c>
      <c r="V449">
        <v>42335</v>
      </c>
      <c r="W449" t="str">
        <v>Part-Time</v>
      </c>
      <c r="X449">
        <v>75008.13</v>
      </c>
      <c r="Y449">
        <v>3</v>
      </c>
      <c r="Z449">
        <v>96.9</v>
      </c>
      <c r="AA449">
        <v>10</v>
      </c>
      <c r="AB449">
        <v>52</v>
      </c>
      <c r="AC449">
        <v>48</v>
      </c>
      <c r="AD449" t="str">
        <v>Michele Williams</v>
      </c>
      <c r="AE449" t="str">
        <v>Active</v>
      </c>
      <c r="AF449">
        <v>900097.56</v>
      </c>
    </row>
    <row r="450" spans="16:32" x14ac:dyDescent="0.25">
      <c r="P450" t="str">
        <v>EMP0447</v>
      </c>
      <c r="Q450" t="str">
        <v>Curtis Maynard</v>
      </c>
      <c r="R450" t="str">
        <v>Operations</v>
      </c>
      <c r="S450" t="str">
        <v>Operations Associate</v>
      </c>
      <c r="T450" t="str">
        <v>Male</v>
      </c>
      <c r="U450">
        <v>45</v>
      </c>
      <c r="V450">
        <v>45258</v>
      </c>
      <c r="W450" t="str">
        <v>Contract</v>
      </c>
      <c r="X450">
        <v>112614.69</v>
      </c>
      <c r="Y450">
        <v>3</v>
      </c>
      <c r="Z450">
        <v>87.2</v>
      </c>
      <c r="AA450">
        <v>2</v>
      </c>
      <c r="AB450">
        <v>57</v>
      </c>
      <c r="AC450">
        <v>28</v>
      </c>
      <c r="AD450" t="str">
        <v>Lisa Hensley</v>
      </c>
      <c r="AE450" t="str">
        <v>Active</v>
      </c>
      <c r="AF450">
        <v>1351376.28</v>
      </c>
    </row>
    <row r="451" spans="16:32" x14ac:dyDescent="0.25">
      <c r="P451" t="str">
        <v>EMP0448</v>
      </c>
      <c r="Q451" t="str">
        <v>Anthony Mack</v>
      </c>
      <c r="R451" t="str">
        <v>Sales</v>
      </c>
      <c r="S451" t="str">
        <v>Sales Manager</v>
      </c>
      <c r="T451" t="str">
        <v>Male</v>
      </c>
      <c r="U451">
        <v>54</v>
      </c>
      <c r="V451">
        <v>44298</v>
      </c>
      <c r="W451" t="str">
        <v>Full-Time</v>
      </c>
      <c r="X451">
        <v>119341.2</v>
      </c>
      <c r="Y451">
        <v>3</v>
      </c>
      <c r="Z451">
        <v>80.13</v>
      </c>
      <c r="AA451">
        <v>4</v>
      </c>
      <c r="AB451">
        <v>28</v>
      </c>
      <c r="AC451">
        <v>13</v>
      </c>
      <c r="AD451" t="str">
        <v>Monica Herrera</v>
      </c>
      <c r="AE451" t="str">
        <v>Active</v>
      </c>
      <c r="AF451">
        <v>1432094.4</v>
      </c>
    </row>
    <row r="452" spans="16:32" x14ac:dyDescent="0.25">
      <c r="P452" t="str">
        <v>EMP0449</v>
      </c>
      <c r="Q452" t="str">
        <v>Parker Jefferson</v>
      </c>
      <c r="R452" t="str">
        <v>Finance</v>
      </c>
      <c r="S452" t="str">
        <v>Finance Manager</v>
      </c>
      <c r="T452" t="str">
        <v>Male</v>
      </c>
      <c r="U452">
        <v>27</v>
      </c>
      <c r="V452">
        <v>45870</v>
      </c>
      <c r="W452" t="str">
        <v>Full-Time</v>
      </c>
      <c r="X452">
        <v>66036.98</v>
      </c>
      <c r="Y452">
        <v>2</v>
      </c>
      <c r="Z452">
        <v>82.77</v>
      </c>
      <c r="AA452">
        <v>0</v>
      </c>
      <c r="AB452">
        <v>46</v>
      </c>
      <c r="AC452">
        <v>56</v>
      </c>
      <c r="AD452" t="str">
        <v>Lisa Jackson</v>
      </c>
      <c r="AE452" t="str">
        <v>Active</v>
      </c>
      <c r="AF452">
        <v>792443.76</v>
      </c>
    </row>
    <row r="453" spans="16:32" x14ac:dyDescent="0.25">
      <c r="P453" t="str">
        <v>EMP0450</v>
      </c>
      <c r="Q453" t="str">
        <v>Carrie Khan</v>
      </c>
      <c r="R453" t="str">
        <v>Finance</v>
      </c>
      <c r="S453" t="str">
        <v>Financial Analyst</v>
      </c>
      <c r="T453" t="str">
        <v>Male</v>
      </c>
      <c r="U453">
        <v>57</v>
      </c>
      <c r="V453">
        <v>42534</v>
      </c>
      <c r="W453" t="str">
        <v>Part-Time</v>
      </c>
      <c r="X453">
        <v>76906.490000000005</v>
      </c>
      <c r="Y453">
        <v>2</v>
      </c>
      <c r="Z453">
        <v>94.69</v>
      </c>
      <c r="AA453">
        <v>9</v>
      </c>
      <c r="AB453">
        <v>41</v>
      </c>
      <c r="AC453">
        <v>50</v>
      </c>
      <c r="AD453" t="str">
        <v>Brian Ramirez</v>
      </c>
      <c r="AE453" t="str">
        <v>Active</v>
      </c>
      <c r="AF453">
        <v>922877.88000000012</v>
      </c>
    </row>
    <row r="454" spans="16:32" x14ac:dyDescent="0.25">
      <c r="P454" t="str">
        <v>EMP0451</v>
      </c>
      <c r="Q454" t="str">
        <v>Amanda Huff</v>
      </c>
      <c r="R454" t="str">
        <v>Marketing</v>
      </c>
      <c r="S454" t="str">
        <v>Content Specialist</v>
      </c>
      <c r="T454" t="str">
        <v>Female</v>
      </c>
      <c r="U454">
        <v>23</v>
      </c>
      <c r="V454">
        <v>43395</v>
      </c>
      <c r="W454" t="str">
        <v>Contract</v>
      </c>
      <c r="X454">
        <v>100834.12</v>
      </c>
      <c r="Y454">
        <v>4</v>
      </c>
      <c r="Z454">
        <v>81.569999999999993</v>
      </c>
      <c r="AA454">
        <v>7</v>
      </c>
      <c r="AB454">
        <v>7</v>
      </c>
      <c r="AC454">
        <v>58</v>
      </c>
      <c r="AD454" t="str">
        <v>Monica Herrera</v>
      </c>
      <c r="AE454" t="str">
        <v>Active</v>
      </c>
      <c r="AF454">
        <v>1210009.44</v>
      </c>
    </row>
    <row r="455" spans="16:32" x14ac:dyDescent="0.25">
      <c r="P455" t="str">
        <v>EMP0452</v>
      </c>
      <c r="Q455" t="str">
        <v>Paul Brennan</v>
      </c>
      <c r="R455" t="str">
        <v>Customer Support</v>
      </c>
      <c r="S455" t="str">
        <v>Team Lead</v>
      </c>
      <c r="T455" t="str">
        <v>Male</v>
      </c>
      <c r="U455">
        <v>35</v>
      </c>
      <c r="V455">
        <v>45381</v>
      </c>
      <c r="W455" t="str">
        <v>Contract</v>
      </c>
      <c r="X455">
        <v>85277.92</v>
      </c>
      <c r="Y455">
        <v>5</v>
      </c>
      <c r="Z455">
        <v>98.57</v>
      </c>
      <c r="AA455">
        <v>1</v>
      </c>
      <c r="AB455">
        <v>80</v>
      </c>
      <c r="AC455">
        <v>24</v>
      </c>
      <c r="AD455" t="str">
        <v>Noah Rhodes</v>
      </c>
      <c r="AE455" t="str">
        <v>Active</v>
      </c>
      <c r="AF455">
        <v>1023335.04</v>
      </c>
    </row>
    <row r="456" spans="16:32" x14ac:dyDescent="0.25">
      <c r="P456" t="str">
        <v>EMP0453</v>
      </c>
      <c r="Q456" t="str">
        <v>Alexandra Bradley</v>
      </c>
      <c r="R456" t="str">
        <v>Sales</v>
      </c>
      <c r="S456" t="str">
        <v>Sales Manager</v>
      </c>
      <c r="T456" t="str">
        <v>Male</v>
      </c>
      <c r="U456">
        <v>41</v>
      </c>
      <c r="V456">
        <v>44101</v>
      </c>
      <c r="W456" t="str">
        <v>Contract</v>
      </c>
      <c r="X456">
        <v>89776.87</v>
      </c>
      <c r="Y456">
        <v>2</v>
      </c>
      <c r="Z456">
        <v>81.010000000000005</v>
      </c>
      <c r="AA456">
        <v>5</v>
      </c>
      <c r="AB456">
        <v>50</v>
      </c>
      <c r="AC456">
        <v>28</v>
      </c>
      <c r="AD456" t="str">
        <v>Carla Gray</v>
      </c>
      <c r="AE456" t="str">
        <v>Active</v>
      </c>
      <c r="AF456">
        <v>1077322.44</v>
      </c>
    </row>
    <row r="457" spans="16:32" x14ac:dyDescent="0.25">
      <c r="P457" t="str">
        <v>EMP0454</v>
      </c>
      <c r="Q457" t="str">
        <v>Frances Gibson</v>
      </c>
      <c r="R457" t="str">
        <v>Marketing</v>
      </c>
      <c r="S457" t="str">
        <v>Marketing Analyst</v>
      </c>
      <c r="T457" t="str">
        <v>Female</v>
      </c>
      <c r="U457">
        <v>39</v>
      </c>
      <c r="V457">
        <v>42969</v>
      </c>
      <c r="W457" t="str">
        <v>Part-Time</v>
      </c>
      <c r="X457">
        <v>34801.24</v>
      </c>
      <c r="Y457">
        <v>3</v>
      </c>
      <c r="Z457">
        <v>81.650000000000006</v>
      </c>
      <c r="AA457">
        <v>8</v>
      </c>
      <c r="AB457">
        <v>73</v>
      </c>
      <c r="AC457">
        <v>47</v>
      </c>
      <c r="AD457" t="str">
        <v>Noah Rhodes</v>
      </c>
      <c r="AE457" t="str">
        <v>Active</v>
      </c>
      <c r="AF457">
        <v>417614.88</v>
      </c>
    </row>
    <row r="458" spans="16:32" x14ac:dyDescent="0.25">
      <c r="P458" t="str">
        <v>EMP0455</v>
      </c>
      <c r="Q458" t="str">
        <v>Stacy Anderson</v>
      </c>
      <c r="R458" t="str">
        <v>Finance</v>
      </c>
      <c r="S458" t="str">
        <v>Accountant</v>
      </c>
      <c r="T458" t="str">
        <v>Female</v>
      </c>
      <c r="U458">
        <v>53</v>
      </c>
      <c r="V458">
        <v>45678</v>
      </c>
      <c r="W458" t="str">
        <v>Part-Time</v>
      </c>
      <c r="X458">
        <v>97382.51</v>
      </c>
      <c r="Y458">
        <v>2</v>
      </c>
      <c r="Z458">
        <v>95.24</v>
      </c>
      <c r="AA458">
        <v>0</v>
      </c>
      <c r="AB458">
        <v>61</v>
      </c>
      <c r="AC458">
        <v>35</v>
      </c>
      <c r="AD458" t="str">
        <v>Abigail Shaffer</v>
      </c>
      <c r="AE458" t="str">
        <v>Active</v>
      </c>
      <c r="AF458">
        <v>1168590.1199999999</v>
      </c>
    </row>
    <row r="459" spans="16:32" x14ac:dyDescent="0.25">
      <c r="P459" t="str">
        <v>EMP0456</v>
      </c>
      <c r="Q459" t="str">
        <v>Corey Rodriguez</v>
      </c>
      <c r="R459" t="str">
        <v>IT</v>
      </c>
      <c r="S459" t="str">
        <v>Data Analyst</v>
      </c>
      <c r="T459" t="str">
        <v>Male</v>
      </c>
      <c r="U459">
        <v>36</v>
      </c>
      <c r="V459">
        <v>45436</v>
      </c>
      <c r="W459" t="str">
        <v>Full-Time</v>
      </c>
      <c r="X459">
        <v>46625.71</v>
      </c>
      <c r="Y459">
        <v>4</v>
      </c>
      <c r="Z459">
        <v>86.47</v>
      </c>
      <c r="AA459">
        <v>1</v>
      </c>
      <c r="AB459">
        <v>73</v>
      </c>
      <c r="AC459">
        <v>5</v>
      </c>
      <c r="AD459" t="str">
        <v>Daniel Wagner</v>
      </c>
      <c r="AE459" t="str">
        <v>Active</v>
      </c>
      <c r="AF459">
        <v>559508.52</v>
      </c>
    </row>
    <row r="460" spans="16:32" x14ac:dyDescent="0.25">
      <c r="P460" t="str">
        <v>EMP0457</v>
      </c>
      <c r="Q460" t="str">
        <v>Mariah Higgins</v>
      </c>
      <c r="R460" t="str">
        <v>Customer Support</v>
      </c>
      <c r="S460" t="str">
        <v>Team Lead</v>
      </c>
      <c r="T460" t="str">
        <v>Female</v>
      </c>
      <c r="U460">
        <v>33</v>
      </c>
      <c r="V460">
        <v>43312</v>
      </c>
      <c r="W460" t="str">
        <v>Part-Time</v>
      </c>
      <c r="X460">
        <v>54452.49</v>
      </c>
      <c r="Y460">
        <v>1</v>
      </c>
      <c r="Z460">
        <v>95.39</v>
      </c>
      <c r="AA460">
        <v>7</v>
      </c>
      <c r="AB460">
        <v>21</v>
      </c>
      <c r="AC460">
        <v>22</v>
      </c>
      <c r="AD460" t="str">
        <v>Carla Gray</v>
      </c>
      <c r="AE460" t="str">
        <v>Active</v>
      </c>
      <c r="AF460">
        <v>653429.88</v>
      </c>
    </row>
    <row r="461" spans="16:32" x14ac:dyDescent="0.25">
      <c r="P461" t="str">
        <v>EMP0458</v>
      </c>
      <c r="Q461" t="str">
        <v>Rachel Bradley</v>
      </c>
      <c r="R461" t="str">
        <v>R&amp;D</v>
      </c>
      <c r="S461" t="str">
        <v>Researcher</v>
      </c>
      <c r="T461" t="str">
        <v>Female</v>
      </c>
      <c r="U461">
        <v>23</v>
      </c>
      <c r="V461">
        <v>42390</v>
      </c>
      <c r="W461" t="str">
        <v>Full-Time</v>
      </c>
      <c r="X461">
        <v>39968.519999999997</v>
      </c>
      <c r="Y461">
        <v>3</v>
      </c>
      <c r="Z461">
        <v>83.12</v>
      </c>
      <c r="AA461">
        <v>9</v>
      </c>
      <c r="AB461">
        <v>10</v>
      </c>
      <c r="AC461">
        <v>7</v>
      </c>
      <c r="AD461" t="str">
        <v>Noah Rhodes</v>
      </c>
      <c r="AE461" t="str">
        <v>Active</v>
      </c>
      <c r="AF461">
        <v>479622.24</v>
      </c>
    </row>
    <row r="462" spans="16:32" x14ac:dyDescent="0.25">
      <c r="P462" t="str">
        <v>EMP0459</v>
      </c>
      <c r="Q462" t="str">
        <v>Scott Prince</v>
      </c>
      <c r="R462" t="str">
        <v>HR</v>
      </c>
      <c r="S462" t="str">
        <v>Recruiter</v>
      </c>
      <c r="T462" t="str">
        <v>Male</v>
      </c>
      <c r="U462">
        <v>42</v>
      </c>
      <c r="V462">
        <v>43503</v>
      </c>
      <c r="W462" t="str">
        <v>Contract</v>
      </c>
      <c r="X462">
        <v>100428.08</v>
      </c>
      <c r="Y462">
        <v>3</v>
      </c>
      <c r="Z462">
        <v>89</v>
      </c>
      <c r="AA462">
        <v>6</v>
      </c>
      <c r="AB462">
        <v>2</v>
      </c>
      <c r="AC462">
        <v>21</v>
      </c>
      <c r="AD462" t="str">
        <v>Abigail Shaffer</v>
      </c>
      <c r="AE462" t="str">
        <v>Active</v>
      </c>
      <c r="AF462">
        <v>1205136.96</v>
      </c>
    </row>
    <row r="463" spans="16:32" x14ac:dyDescent="0.25">
      <c r="P463" t="str">
        <v>EMP0460</v>
      </c>
      <c r="Q463" t="str">
        <v>Angie Caldwell</v>
      </c>
      <c r="R463" t="str">
        <v>IT</v>
      </c>
      <c r="S463" t="str">
        <v>IT Support</v>
      </c>
      <c r="T463" t="str">
        <v>Female</v>
      </c>
      <c r="U463">
        <v>56</v>
      </c>
      <c r="V463">
        <v>44960</v>
      </c>
      <c r="W463" t="str">
        <v>Part-Time</v>
      </c>
      <c r="X463">
        <v>82304.2</v>
      </c>
      <c r="Y463">
        <v>2</v>
      </c>
      <c r="Z463">
        <v>93.9</v>
      </c>
      <c r="AA463">
        <v>2</v>
      </c>
      <c r="AB463">
        <v>2</v>
      </c>
      <c r="AC463">
        <v>24</v>
      </c>
      <c r="AD463" t="str">
        <v>Lisa Jackson</v>
      </c>
      <c r="AE463" t="str">
        <v>Resigned</v>
      </c>
      <c r="AF463">
        <v>987650.39999999991</v>
      </c>
    </row>
    <row r="464" spans="16:32" x14ac:dyDescent="0.25">
      <c r="P464" t="str">
        <v>EMP0461</v>
      </c>
      <c r="Q464" t="str">
        <v>Mrs. Taylor Smith</v>
      </c>
      <c r="R464" t="str">
        <v>Sales</v>
      </c>
      <c r="S464" t="str">
        <v>Sales Manager</v>
      </c>
      <c r="T464" t="str">
        <v>Male</v>
      </c>
      <c r="U464">
        <v>24</v>
      </c>
      <c r="V464">
        <v>43451</v>
      </c>
      <c r="W464" t="str">
        <v>Part-Time</v>
      </c>
      <c r="X464">
        <v>40069.61</v>
      </c>
      <c r="Y464">
        <v>5</v>
      </c>
      <c r="Z464">
        <v>85.43</v>
      </c>
      <c r="AA464">
        <v>7</v>
      </c>
      <c r="AB464">
        <v>59</v>
      </c>
      <c r="AC464">
        <v>41</v>
      </c>
      <c r="AD464" t="str">
        <v>Allison Hill</v>
      </c>
      <c r="AE464" t="str">
        <v>Active</v>
      </c>
      <c r="AF464">
        <v>480835.32</v>
      </c>
    </row>
    <row r="465" spans="16:32" x14ac:dyDescent="0.25">
      <c r="P465" t="str">
        <v>EMP0462</v>
      </c>
      <c r="Q465" t="str">
        <v>Paul Finley</v>
      </c>
      <c r="R465" t="str">
        <v>Finance</v>
      </c>
      <c r="S465" t="str">
        <v>Finance Manager</v>
      </c>
      <c r="T465" t="str">
        <v>Female</v>
      </c>
      <c r="U465">
        <v>27</v>
      </c>
      <c r="V465">
        <v>44686</v>
      </c>
      <c r="W465" t="str">
        <v>Full-Time</v>
      </c>
      <c r="X465">
        <v>49249.56</v>
      </c>
      <c r="Y465">
        <v>4</v>
      </c>
      <c r="Z465">
        <v>84.62</v>
      </c>
      <c r="AA465">
        <v>3</v>
      </c>
      <c r="AB465">
        <v>48</v>
      </c>
      <c r="AC465">
        <v>32</v>
      </c>
      <c r="AD465" t="str">
        <v>Daniel Wagner</v>
      </c>
      <c r="AE465" t="str">
        <v>Resigned</v>
      </c>
      <c r="AF465">
        <v>590994.72</v>
      </c>
    </row>
    <row r="466" spans="16:32" x14ac:dyDescent="0.25">
      <c r="P466" t="str">
        <v>EMP0463</v>
      </c>
      <c r="Q466" t="str">
        <v>Laura Green</v>
      </c>
      <c r="R466" t="str">
        <v>R&amp;D</v>
      </c>
      <c r="S466" t="str">
        <v>Researcher</v>
      </c>
      <c r="T466" t="str">
        <v>Male</v>
      </c>
      <c r="U466">
        <v>33</v>
      </c>
      <c r="V466">
        <v>44179</v>
      </c>
      <c r="W466" t="str">
        <v>Contract</v>
      </c>
      <c r="X466">
        <v>116679.14</v>
      </c>
      <c r="Y466">
        <v>5</v>
      </c>
      <c r="Z466">
        <v>98.53</v>
      </c>
      <c r="AA466">
        <v>5</v>
      </c>
      <c r="AB466">
        <v>2</v>
      </c>
      <c r="AC466">
        <v>2</v>
      </c>
      <c r="AD466" t="str">
        <v>Gina Moore</v>
      </c>
      <c r="AE466" t="str">
        <v>Resigned</v>
      </c>
      <c r="AF466">
        <v>1400149.68</v>
      </c>
    </row>
    <row r="467" spans="16:32" x14ac:dyDescent="0.25">
      <c r="P467" t="str">
        <v>EMP0464</v>
      </c>
      <c r="Q467" t="str">
        <v>Amy Wilson</v>
      </c>
      <c r="R467" t="str">
        <v>Finance</v>
      </c>
      <c r="S467" t="str">
        <v>Financial Analyst</v>
      </c>
      <c r="T467" t="str">
        <v>Female</v>
      </c>
      <c r="U467">
        <v>46</v>
      </c>
      <c r="V467">
        <v>44537</v>
      </c>
      <c r="W467" t="str">
        <v>Contract</v>
      </c>
      <c r="X467">
        <v>35700.53</v>
      </c>
      <c r="Y467">
        <v>3</v>
      </c>
      <c r="Z467">
        <v>93.69</v>
      </c>
      <c r="AA467">
        <v>4</v>
      </c>
      <c r="AB467">
        <v>45</v>
      </c>
      <c r="AC467">
        <v>40</v>
      </c>
      <c r="AD467" t="str">
        <v>Ryan Munoz</v>
      </c>
      <c r="AE467" t="str">
        <v>Active</v>
      </c>
      <c r="AF467">
        <v>428406.36</v>
      </c>
    </row>
    <row r="468" spans="16:32" x14ac:dyDescent="0.25">
      <c r="P468" t="str">
        <v>EMP0465</v>
      </c>
      <c r="Q468" t="str">
        <v>Michael Leblanc</v>
      </c>
      <c r="R468" t="str">
        <v>Finance</v>
      </c>
      <c r="S468" t="str">
        <v>Accountant</v>
      </c>
      <c r="T468" t="str">
        <v>Female</v>
      </c>
      <c r="U468">
        <v>45</v>
      </c>
      <c r="V468">
        <v>44209</v>
      </c>
      <c r="W468" t="str">
        <v>Full-Time</v>
      </c>
      <c r="X468">
        <v>114413.67</v>
      </c>
      <c r="Y468">
        <v>3</v>
      </c>
      <c r="Z468">
        <v>84.51</v>
      </c>
      <c r="AA468">
        <v>4</v>
      </c>
      <c r="AB468">
        <v>43</v>
      </c>
      <c r="AC468">
        <v>57</v>
      </c>
      <c r="AD468" t="str">
        <v>Lisa Hensley</v>
      </c>
      <c r="AE468" t="str">
        <v>Active</v>
      </c>
      <c r="AF468">
        <v>1372964.04</v>
      </c>
    </row>
    <row r="469" spans="16:32" x14ac:dyDescent="0.25">
      <c r="P469" t="str">
        <v>EMP0466</v>
      </c>
      <c r="Q469" t="str">
        <v>Margaret Shepard</v>
      </c>
      <c r="R469" t="str">
        <v>Marketing</v>
      </c>
      <c r="S469" t="str">
        <v>Content Specialist</v>
      </c>
      <c r="T469" t="str">
        <v>Female</v>
      </c>
      <c r="U469">
        <v>54</v>
      </c>
      <c r="V469">
        <v>44235</v>
      </c>
      <c r="W469" t="str">
        <v>Contract</v>
      </c>
      <c r="X469">
        <v>81244.84</v>
      </c>
      <c r="Y469">
        <v>2</v>
      </c>
      <c r="Z469">
        <v>88.35</v>
      </c>
      <c r="AA469">
        <v>4</v>
      </c>
      <c r="AB469">
        <v>73</v>
      </c>
      <c r="AC469">
        <v>9</v>
      </c>
      <c r="AD469" t="str">
        <v>Michele Williams</v>
      </c>
      <c r="AE469" t="str">
        <v>Resigned</v>
      </c>
      <c r="AF469">
        <v>974938.08</v>
      </c>
    </row>
    <row r="470" spans="16:32" x14ac:dyDescent="0.25">
      <c r="P470" t="str">
        <v>EMP0467</v>
      </c>
      <c r="Q470" t="str">
        <v>Colleen Anderson</v>
      </c>
      <c r="R470" t="str">
        <v>Operations</v>
      </c>
      <c r="S470" t="str">
        <v>Operations Manager</v>
      </c>
      <c r="T470" t="str">
        <v>Male</v>
      </c>
      <c r="U470">
        <v>34</v>
      </c>
      <c r="V470">
        <v>44586</v>
      </c>
      <c r="W470" t="str">
        <v>Contract</v>
      </c>
      <c r="X470">
        <v>33857.65</v>
      </c>
      <c r="Y470">
        <v>5</v>
      </c>
      <c r="Z470">
        <v>93.68</v>
      </c>
      <c r="AA470">
        <v>3</v>
      </c>
      <c r="AB470">
        <v>25</v>
      </c>
      <c r="AC470">
        <v>55</v>
      </c>
      <c r="AD470" t="str">
        <v>Cristian Santos</v>
      </c>
      <c r="AE470" t="str">
        <v>Active</v>
      </c>
      <c r="AF470">
        <v>406291.80000000005</v>
      </c>
    </row>
    <row r="471" spans="16:32" x14ac:dyDescent="0.25">
      <c r="P471" t="str">
        <v>EMP0468</v>
      </c>
      <c r="Q471" t="str">
        <v>William Brooks</v>
      </c>
      <c r="R471" t="str">
        <v>HR</v>
      </c>
      <c r="S471" t="str">
        <v>Recruiter</v>
      </c>
      <c r="T471" t="str">
        <v>Male</v>
      </c>
      <c r="U471">
        <v>57</v>
      </c>
      <c r="V471">
        <v>43254</v>
      </c>
      <c r="W471" t="str">
        <v>Full-Time</v>
      </c>
      <c r="X471">
        <v>51749.62</v>
      </c>
      <c r="Y471">
        <v>5</v>
      </c>
      <c r="Z471">
        <v>90.66</v>
      </c>
      <c r="AA471">
        <v>7</v>
      </c>
      <c r="AB471">
        <v>15</v>
      </c>
      <c r="AC471">
        <v>11</v>
      </c>
      <c r="AD471" t="str">
        <v>Monica Herrera</v>
      </c>
      <c r="AE471" t="str">
        <v>Active</v>
      </c>
      <c r="AF471">
        <v>620995.44000000006</v>
      </c>
    </row>
    <row r="472" spans="16:32" x14ac:dyDescent="0.25">
      <c r="P472" t="str">
        <v>EMP0469</v>
      </c>
      <c r="Q472" t="str">
        <v>Nicole Pham</v>
      </c>
      <c r="R472" t="str">
        <v>HR</v>
      </c>
      <c r="S472" t="str">
        <v>HR Manager</v>
      </c>
      <c r="T472" t="str">
        <v>Male</v>
      </c>
      <c r="U472">
        <v>41</v>
      </c>
      <c r="V472">
        <v>45715</v>
      </c>
      <c r="W472" t="str">
        <v>Part-Time</v>
      </c>
      <c r="X472">
        <v>116119.62</v>
      </c>
      <c r="Y472">
        <v>3</v>
      </c>
      <c r="Z472">
        <v>88.86</v>
      </c>
      <c r="AA472">
        <v>0</v>
      </c>
      <c r="AB472">
        <v>35</v>
      </c>
      <c r="AC472">
        <v>9</v>
      </c>
      <c r="AD472" t="str">
        <v>Abigail Shaffer</v>
      </c>
      <c r="AE472" t="str">
        <v>Active</v>
      </c>
      <c r="AF472">
        <v>1393435.44</v>
      </c>
    </row>
    <row r="473" spans="16:32" x14ac:dyDescent="0.25">
      <c r="P473" t="str">
        <v>EMP0470</v>
      </c>
      <c r="Q473" t="str">
        <v>Melanie Larson</v>
      </c>
      <c r="R473" t="str">
        <v>HR</v>
      </c>
      <c r="S473" t="str">
        <v>HR Officer</v>
      </c>
      <c r="T473" t="str">
        <v>Female</v>
      </c>
      <c r="U473">
        <v>59</v>
      </c>
      <c r="V473">
        <v>43660</v>
      </c>
      <c r="W473" t="str">
        <v>Contract</v>
      </c>
      <c r="X473">
        <v>81236.2</v>
      </c>
      <c r="Y473">
        <v>5</v>
      </c>
      <c r="Z473">
        <v>84.64</v>
      </c>
      <c r="AA473">
        <v>6</v>
      </c>
      <c r="AB473">
        <v>3</v>
      </c>
      <c r="AC473">
        <v>22</v>
      </c>
      <c r="AD473" t="str">
        <v>Angie Henderson</v>
      </c>
      <c r="AE473" t="str">
        <v>Active</v>
      </c>
      <c r="AF473">
        <v>974834.39999999991</v>
      </c>
    </row>
    <row r="474" spans="16:32" x14ac:dyDescent="0.25">
      <c r="P474" t="str">
        <v>EMP0471</v>
      </c>
      <c r="Q474" t="str">
        <v>Kelsey Cox</v>
      </c>
      <c r="R474" t="str">
        <v>R&amp;D</v>
      </c>
      <c r="S474" t="str">
        <v>Researcher</v>
      </c>
      <c r="T474" t="str">
        <v>Female</v>
      </c>
      <c r="U474">
        <v>44</v>
      </c>
      <c r="V474">
        <v>42811</v>
      </c>
      <c r="W474" t="str">
        <v>Full-Time</v>
      </c>
      <c r="X474">
        <v>105212.94</v>
      </c>
      <c r="Y474">
        <v>4</v>
      </c>
      <c r="Z474">
        <v>89.48</v>
      </c>
      <c r="AA474">
        <v>8</v>
      </c>
      <c r="AB474">
        <v>20</v>
      </c>
      <c r="AC474">
        <v>12</v>
      </c>
      <c r="AD474" t="str">
        <v>Gina Moore</v>
      </c>
      <c r="AE474" t="str">
        <v>Active</v>
      </c>
      <c r="AF474">
        <v>1262555.28</v>
      </c>
    </row>
    <row r="475" spans="16:32" x14ac:dyDescent="0.25">
      <c r="P475" t="str">
        <v>EMP0472</v>
      </c>
      <c r="Q475" t="str">
        <v>Ronald Leach</v>
      </c>
      <c r="R475" t="str">
        <v>Sales</v>
      </c>
      <c r="S475" t="str">
        <v>Sales Manager</v>
      </c>
      <c r="T475" t="str">
        <v>Female</v>
      </c>
      <c r="U475">
        <v>35</v>
      </c>
      <c r="V475">
        <v>45808</v>
      </c>
      <c r="W475" t="str">
        <v>Contract</v>
      </c>
      <c r="X475">
        <v>87133.91</v>
      </c>
      <c r="Y475">
        <v>2</v>
      </c>
      <c r="Z475">
        <v>95.16</v>
      </c>
      <c r="AA475">
        <v>0</v>
      </c>
      <c r="AB475">
        <v>8</v>
      </c>
      <c r="AC475">
        <v>11</v>
      </c>
      <c r="AD475" t="str">
        <v>Dylan Miller</v>
      </c>
      <c r="AE475" t="str">
        <v>Resigned</v>
      </c>
      <c r="AF475">
        <v>1045606.92</v>
      </c>
    </row>
    <row r="476" spans="16:32" x14ac:dyDescent="0.25">
      <c r="P476" t="str">
        <v>EMP0473</v>
      </c>
      <c r="Q476" t="str">
        <v>Brittany Murphy</v>
      </c>
      <c r="R476" t="str">
        <v>R&amp;D</v>
      </c>
      <c r="S476" t="str">
        <v>Product Developer</v>
      </c>
      <c r="T476" t="str">
        <v>Female</v>
      </c>
      <c r="U476">
        <v>36</v>
      </c>
      <c r="V476">
        <v>43559</v>
      </c>
      <c r="W476" t="str">
        <v>Part-Time</v>
      </c>
      <c r="X476">
        <v>60486.68</v>
      </c>
      <c r="Y476">
        <v>1</v>
      </c>
      <c r="Z476">
        <v>92.16</v>
      </c>
      <c r="AA476">
        <v>6</v>
      </c>
      <c r="AB476">
        <v>48</v>
      </c>
      <c r="AC476">
        <v>46</v>
      </c>
      <c r="AD476" t="str">
        <v>Monica Herrera</v>
      </c>
      <c r="AE476" t="str">
        <v>Active</v>
      </c>
      <c r="AF476">
        <v>725840.16</v>
      </c>
    </row>
    <row r="477" spans="16:32" x14ac:dyDescent="0.25">
      <c r="P477" t="str">
        <v>EMP0474</v>
      </c>
      <c r="Q477" t="str">
        <v>Michael Love</v>
      </c>
      <c r="R477" t="str">
        <v>Sales</v>
      </c>
      <c r="S477" t="str">
        <v>Account Executive</v>
      </c>
      <c r="T477" t="str">
        <v>Male</v>
      </c>
      <c r="U477">
        <v>49</v>
      </c>
      <c r="V477">
        <v>45536</v>
      </c>
      <c r="W477" t="str">
        <v>Part-Time</v>
      </c>
      <c r="X477">
        <v>102701.01</v>
      </c>
      <c r="Y477">
        <v>1</v>
      </c>
      <c r="Z477">
        <v>97.56</v>
      </c>
      <c r="AA477">
        <v>1</v>
      </c>
      <c r="AB477">
        <v>31</v>
      </c>
      <c r="AC477">
        <v>33</v>
      </c>
      <c r="AD477" t="str">
        <v>Derek Zuniga</v>
      </c>
      <c r="AE477" t="str">
        <v>Active</v>
      </c>
      <c r="AF477">
        <v>1232412.1199999999</v>
      </c>
    </row>
    <row r="478" spans="16:32" x14ac:dyDescent="0.25">
      <c r="P478" t="str">
        <v>EMP0475</v>
      </c>
      <c r="Q478" t="str">
        <v>Jordan Stokes</v>
      </c>
      <c r="R478" t="str">
        <v>Sales</v>
      </c>
      <c r="S478" t="str">
        <v>Account Executive</v>
      </c>
      <c r="T478" t="str">
        <v>Female</v>
      </c>
      <c r="U478">
        <v>54</v>
      </c>
      <c r="V478">
        <v>45340</v>
      </c>
      <c r="W478" t="str">
        <v>Contract</v>
      </c>
      <c r="X478">
        <v>116259.23</v>
      </c>
      <c r="Y478">
        <v>2</v>
      </c>
      <c r="Z478">
        <v>85.82</v>
      </c>
      <c r="AA478">
        <v>1</v>
      </c>
      <c r="AB478">
        <v>50</v>
      </c>
      <c r="AC478">
        <v>56</v>
      </c>
      <c r="AD478" t="str">
        <v>Ryan Munoz</v>
      </c>
      <c r="AE478" t="str">
        <v>Active</v>
      </c>
      <c r="AF478">
        <v>1395110.76</v>
      </c>
    </row>
    <row r="479" spans="16:32" x14ac:dyDescent="0.25">
      <c r="P479" t="str">
        <v>EMP0476</v>
      </c>
      <c r="Q479" t="str">
        <v>Jason Elliott</v>
      </c>
      <c r="R479" t="str">
        <v>Finance</v>
      </c>
      <c r="S479" t="str">
        <v>Financial Analyst</v>
      </c>
      <c r="T479" t="str">
        <v>Male</v>
      </c>
      <c r="U479">
        <v>48</v>
      </c>
      <c r="V479">
        <v>45120</v>
      </c>
      <c r="W479" t="str">
        <v>Part-Time</v>
      </c>
      <c r="X479">
        <v>81313.429999999993</v>
      </c>
      <c r="Y479">
        <v>1</v>
      </c>
      <c r="Z479">
        <v>93.8</v>
      </c>
      <c r="AA479">
        <v>2</v>
      </c>
      <c r="AB479">
        <v>18</v>
      </c>
      <c r="AC479">
        <v>29</v>
      </c>
      <c r="AD479" t="str">
        <v>Dylan Miller</v>
      </c>
      <c r="AE479" t="str">
        <v>Active</v>
      </c>
      <c r="AF479">
        <v>975761.15999999992</v>
      </c>
    </row>
    <row r="480" spans="16:32" x14ac:dyDescent="0.25">
      <c r="P480" t="str">
        <v>EMP0477</v>
      </c>
      <c r="Q480" t="str">
        <v>Robert Cummings</v>
      </c>
      <c r="R480" t="str">
        <v>Marketing</v>
      </c>
      <c r="S480" t="str">
        <v>Marketing Analyst</v>
      </c>
      <c r="T480" t="str">
        <v>Male</v>
      </c>
      <c r="U480">
        <v>46</v>
      </c>
      <c r="V480">
        <v>45775</v>
      </c>
      <c r="W480" t="str">
        <v>Part-Time</v>
      </c>
      <c r="X480">
        <v>52346.09</v>
      </c>
      <c r="Y480">
        <v>1</v>
      </c>
      <c r="Z480">
        <v>83.58</v>
      </c>
      <c r="AA480">
        <v>0</v>
      </c>
      <c r="AB480">
        <v>75</v>
      </c>
      <c r="AC480">
        <v>57</v>
      </c>
      <c r="AD480" t="str">
        <v>Abigail Shaffer</v>
      </c>
      <c r="AE480" t="str">
        <v>Resigned</v>
      </c>
      <c r="AF480">
        <v>628153.07999999996</v>
      </c>
    </row>
    <row r="481" spans="16:32" x14ac:dyDescent="0.25">
      <c r="P481" t="str">
        <v>EMP0478</v>
      </c>
      <c r="Q481" t="str">
        <v>Aaron Robinson</v>
      </c>
      <c r="R481" t="str">
        <v>Marketing</v>
      </c>
      <c r="S481" t="str">
        <v>Brand Manager</v>
      </c>
      <c r="T481" t="str">
        <v>Female</v>
      </c>
      <c r="U481">
        <v>31</v>
      </c>
      <c r="V481">
        <v>44763</v>
      </c>
      <c r="W481" t="str">
        <v>Contract</v>
      </c>
      <c r="X481">
        <v>93326.23</v>
      </c>
      <c r="Y481">
        <v>1</v>
      </c>
      <c r="Z481">
        <v>82.28</v>
      </c>
      <c r="AA481">
        <v>3</v>
      </c>
      <c r="AB481">
        <v>57</v>
      </c>
      <c r="AC481">
        <v>40</v>
      </c>
      <c r="AD481" t="str">
        <v>Jamie Arnold</v>
      </c>
      <c r="AE481" t="str">
        <v>Active</v>
      </c>
      <c r="AF481">
        <v>1119914.76</v>
      </c>
    </row>
    <row r="482" spans="16:32" x14ac:dyDescent="0.25">
      <c r="P482" t="str">
        <v>EMP0479</v>
      </c>
      <c r="Q482" t="str">
        <v>Gregory Brown</v>
      </c>
      <c r="R482" t="str">
        <v>Customer Support</v>
      </c>
      <c r="S482" t="str">
        <v>Support Agent</v>
      </c>
      <c r="T482" t="str">
        <v>Female</v>
      </c>
      <c r="U482">
        <v>56</v>
      </c>
      <c r="V482">
        <v>42756</v>
      </c>
      <c r="W482" t="str">
        <v>Part-Time</v>
      </c>
      <c r="X482">
        <v>24390.61</v>
      </c>
      <c r="Y482">
        <v>2</v>
      </c>
      <c r="Z482">
        <v>98.25</v>
      </c>
      <c r="AA482">
        <v>8</v>
      </c>
      <c r="AB482">
        <v>72</v>
      </c>
      <c r="AC482">
        <v>55</v>
      </c>
      <c r="AD482" t="str">
        <v>Cristian Santos</v>
      </c>
      <c r="AE482" t="str">
        <v>Active</v>
      </c>
      <c r="AF482">
        <v>292687.32</v>
      </c>
    </row>
    <row r="483" spans="16:32" x14ac:dyDescent="0.25">
      <c r="P483" t="str">
        <v>EMP0480</v>
      </c>
      <c r="Q483" t="str">
        <v>Andrea Peck</v>
      </c>
      <c r="R483" t="str">
        <v>HR</v>
      </c>
      <c r="S483" t="str">
        <v>HR Officer</v>
      </c>
      <c r="T483" t="str">
        <v>Male</v>
      </c>
      <c r="U483">
        <v>47</v>
      </c>
      <c r="V483">
        <v>42677</v>
      </c>
      <c r="W483" t="str">
        <v>Part-Time</v>
      </c>
      <c r="X483">
        <v>50951.83</v>
      </c>
      <c r="Y483">
        <v>4</v>
      </c>
      <c r="Z483">
        <v>85.78</v>
      </c>
      <c r="AA483">
        <v>9</v>
      </c>
      <c r="AB483">
        <v>23</v>
      </c>
      <c r="AC483">
        <v>7</v>
      </c>
      <c r="AD483" t="str">
        <v>Cristian Santos</v>
      </c>
      <c r="AE483" t="str">
        <v>Resigned</v>
      </c>
      <c r="AF483">
        <v>611421.96</v>
      </c>
    </row>
    <row r="484" spans="16:32" x14ac:dyDescent="0.25">
      <c r="P484" t="str">
        <v>EMP0481</v>
      </c>
      <c r="Q484" t="str">
        <v>Christopher Taylor</v>
      </c>
      <c r="R484" t="str">
        <v>Sales</v>
      </c>
      <c r="S484" t="str">
        <v>Account Executive</v>
      </c>
      <c r="T484" t="str">
        <v>Female</v>
      </c>
      <c r="U484">
        <v>21</v>
      </c>
      <c r="V484">
        <v>42500</v>
      </c>
      <c r="W484" t="str">
        <v>Part-Time</v>
      </c>
      <c r="X484">
        <v>69762.759999999995</v>
      </c>
      <c r="Y484">
        <v>4</v>
      </c>
      <c r="Z484">
        <v>90.87</v>
      </c>
      <c r="AA484">
        <v>9</v>
      </c>
      <c r="AB484">
        <v>0</v>
      </c>
      <c r="AC484">
        <v>38</v>
      </c>
      <c r="AD484" t="str">
        <v>Brian Ramirez</v>
      </c>
      <c r="AE484" t="str">
        <v>Active</v>
      </c>
      <c r="AF484">
        <v>837153.11999999988</v>
      </c>
    </row>
    <row r="485" spans="16:32" x14ac:dyDescent="0.25">
      <c r="P485" t="str">
        <v>EMP0482</v>
      </c>
      <c r="Q485" t="str">
        <v>Steven West</v>
      </c>
      <c r="R485" t="str">
        <v>R&amp;D</v>
      </c>
      <c r="S485" t="str">
        <v>Product Developer</v>
      </c>
      <c r="T485" t="str">
        <v>Female</v>
      </c>
      <c r="U485">
        <v>49</v>
      </c>
      <c r="V485">
        <v>44915</v>
      </c>
      <c r="W485" t="str">
        <v>Full-Time</v>
      </c>
      <c r="X485">
        <v>80121.66</v>
      </c>
      <c r="Y485">
        <v>1</v>
      </c>
      <c r="Z485">
        <v>84.89</v>
      </c>
      <c r="AA485">
        <v>3</v>
      </c>
      <c r="AB485">
        <v>70</v>
      </c>
      <c r="AC485">
        <v>17</v>
      </c>
      <c r="AD485" t="str">
        <v>Carla Gray</v>
      </c>
      <c r="AE485" t="str">
        <v>Active</v>
      </c>
      <c r="AF485">
        <v>961459.92</v>
      </c>
    </row>
    <row r="486" spans="16:32" x14ac:dyDescent="0.25">
      <c r="P486" t="str">
        <v>EMP0483</v>
      </c>
      <c r="Q486" t="str">
        <v>Michael Stanley</v>
      </c>
      <c r="R486" t="str">
        <v>IT</v>
      </c>
      <c r="S486" t="str">
        <v>IT Support</v>
      </c>
      <c r="T486" t="str">
        <v>Male</v>
      </c>
      <c r="U486">
        <v>30</v>
      </c>
      <c r="V486">
        <v>44648</v>
      </c>
      <c r="W486" t="str">
        <v>Full-Time</v>
      </c>
      <c r="X486">
        <v>85327.69</v>
      </c>
      <c r="Y486">
        <v>1</v>
      </c>
      <c r="Z486">
        <v>82.91</v>
      </c>
      <c r="AA486">
        <v>3</v>
      </c>
      <c r="AB486">
        <v>4</v>
      </c>
      <c r="AC486">
        <v>42</v>
      </c>
      <c r="AD486" t="str">
        <v>Lisa Jackson</v>
      </c>
      <c r="AE486" t="str">
        <v>Active</v>
      </c>
      <c r="AF486">
        <v>1023932.28</v>
      </c>
    </row>
    <row r="487" spans="16:32" x14ac:dyDescent="0.25">
      <c r="P487" t="str">
        <v>EMP0484</v>
      </c>
      <c r="Q487" t="str">
        <v>Scott Wilson</v>
      </c>
      <c r="R487" t="str">
        <v>Finance</v>
      </c>
      <c r="S487" t="str">
        <v>Financial Analyst</v>
      </c>
      <c r="T487" t="str">
        <v>Male</v>
      </c>
      <c r="U487">
        <v>24</v>
      </c>
      <c r="V487">
        <v>45654</v>
      </c>
      <c r="W487" t="str">
        <v>Full-Time</v>
      </c>
      <c r="X487">
        <v>61695.69</v>
      </c>
      <c r="Y487">
        <v>2</v>
      </c>
      <c r="Z487">
        <v>83.23</v>
      </c>
      <c r="AA487">
        <v>1</v>
      </c>
      <c r="AB487">
        <v>36</v>
      </c>
      <c r="AC487">
        <v>39</v>
      </c>
      <c r="AD487" t="str">
        <v>Carla Gray</v>
      </c>
      <c r="AE487" t="str">
        <v>Active</v>
      </c>
      <c r="AF487">
        <v>740348.28</v>
      </c>
    </row>
    <row r="488" spans="16:32" x14ac:dyDescent="0.25">
      <c r="P488" t="str">
        <v>EMP0485</v>
      </c>
      <c r="Q488" t="str">
        <v>Cameron Irwin</v>
      </c>
      <c r="R488" t="str">
        <v>HR</v>
      </c>
      <c r="S488" t="str">
        <v>Recruiter</v>
      </c>
      <c r="T488" t="str">
        <v>Female</v>
      </c>
      <c r="U488">
        <v>23</v>
      </c>
      <c r="V488">
        <v>45641</v>
      </c>
      <c r="W488" t="str">
        <v>Full-Time</v>
      </c>
      <c r="X488">
        <v>96851.199999999997</v>
      </c>
      <c r="Y488">
        <v>3</v>
      </c>
      <c r="Z488">
        <v>87.37</v>
      </c>
      <c r="AA488">
        <v>1</v>
      </c>
      <c r="AB488">
        <v>48</v>
      </c>
      <c r="AC488">
        <v>52</v>
      </c>
      <c r="AD488" t="str">
        <v>Angie Henderson</v>
      </c>
      <c r="AE488" t="str">
        <v>Active</v>
      </c>
      <c r="AF488">
        <v>1162214.3999999999</v>
      </c>
    </row>
    <row r="489" spans="16:32" x14ac:dyDescent="0.25">
      <c r="P489" t="str">
        <v>EMP0486</v>
      </c>
      <c r="Q489" t="str">
        <v>Veronica Ford</v>
      </c>
      <c r="R489" t="str">
        <v>Marketing</v>
      </c>
      <c r="S489" t="str">
        <v>Brand Manager</v>
      </c>
      <c r="T489" t="str">
        <v>Female</v>
      </c>
      <c r="U489">
        <v>29</v>
      </c>
      <c r="V489">
        <v>42324</v>
      </c>
      <c r="W489" t="str">
        <v>Full-Time</v>
      </c>
      <c r="X489">
        <v>89461.94</v>
      </c>
      <c r="Y489">
        <v>3</v>
      </c>
      <c r="Z489">
        <v>86.58</v>
      </c>
      <c r="AA489">
        <v>10</v>
      </c>
      <c r="AB489">
        <v>52</v>
      </c>
      <c r="AC489">
        <v>33</v>
      </c>
      <c r="AD489" t="str">
        <v>Abigail Shaffer</v>
      </c>
      <c r="AE489" t="str">
        <v>Active</v>
      </c>
      <c r="AF489">
        <v>1073543.28</v>
      </c>
    </row>
    <row r="490" spans="16:32" x14ac:dyDescent="0.25">
      <c r="P490" t="str">
        <v>EMP0487</v>
      </c>
      <c r="Q490" t="str">
        <v>James Hall</v>
      </c>
      <c r="R490" t="str">
        <v>Sales</v>
      </c>
      <c r="S490" t="str">
        <v>Sales Rep</v>
      </c>
      <c r="T490" t="str">
        <v>Male</v>
      </c>
      <c r="U490">
        <v>51</v>
      </c>
      <c r="V490">
        <v>45686</v>
      </c>
      <c r="W490" t="str">
        <v>Contract</v>
      </c>
      <c r="X490">
        <v>88865.43</v>
      </c>
      <c r="Y490">
        <v>3</v>
      </c>
      <c r="Z490">
        <v>88.54</v>
      </c>
      <c r="AA490">
        <v>0</v>
      </c>
      <c r="AB490">
        <v>40</v>
      </c>
      <c r="AC490">
        <v>16</v>
      </c>
      <c r="AD490" t="str">
        <v>Holly Wood</v>
      </c>
      <c r="AE490" t="str">
        <v>Active</v>
      </c>
      <c r="AF490">
        <v>1066385.1599999999</v>
      </c>
    </row>
    <row r="491" spans="16:32" x14ac:dyDescent="0.25">
      <c r="P491" t="str">
        <v>EMP0488</v>
      </c>
      <c r="Q491" t="str">
        <v>Donald Pineda</v>
      </c>
      <c r="R491" t="str">
        <v>Operations</v>
      </c>
      <c r="S491" t="str">
        <v>Operations Associate</v>
      </c>
      <c r="T491" t="str">
        <v>Female</v>
      </c>
      <c r="U491">
        <v>54</v>
      </c>
      <c r="V491">
        <v>45165</v>
      </c>
      <c r="W491" t="str">
        <v>Contract</v>
      </c>
      <c r="X491">
        <v>83185.759999999995</v>
      </c>
      <c r="Y491">
        <v>4</v>
      </c>
      <c r="Z491">
        <v>96.16</v>
      </c>
      <c r="AA491">
        <v>2</v>
      </c>
      <c r="AB491">
        <v>78</v>
      </c>
      <c r="AC491">
        <v>14</v>
      </c>
      <c r="AD491" t="str">
        <v>Ryan Munoz</v>
      </c>
      <c r="AE491" t="str">
        <v>Resigned</v>
      </c>
      <c r="AF491">
        <v>998229.11999999988</v>
      </c>
    </row>
    <row r="492" spans="16:32" x14ac:dyDescent="0.25">
      <c r="P492" t="str">
        <v>EMP0489</v>
      </c>
      <c r="Q492" t="str">
        <v>Matthew Mendez</v>
      </c>
      <c r="R492" t="str">
        <v>Sales</v>
      </c>
      <c r="S492" t="str">
        <v>Sales Rep</v>
      </c>
      <c r="T492" t="str">
        <v>Male</v>
      </c>
      <c r="U492">
        <v>50</v>
      </c>
      <c r="V492">
        <v>43004</v>
      </c>
      <c r="W492" t="str">
        <v>Contract</v>
      </c>
      <c r="X492">
        <v>99673.26</v>
      </c>
      <c r="Y492">
        <v>2</v>
      </c>
      <c r="Z492">
        <v>95.99</v>
      </c>
      <c r="AA492">
        <v>8</v>
      </c>
      <c r="AB492">
        <v>53</v>
      </c>
      <c r="AC492">
        <v>26</v>
      </c>
      <c r="AD492" t="str">
        <v>Noah Rhodes</v>
      </c>
      <c r="AE492" t="str">
        <v>Active</v>
      </c>
      <c r="AF492">
        <v>1196079.1199999999</v>
      </c>
    </row>
    <row r="493" spans="16:32" x14ac:dyDescent="0.25">
      <c r="P493" t="str">
        <v>EMP0490</v>
      </c>
      <c r="Q493" t="str">
        <v>Austin Wheeler</v>
      </c>
      <c r="R493" t="str">
        <v>IT</v>
      </c>
      <c r="S493" t="str">
        <v>IT Support</v>
      </c>
      <c r="T493" t="str">
        <v>Male</v>
      </c>
      <c r="U493">
        <v>39</v>
      </c>
      <c r="V493">
        <v>42400</v>
      </c>
      <c r="W493" t="str">
        <v>Part-Time</v>
      </c>
      <c r="X493">
        <v>99019.55</v>
      </c>
      <c r="Y493">
        <v>3</v>
      </c>
      <c r="Z493">
        <v>86.01</v>
      </c>
      <c r="AA493">
        <v>9</v>
      </c>
      <c r="AB493">
        <v>70</v>
      </c>
      <c r="AC493">
        <v>20</v>
      </c>
      <c r="AD493" t="str">
        <v>Allison Hill</v>
      </c>
      <c r="AE493" t="str">
        <v>Active</v>
      </c>
      <c r="AF493">
        <v>1188234.6000000001</v>
      </c>
    </row>
    <row r="494" spans="16:32" x14ac:dyDescent="0.25">
      <c r="P494" t="str">
        <v>EMP0491</v>
      </c>
      <c r="Q494" t="str">
        <v>Michele Williams</v>
      </c>
      <c r="R494" t="str">
        <v>Operations</v>
      </c>
      <c r="S494" t="str">
        <v>Operations Manager</v>
      </c>
      <c r="T494" t="str">
        <v>Female</v>
      </c>
      <c r="U494">
        <v>57</v>
      </c>
      <c r="V494">
        <v>45077</v>
      </c>
      <c r="W494" t="str">
        <v>Contract</v>
      </c>
      <c r="X494">
        <v>116011.28</v>
      </c>
      <c r="Y494">
        <v>2</v>
      </c>
      <c r="Z494">
        <v>83.88</v>
      </c>
      <c r="AA494">
        <v>2</v>
      </c>
      <c r="AB494">
        <v>43</v>
      </c>
      <c r="AC494">
        <v>59</v>
      </c>
      <c r="AD494" t="str">
        <v>Brian Ramirez</v>
      </c>
      <c r="AE494" t="str">
        <v>Resigned</v>
      </c>
      <c r="AF494">
        <v>1392135.3599999999</v>
      </c>
    </row>
    <row r="495" spans="16:32" x14ac:dyDescent="0.25">
      <c r="P495" t="str">
        <v>EMP0492</v>
      </c>
      <c r="Q495" t="str">
        <v>David Robinson</v>
      </c>
      <c r="R495" t="str">
        <v>Sales</v>
      </c>
      <c r="S495" t="str">
        <v>Account Executive</v>
      </c>
      <c r="T495" t="str">
        <v>Male</v>
      </c>
      <c r="U495">
        <v>51</v>
      </c>
      <c r="V495">
        <v>42577</v>
      </c>
      <c r="W495" t="str">
        <v>Full-Time</v>
      </c>
      <c r="X495">
        <v>82720.05</v>
      </c>
      <c r="Y495">
        <v>5</v>
      </c>
      <c r="Z495">
        <v>97.92</v>
      </c>
      <c r="AA495">
        <v>9</v>
      </c>
      <c r="AB495">
        <v>59</v>
      </c>
      <c r="AC495">
        <v>50</v>
      </c>
      <c r="AD495" t="str">
        <v>Michele Williams</v>
      </c>
      <c r="AE495" t="str">
        <v>Resigned</v>
      </c>
      <c r="AF495">
        <v>992640.60000000009</v>
      </c>
    </row>
    <row r="496" spans="16:32" x14ac:dyDescent="0.25">
      <c r="P496" t="str">
        <v>EMP0493</v>
      </c>
      <c r="Q496" t="str">
        <v>Wyatt Young</v>
      </c>
      <c r="R496" t="str">
        <v>Sales</v>
      </c>
      <c r="S496" t="str">
        <v>Account Executive</v>
      </c>
      <c r="T496" t="str">
        <v>Female</v>
      </c>
      <c r="U496">
        <v>57</v>
      </c>
      <c r="V496">
        <v>42653</v>
      </c>
      <c r="W496" t="str">
        <v>Contract</v>
      </c>
      <c r="X496">
        <v>87819.76</v>
      </c>
      <c r="Y496">
        <v>5</v>
      </c>
      <c r="Z496">
        <v>90.72</v>
      </c>
      <c r="AA496">
        <v>9</v>
      </c>
      <c r="AB496">
        <v>26</v>
      </c>
      <c r="AC496">
        <v>36</v>
      </c>
      <c r="AD496" t="str">
        <v>Monica Herrera</v>
      </c>
      <c r="AE496" t="str">
        <v>Active</v>
      </c>
      <c r="AF496">
        <v>1053837.1199999999</v>
      </c>
    </row>
    <row r="497" spans="16:32" x14ac:dyDescent="0.25">
      <c r="P497" t="str">
        <v>EMP0494</v>
      </c>
      <c r="Q497" t="str">
        <v>Kyle Chambers</v>
      </c>
      <c r="R497" t="str">
        <v>Operations</v>
      </c>
      <c r="S497" t="str">
        <v>Operations Associate</v>
      </c>
      <c r="T497" t="str">
        <v>Male</v>
      </c>
      <c r="U497">
        <v>38</v>
      </c>
      <c r="V497">
        <v>45882</v>
      </c>
      <c r="W497" t="str">
        <v>Full-Time</v>
      </c>
      <c r="X497">
        <v>53915.24</v>
      </c>
      <c r="Y497">
        <v>4</v>
      </c>
      <c r="Z497">
        <v>92.53</v>
      </c>
      <c r="AA497">
        <v>0</v>
      </c>
      <c r="AB497">
        <v>21</v>
      </c>
      <c r="AC497">
        <v>36</v>
      </c>
      <c r="AD497" t="str">
        <v>Carla Gray</v>
      </c>
      <c r="AE497" t="str">
        <v>Active</v>
      </c>
      <c r="AF497">
        <v>646982.88</v>
      </c>
    </row>
    <row r="498" spans="16:32" x14ac:dyDescent="0.25">
      <c r="P498" t="str">
        <v>EMP0495</v>
      </c>
      <c r="Q498" t="str">
        <v>Shawn Odom</v>
      </c>
      <c r="R498" t="str">
        <v>Marketing</v>
      </c>
      <c r="S498" t="str">
        <v>Brand Manager</v>
      </c>
      <c r="T498" t="str">
        <v>Female</v>
      </c>
      <c r="U498">
        <v>23</v>
      </c>
      <c r="V498">
        <v>44295</v>
      </c>
      <c r="W498" t="str">
        <v>Part-Time</v>
      </c>
      <c r="X498">
        <v>61386.96</v>
      </c>
      <c r="Y498">
        <v>4</v>
      </c>
      <c r="Z498">
        <v>97.54</v>
      </c>
      <c r="AA498">
        <v>4</v>
      </c>
      <c r="AB498">
        <v>47</v>
      </c>
      <c r="AC498">
        <v>28</v>
      </c>
      <c r="AD498" t="str">
        <v>Ryan Munoz</v>
      </c>
      <c r="AE498" t="str">
        <v>Active</v>
      </c>
      <c r="AF498">
        <v>736643.52</v>
      </c>
    </row>
    <row r="499" spans="16:32" x14ac:dyDescent="0.25">
      <c r="P499" t="str">
        <v>EMP0496</v>
      </c>
      <c r="Q499" t="str">
        <v>Eric Brown</v>
      </c>
      <c r="R499" t="str">
        <v>Finance</v>
      </c>
      <c r="S499" t="str">
        <v>Accountant</v>
      </c>
      <c r="T499" t="str">
        <v>Male</v>
      </c>
      <c r="U499">
        <v>44</v>
      </c>
      <c r="V499">
        <v>45541</v>
      </c>
      <c r="W499" t="str">
        <v>Full-Time</v>
      </c>
      <c r="X499">
        <v>97779.04</v>
      </c>
      <c r="Y499">
        <v>1</v>
      </c>
      <c r="Z499">
        <v>88.88</v>
      </c>
      <c r="AA499">
        <v>1</v>
      </c>
      <c r="AB499">
        <v>3</v>
      </c>
      <c r="AC499">
        <v>51</v>
      </c>
      <c r="AD499" t="str">
        <v>Brian Ramirez</v>
      </c>
      <c r="AE499" t="str">
        <v>Resigned</v>
      </c>
      <c r="AF499">
        <v>1173348.48</v>
      </c>
    </row>
    <row r="500" spans="16:32" x14ac:dyDescent="0.25">
      <c r="P500" t="str">
        <v>EMP0497</v>
      </c>
      <c r="Q500" t="str">
        <v>Jessica Simpson</v>
      </c>
      <c r="R500" t="str">
        <v>HR</v>
      </c>
      <c r="S500" t="str">
        <v>HR Officer</v>
      </c>
      <c r="T500" t="str">
        <v>Female</v>
      </c>
      <c r="U500">
        <v>51</v>
      </c>
      <c r="V500">
        <v>43391</v>
      </c>
      <c r="W500" t="str">
        <v>Contract</v>
      </c>
      <c r="X500">
        <v>107387.91</v>
      </c>
      <c r="Y500">
        <v>3</v>
      </c>
      <c r="Z500">
        <v>95.51</v>
      </c>
      <c r="AA500">
        <v>7</v>
      </c>
      <c r="AB500">
        <v>18</v>
      </c>
      <c r="AC500">
        <v>49</v>
      </c>
      <c r="AD500" t="str">
        <v>Daniel Wagner</v>
      </c>
      <c r="AE500" t="str">
        <v>Active</v>
      </c>
      <c r="AF500">
        <v>1288654.92</v>
      </c>
    </row>
    <row r="501" spans="16:32" x14ac:dyDescent="0.25">
      <c r="P501" t="str">
        <v>EMP0498</v>
      </c>
      <c r="Q501" t="str">
        <v>Megan Floyd</v>
      </c>
      <c r="R501" t="str">
        <v>HR</v>
      </c>
      <c r="S501" t="str">
        <v>HR Officer</v>
      </c>
      <c r="T501" t="str">
        <v>Male</v>
      </c>
      <c r="U501">
        <v>50</v>
      </c>
      <c r="V501">
        <v>44443</v>
      </c>
      <c r="W501" t="str">
        <v>Part-Time</v>
      </c>
      <c r="X501">
        <v>91367.74</v>
      </c>
      <c r="Y501">
        <v>5</v>
      </c>
      <c r="Z501">
        <v>82.32</v>
      </c>
      <c r="AA501">
        <v>4</v>
      </c>
      <c r="AB501">
        <v>39</v>
      </c>
      <c r="AC501">
        <v>59</v>
      </c>
      <c r="AD501" t="str">
        <v>Noah Rhodes</v>
      </c>
      <c r="AE501" t="str">
        <v>Active</v>
      </c>
      <c r="AF501">
        <v>1096412.8800000001</v>
      </c>
    </row>
    <row r="502" spans="16:32" x14ac:dyDescent="0.25">
      <c r="P502" t="str">
        <v>EMP0499</v>
      </c>
      <c r="Q502" t="str">
        <v>Jennifer Evans</v>
      </c>
      <c r="R502" t="str">
        <v>Marketing</v>
      </c>
      <c r="S502" t="str">
        <v>Brand Manager</v>
      </c>
      <c r="T502" t="str">
        <v>Female</v>
      </c>
      <c r="U502">
        <v>23</v>
      </c>
      <c r="V502">
        <v>44283</v>
      </c>
      <c r="W502" t="str">
        <v>Full-Time</v>
      </c>
      <c r="X502">
        <v>72057.77</v>
      </c>
      <c r="Y502">
        <v>3</v>
      </c>
      <c r="Z502">
        <v>80.45</v>
      </c>
      <c r="AA502">
        <v>4</v>
      </c>
      <c r="AB502">
        <v>39</v>
      </c>
      <c r="AC502">
        <v>40</v>
      </c>
      <c r="AD502" t="str">
        <v>Abigail Shaffer</v>
      </c>
      <c r="AE502" t="str">
        <v>Active</v>
      </c>
      <c r="AF502">
        <v>864693.24</v>
      </c>
    </row>
    <row r="503" spans="16:32" x14ac:dyDescent="0.25">
      <c r="P503" t="str">
        <v>EMP0500</v>
      </c>
      <c r="Q503" t="str">
        <v>Kara Atkinson</v>
      </c>
      <c r="R503" t="str">
        <v>IT</v>
      </c>
      <c r="S503" t="str">
        <v>Software Engineer</v>
      </c>
      <c r="T503" t="str">
        <v>Female</v>
      </c>
      <c r="U503">
        <v>55</v>
      </c>
      <c r="V503">
        <v>43445</v>
      </c>
      <c r="W503" t="str">
        <v>Part-Time</v>
      </c>
      <c r="X503">
        <v>97278.71</v>
      </c>
      <c r="Y503">
        <v>1</v>
      </c>
      <c r="Z503">
        <v>85.45</v>
      </c>
      <c r="AA503">
        <v>7</v>
      </c>
      <c r="AB503">
        <v>20</v>
      </c>
      <c r="AC503">
        <v>17</v>
      </c>
      <c r="AD503" t="str">
        <v>Daniel Wagner</v>
      </c>
      <c r="AE503" t="str">
        <v>Active</v>
      </c>
      <c r="AF503">
        <v>1167344.52</v>
      </c>
    </row>
    <row r="504" spans="16:32" x14ac:dyDescent="0.25">
      <c r="P504" t="str">
        <v>EMP0501</v>
      </c>
      <c r="Q504" t="str">
        <v>Brianna Ford</v>
      </c>
      <c r="R504" t="str">
        <v>Marketing</v>
      </c>
      <c r="S504" t="str">
        <v>Marketing Analyst</v>
      </c>
      <c r="T504" t="str">
        <v>Female</v>
      </c>
      <c r="U504">
        <v>56</v>
      </c>
      <c r="V504">
        <v>44171</v>
      </c>
      <c r="W504" t="str">
        <v>Part-Time</v>
      </c>
      <c r="X504">
        <v>47105.21</v>
      </c>
      <c r="Y504">
        <v>3</v>
      </c>
      <c r="Z504">
        <v>91.48</v>
      </c>
      <c r="AA504">
        <v>5</v>
      </c>
      <c r="AB504">
        <v>21</v>
      </c>
      <c r="AC504">
        <v>4</v>
      </c>
      <c r="AD504" t="str">
        <v>Ryan Munoz</v>
      </c>
      <c r="AE504" t="str">
        <v>Active</v>
      </c>
      <c r="AF504">
        <v>565262.52</v>
      </c>
    </row>
    <row r="505" spans="16:32" x14ac:dyDescent="0.25">
      <c r="P505" t="str">
        <v>EMP0502</v>
      </c>
      <c r="Q505" t="str">
        <v>Tracy Grant</v>
      </c>
      <c r="R505" t="str">
        <v>Operations</v>
      </c>
      <c r="S505" t="str">
        <v>Operations Manager</v>
      </c>
      <c r="T505" t="str">
        <v>Male</v>
      </c>
      <c r="U505">
        <v>29</v>
      </c>
      <c r="V505">
        <v>42661</v>
      </c>
      <c r="W505" t="str">
        <v>Full-Time</v>
      </c>
      <c r="X505">
        <v>67073.56</v>
      </c>
      <c r="Y505">
        <v>1</v>
      </c>
      <c r="Z505">
        <v>82.12</v>
      </c>
      <c r="AA505">
        <v>9</v>
      </c>
      <c r="AB505">
        <v>6</v>
      </c>
      <c r="AC505">
        <v>5</v>
      </c>
      <c r="AD505" t="str">
        <v>Michele Williams</v>
      </c>
      <c r="AE505" t="str">
        <v>Active</v>
      </c>
      <c r="AF505">
        <v>804882.72</v>
      </c>
    </row>
    <row r="506" spans="16:32" x14ac:dyDescent="0.25">
      <c r="P506" t="str">
        <v>EMP0503</v>
      </c>
      <c r="Q506" t="str">
        <v>David Rivera</v>
      </c>
      <c r="R506" t="str">
        <v>R&amp;D</v>
      </c>
      <c r="S506" t="str">
        <v>Product Developer</v>
      </c>
      <c r="T506" t="str">
        <v>Female</v>
      </c>
      <c r="U506">
        <v>42</v>
      </c>
      <c r="V506">
        <v>43136</v>
      </c>
      <c r="W506" t="str">
        <v>Full-Time</v>
      </c>
      <c r="X506">
        <v>91289.87</v>
      </c>
      <c r="Y506">
        <v>5</v>
      </c>
      <c r="Z506">
        <v>81.569999999999993</v>
      </c>
      <c r="AA506">
        <v>7</v>
      </c>
      <c r="AB506">
        <v>59</v>
      </c>
      <c r="AC506">
        <v>36</v>
      </c>
      <c r="AD506" t="str">
        <v>Cristian Santos</v>
      </c>
      <c r="AE506" t="str">
        <v>Active</v>
      </c>
      <c r="AF506">
        <v>1095478.44</v>
      </c>
    </row>
    <row r="507" spans="16:32" x14ac:dyDescent="0.25">
      <c r="P507" t="str">
        <v>EMP0504</v>
      </c>
      <c r="Q507" t="str">
        <v>Sarah Davis</v>
      </c>
      <c r="R507" t="str">
        <v>R&amp;D</v>
      </c>
      <c r="S507" t="str">
        <v>Researcher</v>
      </c>
      <c r="T507" t="str">
        <v>Female</v>
      </c>
      <c r="U507">
        <v>40</v>
      </c>
      <c r="V507">
        <v>42794</v>
      </c>
      <c r="W507" t="str">
        <v>Contract</v>
      </c>
      <c r="X507">
        <v>84441.86</v>
      </c>
      <c r="Y507">
        <v>4</v>
      </c>
      <c r="Z507">
        <v>89.41</v>
      </c>
      <c r="AA507">
        <v>8</v>
      </c>
      <c r="AB507">
        <v>28</v>
      </c>
      <c r="AC507">
        <v>9</v>
      </c>
      <c r="AD507" t="str">
        <v>Carla Gray</v>
      </c>
      <c r="AE507" t="str">
        <v>Active</v>
      </c>
      <c r="AF507">
        <v>1013302.3200000001</v>
      </c>
    </row>
    <row r="508" spans="16:32" x14ac:dyDescent="0.25">
      <c r="P508" t="str">
        <v>EMP0505</v>
      </c>
      <c r="Q508" t="str">
        <v>James Jacobs</v>
      </c>
      <c r="R508" t="str">
        <v>Operations</v>
      </c>
      <c r="S508" t="str">
        <v>Operations Manager</v>
      </c>
      <c r="T508" t="str">
        <v>Male</v>
      </c>
      <c r="U508">
        <v>42</v>
      </c>
      <c r="V508">
        <v>43486</v>
      </c>
      <c r="W508" t="str">
        <v>Part-Time</v>
      </c>
      <c r="X508">
        <v>65328.31</v>
      </c>
      <c r="Y508">
        <v>1</v>
      </c>
      <c r="Z508">
        <v>81.31</v>
      </c>
      <c r="AA508">
        <v>6</v>
      </c>
      <c r="AB508">
        <v>14</v>
      </c>
      <c r="AC508">
        <v>22</v>
      </c>
      <c r="AD508" t="str">
        <v>Brian Ramirez</v>
      </c>
      <c r="AE508" t="str">
        <v>Active</v>
      </c>
      <c r="AF508">
        <v>783939.72</v>
      </c>
    </row>
    <row r="509" spans="16:32" x14ac:dyDescent="0.25">
      <c r="P509" t="str">
        <v>EMP0506</v>
      </c>
      <c r="Q509" t="str">
        <v>Chelsea Gill</v>
      </c>
      <c r="R509" t="str">
        <v>HR</v>
      </c>
      <c r="S509" t="str">
        <v>Recruiter</v>
      </c>
      <c r="T509" t="str">
        <v>Female</v>
      </c>
      <c r="U509">
        <v>59</v>
      </c>
      <c r="V509">
        <v>42548</v>
      </c>
      <c r="W509" t="str">
        <v>Contract</v>
      </c>
      <c r="X509">
        <v>32739.4</v>
      </c>
      <c r="Y509">
        <v>1</v>
      </c>
      <c r="Z509">
        <v>88.11</v>
      </c>
      <c r="AA509">
        <v>9</v>
      </c>
      <c r="AB509">
        <v>13</v>
      </c>
      <c r="AC509">
        <v>20</v>
      </c>
      <c r="AD509" t="str">
        <v>Derek Zuniga</v>
      </c>
      <c r="AE509" t="str">
        <v>Active</v>
      </c>
      <c r="AF509">
        <v>392872.80000000005</v>
      </c>
    </row>
    <row r="510" spans="16:32" x14ac:dyDescent="0.25">
      <c r="P510" t="str">
        <v>EMP0507</v>
      </c>
      <c r="Q510" t="str">
        <v>Daniel Meadows</v>
      </c>
      <c r="R510" t="str">
        <v>Finance</v>
      </c>
      <c r="S510" t="str">
        <v>Finance Manager</v>
      </c>
      <c r="T510" t="str">
        <v>Female</v>
      </c>
      <c r="U510">
        <v>46</v>
      </c>
      <c r="V510">
        <v>45775</v>
      </c>
      <c r="W510" t="str">
        <v>Contract</v>
      </c>
      <c r="X510">
        <v>61344.19</v>
      </c>
      <c r="Y510">
        <v>5</v>
      </c>
      <c r="Z510">
        <v>84.87</v>
      </c>
      <c r="AA510">
        <v>0</v>
      </c>
      <c r="AB510">
        <v>20</v>
      </c>
      <c r="AC510">
        <v>30</v>
      </c>
      <c r="AD510" t="str">
        <v>Lisa Hensley</v>
      </c>
      <c r="AE510" t="str">
        <v>Active</v>
      </c>
      <c r="AF510">
        <v>736130.28</v>
      </c>
    </row>
    <row r="511" spans="16:32" x14ac:dyDescent="0.25">
      <c r="P511" t="str">
        <v>EMP0508</v>
      </c>
      <c r="Q511" t="str">
        <v>Alexis Giles</v>
      </c>
      <c r="R511" t="str">
        <v>IT</v>
      </c>
      <c r="S511" t="str">
        <v>Data Analyst</v>
      </c>
      <c r="T511" t="str">
        <v>Female</v>
      </c>
      <c r="U511">
        <v>48</v>
      </c>
      <c r="V511">
        <v>44186</v>
      </c>
      <c r="W511" t="str">
        <v>Contract</v>
      </c>
      <c r="X511">
        <v>98732.68</v>
      </c>
      <c r="Y511">
        <v>5</v>
      </c>
      <c r="Z511">
        <v>93.88</v>
      </c>
      <c r="AA511">
        <v>5</v>
      </c>
      <c r="AB511">
        <v>22</v>
      </c>
      <c r="AC511">
        <v>42</v>
      </c>
      <c r="AD511" t="str">
        <v>Angie Henderson</v>
      </c>
      <c r="AE511" t="str">
        <v>Active</v>
      </c>
      <c r="AF511">
        <v>1184792.1599999999</v>
      </c>
    </row>
    <row r="512" spans="16:32" x14ac:dyDescent="0.25">
      <c r="P512" t="str">
        <v>EMP0509</v>
      </c>
      <c r="Q512" t="str">
        <v>Nicole Rocha</v>
      </c>
      <c r="R512" t="str">
        <v>R&amp;D</v>
      </c>
      <c r="S512" t="str">
        <v>Researcher</v>
      </c>
      <c r="T512" t="str">
        <v>Female</v>
      </c>
      <c r="U512">
        <v>41</v>
      </c>
      <c r="V512">
        <v>43031</v>
      </c>
      <c r="W512" t="str">
        <v>Contract</v>
      </c>
      <c r="X512">
        <v>29765.39</v>
      </c>
      <c r="Y512">
        <v>4</v>
      </c>
      <c r="Z512">
        <v>83.52</v>
      </c>
      <c r="AA512">
        <v>8</v>
      </c>
      <c r="AB512">
        <v>51</v>
      </c>
      <c r="AC512">
        <v>4</v>
      </c>
      <c r="AD512" t="str">
        <v>Carla Gray</v>
      </c>
      <c r="AE512" t="str">
        <v>Active</v>
      </c>
      <c r="AF512">
        <v>357184.68</v>
      </c>
    </row>
    <row r="513" spans="16:32" x14ac:dyDescent="0.25">
      <c r="P513" t="str">
        <v>EMP0510</v>
      </c>
      <c r="Q513" t="str">
        <v>David Morris</v>
      </c>
      <c r="R513" t="str">
        <v>Customer Support</v>
      </c>
      <c r="S513" t="str">
        <v>Team Lead</v>
      </c>
      <c r="T513" t="str">
        <v>Female</v>
      </c>
      <c r="U513">
        <v>24</v>
      </c>
      <c r="V513">
        <v>43573</v>
      </c>
      <c r="W513" t="str">
        <v>Full-Time</v>
      </c>
      <c r="X513">
        <v>41761.18</v>
      </c>
      <c r="Y513">
        <v>2</v>
      </c>
      <c r="Z513">
        <v>97.75</v>
      </c>
      <c r="AA513">
        <v>6</v>
      </c>
      <c r="AB513">
        <v>0</v>
      </c>
      <c r="AC513">
        <v>48</v>
      </c>
      <c r="AD513" t="str">
        <v>Cristian Santos</v>
      </c>
      <c r="AE513" t="str">
        <v>Active</v>
      </c>
      <c r="AF513">
        <v>501134.16000000003</v>
      </c>
    </row>
    <row r="514" spans="16:32" x14ac:dyDescent="0.25">
      <c r="P514" t="str">
        <v>EMP0511</v>
      </c>
      <c r="Q514" t="str">
        <v>Joseph Howard</v>
      </c>
      <c r="R514" t="str">
        <v>R&amp;D</v>
      </c>
      <c r="S514" t="str">
        <v>Product Developer</v>
      </c>
      <c r="T514" t="str">
        <v>Female</v>
      </c>
      <c r="U514">
        <v>60</v>
      </c>
      <c r="V514">
        <v>44061</v>
      </c>
      <c r="W514" t="str">
        <v>Contract</v>
      </c>
      <c r="X514">
        <v>64715.98</v>
      </c>
      <c r="Y514">
        <v>2</v>
      </c>
      <c r="Z514">
        <v>93.63</v>
      </c>
      <c r="AA514">
        <v>5</v>
      </c>
      <c r="AB514">
        <v>40</v>
      </c>
      <c r="AC514">
        <v>19</v>
      </c>
      <c r="AD514" t="str">
        <v>Lisa Jackson</v>
      </c>
      <c r="AE514" t="str">
        <v>Active</v>
      </c>
      <c r="AF514">
        <v>776591.76</v>
      </c>
    </row>
    <row r="515" spans="16:32" x14ac:dyDescent="0.25">
      <c r="P515" t="str">
        <v>EMP0512</v>
      </c>
      <c r="Q515" t="str">
        <v>Stephen Owens</v>
      </c>
      <c r="R515" t="str">
        <v>Finance</v>
      </c>
      <c r="S515" t="str">
        <v>Financial Analyst</v>
      </c>
      <c r="T515" t="str">
        <v>Female</v>
      </c>
      <c r="U515">
        <v>26</v>
      </c>
      <c r="V515">
        <v>43928</v>
      </c>
      <c r="W515" t="str">
        <v>Contract</v>
      </c>
      <c r="X515">
        <v>20811.93</v>
      </c>
      <c r="Y515">
        <v>5</v>
      </c>
      <c r="Z515">
        <v>88.08</v>
      </c>
      <c r="AA515">
        <v>5</v>
      </c>
      <c r="AB515">
        <v>16</v>
      </c>
      <c r="AC515">
        <v>54</v>
      </c>
      <c r="AD515" t="str">
        <v>Ryan Munoz</v>
      </c>
      <c r="AE515" t="str">
        <v>Active</v>
      </c>
      <c r="AF515">
        <v>249743.16</v>
      </c>
    </row>
    <row r="516" spans="16:32" x14ac:dyDescent="0.25">
      <c r="P516" t="str">
        <v>EMP0513</v>
      </c>
      <c r="Q516" t="str">
        <v>Erica Harris</v>
      </c>
      <c r="R516" t="str">
        <v>Sales</v>
      </c>
      <c r="S516" t="str">
        <v>Sales Rep</v>
      </c>
      <c r="T516" t="str">
        <v>Female</v>
      </c>
      <c r="U516">
        <v>28</v>
      </c>
      <c r="V516">
        <v>45220</v>
      </c>
      <c r="W516" t="str">
        <v>Part-Time</v>
      </c>
      <c r="X516">
        <v>106567.96</v>
      </c>
      <c r="Y516">
        <v>2</v>
      </c>
      <c r="Z516">
        <v>88.63</v>
      </c>
      <c r="AA516">
        <v>2</v>
      </c>
      <c r="AB516">
        <v>75</v>
      </c>
      <c r="AC516">
        <v>25</v>
      </c>
      <c r="AD516" t="str">
        <v>Monica Herrera</v>
      </c>
      <c r="AE516" t="str">
        <v>Active</v>
      </c>
      <c r="AF516">
        <v>1278815.52</v>
      </c>
    </row>
    <row r="517" spans="16:32" x14ac:dyDescent="0.25">
      <c r="P517" t="str">
        <v>EMP0514</v>
      </c>
      <c r="Q517" t="str">
        <v>Justin Walker</v>
      </c>
      <c r="R517" t="str">
        <v>Customer Support</v>
      </c>
      <c r="S517" t="str">
        <v>Team Lead</v>
      </c>
      <c r="T517" t="str">
        <v>Female</v>
      </c>
      <c r="U517">
        <v>55</v>
      </c>
      <c r="V517">
        <v>44247</v>
      </c>
      <c r="W517" t="str">
        <v>Full-Time</v>
      </c>
      <c r="X517">
        <v>86248.76</v>
      </c>
      <c r="Y517">
        <v>4</v>
      </c>
      <c r="Z517">
        <v>82.78</v>
      </c>
      <c r="AA517">
        <v>4</v>
      </c>
      <c r="AB517">
        <v>71</v>
      </c>
      <c r="AC517">
        <v>24</v>
      </c>
      <c r="AD517" t="str">
        <v>Jamie Arnold</v>
      </c>
      <c r="AE517" t="str">
        <v>Active</v>
      </c>
      <c r="AF517">
        <v>1034985.1199999999</v>
      </c>
    </row>
    <row r="518" spans="16:32" x14ac:dyDescent="0.25">
      <c r="P518" t="str">
        <v>EMP0515</v>
      </c>
      <c r="Q518" t="str">
        <v>Juan Silva</v>
      </c>
      <c r="R518" t="str">
        <v>HR</v>
      </c>
      <c r="S518" t="str">
        <v>Recruiter</v>
      </c>
      <c r="T518" t="str">
        <v>Male</v>
      </c>
      <c r="U518">
        <v>29</v>
      </c>
      <c r="V518">
        <v>43209</v>
      </c>
      <c r="W518" t="str">
        <v>Full-Time</v>
      </c>
      <c r="X518">
        <v>27174.6</v>
      </c>
      <c r="Y518">
        <v>1</v>
      </c>
      <c r="Z518">
        <v>82.88</v>
      </c>
      <c r="AA518">
        <v>7</v>
      </c>
      <c r="AB518">
        <v>62</v>
      </c>
      <c r="AC518">
        <v>42</v>
      </c>
      <c r="AD518" t="str">
        <v>Michele Williams</v>
      </c>
      <c r="AE518" t="str">
        <v>Resigned</v>
      </c>
      <c r="AF518">
        <v>326095.19999999995</v>
      </c>
    </row>
    <row r="519" spans="16:32" x14ac:dyDescent="0.25">
      <c r="P519" t="str">
        <v>EMP0516</v>
      </c>
      <c r="Q519" t="str">
        <v>Craig Hall</v>
      </c>
      <c r="R519" t="str">
        <v>HR</v>
      </c>
      <c r="S519" t="str">
        <v>HR Officer</v>
      </c>
      <c r="T519" t="str">
        <v>Male</v>
      </c>
      <c r="U519">
        <v>47</v>
      </c>
      <c r="V519">
        <v>44897</v>
      </c>
      <c r="W519" t="str">
        <v>Part-Time</v>
      </c>
      <c r="X519">
        <v>109358.25</v>
      </c>
      <c r="Y519">
        <v>5</v>
      </c>
      <c r="Z519">
        <v>98.61</v>
      </c>
      <c r="AA519">
        <v>3</v>
      </c>
      <c r="AB519">
        <v>79</v>
      </c>
      <c r="AC519">
        <v>11</v>
      </c>
      <c r="AD519" t="str">
        <v>Dylan Miller</v>
      </c>
      <c r="AE519" t="str">
        <v>Active</v>
      </c>
      <c r="AF519">
        <v>1312299</v>
      </c>
    </row>
    <row r="520" spans="16:32" x14ac:dyDescent="0.25">
      <c r="P520" t="str">
        <v>EMP0517</v>
      </c>
      <c r="Q520" t="str">
        <v>Kathryn Pena</v>
      </c>
      <c r="R520" t="str">
        <v>R&amp;D</v>
      </c>
      <c r="S520" t="str">
        <v>Product Developer</v>
      </c>
      <c r="T520" t="str">
        <v>Female</v>
      </c>
      <c r="U520">
        <v>35</v>
      </c>
      <c r="V520">
        <v>45843</v>
      </c>
      <c r="W520" t="str">
        <v>Full-Time</v>
      </c>
      <c r="X520">
        <v>62477.19</v>
      </c>
      <c r="Y520">
        <v>1</v>
      </c>
      <c r="Z520">
        <v>91.56</v>
      </c>
      <c r="AA520">
        <v>0</v>
      </c>
      <c r="AB520">
        <v>30</v>
      </c>
      <c r="AC520">
        <v>45</v>
      </c>
      <c r="AD520" t="str">
        <v>Holly Wood</v>
      </c>
      <c r="AE520" t="str">
        <v>Active</v>
      </c>
      <c r="AF520">
        <v>749726.28</v>
      </c>
    </row>
    <row r="521" spans="16:32" x14ac:dyDescent="0.25">
      <c r="P521" t="str">
        <v>EMP0518</v>
      </c>
      <c r="Q521" t="str">
        <v>Roberto Levy</v>
      </c>
      <c r="R521" t="str">
        <v>Operations</v>
      </c>
      <c r="S521" t="str">
        <v>Operations Associate</v>
      </c>
      <c r="T521" t="str">
        <v>Male</v>
      </c>
      <c r="U521">
        <v>57</v>
      </c>
      <c r="V521">
        <v>44400</v>
      </c>
      <c r="W521" t="str">
        <v>Part-Time</v>
      </c>
      <c r="X521">
        <v>90488.25</v>
      </c>
      <c r="Y521">
        <v>1</v>
      </c>
      <c r="Z521">
        <v>91.61</v>
      </c>
      <c r="AA521">
        <v>4</v>
      </c>
      <c r="AB521">
        <v>10</v>
      </c>
      <c r="AC521">
        <v>9</v>
      </c>
      <c r="AD521" t="str">
        <v>Holly Wood</v>
      </c>
      <c r="AE521" t="str">
        <v>Resigned</v>
      </c>
      <c r="AF521">
        <v>1085859</v>
      </c>
    </row>
    <row r="522" spans="16:32" x14ac:dyDescent="0.25">
      <c r="P522" t="str">
        <v>EMP0519</v>
      </c>
      <c r="Q522" t="str">
        <v>Nicholas Bell</v>
      </c>
      <c r="R522" t="str">
        <v>Finance</v>
      </c>
      <c r="S522" t="str">
        <v>Financial Analyst</v>
      </c>
      <c r="T522" t="str">
        <v>Male</v>
      </c>
      <c r="U522">
        <v>54</v>
      </c>
      <c r="V522">
        <v>45351</v>
      </c>
      <c r="W522" t="str">
        <v>Contract</v>
      </c>
      <c r="X522">
        <v>28844.639999999999</v>
      </c>
      <c r="Y522">
        <v>4</v>
      </c>
      <c r="Z522">
        <v>92.61</v>
      </c>
      <c r="AA522">
        <v>1</v>
      </c>
      <c r="AB522">
        <v>9</v>
      </c>
      <c r="AC522">
        <v>43</v>
      </c>
      <c r="AD522" t="str">
        <v>Derek Zuniga</v>
      </c>
      <c r="AE522" t="str">
        <v>Active</v>
      </c>
      <c r="AF522">
        <v>346135.68</v>
      </c>
    </row>
    <row r="523" spans="16:32" x14ac:dyDescent="0.25">
      <c r="P523" t="str">
        <v>EMP0520</v>
      </c>
      <c r="Q523" t="str">
        <v>Katherine Stark</v>
      </c>
      <c r="R523" t="str">
        <v>Finance</v>
      </c>
      <c r="S523" t="str">
        <v>Finance Manager</v>
      </c>
      <c r="T523" t="str">
        <v>Male</v>
      </c>
      <c r="U523">
        <v>42</v>
      </c>
      <c r="V523">
        <v>43172</v>
      </c>
      <c r="W523" t="str">
        <v>Contract</v>
      </c>
      <c r="X523">
        <v>97852.71</v>
      </c>
      <c r="Y523">
        <v>4</v>
      </c>
      <c r="Z523">
        <v>89.08</v>
      </c>
      <c r="AA523">
        <v>7</v>
      </c>
      <c r="AB523">
        <v>60</v>
      </c>
      <c r="AC523">
        <v>36</v>
      </c>
      <c r="AD523" t="str">
        <v>Monica Herrera</v>
      </c>
      <c r="AE523" t="str">
        <v>Active</v>
      </c>
      <c r="AF523">
        <v>1174232.52</v>
      </c>
    </row>
    <row r="524" spans="16:32" x14ac:dyDescent="0.25">
      <c r="P524" t="str">
        <v>EMP0521</v>
      </c>
      <c r="Q524" t="str">
        <v>Tina Warren DVM</v>
      </c>
      <c r="R524" t="str">
        <v>Finance</v>
      </c>
      <c r="S524" t="str">
        <v>Financial Analyst</v>
      </c>
      <c r="T524" t="str">
        <v>Male</v>
      </c>
      <c r="U524">
        <v>23</v>
      </c>
      <c r="V524">
        <v>45671</v>
      </c>
      <c r="W524" t="str">
        <v>Contract</v>
      </c>
      <c r="X524">
        <v>112286.45</v>
      </c>
      <c r="Y524">
        <v>3</v>
      </c>
      <c r="Z524">
        <v>94.54</v>
      </c>
      <c r="AA524">
        <v>0</v>
      </c>
      <c r="AB524">
        <v>72</v>
      </c>
      <c r="AC524">
        <v>16</v>
      </c>
      <c r="AD524" t="str">
        <v>Noah Rhodes</v>
      </c>
      <c r="AE524" t="str">
        <v>Active</v>
      </c>
      <c r="AF524">
        <v>1347437.4</v>
      </c>
    </row>
    <row r="525" spans="16:32" x14ac:dyDescent="0.25">
      <c r="P525" t="str">
        <v>EMP0522</v>
      </c>
      <c r="Q525" t="str">
        <v>Mary Duran</v>
      </c>
      <c r="R525" t="str">
        <v>HR</v>
      </c>
      <c r="S525" t="str">
        <v>HR Manager</v>
      </c>
      <c r="T525" t="str">
        <v>Male</v>
      </c>
      <c r="U525">
        <v>39</v>
      </c>
      <c r="V525">
        <v>42764</v>
      </c>
      <c r="W525" t="str">
        <v>Contract</v>
      </c>
      <c r="X525">
        <v>82431.7</v>
      </c>
      <c r="Y525">
        <v>3</v>
      </c>
      <c r="Z525">
        <v>89.7</v>
      </c>
      <c r="AA525">
        <v>8</v>
      </c>
      <c r="AB525">
        <v>16</v>
      </c>
      <c r="AC525">
        <v>32</v>
      </c>
      <c r="AD525" t="str">
        <v>Angie Henderson</v>
      </c>
      <c r="AE525" t="str">
        <v>Resigned</v>
      </c>
      <c r="AF525">
        <v>989180.39999999991</v>
      </c>
    </row>
    <row r="526" spans="16:32" x14ac:dyDescent="0.25">
      <c r="P526" t="str">
        <v>EMP0523</v>
      </c>
      <c r="Q526" t="str">
        <v>Mark Jones</v>
      </c>
      <c r="R526" t="str">
        <v>Finance</v>
      </c>
      <c r="S526" t="str">
        <v>Financial Analyst</v>
      </c>
      <c r="T526" t="str">
        <v>Male</v>
      </c>
      <c r="U526">
        <v>60</v>
      </c>
      <c r="V526">
        <v>44865</v>
      </c>
      <c r="W526" t="str">
        <v>Part-Time</v>
      </c>
      <c r="X526">
        <v>47521.71</v>
      </c>
      <c r="Y526">
        <v>3</v>
      </c>
      <c r="Z526">
        <v>80.28</v>
      </c>
      <c r="AA526">
        <v>3</v>
      </c>
      <c r="AB526">
        <v>14</v>
      </c>
      <c r="AC526">
        <v>38</v>
      </c>
      <c r="AD526" t="str">
        <v>Connie Lawrence</v>
      </c>
      <c r="AE526" t="str">
        <v>Resigned</v>
      </c>
      <c r="AF526">
        <v>570260.52</v>
      </c>
    </row>
    <row r="527" spans="16:32" x14ac:dyDescent="0.25">
      <c r="P527" t="str">
        <v>EMP0524</v>
      </c>
      <c r="Q527" t="str">
        <v>Jonathan Brooks</v>
      </c>
      <c r="R527" t="str">
        <v>HR</v>
      </c>
      <c r="S527" t="str">
        <v>HR Manager</v>
      </c>
      <c r="T527" t="str">
        <v>Female</v>
      </c>
      <c r="U527">
        <v>44</v>
      </c>
      <c r="V527">
        <v>43241</v>
      </c>
      <c r="W527" t="str">
        <v>Full-Time</v>
      </c>
      <c r="X527">
        <v>46125.26</v>
      </c>
      <c r="Y527">
        <v>2</v>
      </c>
      <c r="Z527">
        <v>89.7</v>
      </c>
      <c r="AA527">
        <v>7</v>
      </c>
      <c r="AB527">
        <v>67</v>
      </c>
      <c r="AC527">
        <v>55</v>
      </c>
      <c r="AD527" t="str">
        <v>Noah Rhodes</v>
      </c>
      <c r="AE527" t="str">
        <v>Active</v>
      </c>
      <c r="AF527">
        <v>553503.12</v>
      </c>
    </row>
    <row r="528" spans="16:32" x14ac:dyDescent="0.25">
      <c r="P528" t="str">
        <v>EMP0525</v>
      </c>
      <c r="Q528" t="str">
        <v>Alexis Patel</v>
      </c>
      <c r="R528" t="str">
        <v>Marketing</v>
      </c>
      <c r="S528" t="str">
        <v>Marketing Analyst</v>
      </c>
      <c r="T528" t="str">
        <v>Male</v>
      </c>
      <c r="U528">
        <v>52</v>
      </c>
      <c r="V528">
        <v>45305</v>
      </c>
      <c r="W528" t="str">
        <v>Part-Time</v>
      </c>
      <c r="X528">
        <v>97036.78</v>
      </c>
      <c r="Y528">
        <v>2</v>
      </c>
      <c r="Z528">
        <v>93.21</v>
      </c>
      <c r="AA528">
        <v>1</v>
      </c>
      <c r="AB528">
        <v>21</v>
      </c>
      <c r="AC528">
        <v>13</v>
      </c>
      <c r="AD528" t="str">
        <v>Lisa Jackson</v>
      </c>
      <c r="AE528" t="str">
        <v>Active</v>
      </c>
      <c r="AF528">
        <v>1164441.3599999999</v>
      </c>
    </row>
    <row r="529" spans="16:32" x14ac:dyDescent="0.25">
      <c r="P529" t="str">
        <v>EMP0526</v>
      </c>
      <c r="Q529" t="str">
        <v>Joseph Hill</v>
      </c>
      <c r="R529" t="str">
        <v>Operations</v>
      </c>
      <c r="S529" t="str">
        <v>Operations Associate</v>
      </c>
      <c r="T529" t="str">
        <v>Female</v>
      </c>
      <c r="U529">
        <v>28</v>
      </c>
      <c r="V529">
        <v>44858</v>
      </c>
      <c r="W529" t="str">
        <v>Full-Time</v>
      </c>
      <c r="X529">
        <v>36760.04</v>
      </c>
      <c r="Y529">
        <v>4</v>
      </c>
      <c r="Z529">
        <v>89.52</v>
      </c>
      <c r="AA529">
        <v>3</v>
      </c>
      <c r="AB529">
        <v>60</v>
      </c>
      <c r="AC529">
        <v>47</v>
      </c>
      <c r="AD529" t="str">
        <v>Derek Zuniga</v>
      </c>
      <c r="AE529" t="str">
        <v>Active</v>
      </c>
      <c r="AF529">
        <v>441120.48</v>
      </c>
    </row>
    <row r="530" spans="16:32" x14ac:dyDescent="0.25">
      <c r="P530" t="str">
        <v>EMP0527</v>
      </c>
      <c r="Q530" t="str">
        <v>Robert Craig</v>
      </c>
      <c r="R530" t="str">
        <v>Customer Support</v>
      </c>
      <c r="S530" t="str">
        <v>Team Lead</v>
      </c>
      <c r="T530" t="str">
        <v>Female</v>
      </c>
      <c r="U530">
        <v>30</v>
      </c>
      <c r="V530">
        <v>44084</v>
      </c>
      <c r="W530" t="str">
        <v>Contract</v>
      </c>
      <c r="X530">
        <v>107027.77</v>
      </c>
      <c r="Y530">
        <v>1</v>
      </c>
      <c r="Z530">
        <v>85.78</v>
      </c>
      <c r="AA530">
        <v>5</v>
      </c>
      <c r="AB530">
        <v>57</v>
      </c>
      <c r="AC530">
        <v>24</v>
      </c>
      <c r="AD530" t="str">
        <v>Monica Herrera</v>
      </c>
      <c r="AE530" t="str">
        <v>Resigned</v>
      </c>
      <c r="AF530">
        <v>1284333.24</v>
      </c>
    </row>
    <row r="531" spans="16:32" x14ac:dyDescent="0.25">
      <c r="P531" t="str">
        <v>EMP0528</v>
      </c>
      <c r="Q531" t="str">
        <v>Brent Hernandez</v>
      </c>
      <c r="R531" t="str">
        <v>Sales</v>
      </c>
      <c r="S531" t="str">
        <v>Sales Rep</v>
      </c>
      <c r="T531" t="str">
        <v>Female</v>
      </c>
      <c r="U531">
        <v>48</v>
      </c>
      <c r="V531">
        <v>43416</v>
      </c>
      <c r="W531" t="str">
        <v>Contract</v>
      </c>
      <c r="X531">
        <v>111804.2</v>
      </c>
      <c r="Y531">
        <v>3</v>
      </c>
      <c r="Z531">
        <v>86.7</v>
      </c>
      <c r="AA531">
        <v>7</v>
      </c>
      <c r="AB531">
        <v>34</v>
      </c>
      <c r="AC531">
        <v>51</v>
      </c>
      <c r="AD531" t="str">
        <v>Daniel Wagner</v>
      </c>
      <c r="AE531" t="str">
        <v>Active</v>
      </c>
      <c r="AF531">
        <v>1341650.3999999999</v>
      </c>
    </row>
    <row r="532" spans="16:32" x14ac:dyDescent="0.25">
      <c r="P532" t="str">
        <v>EMP0529</v>
      </c>
      <c r="Q532" t="str">
        <v>Dawn Gomez</v>
      </c>
      <c r="R532" t="str">
        <v>Customer Support</v>
      </c>
      <c r="S532" t="str">
        <v>Team Lead</v>
      </c>
      <c r="T532" t="str">
        <v>Male</v>
      </c>
      <c r="U532">
        <v>58</v>
      </c>
      <c r="V532">
        <v>43495</v>
      </c>
      <c r="W532" t="str">
        <v>Full-Time</v>
      </c>
      <c r="X532">
        <v>71995.23</v>
      </c>
      <c r="Y532">
        <v>2</v>
      </c>
      <c r="Z532">
        <v>86.27</v>
      </c>
      <c r="AA532">
        <v>6</v>
      </c>
      <c r="AB532">
        <v>1</v>
      </c>
      <c r="AC532">
        <v>43</v>
      </c>
      <c r="AD532" t="str">
        <v>Allison Hill</v>
      </c>
      <c r="AE532" t="str">
        <v>Active</v>
      </c>
      <c r="AF532">
        <v>863942.76</v>
      </c>
    </row>
    <row r="533" spans="16:32" x14ac:dyDescent="0.25">
      <c r="P533" t="str">
        <v>EMP0530</v>
      </c>
      <c r="Q533" t="str">
        <v>Tyler Stevens</v>
      </c>
      <c r="R533" t="str">
        <v>Sales</v>
      </c>
      <c r="S533" t="str">
        <v>Sales Manager</v>
      </c>
      <c r="T533" t="str">
        <v>Male</v>
      </c>
      <c r="U533">
        <v>54</v>
      </c>
      <c r="V533">
        <v>44769</v>
      </c>
      <c r="W533" t="str">
        <v>Full-Time</v>
      </c>
      <c r="X533">
        <v>88549.96</v>
      </c>
      <c r="Y533">
        <v>3</v>
      </c>
      <c r="Z533">
        <v>84.39</v>
      </c>
      <c r="AA533">
        <v>3</v>
      </c>
      <c r="AB533">
        <v>36</v>
      </c>
      <c r="AC533">
        <v>16</v>
      </c>
      <c r="AD533" t="str">
        <v>Abigail Shaffer</v>
      </c>
      <c r="AE533" t="str">
        <v>Active</v>
      </c>
      <c r="AF533">
        <v>1062599.52</v>
      </c>
    </row>
    <row r="534" spans="16:32" x14ac:dyDescent="0.25">
      <c r="P534" t="str">
        <v>EMP0531</v>
      </c>
      <c r="Q534" t="str">
        <v>Courtney Sutton DVM</v>
      </c>
      <c r="R534" t="str">
        <v>Marketing</v>
      </c>
      <c r="S534" t="str">
        <v>Marketing Analyst</v>
      </c>
      <c r="T534" t="str">
        <v>Male</v>
      </c>
      <c r="U534">
        <v>59</v>
      </c>
      <c r="V534">
        <v>43814</v>
      </c>
      <c r="W534" t="str">
        <v>Contract</v>
      </c>
      <c r="X534">
        <v>32179.01</v>
      </c>
      <c r="Y534">
        <v>1</v>
      </c>
      <c r="Z534">
        <v>81.73</v>
      </c>
      <c r="AA534">
        <v>6</v>
      </c>
      <c r="AB534">
        <v>77</v>
      </c>
      <c r="AC534">
        <v>8</v>
      </c>
      <c r="AD534" t="str">
        <v>Lisa Hensley</v>
      </c>
      <c r="AE534" t="str">
        <v>Active</v>
      </c>
      <c r="AF534">
        <v>386148.12</v>
      </c>
    </row>
    <row r="535" spans="16:32" x14ac:dyDescent="0.25">
      <c r="P535" t="str">
        <v>EMP0532</v>
      </c>
      <c r="Q535" t="str">
        <v>James Tran</v>
      </c>
      <c r="R535" t="str">
        <v>HR</v>
      </c>
      <c r="S535" t="str">
        <v>HR Officer</v>
      </c>
      <c r="T535" t="str">
        <v>Male</v>
      </c>
      <c r="U535">
        <v>37</v>
      </c>
      <c r="V535">
        <v>42499</v>
      </c>
      <c r="W535" t="str">
        <v>Part-Time</v>
      </c>
      <c r="X535">
        <v>66695.56</v>
      </c>
      <c r="Y535">
        <v>1</v>
      </c>
      <c r="Z535">
        <v>92.78</v>
      </c>
      <c r="AA535">
        <v>9</v>
      </c>
      <c r="AB535">
        <v>35</v>
      </c>
      <c r="AC535">
        <v>49</v>
      </c>
      <c r="AD535" t="str">
        <v>Michele Williams</v>
      </c>
      <c r="AE535" t="str">
        <v>Active</v>
      </c>
      <c r="AF535">
        <v>800346.72</v>
      </c>
    </row>
    <row r="536" spans="16:32" x14ac:dyDescent="0.25">
      <c r="P536" t="str">
        <v>EMP0533</v>
      </c>
      <c r="Q536" t="str">
        <v>Michele Miller</v>
      </c>
      <c r="R536" t="str">
        <v>Operations</v>
      </c>
      <c r="S536" t="str">
        <v>Operations Manager</v>
      </c>
      <c r="T536" t="str">
        <v>Male</v>
      </c>
      <c r="U536">
        <v>25</v>
      </c>
      <c r="V536">
        <v>42651</v>
      </c>
      <c r="W536" t="str">
        <v>Part-Time</v>
      </c>
      <c r="X536">
        <v>97710.6</v>
      </c>
      <c r="Y536">
        <v>4</v>
      </c>
      <c r="Z536">
        <v>87.77</v>
      </c>
      <c r="AA536">
        <v>9</v>
      </c>
      <c r="AB536">
        <v>7</v>
      </c>
      <c r="AC536">
        <v>16</v>
      </c>
      <c r="AD536" t="str">
        <v>Gabrielle Davis</v>
      </c>
      <c r="AE536" t="str">
        <v>Active</v>
      </c>
      <c r="AF536">
        <v>1172527.2000000002</v>
      </c>
    </row>
    <row r="537" spans="16:32" x14ac:dyDescent="0.25">
      <c r="P537" t="str">
        <v>EMP0534</v>
      </c>
      <c r="Q537" t="str">
        <v>Erin Madden</v>
      </c>
      <c r="R537" t="str">
        <v>Marketing</v>
      </c>
      <c r="S537" t="str">
        <v>Brand Manager</v>
      </c>
      <c r="T537" t="str">
        <v>Male</v>
      </c>
      <c r="U537">
        <v>60</v>
      </c>
      <c r="V537">
        <v>44999</v>
      </c>
      <c r="W537" t="str">
        <v>Part-Time</v>
      </c>
      <c r="X537">
        <v>37844.22</v>
      </c>
      <c r="Y537">
        <v>4</v>
      </c>
      <c r="Z537">
        <v>82.17</v>
      </c>
      <c r="AA537">
        <v>2</v>
      </c>
      <c r="AB537">
        <v>69</v>
      </c>
      <c r="AC537">
        <v>49</v>
      </c>
      <c r="AD537" t="str">
        <v>Michele Williams</v>
      </c>
      <c r="AE537" t="str">
        <v>Active</v>
      </c>
      <c r="AF537">
        <v>454130.64</v>
      </c>
    </row>
    <row r="538" spans="16:32" x14ac:dyDescent="0.25">
      <c r="P538" t="str">
        <v>EMP0535</v>
      </c>
      <c r="Q538" t="str">
        <v>Tamara Hall</v>
      </c>
      <c r="R538" t="str">
        <v>Marketing</v>
      </c>
      <c r="S538" t="str">
        <v>Brand Manager</v>
      </c>
      <c r="T538" t="str">
        <v>Female</v>
      </c>
      <c r="U538">
        <v>27</v>
      </c>
      <c r="V538">
        <v>42895</v>
      </c>
      <c r="W538" t="str">
        <v>Full-Time</v>
      </c>
      <c r="X538">
        <v>27291.95</v>
      </c>
      <c r="Y538">
        <v>5</v>
      </c>
      <c r="Z538">
        <v>94.55</v>
      </c>
      <c r="AA538">
        <v>8</v>
      </c>
      <c r="AB538">
        <v>57</v>
      </c>
      <c r="AC538">
        <v>1</v>
      </c>
      <c r="AD538" t="str">
        <v>Brian Ramirez</v>
      </c>
      <c r="AE538" t="str">
        <v>Active</v>
      </c>
      <c r="AF538">
        <v>327503.40000000002</v>
      </c>
    </row>
    <row r="539" spans="16:32" x14ac:dyDescent="0.25">
      <c r="P539" t="str">
        <v>EMP0536</v>
      </c>
      <c r="Q539" t="str">
        <v>Anthony Jones</v>
      </c>
      <c r="R539" t="str">
        <v>Sales</v>
      </c>
      <c r="S539" t="str">
        <v>Sales Rep</v>
      </c>
      <c r="T539" t="str">
        <v>Female</v>
      </c>
      <c r="U539">
        <v>38</v>
      </c>
      <c r="V539">
        <v>45824</v>
      </c>
      <c r="W539" t="str">
        <v>Full-Time</v>
      </c>
      <c r="X539">
        <v>90005.52</v>
      </c>
      <c r="Y539">
        <v>4</v>
      </c>
      <c r="Z539">
        <v>91.49</v>
      </c>
      <c r="AA539">
        <v>0</v>
      </c>
      <c r="AB539">
        <v>65</v>
      </c>
      <c r="AC539">
        <v>45</v>
      </c>
      <c r="AD539" t="str">
        <v>Brian Ramirez</v>
      </c>
      <c r="AE539" t="str">
        <v>Active</v>
      </c>
      <c r="AF539">
        <v>1080066.24</v>
      </c>
    </row>
    <row r="540" spans="16:32" x14ac:dyDescent="0.25">
      <c r="P540" t="str">
        <v>EMP0537</v>
      </c>
      <c r="Q540" t="str">
        <v>Kristy Johnson</v>
      </c>
      <c r="R540" t="str">
        <v>Customer Support</v>
      </c>
      <c r="S540" t="str">
        <v>Support Agent</v>
      </c>
      <c r="T540" t="str">
        <v>Male</v>
      </c>
      <c r="U540">
        <v>21</v>
      </c>
      <c r="V540">
        <v>44045</v>
      </c>
      <c r="W540" t="str">
        <v>Part-Time</v>
      </c>
      <c r="X540">
        <v>115415.53</v>
      </c>
      <c r="Y540">
        <v>4</v>
      </c>
      <c r="Z540">
        <v>82.42</v>
      </c>
      <c r="AA540">
        <v>5</v>
      </c>
      <c r="AB540">
        <v>68</v>
      </c>
      <c r="AC540">
        <v>59</v>
      </c>
      <c r="AD540" t="str">
        <v>Jamie Arnold</v>
      </c>
      <c r="AE540" t="str">
        <v>Active</v>
      </c>
      <c r="AF540">
        <v>1384986.3599999999</v>
      </c>
    </row>
    <row r="541" spans="16:32" x14ac:dyDescent="0.25">
      <c r="P541" t="str">
        <v>EMP0538</v>
      </c>
      <c r="Q541" t="str">
        <v>Daniel Thomas</v>
      </c>
      <c r="R541" t="str">
        <v>Finance</v>
      </c>
      <c r="S541" t="str">
        <v>Financial Analyst</v>
      </c>
      <c r="T541" t="str">
        <v>Male</v>
      </c>
      <c r="U541">
        <v>26</v>
      </c>
      <c r="V541">
        <v>44257</v>
      </c>
      <c r="W541" t="str">
        <v>Part-Time</v>
      </c>
      <c r="X541">
        <v>73462.63</v>
      </c>
      <c r="Y541">
        <v>3</v>
      </c>
      <c r="Z541">
        <v>81.61</v>
      </c>
      <c r="AA541">
        <v>4</v>
      </c>
      <c r="AB541">
        <v>58</v>
      </c>
      <c r="AC541">
        <v>48</v>
      </c>
      <c r="AD541" t="str">
        <v>Ryan Munoz</v>
      </c>
      <c r="AE541" t="str">
        <v>Active</v>
      </c>
      <c r="AF541">
        <v>881551.56</v>
      </c>
    </row>
    <row r="542" spans="16:32" x14ac:dyDescent="0.25">
      <c r="P542" t="str">
        <v>EMP0539</v>
      </c>
      <c r="Q542" t="str">
        <v>Elizabeth Elliott</v>
      </c>
      <c r="R542" t="str">
        <v>HR</v>
      </c>
      <c r="S542" t="str">
        <v>HR Manager</v>
      </c>
      <c r="T542" t="str">
        <v>Male</v>
      </c>
      <c r="U542">
        <v>45</v>
      </c>
      <c r="V542">
        <v>44777</v>
      </c>
      <c r="W542" t="str">
        <v>Contract</v>
      </c>
      <c r="X542">
        <v>39100.32</v>
      </c>
      <c r="Y542">
        <v>4</v>
      </c>
      <c r="Z542">
        <v>97.93</v>
      </c>
      <c r="AA542">
        <v>3</v>
      </c>
      <c r="AB542">
        <v>80</v>
      </c>
      <c r="AC542">
        <v>44</v>
      </c>
      <c r="AD542" t="str">
        <v>Jamie Arnold</v>
      </c>
      <c r="AE542" t="str">
        <v>Active</v>
      </c>
      <c r="AF542">
        <v>469203.83999999997</v>
      </c>
    </row>
    <row r="543" spans="16:32" x14ac:dyDescent="0.25">
      <c r="P543" t="str">
        <v>EMP0540</v>
      </c>
      <c r="Q543" t="str">
        <v>Jasmine Mosley</v>
      </c>
      <c r="R543" t="str">
        <v>R&amp;D</v>
      </c>
      <c r="S543" t="str">
        <v>Researcher</v>
      </c>
      <c r="T543" t="str">
        <v>Male</v>
      </c>
      <c r="U543">
        <v>23</v>
      </c>
      <c r="V543">
        <v>45824</v>
      </c>
      <c r="W543" t="str">
        <v>Full-Time</v>
      </c>
      <c r="X543">
        <v>22536.46</v>
      </c>
      <c r="Y543">
        <v>5</v>
      </c>
      <c r="Z543">
        <v>84.77</v>
      </c>
      <c r="AA543">
        <v>0</v>
      </c>
      <c r="AB543">
        <v>49</v>
      </c>
      <c r="AC543">
        <v>4</v>
      </c>
      <c r="AD543" t="str">
        <v>Derek Zuniga</v>
      </c>
      <c r="AE543" t="str">
        <v>Active</v>
      </c>
      <c r="AF543">
        <v>270437.52</v>
      </c>
    </row>
    <row r="544" spans="16:32" x14ac:dyDescent="0.25">
      <c r="P544" t="str">
        <v>EMP0541</v>
      </c>
      <c r="Q544" t="str">
        <v>Patrick Gibbs</v>
      </c>
      <c r="R544" t="str">
        <v>R&amp;D</v>
      </c>
      <c r="S544" t="str">
        <v>Product Developer</v>
      </c>
      <c r="T544" t="str">
        <v>Male</v>
      </c>
      <c r="U544">
        <v>23</v>
      </c>
      <c r="V544">
        <v>44364</v>
      </c>
      <c r="W544" t="str">
        <v>Part-Time</v>
      </c>
      <c r="X544">
        <v>25605.45</v>
      </c>
      <c r="Y544">
        <v>1</v>
      </c>
      <c r="Z544">
        <v>88.11</v>
      </c>
      <c r="AA544">
        <v>4</v>
      </c>
      <c r="AB544">
        <v>27</v>
      </c>
      <c r="AC544">
        <v>51</v>
      </c>
      <c r="AD544" t="str">
        <v>Holly Wood</v>
      </c>
      <c r="AE544" t="str">
        <v>Active</v>
      </c>
      <c r="AF544">
        <v>307265.40000000002</v>
      </c>
    </row>
    <row r="545" spans="16:32" x14ac:dyDescent="0.25">
      <c r="P545" t="str">
        <v>EMP0542</v>
      </c>
      <c r="Q545" t="str">
        <v>Valerie Brown</v>
      </c>
      <c r="R545" t="str">
        <v>HR</v>
      </c>
      <c r="S545" t="str">
        <v>HR Manager</v>
      </c>
      <c r="T545" t="str">
        <v>Male</v>
      </c>
      <c r="U545">
        <v>25</v>
      </c>
      <c r="V545">
        <v>42790</v>
      </c>
      <c r="W545" t="str">
        <v>Full-Time</v>
      </c>
      <c r="X545">
        <v>93545.97</v>
      </c>
      <c r="Y545">
        <v>4</v>
      </c>
      <c r="Z545">
        <v>93.08</v>
      </c>
      <c r="AA545">
        <v>8</v>
      </c>
      <c r="AB545">
        <v>60</v>
      </c>
      <c r="AC545">
        <v>58</v>
      </c>
      <c r="AD545" t="str">
        <v>Carla Gray</v>
      </c>
      <c r="AE545" t="str">
        <v>Active</v>
      </c>
      <c r="AF545">
        <v>1122551.6400000001</v>
      </c>
    </row>
    <row r="546" spans="16:32" x14ac:dyDescent="0.25">
      <c r="P546" t="str">
        <v>EMP0543</v>
      </c>
      <c r="Q546" t="str">
        <v>Billy Jacobs</v>
      </c>
      <c r="R546" t="str">
        <v>HR</v>
      </c>
      <c r="S546" t="str">
        <v>HR Officer</v>
      </c>
      <c r="T546" t="str">
        <v>Male</v>
      </c>
      <c r="U546">
        <v>24</v>
      </c>
      <c r="V546">
        <v>45018</v>
      </c>
      <c r="W546" t="str">
        <v>Part-Time</v>
      </c>
      <c r="X546">
        <v>102073.92</v>
      </c>
      <c r="Y546">
        <v>1</v>
      </c>
      <c r="Z546">
        <v>89.12</v>
      </c>
      <c r="AA546">
        <v>2</v>
      </c>
      <c r="AB546">
        <v>21</v>
      </c>
      <c r="AC546">
        <v>53</v>
      </c>
      <c r="AD546" t="str">
        <v>Lisa Jackson</v>
      </c>
      <c r="AE546" t="str">
        <v>Active</v>
      </c>
      <c r="AF546">
        <v>1224887.04</v>
      </c>
    </row>
    <row r="547" spans="16:32" x14ac:dyDescent="0.25">
      <c r="P547" t="str">
        <v>EMP0544</v>
      </c>
      <c r="Q547" t="str">
        <v>Erin Walters</v>
      </c>
      <c r="R547" t="str">
        <v>Marketing</v>
      </c>
      <c r="S547" t="str">
        <v>Marketing Analyst</v>
      </c>
      <c r="T547" t="str">
        <v>Female</v>
      </c>
      <c r="U547">
        <v>59</v>
      </c>
      <c r="V547">
        <v>44768</v>
      </c>
      <c r="W547" t="str">
        <v>Contract</v>
      </c>
      <c r="X547">
        <v>42057.25</v>
      </c>
      <c r="Y547">
        <v>2</v>
      </c>
      <c r="Z547">
        <v>88.52</v>
      </c>
      <c r="AA547">
        <v>3</v>
      </c>
      <c r="AB547">
        <v>51</v>
      </c>
      <c r="AC547">
        <v>20</v>
      </c>
      <c r="AD547" t="str">
        <v>Daniel Wagner</v>
      </c>
      <c r="AE547" t="str">
        <v>Resigned</v>
      </c>
      <c r="AF547">
        <v>504687</v>
      </c>
    </row>
    <row r="548" spans="16:32" x14ac:dyDescent="0.25">
      <c r="P548" t="str">
        <v>EMP0545</v>
      </c>
      <c r="Q548" t="str">
        <v>Henry Pugh MD</v>
      </c>
      <c r="R548" t="str">
        <v>HR</v>
      </c>
      <c r="S548" t="str">
        <v>Recruiter</v>
      </c>
      <c r="T548" t="str">
        <v>Male</v>
      </c>
      <c r="U548">
        <v>23</v>
      </c>
      <c r="V548">
        <v>45102</v>
      </c>
      <c r="W548" t="str">
        <v>Contract</v>
      </c>
      <c r="X548">
        <v>37344.76</v>
      </c>
      <c r="Y548">
        <v>1</v>
      </c>
      <c r="Z548">
        <v>82.41</v>
      </c>
      <c r="AA548">
        <v>2</v>
      </c>
      <c r="AB548">
        <v>18</v>
      </c>
      <c r="AC548">
        <v>48</v>
      </c>
      <c r="AD548" t="str">
        <v>Michele Williams</v>
      </c>
      <c r="AE548" t="str">
        <v>Active</v>
      </c>
      <c r="AF548">
        <v>448137.12</v>
      </c>
    </row>
    <row r="549" spans="16:32" x14ac:dyDescent="0.25">
      <c r="P549" t="str">
        <v>EMP0546</v>
      </c>
      <c r="Q549" t="str">
        <v>Angelica Montgomery</v>
      </c>
      <c r="R549" t="str">
        <v>Operations</v>
      </c>
      <c r="S549" t="str">
        <v>Operations Associate</v>
      </c>
      <c r="T549" t="str">
        <v>Female</v>
      </c>
      <c r="U549">
        <v>36</v>
      </c>
      <c r="V549">
        <v>45943</v>
      </c>
      <c r="W549" t="str">
        <v>Contract</v>
      </c>
      <c r="X549">
        <v>24069.89</v>
      </c>
      <c r="Y549">
        <v>1</v>
      </c>
      <c r="Z549">
        <v>95.82</v>
      </c>
      <c r="AA549">
        <v>0</v>
      </c>
      <c r="AB549">
        <v>80</v>
      </c>
      <c r="AC549">
        <v>39</v>
      </c>
      <c r="AD549" t="str">
        <v>Lisa Hensley</v>
      </c>
      <c r="AE549" t="str">
        <v>Active</v>
      </c>
      <c r="AF549">
        <v>288838.68</v>
      </c>
    </row>
    <row r="550" spans="16:32" x14ac:dyDescent="0.25">
      <c r="P550" t="str">
        <v>EMP0547</v>
      </c>
      <c r="Q550" t="str">
        <v>Angela Moore</v>
      </c>
      <c r="R550" t="str">
        <v>Sales</v>
      </c>
      <c r="S550" t="str">
        <v>Sales Manager</v>
      </c>
      <c r="T550" t="str">
        <v>Male</v>
      </c>
      <c r="U550">
        <v>21</v>
      </c>
      <c r="V550">
        <v>43834</v>
      </c>
      <c r="W550" t="str">
        <v>Full-Time</v>
      </c>
      <c r="X550">
        <v>37941.29</v>
      </c>
      <c r="Y550">
        <v>1</v>
      </c>
      <c r="Z550">
        <v>94.13</v>
      </c>
      <c r="AA550">
        <v>5</v>
      </c>
      <c r="AB550">
        <v>75</v>
      </c>
      <c r="AC550">
        <v>56</v>
      </c>
      <c r="AD550" t="str">
        <v>Ryan Munoz</v>
      </c>
      <c r="AE550" t="str">
        <v>Active</v>
      </c>
      <c r="AF550">
        <v>455295.48</v>
      </c>
    </row>
    <row r="551" spans="16:32" x14ac:dyDescent="0.25">
      <c r="P551" t="str">
        <v>EMP0548</v>
      </c>
      <c r="Q551" t="str">
        <v>Emily Rodriguez</v>
      </c>
      <c r="R551" t="str">
        <v>R&amp;D</v>
      </c>
      <c r="S551" t="str">
        <v>Researcher</v>
      </c>
      <c r="T551" t="str">
        <v>Male</v>
      </c>
      <c r="U551">
        <v>30</v>
      </c>
      <c r="V551">
        <v>43261</v>
      </c>
      <c r="W551" t="str">
        <v>Contract</v>
      </c>
      <c r="X551">
        <v>47094.97</v>
      </c>
      <c r="Y551">
        <v>4</v>
      </c>
      <c r="Z551">
        <v>88.24</v>
      </c>
      <c r="AA551">
        <v>7</v>
      </c>
      <c r="AB551">
        <v>22</v>
      </c>
      <c r="AC551">
        <v>39</v>
      </c>
      <c r="AD551" t="str">
        <v>Noah Rhodes</v>
      </c>
      <c r="AE551" t="str">
        <v>Active</v>
      </c>
      <c r="AF551">
        <v>565139.64</v>
      </c>
    </row>
    <row r="552" spans="16:32" x14ac:dyDescent="0.25">
      <c r="P552" t="str">
        <v>EMP0549</v>
      </c>
      <c r="Q552" t="str">
        <v>Jill Juarez</v>
      </c>
      <c r="R552" t="str">
        <v>R&amp;D</v>
      </c>
      <c r="S552" t="str">
        <v>Researcher</v>
      </c>
      <c r="T552" t="str">
        <v>Female</v>
      </c>
      <c r="U552">
        <v>43</v>
      </c>
      <c r="V552">
        <v>42335</v>
      </c>
      <c r="W552" t="str">
        <v>Part-Time</v>
      </c>
      <c r="X552">
        <v>20457</v>
      </c>
      <c r="Y552">
        <v>2</v>
      </c>
      <c r="Z552">
        <v>83.84</v>
      </c>
      <c r="AA552">
        <v>10</v>
      </c>
      <c r="AB552">
        <v>67</v>
      </c>
      <c r="AC552">
        <v>6</v>
      </c>
      <c r="AD552" t="str">
        <v>Carla Gray</v>
      </c>
      <c r="AE552" t="str">
        <v>Active</v>
      </c>
      <c r="AF552">
        <v>245484</v>
      </c>
    </row>
    <row r="553" spans="16:32" x14ac:dyDescent="0.25">
      <c r="P553" t="str">
        <v>EMP0550</v>
      </c>
      <c r="Q553" t="str">
        <v>Cody Cole</v>
      </c>
      <c r="R553" t="str">
        <v>IT</v>
      </c>
      <c r="S553" t="str">
        <v>Software Engineer</v>
      </c>
      <c r="T553" t="str">
        <v>Male</v>
      </c>
      <c r="U553">
        <v>38</v>
      </c>
      <c r="V553">
        <v>42938</v>
      </c>
      <c r="W553" t="str">
        <v>Full-Time</v>
      </c>
      <c r="X553">
        <v>39371.9</v>
      </c>
      <c r="Y553">
        <v>2</v>
      </c>
      <c r="Z553">
        <v>93.7</v>
      </c>
      <c r="AA553">
        <v>8</v>
      </c>
      <c r="AB553">
        <v>60</v>
      </c>
      <c r="AC553">
        <v>31</v>
      </c>
      <c r="AD553" t="str">
        <v>Connie Lawrence</v>
      </c>
      <c r="AE553" t="str">
        <v>Active</v>
      </c>
      <c r="AF553">
        <v>472462.80000000005</v>
      </c>
    </row>
    <row r="554" spans="16:32" x14ac:dyDescent="0.25">
      <c r="P554" t="str">
        <v>EMP0551</v>
      </c>
      <c r="Q554" t="str">
        <v>Ashley Davis</v>
      </c>
      <c r="R554" t="str">
        <v>Sales</v>
      </c>
      <c r="S554" t="str">
        <v>Sales Rep</v>
      </c>
      <c r="T554" t="str">
        <v>Female</v>
      </c>
      <c r="U554">
        <v>39</v>
      </c>
      <c r="V554">
        <v>45750</v>
      </c>
      <c r="W554" t="str">
        <v>Full-Time</v>
      </c>
      <c r="X554">
        <v>63467.16</v>
      </c>
      <c r="Y554">
        <v>3</v>
      </c>
      <c r="Z554">
        <v>92.34</v>
      </c>
      <c r="AA554">
        <v>0</v>
      </c>
      <c r="AB554">
        <v>58</v>
      </c>
      <c r="AC554">
        <v>2</v>
      </c>
      <c r="AD554" t="str">
        <v>Daniel Wagner</v>
      </c>
      <c r="AE554" t="str">
        <v>Active</v>
      </c>
      <c r="AF554">
        <v>761605.92</v>
      </c>
    </row>
    <row r="555" spans="16:32" x14ac:dyDescent="0.25">
      <c r="P555" t="str">
        <v>EMP0552</v>
      </c>
      <c r="Q555" t="str">
        <v>Kyle Nguyen</v>
      </c>
      <c r="R555" t="str">
        <v>HR</v>
      </c>
      <c r="S555" t="str">
        <v>HR Officer</v>
      </c>
      <c r="T555" t="str">
        <v>Male</v>
      </c>
      <c r="U555">
        <v>52</v>
      </c>
      <c r="V555">
        <v>45746</v>
      </c>
      <c r="W555" t="str">
        <v>Contract</v>
      </c>
      <c r="X555">
        <v>31606.51</v>
      </c>
      <c r="Y555">
        <v>2</v>
      </c>
      <c r="Z555">
        <v>94.43</v>
      </c>
      <c r="AA555">
        <v>0</v>
      </c>
      <c r="AB555">
        <v>75</v>
      </c>
      <c r="AC555">
        <v>37</v>
      </c>
      <c r="AD555" t="str">
        <v>Monica Herrera</v>
      </c>
      <c r="AE555" t="str">
        <v>Active</v>
      </c>
      <c r="AF555">
        <v>379278.12</v>
      </c>
    </row>
    <row r="556" spans="16:32" x14ac:dyDescent="0.25">
      <c r="P556" t="str">
        <v>EMP0553</v>
      </c>
      <c r="Q556" t="str">
        <v>Jason Maxwell</v>
      </c>
      <c r="R556" t="str">
        <v>Operations</v>
      </c>
      <c r="S556" t="str">
        <v>Operations Associate</v>
      </c>
      <c r="T556" t="str">
        <v>Male</v>
      </c>
      <c r="U556">
        <v>41</v>
      </c>
      <c r="V556">
        <v>44696</v>
      </c>
      <c r="W556" t="str">
        <v>Full-Time</v>
      </c>
      <c r="X556">
        <v>29806.41</v>
      </c>
      <c r="Y556">
        <v>4</v>
      </c>
      <c r="Z556">
        <v>97.4</v>
      </c>
      <c r="AA556">
        <v>3</v>
      </c>
      <c r="AB556">
        <v>48</v>
      </c>
      <c r="AC556">
        <v>57</v>
      </c>
      <c r="AD556" t="str">
        <v>Gina Moore</v>
      </c>
      <c r="AE556" t="str">
        <v>Active</v>
      </c>
      <c r="AF556">
        <v>357676.92</v>
      </c>
    </row>
    <row r="557" spans="16:32" x14ac:dyDescent="0.25">
      <c r="P557" t="str">
        <v>EMP0554</v>
      </c>
      <c r="Q557" t="str">
        <v>Vanessa Armstrong</v>
      </c>
      <c r="R557" t="str">
        <v>R&amp;D</v>
      </c>
      <c r="S557" t="str">
        <v>Researcher</v>
      </c>
      <c r="T557" t="str">
        <v>Female</v>
      </c>
      <c r="U557">
        <v>30</v>
      </c>
      <c r="V557">
        <v>45779</v>
      </c>
      <c r="W557" t="str">
        <v>Full-Time</v>
      </c>
      <c r="X557">
        <v>112788.71</v>
      </c>
      <c r="Y557">
        <v>4</v>
      </c>
      <c r="Z557">
        <v>83.56</v>
      </c>
      <c r="AA557">
        <v>0</v>
      </c>
      <c r="AB557">
        <v>47</v>
      </c>
      <c r="AC557">
        <v>8</v>
      </c>
      <c r="AD557" t="str">
        <v>Dylan Miller</v>
      </c>
      <c r="AE557" t="str">
        <v>Active</v>
      </c>
      <c r="AF557">
        <v>1353464.52</v>
      </c>
    </row>
    <row r="558" spans="16:32" x14ac:dyDescent="0.25">
      <c r="P558" t="str">
        <v>EMP0555</v>
      </c>
      <c r="Q558" t="str">
        <v>Caroline Adams</v>
      </c>
      <c r="R558" t="str">
        <v>Operations</v>
      </c>
      <c r="S558" t="str">
        <v>Operations Manager</v>
      </c>
      <c r="T558" t="str">
        <v>Male</v>
      </c>
      <c r="U558">
        <v>42</v>
      </c>
      <c r="V558">
        <v>43356</v>
      </c>
      <c r="W558" t="str">
        <v>Full-Time</v>
      </c>
      <c r="X558">
        <v>23209.46</v>
      </c>
      <c r="Y558">
        <v>5</v>
      </c>
      <c r="Z558">
        <v>81.19</v>
      </c>
      <c r="AA558">
        <v>7</v>
      </c>
      <c r="AB558">
        <v>17</v>
      </c>
      <c r="AC558">
        <v>7</v>
      </c>
      <c r="AD558" t="str">
        <v>Dylan Miller</v>
      </c>
      <c r="AE558" t="str">
        <v>Active</v>
      </c>
      <c r="AF558">
        <v>278513.52</v>
      </c>
    </row>
    <row r="559" spans="16:32" x14ac:dyDescent="0.25">
      <c r="P559" t="str">
        <v>EMP0556</v>
      </c>
      <c r="Q559" t="str">
        <v>Arthur Hamilton MD</v>
      </c>
      <c r="R559" t="str">
        <v>HR</v>
      </c>
      <c r="S559" t="str">
        <v>Recruiter</v>
      </c>
      <c r="T559" t="str">
        <v>Male</v>
      </c>
      <c r="U559">
        <v>39</v>
      </c>
      <c r="V559">
        <v>43970</v>
      </c>
      <c r="W559" t="str">
        <v>Contract</v>
      </c>
      <c r="X559">
        <v>35678.81</v>
      </c>
      <c r="Y559">
        <v>5</v>
      </c>
      <c r="Z559">
        <v>98.11</v>
      </c>
      <c r="AA559">
        <v>5</v>
      </c>
      <c r="AB559">
        <v>73</v>
      </c>
      <c r="AC559">
        <v>35</v>
      </c>
      <c r="AD559" t="str">
        <v>Gina Moore</v>
      </c>
      <c r="AE559" t="str">
        <v>Active</v>
      </c>
      <c r="AF559">
        <v>428145.72</v>
      </c>
    </row>
    <row r="560" spans="16:32" x14ac:dyDescent="0.25">
      <c r="P560" t="str">
        <v>EMP0557</v>
      </c>
      <c r="Q560" t="str">
        <v>Heather Raymond</v>
      </c>
      <c r="R560" t="str">
        <v>R&amp;D</v>
      </c>
      <c r="S560" t="str">
        <v>Researcher</v>
      </c>
      <c r="T560" t="str">
        <v>Female</v>
      </c>
      <c r="U560">
        <v>50</v>
      </c>
      <c r="V560">
        <v>45311</v>
      </c>
      <c r="W560" t="str">
        <v>Part-Time</v>
      </c>
      <c r="X560">
        <v>21450.39</v>
      </c>
      <c r="Y560">
        <v>4</v>
      </c>
      <c r="Z560">
        <v>94.72</v>
      </c>
      <c r="AA560">
        <v>1</v>
      </c>
      <c r="AB560">
        <v>31</v>
      </c>
      <c r="AC560">
        <v>15</v>
      </c>
      <c r="AD560" t="str">
        <v>Monica Herrera</v>
      </c>
      <c r="AE560" t="str">
        <v>Active</v>
      </c>
      <c r="AF560">
        <v>257404.68</v>
      </c>
    </row>
    <row r="561" spans="16:32" x14ac:dyDescent="0.25">
      <c r="P561" t="str">
        <v>EMP0558</v>
      </c>
      <c r="Q561" t="str">
        <v>Christina Rodriguez</v>
      </c>
      <c r="R561" t="str">
        <v>IT</v>
      </c>
      <c r="S561" t="str">
        <v>Data Analyst</v>
      </c>
      <c r="T561" t="str">
        <v>Male</v>
      </c>
      <c r="U561">
        <v>57</v>
      </c>
      <c r="V561">
        <v>45383</v>
      </c>
      <c r="W561" t="str">
        <v>Full-Time</v>
      </c>
      <c r="X561">
        <v>61777.19</v>
      </c>
      <c r="Y561">
        <v>1</v>
      </c>
      <c r="Z561">
        <v>80.8</v>
      </c>
      <c r="AA561">
        <v>1</v>
      </c>
      <c r="AB561">
        <v>60</v>
      </c>
      <c r="AC561">
        <v>46</v>
      </c>
      <c r="AD561" t="str">
        <v>Holly Wood</v>
      </c>
      <c r="AE561" t="str">
        <v>Active</v>
      </c>
      <c r="AF561">
        <v>741326.28</v>
      </c>
    </row>
    <row r="562" spans="16:32" x14ac:dyDescent="0.25">
      <c r="P562" t="str">
        <v>EMP0559</v>
      </c>
      <c r="Q562" t="str">
        <v>James Skinner</v>
      </c>
      <c r="R562" t="str">
        <v>Customer Support</v>
      </c>
      <c r="S562" t="str">
        <v>Team Lead</v>
      </c>
      <c r="T562" t="str">
        <v>Male</v>
      </c>
      <c r="U562">
        <v>49</v>
      </c>
      <c r="V562">
        <v>44196</v>
      </c>
      <c r="W562" t="str">
        <v>Part-Time</v>
      </c>
      <c r="X562">
        <v>44051.15</v>
      </c>
      <c r="Y562">
        <v>5</v>
      </c>
      <c r="Z562">
        <v>95.06</v>
      </c>
      <c r="AA562">
        <v>5</v>
      </c>
      <c r="AB562">
        <v>52</v>
      </c>
      <c r="AC562">
        <v>60</v>
      </c>
      <c r="AD562" t="str">
        <v>Abigail Shaffer</v>
      </c>
      <c r="AE562" t="str">
        <v>Active</v>
      </c>
      <c r="AF562">
        <v>528613.80000000005</v>
      </c>
    </row>
    <row r="563" spans="16:32" x14ac:dyDescent="0.25">
      <c r="P563" t="str">
        <v>EMP0560</v>
      </c>
      <c r="Q563" t="str">
        <v>Erin Cook</v>
      </c>
      <c r="R563" t="str">
        <v>Finance</v>
      </c>
      <c r="S563" t="str">
        <v>Accountant</v>
      </c>
      <c r="T563" t="str">
        <v>Male</v>
      </c>
      <c r="U563">
        <v>22</v>
      </c>
      <c r="V563">
        <v>44663</v>
      </c>
      <c r="W563" t="str">
        <v>Part-Time</v>
      </c>
      <c r="X563">
        <v>86903.56</v>
      </c>
      <c r="Y563">
        <v>2</v>
      </c>
      <c r="Z563">
        <v>94.07</v>
      </c>
      <c r="AA563">
        <v>3</v>
      </c>
      <c r="AB563">
        <v>73</v>
      </c>
      <c r="AC563">
        <v>47</v>
      </c>
      <c r="AD563" t="str">
        <v>Lisa Jackson</v>
      </c>
      <c r="AE563" t="str">
        <v>Active</v>
      </c>
      <c r="AF563">
        <v>1042842.72</v>
      </c>
    </row>
    <row r="564" spans="16:32" x14ac:dyDescent="0.25">
      <c r="P564" t="str">
        <v>EMP0561</v>
      </c>
      <c r="Q564" t="str">
        <v>Larry Dominguez</v>
      </c>
      <c r="R564" t="str">
        <v>R&amp;D</v>
      </c>
      <c r="S564" t="str">
        <v>Product Developer</v>
      </c>
      <c r="T564" t="str">
        <v>Male</v>
      </c>
      <c r="U564">
        <v>46</v>
      </c>
      <c r="V564">
        <v>43148</v>
      </c>
      <c r="W564" t="str">
        <v>Full-Time</v>
      </c>
      <c r="X564">
        <v>98985.87</v>
      </c>
      <c r="Y564">
        <v>3</v>
      </c>
      <c r="Z564">
        <v>92.54</v>
      </c>
      <c r="AA564">
        <v>7</v>
      </c>
      <c r="AB564">
        <v>0</v>
      </c>
      <c r="AC564">
        <v>55</v>
      </c>
      <c r="AD564" t="str">
        <v>Angie Henderson</v>
      </c>
      <c r="AE564" t="str">
        <v>Active</v>
      </c>
      <c r="AF564">
        <v>1187830.44</v>
      </c>
    </row>
    <row r="565" spans="16:32" x14ac:dyDescent="0.25">
      <c r="P565" t="str">
        <v>EMP0562</v>
      </c>
      <c r="Q565" t="str">
        <v>Vincent Novak</v>
      </c>
      <c r="R565" t="str">
        <v>Operations</v>
      </c>
      <c r="S565" t="str">
        <v>Operations Associate</v>
      </c>
      <c r="T565" t="str">
        <v>Female</v>
      </c>
      <c r="U565">
        <v>48</v>
      </c>
      <c r="V565">
        <v>45279</v>
      </c>
      <c r="W565" t="str">
        <v>Part-Time</v>
      </c>
      <c r="X565">
        <v>89805.5</v>
      </c>
      <c r="Y565">
        <v>5</v>
      </c>
      <c r="Z565">
        <v>90.85</v>
      </c>
      <c r="AA565">
        <v>2</v>
      </c>
      <c r="AB565">
        <v>26</v>
      </c>
      <c r="AC565">
        <v>50</v>
      </c>
      <c r="AD565" t="str">
        <v>Angie Henderson</v>
      </c>
      <c r="AE565" t="str">
        <v>Active</v>
      </c>
      <c r="AF565">
        <v>1077666</v>
      </c>
    </row>
    <row r="566" spans="16:32" x14ac:dyDescent="0.25">
      <c r="P566" t="str">
        <v>EMP0563</v>
      </c>
      <c r="Q566" t="str">
        <v>Mackenzie Faulkner</v>
      </c>
      <c r="R566" t="str">
        <v>Operations</v>
      </c>
      <c r="S566" t="str">
        <v>Operations Associate</v>
      </c>
      <c r="T566" t="str">
        <v>Female</v>
      </c>
      <c r="U566">
        <v>24</v>
      </c>
      <c r="V566">
        <v>44113</v>
      </c>
      <c r="W566" t="str">
        <v>Full-Time</v>
      </c>
      <c r="X566">
        <v>58295.5</v>
      </c>
      <c r="Y566">
        <v>4</v>
      </c>
      <c r="Z566">
        <v>92.38</v>
      </c>
      <c r="AA566">
        <v>5</v>
      </c>
      <c r="AB566">
        <v>46</v>
      </c>
      <c r="AC566">
        <v>23</v>
      </c>
      <c r="AD566" t="str">
        <v>Connie Lawrence</v>
      </c>
      <c r="AE566" t="str">
        <v>Active</v>
      </c>
      <c r="AF566">
        <v>699546</v>
      </c>
    </row>
    <row r="567" spans="16:32" x14ac:dyDescent="0.25">
      <c r="P567" t="str">
        <v>EMP0564</v>
      </c>
      <c r="Q567" t="str">
        <v>Douglas Hartman</v>
      </c>
      <c r="R567" t="str">
        <v>Marketing</v>
      </c>
      <c r="S567" t="str">
        <v>Content Specialist</v>
      </c>
      <c r="T567" t="str">
        <v>Male</v>
      </c>
      <c r="U567">
        <v>29</v>
      </c>
      <c r="V567">
        <v>43809</v>
      </c>
      <c r="W567" t="str">
        <v>Part-Time</v>
      </c>
      <c r="X567">
        <v>43863.27</v>
      </c>
      <c r="Y567">
        <v>1</v>
      </c>
      <c r="Z567">
        <v>92.98</v>
      </c>
      <c r="AA567">
        <v>6</v>
      </c>
      <c r="AB567">
        <v>74</v>
      </c>
      <c r="AC567">
        <v>55</v>
      </c>
      <c r="AD567" t="str">
        <v>Abigail Shaffer</v>
      </c>
      <c r="AE567" t="str">
        <v>Active</v>
      </c>
      <c r="AF567">
        <v>526359.24</v>
      </c>
    </row>
    <row r="568" spans="16:32" x14ac:dyDescent="0.25">
      <c r="P568" t="str">
        <v>EMP0565</v>
      </c>
      <c r="Q568" t="str">
        <v>Justin Vargas</v>
      </c>
      <c r="R568" t="str">
        <v>IT</v>
      </c>
      <c r="S568" t="str">
        <v>Software Engineer</v>
      </c>
      <c r="T568" t="str">
        <v>Female</v>
      </c>
      <c r="U568">
        <v>38</v>
      </c>
      <c r="V568">
        <v>44571</v>
      </c>
      <c r="W568" t="str">
        <v>Contract</v>
      </c>
      <c r="X568">
        <v>88022.67</v>
      </c>
      <c r="Y568">
        <v>3</v>
      </c>
      <c r="Z568">
        <v>81.09</v>
      </c>
      <c r="AA568">
        <v>3</v>
      </c>
      <c r="AB568">
        <v>47</v>
      </c>
      <c r="AC568">
        <v>22</v>
      </c>
      <c r="AD568" t="str">
        <v>Dylan Miller</v>
      </c>
      <c r="AE568" t="str">
        <v>Active</v>
      </c>
      <c r="AF568">
        <v>1056272.04</v>
      </c>
    </row>
    <row r="569" spans="16:32" x14ac:dyDescent="0.25">
      <c r="P569" t="str">
        <v>EMP0566</v>
      </c>
      <c r="Q569" t="str">
        <v>Randall Johnson</v>
      </c>
      <c r="R569" t="str">
        <v>Marketing</v>
      </c>
      <c r="S569" t="str">
        <v>Brand Manager</v>
      </c>
      <c r="T569" t="str">
        <v>Female</v>
      </c>
      <c r="U569">
        <v>49</v>
      </c>
      <c r="V569">
        <v>45693</v>
      </c>
      <c r="W569" t="str">
        <v>Contract</v>
      </c>
      <c r="X569">
        <v>56814.59</v>
      </c>
      <c r="Y569">
        <v>1</v>
      </c>
      <c r="Z569">
        <v>83.77</v>
      </c>
      <c r="AA569">
        <v>0</v>
      </c>
      <c r="AB569">
        <v>58</v>
      </c>
      <c r="AC569">
        <v>5</v>
      </c>
      <c r="AD569" t="str">
        <v>Angie Henderson</v>
      </c>
      <c r="AE569" t="str">
        <v>Active</v>
      </c>
      <c r="AF569">
        <v>681775.08</v>
      </c>
    </row>
    <row r="570" spans="16:32" x14ac:dyDescent="0.25">
      <c r="P570" t="str">
        <v>EMP0567</v>
      </c>
      <c r="Q570" t="str">
        <v>Christine Salinas</v>
      </c>
      <c r="R570" t="str">
        <v>HR</v>
      </c>
      <c r="S570" t="str">
        <v>Recruiter</v>
      </c>
      <c r="T570" t="str">
        <v>Male</v>
      </c>
      <c r="U570">
        <v>27</v>
      </c>
      <c r="V570">
        <v>45171</v>
      </c>
      <c r="W570" t="str">
        <v>Full-Time</v>
      </c>
      <c r="X570">
        <v>47594.27</v>
      </c>
      <c r="Y570">
        <v>2</v>
      </c>
      <c r="Z570">
        <v>89.93</v>
      </c>
      <c r="AA570">
        <v>2</v>
      </c>
      <c r="AB570">
        <v>26</v>
      </c>
      <c r="AC570">
        <v>33</v>
      </c>
      <c r="AD570" t="str">
        <v>Allison Hill</v>
      </c>
      <c r="AE570" t="str">
        <v>Active</v>
      </c>
      <c r="AF570">
        <v>571131.24</v>
      </c>
    </row>
    <row r="571" spans="16:32" x14ac:dyDescent="0.25">
      <c r="P571" t="str">
        <v>EMP0568</v>
      </c>
      <c r="Q571" t="str">
        <v>Rebecca Ortiz</v>
      </c>
      <c r="R571" t="str">
        <v>HR</v>
      </c>
      <c r="S571" t="str">
        <v>Recruiter</v>
      </c>
      <c r="T571" t="str">
        <v>Female</v>
      </c>
      <c r="U571">
        <v>47</v>
      </c>
      <c r="V571">
        <v>42732</v>
      </c>
      <c r="W571" t="str">
        <v>Part-Time</v>
      </c>
      <c r="X571">
        <v>93770.92</v>
      </c>
      <c r="Y571">
        <v>1</v>
      </c>
      <c r="Z571">
        <v>85.83</v>
      </c>
      <c r="AA571">
        <v>9</v>
      </c>
      <c r="AB571">
        <v>8</v>
      </c>
      <c r="AC571">
        <v>1</v>
      </c>
      <c r="AD571" t="str">
        <v>Gina Moore</v>
      </c>
      <c r="AE571" t="str">
        <v>Active</v>
      </c>
      <c r="AF571">
        <v>1125251.04</v>
      </c>
    </row>
    <row r="572" spans="16:32" x14ac:dyDescent="0.25">
      <c r="P572" t="str">
        <v>EMP0569</v>
      </c>
      <c r="Q572" t="str">
        <v>Eric King</v>
      </c>
      <c r="R572" t="str">
        <v>Operations</v>
      </c>
      <c r="S572" t="str">
        <v>Operations Manager</v>
      </c>
      <c r="T572" t="str">
        <v>Female</v>
      </c>
      <c r="U572">
        <v>41</v>
      </c>
      <c r="V572">
        <v>45405</v>
      </c>
      <c r="W572" t="str">
        <v>Part-Time</v>
      </c>
      <c r="X572">
        <v>79335.73</v>
      </c>
      <c r="Y572">
        <v>5</v>
      </c>
      <c r="Z572">
        <v>96.84</v>
      </c>
      <c r="AA572">
        <v>1</v>
      </c>
      <c r="AB572">
        <v>56</v>
      </c>
      <c r="AC572">
        <v>29</v>
      </c>
      <c r="AD572" t="str">
        <v>Ryan Munoz</v>
      </c>
      <c r="AE572" t="str">
        <v>Active</v>
      </c>
      <c r="AF572">
        <v>952028.76</v>
      </c>
    </row>
    <row r="573" spans="16:32" x14ac:dyDescent="0.25">
      <c r="P573" t="str">
        <v>EMP0570</v>
      </c>
      <c r="Q573" t="str">
        <v>Rachel Jones</v>
      </c>
      <c r="R573" t="str">
        <v>Finance</v>
      </c>
      <c r="S573" t="str">
        <v>Accountant</v>
      </c>
      <c r="T573" t="str">
        <v>Female</v>
      </c>
      <c r="U573">
        <v>35</v>
      </c>
      <c r="V573">
        <v>43260</v>
      </c>
      <c r="W573" t="str">
        <v>Part-Time</v>
      </c>
      <c r="X573">
        <v>57190.23</v>
      </c>
      <c r="Y573">
        <v>3</v>
      </c>
      <c r="Z573">
        <v>95.39</v>
      </c>
      <c r="AA573">
        <v>7</v>
      </c>
      <c r="AB573">
        <v>6</v>
      </c>
      <c r="AC573">
        <v>9</v>
      </c>
      <c r="AD573" t="str">
        <v>Jamie Arnold</v>
      </c>
      <c r="AE573" t="str">
        <v>Active</v>
      </c>
      <c r="AF573">
        <v>686282.76</v>
      </c>
    </row>
    <row r="574" spans="16:32" x14ac:dyDescent="0.25">
      <c r="P574" t="str">
        <v>EMP0571</v>
      </c>
      <c r="Q574" t="str">
        <v>Kimberly Mclean</v>
      </c>
      <c r="R574" t="str">
        <v>HR</v>
      </c>
      <c r="S574" t="str">
        <v>HR Manager</v>
      </c>
      <c r="T574" t="str">
        <v>Male</v>
      </c>
      <c r="U574">
        <v>55</v>
      </c>
      <c r="V574">
        <v>45280</v>
      </c>
      <c r="W574" t="str">
        <v>Part-Time</v>
      </c>
      <c r="X574">
        <v>38228.050000000003</v>
      </c>
      <c r="Y574">
        <v>2</v>
      </c>
      <c r="Z574">
        <v>96.79</v>
      </c>
      <c r="AA574">
        <v>2</v>
      </c>
      <c r="AB574">
        <v>19</v>
      </c>
      <c r="AC574">
        <v>10</v>
      </c>
      <c r="AD574" t="str">
        <v>Gina Moore</v>
      </c>
      <c r="AE574" t="str">
        <v>Active</v>
      </c>
      <c r="AF574">
        <v>458736.60000000003</v>
      </c>
    </row>
    <row r="575" spans="16:32" x14ac:dyDescent="0.25">
      <c r="P575" t="str">
        <v>EMP0572</v>
      </c>
      <c r="Q575" t="str">
        <v>Rachel Ward</v>
      </c>
      <c r="R575" t="str">
        <v>Operations</v>
      </c>
      <c r="S575" t="str">
        <v>Operations Associate</v>
      </c>
      <c r="T575" t="str">
        <v>Female</v>
      </c>
      <c r="U575">
        <v>37</v>
      </c>
      <c r="V575">
        <v>44902</v>
      </c>
      <c r="W575" t="str">
        <v>Part-Time</v>
      </c>
      <c r="X575">
        <v>38449.660000000003</v>
      </c>
      <c r="Y575">
        <v>5</v>
      </c>
      <c r="Z575">
        <v>94.14</v>
      </c>
      <c r="AA575">
        <v>3</v>
      </c>
      <c r="AB575">
        <v>40</v>
      </c>
      <c r="AC575">
        <v>22</v>
      </c>
      <c r="AD575" t="str">
        <v>Cristian Santos</v>
      </c>
      <c r="AE575" t="str">
        <v>Active</v>
      </c>
      <c r="AF575">
        <v>461395.92000000004</v>
      </c>
    </row>
    <row r="576" spans="16:32" x14ac:dyDescent="0.25">
      <c r="P576" t="str">
        <v>EMP0573</v>
      </c>
      <c r="Q576" t="str">
        <v>Suzanne Rodriguez</v>
      </c>
      <c r="R576" t="str">
        <v>HR</v>
      </c>
      <c r="S576" t="str">
        <v>HR Manager</v>
      </c>
      <c r="T576" t="str">
        <v>Female</v>
      </c>
      <c r="U576">
        <v>28</v>
      </c>
      <c r="V576">
        <v>45639</v>
      </c>
      <c r="W576" t="str">
        <v>Full-Time</v>
      </c>
      <c r="X576">
        <v>60456.23</v>
      </c>
      <c r="Y576">
        <v>4</v>
      </c>
      <c r="Z576">
        <v>95.37</v>
      </c>
      <c r="AA576">
        <v>1</v>
      </c>
      <c r="AB576">
        <v>58</v>
      </c>
      <c r="AC576">
        <v>59</v>
      </c>
      <c r="AD576" t="str">
        <v>Monica Herrera</v>
      </c>
      <c r="AE576" t="str">
        <v>Active</v>
      </c>
      <c r="AF576">
        <v>725474.76</v>
      </c>
    </row>
    <row r="577" spans="16:32" x14ac:dyDescent="0.25">
      <c r="P577" t="str">
        <v>EMP0574</v>
      </c>
      <c r="Q577" t="str">
        <v>Heather Holland</v>
      </c>
      <c r="R577" t="str">
        <v>Operations</v>
      </c>
      <c r="S577" t="str">
        <v>Operations Manager</v>
      </c>
      <c r="T577" t="str">
        <v>Female</v>
      </c>
      <c r="U577">
        <v>39</v>
      </c>
      <c r="V577">
        <v>43845</v>
      </c>
      <c r="W577" t="str">
        <v>Contract</v>
      </c>
      <c r="X577">
        <v>86688.77</v>
      </c>
      <c r="Y577">
        <v>5</v>
      </c>
      <c r="Z577">
        <v>94.57</v>
      </c>
      <c r="AA577">
        <v>5</v>
      </c>
      <c r="AB577">
        <v>56</v>
      </c>
      <c r="AC577">
        <v>21</v>
      </c>
      <c r="AD577" t="str">
        <v>Daniel Wagner</v>
      </c>
      <c r="AE577" t="str">
        <v>Active</v>
      </c>
      <c r="AF577">
        <v>1040265.24</v>
      </c>
    </row>
    <row r="578" spans="16:32" x14ac:dyDescent="0.25">
      <c r="P578" t="str">
        <v>EMP0575</v>
      </c>
      <c r="Q578" t="str">
        <v>Maria Lucas</v>
      </c>
      <c r="R578" t="str">
        <v>Sales</v>
      </c>
      <c r="S578" t="str">
        <v>Sales Rep</v>
      </c>
      <c r="T578" t="str">
        <v>Male</v>
      </c>
      <c r="U578">
        <v>40</v>
      </c>
      <c r="V578">
        <v>42578</v>
      </c>
      <c r="W578" t="str">
        <v>Full-Time</v>
      </c>
      <c r="X578">
        <v>60162.99</v>
      </c>
      <c r="Y578">
        <v>2</v>
      </c>
      <c r="Z578">
        <v>88.92</v>
      </c>
      <c r="AA578">
        <v>9</v>
      </c>
      <c r="AB578">
        <v>11</v>
      </c>
      <c r="AC578">
        <v>20</v>
      </c>
      <c r="AD578" t="str">
        <v>Noah Rhodes</v>
      </c>
      <c r="AE578" t="str">
        <v>Active</v>
      </c>
      <c r="AF578">
        <v>721955.88</v>
      </c>
    </row>
    <row r="579" spans="16:32" x14ac:dyDescent="0.25">
      <c r="P579" t="str">
        <v>EMP0576</v>
      </c>
      <c r="Q579" t="str">
        <v>Jessica Smith</v>
      </c>
      <c r="R579" t="str">
        <v>IT</v>
      </c>
      <c r="S579" t="str">
        <v>Data Analyst</v>
      </c>
      <c r="T579" t="str">
        <v>Male</v>
      </c>
      <c r="U579">
        <v>38</v>
      </c>
      <c r="V579">
        <v>44363</v>
      </c>
      <c r="W579" t="str">
        <v>Full-Time</v>
      </c>
      <c r="X579">
        <v>22254.86</v>
      </c>
      <c r="Y579">
        <v>5</v>
      </c>
      <c r="Z579">
        <v>96.99</v>
      </c>
      <c r="AA579">
        <v>4</v>
      </c>
      <c r="AB579">
        <v>11</v>
      </c>
      <c r="AC579">
        <v>32</v>
      </c>
      <c r="AD579" t="str">
        <v>Lisa Hensley</v>
      </c>
      <c r="AE579" t="str">
        <v>Active</v>
      </c>
      <c r="AF579">
        <v>267058.32</v>
      </c>
    </row>
    <row r="580" spans="16:32" x14ac:dyDescent="0.25">
      <c r="P580" t="str">
        <v>EMP0577</v>
      </c>
      <c r="Q580" t="str">
        <v>Paul Grant</v>
      </c>
      <c r="R580" t="str">
        <v>Operations</v>
      </c>
      <c r="S580" t="str">
        <v>Operations Associate</v>
      </c>
      <c r="T580" t="str">
        <v>Female</v>
      </c>
      <c r="U580">
        <v>46</v>
      </c>
      <c r="V580">
        <v>43910</v>
      </c>
      <c r="W580" t="str">
        <v>Full-Time</v>
      </c>
      <c r="X580">
        <v>91596.38</v>
      </c>
      <c r="Y580">
        <v>4</v>
      </c>
      <c r="Z580">
        <v>87.39</v>
      </c>
      <c r="AA580">
        <v>5</v>
      </c>
      <c r="AB580">
        <v>47</v>
      </c>
      <c r="AC580">
        <v>0</v>
      </c>
      <c r="AD580" t="str">
        <v>Ryan Munoz</v>
      </c>
      <c r="AE580" t="str">
        <v>Active</v>
      </c>
      <c r="AF580">
        <v>1099156.56</v>
      </c>
    </row>
    <row r="581" spans="16:32" x14ac:dyDescent="0.25">
      <c r="P581" t="str">
        <v>EMP0578</v>
      </c>
      <c r="Q581" t="str">
        <v>James Ford</v>
      </c>
      <c r="R581" t="str">
        <v>Finance</v>
      </c>
      <c r="S581" t="str">
        <v>Financial Analyst</v>
      </c>
      <c r="T581" t="str">
        <v>Male</v>
      </c>
      <c r="U581">
        <v>34</v>
      </c>
      <c r="V581">
        <v>45877</v>
      </c>
      <c r="W581" t="str">
        <v>Contract</v>
      </c>
      <c r="X581">
        <v>108780.49</v>
      </c>
      <c r="Y581">
        <v>4</v>
      </c>
      <c r="Z581">
        <v>96.07</v>
      </c>
      <c r="AA581">
        <v>0</v>
      </c>
      <c r="AB581">
        <v>36</v>
      </c>
      <c r="AC581">
        <v>10</v>
      </c>
      <c r="AD581" t="str">
        <v>Michele Williams</v>
      </c>
      <c r="AE581" t="str">
        <v>Active</v>
      </c>
      <c r="AF581">
        <v>1305365.8800000001</v>
      </c>
    </row>
    <row r="582" spans="16:32" x14ac:dyDescent="0.25">
      <c r="P582" t="str">
        <v>EMP0579</v>
      </c>
      <c r="Q582" t="str">
        <v>Zachary Webb</v>
      </c>
      <c r="R582" t="str">
        <v>Customer Support</v>
      </c>
      <c r="S582" t="str">
        <v>Support Agent</v>
      </c>
      <c r="T582" t="str">
        <v>Male</v>
      </c>
      <c r="U582">
        <v>30</v>
      </c>
      <c r="V582">
        <v>45412</v>
      </c>
      <c r="W582" t="str">
        <v>Full-Time</v>
      </c>
      <c r="X582">
        <v>50323.11</v>
      </c>
      <c r="Y582">
        <v>5</v>
      </c>
      <c r="Z582">
        <v>99.73</v>
      </c>
      <c r="AA582">
        <v>1</v>
      </c>
      <c r="AB582">
        <v>8</v>
      </c>
      <c r="AC582">
        <v>59</v>
      </c>
      <c r="AD582" t="str">
        <v>Lisa Jackson</v>
      </c>
      <c r="AE582" t="str">
        <v>Active</v>
      </c>
      <c r="AF582">
        <v>603877.32000000007</v>
      </c>
    </row>
    <row r="583" spans="16:32" x14ac:dyDescent="0.25">
      <c r="P583" t="str">
        <v>EMP0580</v>
      </c>
      <c r="Q583" t="str">
        <v>Vernon Wilson</v>
      </c>
      <c r="R583" t="str">
        <v>Marketing</v>
      </c>
      <c r="S583" t="str">
        <v>Marketing Analyst</v>
      </c>
      <c r="T583" t="str">
        <v>Female</v>
      </c>
      <c r="U583">
        <v>38</v>
      </c>
      <c r="V583">
        <v>44138</v>
      </c>
      <c r="W583" t="str">
        <v>Part-Time</v>
      </c>
      <c r="X583">
        <v>37489.300000000003</v>
      </c>
      <c r="Y583">
        <v>4</v>
      </c>
      <c r="Z583">
        <v>94.2</v>
      </c>
      <c r="AA583">
        <v>5</v>
      </c>
      <c r="AB583">
        <v>17</v>
      </c>
      <c r="AC583">
        <v>12</v>
      </c>
      <c r="AD583" t="str">
        <v>Connie Lawrence</v>
      </c>
      <c r="AE583" t="str">
        <v>Active</v>
      </c>
      <c r="AF583">
        <v>449871.60000000003</v>
      </c>
    </row>
    <row r="584" spans="16:32" x14ac:dyDescent="0.25">
      <c r="P584" t="str">
        <v>EMP0581</v>
      </c>
      <c r="Q584" t="str">
        <v>Grant Mueller</v>
      </c>
      <c r="R584" t="str">
        <v>Finance</v>
      </c>
      <c r="S584" t="str">
        <v>Finance Manager</v>
      </c>
      <c r="T584" t="str">
        <v>Female</v>
      </c>
      <c r="U584">
        <v>23</v>
      </c>
      <c r="V584">
        <v>43183</v>
      </c>
      <c r="W584" t="str">
        <v>Part-Time</v>
      </c>
      <c r="X584">
        <v>103458.52</v>
      </c>
      <c r="Y584">
        <v>3</v>
      </c>
      <c r="Z584">
        <v>89.88</v>
      </c>
      <c r="AA584">
        <v>7</v>
      </c>
      <c r="AB584">
        <v>59</v>
      </c>
      <c r="AC584">
        <v>14</v>
      </c>
      <c r="AD584" t="str">
        <v>Allison Hill</v>
      </c>
      <c r="AE584" t="str">
        <v>Active</v>
      </c>
      <c r="AF584">
        <v>1241502.24</v>
      </c>
    </row>
    <row r="585" spans="16:32" x14ac:dyDescent="0.25">
      <c r="P585" t="str">
        <v>EMP0582</v>
      </c>
      <c r="Q585" t="str">
        <v>Mr. Jeffrey Horton</v>
      </c>
      <c r="R585" t="str">
        <v>HR</v>
      </c>
      <c r="S585" t="str">
        <v>Recruiter</v>
      </c>
      <c r="T585" t="str">
        <v>Female</v>
      </c>
      <c r="U585">
        <v>51</v>
      </c>
      <c r="V585">
        <v>45541</v>
      </c>
      <c r="W585" t="str">
        <v>Full-Time</v>
      </c>
      <c r="X585">
        <v>85381.3</v>
      </c>
      <c r="Y585">
        <v>3</v>
      </c>
      <c r="Z585">
        <v>88.34</v>
      </c>
      <c r="AA585">
        <v>1</v>
      </c>
      <c r="AB585">
        <v>62</v>
      </c>
      <c r="AC585">
        <v>58</v>
      </c>
      <c r="AD585" t="str">
        <v>Gina Moore</v>
      </c>
      <c r="AE585" t="str">
        <v>Active</v>
      </c>
      <c r="AF585">
        <v>1024575.6000000001</v>
      </c>
    </row>
    <row r="586" spans="16:32" x14ac:dyDescent="0.25">
      <c r="P586" t="str">
        <v>EMP0583</v>
      </c>
      <c r="Q586" t="str">
        <v>Andrew Page</v>
      </c>
      <c r="R586" t="str">
        <v>Finance</v>
      </c>
      <c r="S586" t="str">
        <v>Financial Analyst</v>
      </c>
      <c r="T586" t="str">
        <v>Male</v>
      </c>
      <c r="U586">
        <v>59</v>
      </c>
      <c r="V586">
        <v>44284</v>
      </c>
      <c r="W586" t="str">
        <v>Contract</v>
      </c>
      <c r="X586">
        <v>56175.95</v>
      </c>
      <c r="Y586">
        <v>4</v>
      </c>
      <c r="Z586">
        <v>91.31</v>
      </c>
      <c r="AA586">
        <v>4</v>
      </c>
      <c r="AB586">
        <v>33</v>
      </c>
      <c r="AC586">
        <v>40</v>
      </c>
      <c r="AD586" t="str">
        <v>Brian Ramirez</v>
      </c>
      <c r="AE586" t="str">
        <v>Resigned</v>
      </c>
      <c r="AF586">
        <v>674111.39999999991</v>
      </c>
    </row>
    <row r="587" spans="16:32" x14ac:dyDescent="0.25">
      <c r="P587" t="str">
        <v>EMP0584</v>
      </c>
      <c r="Q587" t="str">
        <v>Maria Byrd</v>
      </c>
      <c r="R587" t="str">
        <v>Marketing</v>
      </c>
      <c r="S587" t="str">
        <v>Brand Manager</v>
      </c>
      <c r="T587" t="str">
        <v>Male</v>
      </c>
      <c r="U587">
        <v>37</v>
      </c>
      <c r="V587">
        <v>42443</v>
      </c>
      <c r="W587" t="str">
        <v>Full-Time</v>
      </c>
      <c r="X587">
        <v>78165.45</v>
      </c>
      <c r="Y587">
        <v>2</v>
      </c>
      <c r="Z587">
        <v>86.39</v>
      </c>
      <c r="AA587">
        <v>9</v>
      </c>
      <c r="AB587">
        <v>17</v>
      </c>
      <c r="AC587">
        <v>22</v>
      </c>
      <c r="AD587" t="str">
        <v>Connie Lawrence</v>
      </c>
      <c r="AE587" t="str">
        <v>Active</v>
      </c>
      <c r="AF587">
        <v>937985.39999999991</v>
      </c>
    </row>
    <row r="588" spans="16:32" x14ac:dyDescent="0.25">
      <c r="P588" t="str">
        <v>EMP0585</v>
      </c>
      <c r="Q588" t="str">
        <v>Natalie Black</v>
      </c>
      <c r="R588" t="str">
        <v>Operations</v>
      </c>
      <c r="S588" t="str">
        <v>Operations Manager</v>
      </c>
      <c r="T588" t="str">
        <v>Female</v>
      </c>
      <c r="U588">
        <v>24</v>
      </c>
      <c r="V588">
        <v>43324</v>
      </c>
      <c r="W588" t="str">
        <v>Part-Time</v>
      </c>
      <c r="X588">
        <v>49166.41</v>
      </c>
      <c r="Y588">
        <v>1</v>
      </c>
      <c r="Z588">
        <v>90.28</v>
      </c>
      <c r="AA588">
        <v>7</v>
      </c>
      <c r="AB588">
        <v>80</v>
      </c>
      <c r="AC588">
        <v>11</v>
      </c>
      <c r="AD588" t="str">
        <v>Daniel Wagner</v>
      </c>
      <c r="AE588" t="str">
        <v>Active</v>
      </c>
      <c r="AF588">
        <v>589996.92000000004</v>
      </c>
    </row>
    <row r="589" spans="16:32" x14ac:dyDescent="0.25">
      <c r="P589" t="str">
        <v>EMP0586</v>
      </c>
      <c r="Q589" t="str">
        <v>Justin Mullen</v>
      </c>
      <c r="R589" t="str">
        <v>HR</v>
      </c>
      <c r="S589" t="str">
        <v>HR Manager</v>
      </c>
      <c r="T589" t="str">
        <v>Female</v>
      </c>
      <c r="U589">
        <v>41</v>
      </c>
      <c r="V589">
        <v>45732</v>
      </c>
      <c r="W589" t="str">
        <v>Contract</v>
      </c>
      <c r="X589">
        <v>99987.72</v>
      </c>
      <c r="Y589">
        <v>3</v>
      </c>
      <c r="Z589">
        <v>93.71</v>
      </c>
      <c r="AA589">
        <v>0</v>
      </c>
      <c r="AB589">
        <v>46</v>
      </c>
      <c r="AC589">
        <v>6</v>
      </c>
      <c r="AD589" t="str">
        <v>Derek Zuniga</v>
      </c>
      <c r="AE589" t="str">
        <v>Active</v>
      </c>
      <c r="AF589">
        <v>1199852.6400000001</v>
      </c>
    </row>
    <row r="590" spans="16:32" x14ac:dyDescent="0.25">
      <c r="P590" t="str">
        <v>EMP0587</v>
      </c>
      <c r="Q590" t="str">
        <v>Lori Lopez</v>
      </c>
      <c r="R590" t="str">
        <v>HR</v>
      </c>
      <c r="S590" t="str">
        <v>HR Officer</v>
      </c>
      <c r="T590" t="str">
        <v>Male</v>
      </c>
      <c r="U590">
        <v>54</v>
      </c>
      <c r="V590">
        <v>43743</v>
      </c>
      <c r="W590" t="str">
        <v>Part-Time</v>
      </c>
      <c r="X590">
        <v>57301.42</v>
      </c>
      <c r="Y590">
        <v>4</v>
      </c>
      <c r="Z590">
        <v>88.24</v>
      </c>
      <c r="AA590">
        <v>6</v>
      </c>
      <c r="AB590">
        <v>20</v>
      </c>
      <c r="AC590">
        <v>6</v>
      </c>
      <c r="AD590" t="str">
        <v>Abigail Shaffer</v>
      </c>
      <c r="AE590" t="str">
        <v>Active</v>
      </c>
      <c r="AF590">
        <v>687617.04</v>
      </c>
    </row>
    <row r="591" spans="16:32" x14ac:dyDescent="0.25">
      <c r="P591" t="str">
        <v>EMP0588</v>
      </c>
      <c r="Q591" t="str">
        <v>Omar Ware</v>
      </c>
      <c r="R591" t="str">
        <v>IT</v>
      </c>
      <c r="S591" t="str">
        <v>IT Support</v>
      </c>
      <c r="T591" t="str">
        <v>Male</v>
      </c>
      <c r="U591">
        <v>47</v>
      </c>
      <c r="V591">
        <v>44988</v>
      </c>
      <c r="W591" t="str">
        <v>Part-Time</v>
      </c>
      <c r="X591">
        <v>111603.12</v>
      </c>
      <c r="Y591">
        <v>1</v>
      </c>
      <c r="Z591">
        <v>96.38</v>
      </c>
      <c r="AA591">
        <v>2</v>
      </c>
      <c r="AB591">
        <v>2</v>
      </c>
      <c r="AC591">
        <v>30</v>
      </c>
      <c r="AD591" t="str">
        <v>Jamie Arnold</v>
      </c>
      <c r="AE591" t="str">
        <v>Active</v>
      </c>
      <c r="AF591">
        <v>1339237.44</v>
      </c>
    </row>
    <row r="592" spans="16:32" x14ac:dyDescent="0.25">
      <c r="P592" t="str">
        <v>EMP0589</v>
      </c>
      <c r="Q592" t="str">
        <v>Jasmine Bush</v>
      </c>
      <c r="R592" t="str">
        <v>Operations</v>
      </c>
      <c r="S592" t="str">
        <v>Operations Associate</v>
      </c>
      <c r="T592" t="str">
        <v>Female</v>
      </c>
      <c r="U592">
        <v>59</v>
      </c>
      <c r="V592">
        <v>45096</v>
      </c>
      <c r="W592" t="str">
        <v>Contract</v>
      </c>
      <c r="X592">
        <v>96358.95</v>
      </c>
      <c r="Y592">
        <v>3</v>
      </c>
      <c r="Z592">
        <v>83.44</v>
      </c>
      <c r="AA592">
        <v>2</v>
      </c>
      <c r="AB592">
        <v>38</v>
      </c>
      <c r="AC592">
        <v>1</v>
      </c>
      <c r="AD592" t="str">
        <v>Daniel Wagner</v>
      </c>
      <c r="AE592" t="str">
        <v>Active</v>
      </c>
      <c r="AF592">
        <v>1156307.3999999999</v>
      </c>
    </row>
    <row r="593" spans="16:32" x14ac:dyDescent="0.25">
      <c r="P593" t="str">
        <v>EMP0590</v>
      </c>
      <c r="Q593" t="str">
        <v>Michael Flynn</v>
      </c>
      <c r="R593" t="str">
        <v>HR</v>
      </c>
      <c r="S593" t="str">
        <v>HR Manager</v>
      </c>
      <c r="T593" t="str">
        <v>Male</v>
      </c>
      <c r="U593">
        <v>40</v>
      </c>
      <c r="V593">
        <v>43581</v>
      </c>
      <c r="W593" t="str">
        <v>Full-Time</v>
      </c>
      <c r="X593">
        <v>40984.1</v>
      </c>
      <c r="Y593">
        <v>1</v>
      </c>
      <c r="Z593">
        <v>88.5</v>
      </c>
      <c r="AA593">
        <v>6</v>
      </c>
      <c r="AB593">
        <v>14</v>
      </c>
      <c r="AC593">
        <v>4</v>
      </c>
      <c r="AD593" t="str">
        <v>Allison Hill</v>
      </c>
      <c r="AE593" t="str">
        <v>Active</v>
      </c>
      <c r="AF593">
        <v>491809.19999999995</v>
      </c>
    </row>
    <row r="594" spans="16:32" x14ac:dyDescent="0.25">
      <c r="P594" t="str">
        <v>EMP0591</v>
      </c>
      <c r="Q594" t="str">
        <v>Shane Lopez</v>
      </c>
      <c r="R594" t="str">
        <v>Customer Support</v>
      </c>
      <c r="S594" t="str">
        <v>Support Agent</v>
      </c>
      <c r="T594" t="str">
        <v>Male</v>
      </c>
      <c r="U594">
        <v>27</v>
      </c>
      <c r="V594">
        <v>45890</v>
      </c>
      <c r="W594" t="str">
        <v>Full-Time</v>
      </c>
      <c r="X594">
        <v>99305.52</v>
      </c>
      <c r="Y594">
        <v>5</v>
      </c>
      <c r="Z594">
        <v>91.86</v>
      </c>
      <c r="AA594">
        <v>0</v>
      </c>
      <c r="AB594">
        <v>60</v>
      </c>
      <c r="AC594">
        <v>7</v>
      </c>
      <c r="AD594" t="str">
        <v>Gabrielle Davis</v>
      </c>
      <c r="AE594" t="str">
        <v>Active</v>
      </c>
      <c r="AF594">
        <v>1191666.24</v>
      </c>
    </row>
    <row r="595" spans="16:32" x14ac:dyDescent="0.25">
      <c r="P595" t="str">
        <v>EMP0592</v>
      </c>
      <c r="Q595" t="str">
        <v>Brian Lambert</v>
      </c>
      <c r="R595" t="str">
        <v>Finance</v>
      </c>
      <c r="S595" t="str">
        <v>Finance Manager</v>
      </c>
      <c r="T595" t="str">
        <v>Male</v>
      </c>
      <c r="U595">
        <v>27</v>
      </c>
      <c r="V595">
        <v>44328</v>
      </c>
      <c r="W595" t="str">
        <v>Full-Time</v>
      </c>
      <c r="X595">
        <v>112009.81</v>
      </c>
      <c r="Y595">
        <v>2</v>
      </c>
      <c r="Z595">
        <v>91.75</v>
      </c>
      <c r="AA595">
        <v>4</v>
      </c>
      <c r="AB595">
        <v>25</v>
      </c>
      <c r="AC595">
        <v>11</v>
      </c>
      <c r="AD595" t="str">
        <v>Jamie Arnold</v>
      </c>
      <c r="AE595" t="str">
        <v>Active</v>
      </c>
      <c r="AF595">
        <v>1344117.72</v>
      </c>
    </row>
    <row r="596" spans="16:32" x14ac:dyDescent="0.25">
      <c r="P596" t="str">
        <v>EMP0593</v>
      </c>
      <c r="Q596" t="str">
        <v>Margaret Harper</v>
      </c>
      <c r="R596" t="str">
        <v>HR</v>
      </c>
      <c r="S596" t="str">
        <v>HR Manager</v>
      </c>
      <c r="T596" t="str">
        <v>Female</v>
      </c>
      <c r="U596">
        <v>58</v>
      </c>
      <c r="V596">
        <v>45344</v>
      </c>
      <c r="W596" t="str">
        <v>Part-Time</v>
      </c>
      <c r="X596">
        <v>55220.33</v>
      </c>
      <c r="Y596">
        <v>5</v>
      </c>
      <c r="Z596">
        <v>95.62</v>
      </c>
      <c r="AA596">
        <v>1</v>
      </c>
      <c r="AB596">
        <v>78</v>
      </c>
      <c r="AC596">
        <v>15</v>
      </c>
      <c r="AD596" t="str">
        <v>Holly Wood</v>
      </c>
      <c r="AE596" t="str">
        <v>Active</v>
      </c>
      <c r="AF596">
        <v>662643.96</v>
      </c>
    </row>
    <row r="597" spans="16:32" x14ac:dyDescent="0.25">
      <c r="P597" t="str">
        <v>EMP0594</v>
      </c>
      <c r="Q597" t="str">
        <v>Hannah Bruce</v>
      </c>
      <c r="R597" t="str">
        <v>Marketing</v>
      </c>
      <c r="S597" t="str">
        <v>Content Specialist</v>
      </c>
      <c r="T597" t="str">
        <v>Male</v>
      </c>
      <c r="U597">
        <v>54</v>
      </c>
      <c r="V597">
        <v>44742</v>
      </c>
      <c r="W597" t="str">
        <v>Full-Time</v>
      </c>
      <c r="X597">
        <v>91581.16</v>
      </c>
      <c r="Y597">
        <v>3</v>
      </c>
      <c r="Z597">
        <v>83.44</v>
      </c>
      <c r="AA597">
        <v>3</v>
      </c>
      <c r="AB597">
        <v>68</v>
      </c>
      <c r="AC597">
        <v>0</v>
      </c>
      <c r="AD597" t="str">
        <v>Daniel Wagner</v>
      </c>
      <c r="AE597" t="str">
        <v>Resigned</v>
      </c>
      <c r="AF597">
        <v>1098973.92</v>
      </c>
    </row>
    <row r="598" spans="16:32" x14ac:dyDescent="0.25">
      <c r="P598" t="str">
        <v>EMP0595</v>
      </c>
      <c r="Q598" t="str">
        <v>Michele Evans</v>
      </c>
      <c r="R598" t="str">
        <v>R&amp;D</v>
      </c>
      <c r="S598" t="str">
        <v>Product Developer</v>
      </c>
      <c r="T598" t="str">
        <v>Male</v>
      </c>
      <c r="U598">
        <v>49</v>
      </c>
      <c r="V598">
        <v>43375</v>
      </c>
      <c r="W598" t="str">
        <v>Contract</v>
      </c>
      <c r="X598">
        <v>115774.77</v>
      </c>
      <c r="Y598">
        <v>2</v>
      </c>
      <c r="Z598">
        <v>96.69</v>
      </c>
      <c r="AA598">
        <v>7</v>
      </c>
      <c r="AB598">
        <v>48</v>
      </c>
      <c r="AC598">
        <v>27</v>
      </c>
      <c r="AD598" t="str">
        <v>Abigail Shaffer</v>
      </c>
      <c r="AE598" t="str">
        <v>Active</v>
      </c>
      <c r="AF598">
        <v>1389297.24</v>
      </c>
    </row>
    <row r="599" spans="16:32" x14ac:dyDescent="0.25">
      <c r="P599" t="str">
        <v>EMP0596</v>
      </c>
      <c r="Q599" t="str">
        <v>Emily Allen</v>
      </c>
      <c r="R599" t="str">
        <v>Customer Support</v>
      </c>
      <c r="S599" t="str">
        <v>Support Agent</v>
      </c>
      <c r="T599" t="str">
        <v>Female</v>
      </c>
      <c r="U599">
        <v>28</v>
      </c>
      <c r="V599">
        <v>42829</v>
      </c>
      <c r="W599" t="str">
        <v>Part-Time</v>
      </c>
      <c r="X599">
        <v>31031.62</v>
      </c>
      <c r="Y599">
        <v>2</v>
      </c>
      <c r="Z599">
        <v>89.92</v>
      </c>
      <c r="AA599">
        <v>8</v>
      </c>
      <c r="AB599">
        <v>46</v>
      </c>
      <c r="AC599">
        <v>45</v>
      </c>
      <c r="AD599" t="str">
        <v>Ryan Munoz</v>
      </c>
      <c r="AE599" t="str">
        <v>Active</v>
      </c>
      <c r="AF599">
        <v>372379.44</v>
      </c>
    </row>
    <row r="600" spans="16:32" x14ac:dyDescent="0.25">
      <c r="P600" t="str">
        <v>EMP0597</v>
      </c>
      <c r="Q600" t="str">
        <v>Michael Dixon</v>
      </c>
      <c r="R600" t="str">
        <v>Sales</v>
      </c>
      <c r="S600" t="str">
        <v>Sales Rep</v>
      </c>
      <c r="T600" t="str">
        <v>Female</v>
      </c>
      <c r="U600">
        <v>52</v>
      </c>
      <c r="V600">
        <v>43029</v>
      </c>
      <c r="W600" t="str">
        <v>Full-Time</v>
      </c>
      <c r="X600">
        <v>58478.11</v>
      </c>
      <c r="Y600">
        <v>4</v>
      </c>
      <c r="Z600">
        <v>92.01</v>
      </c>
      <c r="AA600">
        <v>8</v>
      </c>
      <c r="AB600">
        <v>39</v>
      </c>
      <c r="AC600">
        <v>43</v>
      </c>
      <c r="AD600" t="str">
        <v>Dylan Miller</v>
      </c>
      <c r="AE600" t="str">
        <v>Active</v>
      </c>
      <c r="AF600">
        <v>701737.32000000007</v>
      </c>
    </row>
    <row r="601" spans="16:32" x14ac:dyDescent="0.25">
      <c r="P601" t="str">
        <v>EMP0598</v>
      </c>
      <c r="Q601" t="str">
        <v>Laura Henderson</v>
      </c>
      <c r="R601" t="str">
        <v>Customer Support</v>
      </c>
      <c r="S601" t="str">
        <v>Team Lead</v>
      </c>
      <c r="T601" t="str">
        <v>Female</v>
      </c>
      <c r="U601">
        <v>33</v>
      </c>
      <c r="V601">
        <v>44901</v>
      </c>
      <c r="W601" t="str">
        <v>Full-Time</v>
      </c>
      <c r="X601">
        <v>109475.46</v>
      </c>
      <c r="Y601">
        <v>4</v>
      </c>
      <c r="Z601">
        <v>98.78</v>
      </c>
      <c r="AA601">
        <v>3</v>
      </c>
      <c r="AB601">
        <v>47</v>
      </c>
      <c r="AC601">
        <v>11</v>
      </c>
      <c r="AD601" t="str">
        <v>Allison Hill</v>
      </c>
      <c r="AE601" t="str">
        <v>Resigned</v>
      </c>
      <c r="AF601">
        <v>1313705.52</v>
      </c>
    </row>
    <row r="602" spans="16:32" x14ac:dyDescent="0.25">
      <c r="P602" t="str">
        <v>EMP0599</v>
      </c>
      <c r="Q602" t="str">
        <v>Melissa Brewer</v>
      </c>
      <c r="R602" t="str">
        <v>R&amp;D</v>
      </c>
      <c r="S602" t="str">
        <v>Researcher</v>
      </c>
      <c r="T602" t="str">
        <v>Female</v>
      </c>
      <c r="U602">
        <v>49</v>
      </c>
      <c r="V602">
        <v>45327</v>
      </c>
      <c r="W602" t="str">
        <v>Contract</v>
      </c>
      <c r="X602">
        <v>85854.83</v>
      </c>
      <c r="Y602">
        <v>1</v>
      </c>
      <c r="Z602">
        <v>82.38</v>
      </c>
      <c r="AA602">
        <v>1</v>
      </c>
      <c r="AB602">
        <v>50</v>
      </c>
      <c r="AC602">
        <v>25</v>
      </c>
      <c r="AD602" t="str">
        <v>Lisa Jackson</v>
      </c>
      <c r="AE602" t="str">
        <v>Resigned</v>
      </c>
      <c r="AF602">
        <v>1030257.96</v>
      </c>
    </row>
    <row r="603" spans="16:32" x14ac:dyDescent="0.25">
      <c r="P603" t="str">
        <v>EMP0600</v>
      </c>
      <c r="Q603" t="str">
        <v>Katherine Taylor</v>
      </c>
      <c r="R603" t="str">
        <v>HR</v>
      </c>
      <c r="S603" t="str">
        <v>HR Officer</v>
      </c>
      <c r="T603" t="str">
        <v>Female</v>
      </c>
      <c r="U603">
        <v>33</v>
      </c>
      <c r="V603">
        <v>43379</v>
      </c>
      <c r="W603" t="str">
        <v>Part-Time</v>
      </c>
      <c r="X603">
        <v>40026.35</v>
      </c>
      <c r="Y603">
        <v>4</v>
      </c>
      <c r="Z603">
        <v>82.46</v>
      </c>
      <c r="AA603">
        <v>7</v>
      </c>
      <c r="AB603">
        <v>54</v>
      </c>
      <c r="AC603">
        <v>46</v>
      </c>
      <c r="AD603" t="str">
        <v>Brian Ramirez</v>
      </c>
      <c r="AE603" t="str">
        <v>Active</v>
      </c>
      <c r="AF603">
        <v>480316.19999999995</v>
      </c>
    </row>
    <row r="604" spans="16:32" x14ac:dyDescent="0.25">
      <c r="P604" t="str">
        <v>EMP0601</v>
      </c>
      <c r="Q604" t="str">
        <v>Lisa Glenn</v>
      </c>
      <c r="R604" t="str">
        <v>Finance</v>
      </c>
      <c r="S604" t="str">
        <v>Finance Manager</v>
      </c>
      <c r="T604" t="str">
        <v>Female</v>
      </c>
      <c r="U604">
        <v>43</v>
      </c>
      <c r="V604">
        <v>44257</v>
      </c>
      <c r="W604" t="str">
        <v>Part-Time</v>
      </c>
      <c r="X604">
        <v>86667.7</v>
      </c>
      <c r="Y604">
        <v>4</v>
      </c>
      <c r="Z604">
        <v>99.75</v>
      </c>
      <c r="AA604">
        <v>4</v>
      </c>
      <c r="AB604">
        <v>65</v>
      </c>
      <c r="AC604">
        <v>17</v>
      </c>
      <c r="AD604" t="str">
        <v>Cristian Santos</v>
      </c>
      <c r="AE604" t="str">
        <v>Active</v>
      </c>
      <c r="AF604">
        <v>1040012.3999999999</v>
      </c>
    </row>
    <row r="605" spans="16:32" x14ac:dyDescent="0.25">
      <c r="P605" t="str">
        <v>EMP0602</v>
      </c>
      <c r="Q605" t="str">
        <v>Mr. James Hoffman</v>
      </c>
      <c r="R605" t="str">
        <v>Marketing</v>
      </c>
      <c r="S605" t="str">
        <v>Marketing Analyst</v>
      </c>
      <c r="T605" t="str">
        <v>Female</v>
      </c>
      <c r="U605">
        <v>52</v>
      </c>
      <c r="V605">
        <v>42362</v>
      </c>
      <c r="W605" t="str">
        <v>Part-Time</v>
      </c>
      <c r="X605">
        <v>43082.18</v>
      </c>
      <c r="Y605">
        <v>2</v>
      </c>
      <c r="Z605">
        <v>80.59</v>
      </c>
      <c r="AA605">
        <v>10</v>
      </c>
      <c r="AB605">
        <v>6</v>
      </c>
      <c r="AC605">
        <v>53</v>
      </c>
      <c r="AD605" t="str">
        <v>Angie Henderson</v>
      </c>
      <c r="AE605" t="str">
        <v>Active</v>
      </c>
      <c r="AF605">
        <v>516986.16000000003</v>
      </c>
    </row>
    <row r="606" spans="16:32" x14ac:dyDescent="0.25">
      <c r="P606" t="str">
        <v>EMP0603</v>
      </c>
      <c r="Q606" t="str">
        <v>John Mckinney</v>
      </c>
      <c r="R606" t="str">
        <v>Sales</v>
      </c>
      <c r="S606" t="str">
        <v>Sales Rep</v>
      </c>
      <c r="T606" t="str">
        <v>Female</v>
      </c>
      <c r="U606">
        <v>59</v>
      </c>
      <c r="V606">
        <v>45378</v>
      </c>
      <c r="W606" t="str">
        <v>Contract</v>
      </c>
      <c r="X606">
        <v>52695.59</v>
      </c>
      <c r="Y606">
        <v>3</v>
      </c>
      <c r="Z606">
        <v>92.44</v>
      </c>
      <c r="AA606">
        <v>1</v>
      </c>
      <c r="AB606">
        <v>12</v>
      </c>
      <c r="AC606">
        <v>48</v>
      </c>
      <c r="AD606" t="str">
        <v>Angie Henderson</v>
      </c>
      <c r="AE606" t="str">
        <v>Active</v>
      </c>
      <c r="AF606">
        <v>632347.07999999996</v>
      </c>
    </row>
    <row r="607" spans="16:32" x14ac:dyDescent="0.25">
      <c r="P607" t="str">
        <v>EMP0604</v>
      </c>
      <c r="Q607" t="str">
        <v>Bradley Johnson DDS</v>
      </c>
      <c r="R607" t="str">
        <v>R&amp;D</v>
      </c>
      <c r="S607" t="str">
        <v>Product Developer</v>
      </c>
      <c r="T607" t="str">
        <v>Male</v>
      </c>
      <c r="U607">
        <v>39</v>
      </c>
      <c r="V607">
        <v>45060</v>
      </c>
      <c r="W607" t="str">
        <v>Contract</v>
      </c>
      <c r="X607">
        <v>69789.899999999994</v>
      </c>
      <c r="Y607">
        <v>5</v>
      </c>
      <c r="Z607">
        <v>85.23</v>
      </c>
      <c r="AA607">
        <v>2</v>
      </c>
      <c r="AB607">
        <v>43</v>
      </c>
      <c r="AC607">
        <v>51</v>
      </c>
      <c r="AD607" t="str">
        <v>Derek Zuniga</v>
      </c>
      <c r="AE607" t="str">
        <v>Active</v>
      </c>
      <c r="AF607">
        <v>837478.79999999993</v>
      </c>
    </row>
    <row r="608" spans="16:32" x14ac:dyDescent="0.25">
      <c r="P608" t="str">
        <v>EMP0605</v>
      </c>
      <c r="Q608" t="str">
        <v>Danny Roberts</v>
      </c>
      <c r="R608" t="str">
        <v>Sales</v>
      </c>
      <c r="S608" t="str">
        <v>Sales Manager</v>
      </c>
      <c r="T608" t="str">
        <v>Male</v>
      </c>
      <c r="U608">
        <v>45</v>
      </c>
      <c r="V608">
        <v>44117</v>
      </c>
      <c r="W608" t="str">
        <v>Part-Time</v>
      </c>
      <c r="X608">
        <v>51455.92</v>
      </c>
      <c r="Y608">
        <v>4</v>
      </c>
      <c r="Z608">
        <v>88.85</v>
      </c>
      <c r="AA608">
        <v>5</v>
      </c>
      <c r="AB608">
        <v>4</v>
      </c>
      <c r="AC608">
        <v>2</v>
      </c>
      <c r="AD608" t="str">
        <v>Connie Lawrence</v>
      </c>
      <c r="AE608" t="str">
        <v>Active</v>
      </c>
      <c r="AF608">
        <v>617471.04</v>
      </c>
    </row>
    <row r="609" spans="16:32" x14ac:dyDescent="0.25">
      <c r="P609" t="str">
        <v>EMP0606</v>
      </c>
      <c r="Q609" t="str">
        <v>Patricia Simpson</v>
      </c>
      <c r="R609" t="str">
        <v>Finance</v>
      </c>
      <c r="S609" t="str">
        <v>Finance Manager</v>
      </c>
      <c r="T609" t="str">
        <v>Male</v>
      </c>
      <c r="U609">
        <v>52</v>
      </c>
      <c r="V609">
        <v>45144</v>
      </c>
      <c r="W609" t="str">
        <v>Part-Time</v>
      </c>
      <c r="X609">
        <v>33448.82</v>
      </c>
      <c r="Y609">
        <v>4</v>
      </c>
      <c r="Z609">
        <v>89.75</v>
      </c>
      <c r="AA609">
        <v>2</v>
      </c>
      <c r="AB609">
        <v>14</v>
      </c>
      <c r="AC609">
        <v>36</v>
      </c>
      <c r="AD609" t="str">
        <v>Brian Ramirez</v>
      </c>
      <c r="AE609" t="str">
        <v>Active</v>
      </c>
      <c r="AF609">
        <v>401385.83999999997</v>
      </c>
    </row>
    <row r="610" spans="16:32" x14ac:dyDescent="0.25">
      <c r="P610" t="str">
        <v>EMP0607</v>
      </c>
      <c r="Q610" t="str">
        <v>Brian Hampton</v>
      </c>
      <c r="R610" t="str">
        <v>R&amp;D</v>
      </c>
      <c r="S610" t="str">
        <v>Product Developer</v>
      </c>
      <c r="T610" t="str">
        <v>Male</v>
      </c>
      <c r="U610">
        <v>53</v>
      </c>
      <c r="V610">
        <v>45477</v>
      </c>
      <c r="W610" t="str">
        <v>Full-Time</v>
      </c>
      <c r="X610">
        <v>59138.48</v>
      </c>
      <c r="Y610">
        <v>4</v>
      </c>
      <c r="Z610">
        <v>91.82</v>
      </c>
      <c r="AA610">
        <v>1</v>
      </c>
      <c r="AB610">
        <v>48</v>
      </c>
      <c r="AC610">
        <v>39</v>
      </c>
      <c r="AD610" t="str">
        <v>Jamie Arnold</v>
      </c>
      <c r="AE610" t="str">
        <v>Active</v>
      </c>
      <c r="AF610">
        <v>709661.76</v>
      </c>
    </row>
    <row r="611" spans="16:32" x14ac:dyDescent="0.25">
      <c r="P611" t="str">
        <v>EMP0608</v>
      </c>
      <c r="Q611" t="str">
        <v>Nicole Wolf</v>
      </c>
      <c r="R611" t="str">
        <v>Finance</v>
      </c>
      <c r="S611" t="str">
        <v>Financial Analyst</v>
      </c>
      <c r="T611" t="str">
        <v>Male</v>
      </c>
      <c r="U611">
        <v>22</v>
      </c>
      <c r="V611">
        <v>44582</v>
      </c>
      <c r="W611" t="str">
        <v>Contract</v>
      </c>
      <c r="X611">
        <v>24511.85</v>
      </c>
      <c r="Y611">
        <v>3</v>
      </c>
      <c r="Z611">
        <v>86.98</v>
      </c>
      <c r="AA611">
        <v>3</v>
      </c>
      <c r="AB611">
        <v>74</v>
      </c>
      <c r="AC611">
        <v>1</v>
      </c>
      <c r="AD611" t="str">
        <v>Monica Herrera</v>
      </c>
      <c r="AE611" t="str">
        <v>Active</v>
      </c>
      <c r="AF611">
        <v>294142.19999999995</v>
      </c>
    </row>
    <row r="612" spans="16:32" x14ac:dyDescent="0.25">
      <c r="P612" t="str">
        <v>EMP0609</v>
      </c>
      <c r="Q612" t="str">
        <v>Wanda Garcia</v>
      </c>
      <c r="R612" t="str">
        <v>Customer Support</v>
      </c>
      <c r="S612" t="str">
        <v>Team Lead</v>
      </c>
      <c r="T612" t="str">
        <v>Female</v>
      </c>
      <c r="U612">
        <v>47</v>
      </c>
      <c r="V612">
        <v>45045</v>
      </c>
      <c r="W612" t="str">
        <v>Part-Time</v>
      </c>
      <c r="X612">
        <v>25644.92</v>
      </c>
      <c r="Y612">
        <v>2</v>
      </c>
      <c r="Z612">
        <v>84.95</v>
      </c>
      <c r="AA612">
        <v>2</v>
      </c>
      <c r="AB612">
        <v>39</v>
      </c>
      <c r="AC612">
        <v>37</v>
      </c>
      <c r="AD612" t="str">
        <v>Angie Henderson</v>
      </c>
      <c r="AE612" t="str">
        <v>Resigned</v>
      </c>
      <c r="AF612">
        <v>307739.03999999998</v>
      </c>
    </row>
    <row r="613" spans="16:32" x14ac:dyDescent="0.25">
      <c r="P613" t="str">
        <v>EMP0610</v>
      </c>
      <c r="Q613" t="str">
        <v>Zachary Cole</v>
      </c>
      <c r="R613" t="str">
        <v>Marketing</v>
      </c>
      <c r="S613" t="str">
        <v>Brand Manager</v>
      </c>
      <c r="T613" t="str">
        <v>Male</v>
      </c>
      <c r="U613">
        <v>42</v>
      </c>
      <c r="V613">
        <v>43841</v>
      </c>
      <c r="W613" t="str">
        <v>Full-Time</v>
      </c>
      <c r="X613">
        <v>21971.200000000001</v>
      </c>
      <c r="Y613">
        <v>3</v>
      </c>
      <c r="Z613">
        <v>80.75</v>
      </c>
      <c r="AA613">
        <v>5</v>
      </c>
      <c r="AB613">
        <v>54</v>
      </c>
      <c r="AC613">
        <v>36</v>
      </c>
      <c r="AD613" t="str">
        <v>Holly Wood</v>
      </c>
      <c r="AE613" t="str">
        <v>Resigned</v>
      </c>
      <c r="AF613">
        <v>263654.40000000002</v>
      </c>
    </row>
    <row r="614" spans="16:32" x14ac:dyDescent="0.25">
      <c r="P614" t="str">
        <v>EMP0611</v>
      </c>
      <c r="Q614" t="str">
        <v>Angie Grimes</v>
      </c>
      <c r="R614" t="str">
        <v>Finance</v>
      </c>
      <c r="S614" t="str">
        <v>Accountant</v>
      </c>
      <c r="T614" t="str">
        <v>Female</v>
      </c>
      <c r="U614">
        <v>58</v>
      </c>
      <c r="V614">
        <v>44468</v>
      </c>
      <c r="W614" t="str">
        <v>Full-Time</v>
      </c>
      <c r="X614">
        <v>118576.48</v>
      </c>
      <c r="Y614">
        <v>4</v>
      </c>
      <c r="Z614">
        <v>91.41</v>
      </c>
      <c r="AA614">
        <v>4</v>
      </c>
      <c r="AB614">
        <v>41</v>
      </c>
      <c r="AC614">
        <v>36</v>
      </c>
      <c r="AD614" t="str">
        <v>Daniel Wagner</v>
      </c>
      <c r="AE614" t="str">
        <v>Active</v>
      </c>
      <c r="AF614">
        <v>1422917.76</v>
      </c>
    </row>
    <row r="615" spans="16:32" x14ac:dyDescent="0.25">
      <c r="P615" t="str">
        <v>EMP0612</v>
      </c>
      <c r="Q615" t="str">
        <v>Cynthia Cochran</v>
      </c>
      <c r="R615" t="str">
        <v>Marketing</v>
      </c>
      <c r="S615" t="str">
        <v>Content Specialist</v>
      </c>
      <c r="T615" t="str">
        <v>Male</v>
      </c>
      <c r="U615">
        <v>42</v>
      </c>
      <c r="V615">
        <v>43032</v>
      </c>
      <c r="W615" t="str">
        <v>Part-Time</v>
      </c>
      <c r="X615">
        <v>70276.850000000006</v>
      </c>
      <c r="Y615">
        <v>3</v>
      </c>
      <c r="Z615">
        <v>83.33</v>
      </c>
      <c r="AA615">
        <v>8</v>
      </c>
      <c r="AB615">
        <v>38</v>
      </c>
      <c r="AC615">
        <v>23</v>
      </c>
      <c r="AD615" t="str">
        <v>Michele Williams</v>
      </c>
      <c r="AE615" t="str">
        <v>Active</v>
      </c>
      <c r="AF615">
        <v>843322.20000000007</v>
      </c>
    </row>
    <row r="616" spans="16:32" x14ac:dyDescent="0.25">
      <c r="P616" t="str">
        <v>EMP0613</v>
      </c>
      <c r="Q616" t="str">
        <v>Lisa Patterson</v>
      </c>
      <c r="R616" t="str">
        <v>Marketing</v>
      </c>
      <c r="S616" t="str">
        <v>Content Specialist</v>
      </c>
      <c r="T616" t="str">
        <v>Male</v>
      </c>
      <c r="U616">
        <v>39</v>
      </c>
      <c r="V616">
        <v>44481</v>
      </c>
      <c r="W616" t="str">
        <v>Part-Time</v>
      </c>
      <c r="X616">
        <v>24753.14</v>
      </c>
      <c r="Y616">
        <v>5</v>
      </c>
      <c r="Z616">
        <v>88.04</v>
      </c>
      <c r="AA616">
        <v>4</v>
      </c>
      <c r="AB616">
        <v>28</v>
      </c>
      <c r="AC616">
        <v>39</v>
      </c>
      <c r="AD616" t="str">
        <v>Angie Henderson</v>
      </c>
      <c r="AE616" t="str">
        <v>Active</v>
      </c>
      <c r="AF616">
        <v>297037.68</v>
      </c>
    </row>
    <row r="617" spans="16:32" x14ac:dyDescent="0.25">
      <c r="P617" t="str">
        <v>EMP0614</v>
      </c>
      <c r="Q617" t="str">
        <v>Robin Trujillo</v>
      </c>
      <c r="R617" t="str">
        <v>Marketing</v>
      </c>
      <c r="S617" t="str">
        <v>Content Specialist</v>
      </c>
      <c r="T617" t="str">
        <v>Female</v>
      </c>
      <c r="U617">
        <v>38</v>
      </c>
      <c r="V617">
        <v>43168</v>
      </c>
      <c r="W617" t="str">
        <v>Full-Time</v>
      </c>
      <c r="X617">
        <v>76642.83</v>
      </c>
      <c r="Y617">
        <v>5</v>
      </c>
      <c r="Z617">
        <v>89.51</v>
      </c>
      <c r="AA617">
        <v>7</v>
      </c>
      <c r="AB617">
        <v>26</v>
      </c>
      <c r="AC617">
        <v>22</v>
      </c>
      <c r="AD617" t="str">
        <v>Angie Henderson</v>
      </c>
      <c r="AE617" t="str">
        <v>Active</v>
      </c>
      <c r="AF617">
        <v>919713.96</v>
      </c>
    </row>
    <row r="618" spans="16:32" x14ac:dyDescent="0.25">
      <c r="P618" t="str">
        <v>EMP0615</v>
      </c>
      <c r="Q618" t="str">
        <v>Douglas Ryan</v>
      </c>
      <c r="R618" t="str">
        <v>Finance</v>
      </c>
      <c r="S618" t="str">
        <v>Finance Manager</v>
      </c>
      <c r="T618" t="str">
        <v>Female</v>
      </c>
      <c r="U618">
        <v>48</v>
      </c>
      <c r="V618">
        <v>45845</v>
      </c>
      <c r="W618" t="str">
        <v>Contract</v>
      </c>
      <c r="X618">
        <v>73994.759999999995</v>
      </c>
      <c r="Y618">
        <v>2</v>
      </c>
      <c r="Z618">
        <v>88.29</v>
      </c>
      <c r="AA618">
        <v>0</v>
      </c>
      <c r="AB618">
        <v>32</v>
      </c>
      <c r="AC618">
        <v>39</v>
      </c>
      <c r="AD618" t="str">
        <v>Holly Wood</v>
      </c>
      <c r="AE618" t="str">
        <v>Active</v>
      </c>
      <c r="AF618">
        <v>887937.11999999988</v>
      </c>
    </row>
    <row r="619" spans="16:32" x14ac:dyDescent="0.25">
      <c r="P619" t="str">
        <v>EMP0616</v>
      </c>
      <c r="Q619" t="str">
        <v>Eileen Armstrong</v>
      </c>
      <c r="R619" t="str">
        <v>HR</v>
      </c>
      <c r="S619" t="str">
        <v>HR Officer</v>
      </c>
      <c r="T619" t="str">
        <v>Male</v>
      </c>
      <c r="U619">
        <v>57</v>
      </c>
      <c r="V619">
        <v>44314</v>
      </c>
      <c r="W619" t="str">
        <v>Part-Time</v>
      </c>
      <c r="X619">
        <v>41295.279999999999</v>
      </c>
      <c r="Y619">
        <v>4</v>
      </c>
      <c r="Z619">
        <v>85.36</v>
      </c>
      <c r="AA619">
        <v>4</v>
      </c>
      <c r="AB619">
        <v>68</v>
      </c>
      <c r="AC619">
        <v>51</v>
      </c>
      <c r="AD619" t="str">
        <v>Carla Gray</v>
      </c>
      <c r="AE619" t="str">
        <v>Resigned</v>
      </c>
      <c r="AF619">
        <v>495543.36</v>
      </c>
    </row>
    <row r="620" spans="16:32" x14ac:dyDescent="0.25">
      <c r="P620" t="str">
        <v>EMP0617</v>
      </c>
      <c r="Q620" t="str">
        <v>Miss Anna Estes</v>
      </c>
      <c r="R620" t="str">
        <v>Customer Support</v>
      </c>
      <c r="S620" t="str">
        <v>Support Agent</v>
      </c>
      <c r="T620" t="str">
        <v>Male</v>
      </c>
      <c r="U620">
        <v>44</v>
      </c>
      <c r="V620">
        <v>45499</v>
      </c>
      <c r="W620" t="str">
        <v>Part-Time</v>
      </c>
      <c r="X620">
        <v>34774.370000000003</v>
      </c>
      <c r="Y620">
        <v>2</v>
      </c>
      <c r="Z620">
        <v>94.93</v>
      </c>
      <c r="AA620">
        <v>1</v>
      </c>
      <c r="AB620">
        <v>38</v>
      </c>
      <c r="AC620">
        <v>54</v>
      </c>
      <c r="AD620" t="str">
        <v>Michele Williams</v>
      </c>
      <c r="AE620" t="str">
        <v>Active</v>
      </c>
      <c r="AF620">
        <v>417292.44000000006</v>
      </c>
    </row>
    <row r="621" spans="16:32" x14ac:dyDescent="0.25">
      <c r="P621" t="str">
        <v>EMP0618</v>
      </c>
      <c r="Q621" t="str">
        <v>Wendy Camacho</v>
      </c>
      <c r="R621" t="str">
        <v>Marketing</v>
      </c>
      <c r="S621" t="str">
        <v>Content Specialist</v>
      </c>
      <c r="T621" t="str">
        <v>Male</v>
      </c>
      <c r="U621">
        <v>47</v>
      </c>
      <c r="V621">
        <v>44860</v>
      </c>
      <c r="W621" t="str">
        <v>Part-Time</v>
      </c>
      <c r="X621">
        <v>102371.07</v>
      </c>
      <c r="Y621">
        <v>2</v>
      </c>
      <c r="Z621">
        <v>85.13</v>
      </c>
      <c r="AA621">
        <v>3</v>
      </c>
      <c r="AB621">
        <v>76</v>
      </c>
      <c r="AC621">
        <v>15</v>
      </c>
      <c r="AD621" t="str">
        <v>Lisa Hensley</v>
      </c>
      <c r="AE621" t="str">
        <v>Active</v>
      </c>
      <c r="AF621">
        <v>1228452.8400000001</v>
      </c>
    </row>
    <row r="622" spans="16:32" x14ac:dyDescent="0.25">
      <c r="P622" t="str">
        <v>EMP0619</v>
      </c>
      <c r="Q622" t="str">
        <v>Brandi Thomas</v>
      </c>
      <c r="R622" t="str">
        <v>HR</v>
      </c>
      <c r="S622" t="str">
        <v>HR Officer</v>
      </c>
      <c r="T622" t="str">
        <v>Male</v>
      </c>
      <c r="U622">
        <v>36</v>
      </c>
      <c r="V622">
        <v>43091</v>
      </c>
      <c r="W622" t="str">
        <v>Part-Time</v>
      </c>
      <c r="X622">
        <v>66415.97</v>
      </c>
      <c r="Y622">
        <v>5</v>
      </c>
      <c r="Z622">
        <v>99.83</v>
      </c>
      <c r="AA622">
        <v>8</v>
      </c>
      <c r="AB622">
        <v>54</v>
      </c>
      <c r="AC622">
        <v>41</v>
      </c>
      <c r="AD622" t="str">
        <v>Noah Rhodes</v>
      </c>
      <c r="AE622" t="str">
        <v>Active</v>
      </c>
      <c r="AF622">
        <v>796991.64</v>
      </c>
    </row>
    <row r="623" spans="16:32" x14ac:dyDescent="0.25">
      <c r="P623" t="str">
        <v>EMP0620</v>
      </c>
      <c r="Q623" t="str">
        <v>Pam Lowe</v>
      </c>
      <c r="R623" t="str">
        <v>Finance</v>
      </c>
      <c r="S623" t="str">
        <v>Accountant</v>
      </c>
      <c r="T623" t="str">
        <v>Male</v>
      </c>
      <c r="U623">
        <v>37</v>
      </c>
      <c r="V623">
        <v>44304</v>
      </c>
      <c r="W623" t="str">
        <v>Part-Time</v>
      </c>
      <c r="X623">
        <v>85867.07</v>
      </c>
      <c r="Y623">
        <v>2</v>
      </c>
      <c r="Z623">
        <v>92.89</v>
      </c>
      <c r="AA623">
        <v>4</v>
      </c>
      <c r="AB623">
        <v>5</v>
      </c>
      <c r="AC623">
        <v>46</v>
      </c>
      <c r="AD623" t="str">
        <v>Brian Ramirez</v>
      </c>
      <c r="AE623" t="str">
        <v>Active</v>
      </c>
      <c r="AF623">
        <v>1030404.8400000001</v>
      </c>
    </row>
    <row r="624" spans="16:32" x14ac:dyDescent="0.25">
      <c r="P624" t="str">
        <v>EMP0621</v>
      </c>
      <c r="Q624" t="str">
        <v>Mark Burton</v>
      </c>
      <c r="R624" t="str">
        <v>Sales</v>
      </c>
      <c r="S624" t="str">
        <v>Sales Rep</v>
      </c>
      <c r="T624" t="str">
        <v>Female</v>
      </c>
      <c r="U624">
        <v>59</v>
      </c>
      <c r="V624">
        <v>45344</v>
      </c>
      <c r="W624" t="str">
        <v>Part-Time</v>
      </c>
      <c r="X624">
        <v>106717.18</v>
      </c>
      <c r="Y624">
        <v>4</v>
      </c>
      <c r="Z624">
        <v>97.94</v>
      </c>
      <c r="AA624">
        <v>1</v>
      </c>
      <c r="AB624">
        <v>11</v>
      </c>
      <c r="AC624">
        <v>25</v>
      </c>
      <c r="AD624" t="str">
        <v>Cristian Santos</v>
      </c>
      <c r="AE624" t="str">
        <v>Active</v>
      </c>
      <c r="AF624">
        <v>1280606.1599999999</v>
      </c>
    </row>
    <row r="625" spans="16:32" x14ac:dyDescent="0.25">
      <c r="P625" t="str">
        <v>EMP0622</v>
      </c>
      <c r="Q625" t="str">
        <v>Mark Beard</v>
      </c>
      <c r="R625" t="str">
        <v>Marketing</v>
      </c>
      <c r="S625" t="str">
        <v>Content Specialist</v>
      </c>
      <c r="T625" t="str">
        <v>Female</v>
      </c>
      <c r="U625">
        <v>52</v>
      </c>
      <c r="V625">
        <v>44634</v>
      </c>
      <c r="W625" t="str">
        <v>Full-Time</v>
      </c>
      <c r="X625">
        <v>43807.69</v>
      </c>
      <c r="Y625">
        <v>1</v>
      </c>
      <c r="Z625">
        <v>95.46</v>
      </c>
      <c r="AA625">
        <v>3</v>
      </c>
      <c r="AB625">
        <v>40</v>
      </c>
      <c r="AC625">
        <v>21</v>
      </c>
      <c r="AD625" t="str">
        <v>Lisa Jackson</v>
      </c>
      <c r="AE625" t="str">
        <v>Active</v>
      </c>
      <c r="AF625">
        <v>525692.28</v>
      </c>
    </row>
    <row r="626" spans="16:32" x14ac:dyDescent="0.25">
      <c r="P626" t="str">
        <v>EMP0623</v>
      </c>
      <c r="Q626" t="str">
        <v>Paul Neal</v>
      </c>
      <c r="R626" t="str">
        <v>IT</v>
      </c>
      <c r="S626" t="str">
        <v>Software Engineer</v>
      </c>
      <c r="T626" t="str">
        <v>Male</v>
      </c>
      <c r="U626">
        <v>30</v>
      </c>
      <c r="V626">
        <v>42881</v>
      </c>
      <c r="W626" t="str">
        <v>Full-Time</v>
      </c>
      <c r="X626">
        <v>37515.43</v>
      </c>
      <c r="Y626">
        <v>3</v>
      </c>
      <c r="Z626">
        <v>88.79</v>
      </c>
      <c r="AA626">
        <v>8</v>
      </c>
      <c r="AB626">
        <v>32</v>
      </c>
      <c r="AC626">
        <v>55</v>
      </c>
      <c r="AD626" t="str">
        <v>Lisa Jackson</v>
      </c>
      <c r="AE626" t="str">
        <v>Active</v>
      </c>
      <c r="AF626">
        <v>450185.16000000003</v>
      </c>
    </row>
    <row r="627" spans="16:32" x14ac:dyDescent="0.25">
      <c r="P627" t="str">
        <v>EMP0624</v>
      </c>
      <c r="Q627" t="str">
        <v>John Perkins</v>
      </c>
      <c r="R627" t="str">
        <v>Operations</v>
      </c>
      <c r="S627" t="str">
        <v>Operations Associate</v>
      </c>
      <c r="T627" t="str">
        <v>Female</v>
      </c>
      <c r="U627">
        <v>55</v>
      </c>
      <c r="V627">
        <v>44596</v>
      </c>
      <c r="W627" t="str">
        <v>Part-Time</v>
      </c>
      <c r="X627">
        <v>67485.41</v>
      </c>
      <c r="Y627">
        <v>2</v>
      </c>
      <c r="Z627">
        <v>99.27</v>
      </c>
      <c r="AA627">
        <v>3</v>
      </c>
      <c r="AB627">
        <v>18</v>
      </c>
      <c r="AC627">
        <v>23</v>
      </c>
      <c r="AD627" t="str">
        <v>Brian Ramirez</v>
      </c>
      <c r="AE627" t="str">
        <v>Active</v>
      </c>
      <c r="AF627">
        <v>809824.92</v>
      </c>
    </row>
    <row r="628" spans="16:32" x14ac:dyDescent="0.25">
      <c r="P628" t="str">
        <v>EMP0625</v>
      </c>
      <c r="Q628" t="str">
        <v>Judy Beck</v>
      </c>
      <c r="R628" t="str">
        <v>Finance</v>
      </c>
      <c r="S628" t="str">
        <v>Accountant</v>
      </c>
      <c r="T628" t="str">
        <v>Male</v>
      </c>
      <c r="U628">
        <v>24</v>
      </c>
      <c r="V628">
        <v>42881</v>
      </c>
      <c r="W628" t="str">
        <v>Contract</v>
      </c>
      <c r="X628">
        <v>111745.73</v>
      </c>
      <c r="Y628">
        <v>2</v>
      </c>
      <c r="Z628">
        <v>85.06</v>
      </c>
      <c r="AA628">
        <v>8</v>
      </c>
      <c r="AB628">
        <v>49</v>
      </c>
      <c r="AC628">
        <v>19</v>
      </c>
      <c r="AD628" t="str">
        <v>Jamie Arnold</v>
      </c>
      <c r="AE628" t="str">
        <v>Resigned</v>
      </c>
      <c r="AF628">
        <v>1340948.76</v>
      </c>
    </row>
    <row r="629" spans="16:32" x14ac:dyDescent="0.25">
      <c r="P629" t="str">
        <v>EMP0626</v>
      </c>
      <c r="Q629" t="str">
        <v>Rebecca Sanders</v>
      </c>
      <c r="R629" t="str">
        <v>Marketing</v>
      </c>
      <c r="S629" t="str">
        <v>Content Specialist</v>
      </c>
      <c r="T629" t="str">
        <v>Male</v>
      </c>
      <c r="U629">
        <v>49</v>
      </c>
      <c r="V629">
        <v>44528</v>
      </c>
      <c r="W629" t="str">
        <v>Part-Time</v>
      </c>
      <c r="X629">
        <v>20786.61</v>
      </c>
      <c r="Y629">
        <v>4</v>
      </c>
      <c r="Z629">
        <v>98.55</v>
      </c>
      <c r="AA629">
        <v>4</v>
      </c>
      <c r="AB629">
        <v>32</v>
      </c>
      <c r="AC629">
        <v>19</v>
      </c>
      <c r="AD629" t="str">
        <v>Angie Henderson</v>
      </c>
      <c r="AE629" t="str">
        <v>Resigned</v>
      </c>
      <c r="AF629">
        <v>249439.32</v>
      </c>
    </row>
    <row r="630" spans="16:32" x14ac:dyDescent="0.25">
      <c r="P630" t="str">
        <v>EMP0627</v>
      </c>
      <c r="Q630" t="str">
        <v>Kathleen Morris</v>
      </c>
      <c r="R630" t="str">
        <v>IT</v>
      </c>
      <c r="S630" t="str">
        <v>Software Engineer</v>
      </c>
      <c r="T630" t="str">
        <v>Male</v>
      </c>
      <c r="U630">
        <v>31</v>
      </c>
      <c r="V630">
        <v>44972</v>
      </c>
      <c r="W630" t="str">
        <v>Part-Time</v>
      </c>
      <c r="X630">
        <v>83135.27</v>
      </c>
      <c r="Y630">
        <v>4</v>
      </c>
      <c r="Z630">
        <v>95.79</v>
      </c>
      <c r="AA630">
        <v>2</v>
      </c>
      <c r="AB630">
        <v>35</v>
      </c>
      <c r="AC630">
        <v>55</v>
      </c>
      <c r="AD630" t="str">
        <v>Angie Henderson</v>
      </c>
      <c r="AE630" t="str">
        <v>Active</v>
      </c>
      <c r="AF630">
        <v>997623.24</v>
      </c>
    </row>
    <row r="631" spans="16:32" x14ac:dyDescent="0.25">
      <c r="P631" t="str">
        <v>EMP0628</v>
      </c>
      <c r="Q631" t="str">
        <v>Kenneth Knight</v>
      </c>
      <c r="R631" t="str">
        <v>R&amp;D</v>
      </c>
      <c r="S631" t="str">
        <v>Product Developer</v>
      </c>
      <c r="T631" t="str">
        <v>Female</v>
      </c>
      <c r="U631">
        <v>42</v>
      </c>
      <c r="V631">
        <v>44065</v>
      </c>
      <c r="W631" t="str">
        <v>Contract</v>
      </c>
      <c r="X631">
        <v>62236.6</v>
      </c>
      <c r="Y631">
        <v>1</v>
      </c>
      <c r="Z631">
        <v>96.49</v>
      </c>
      <c r="AA631">
        <v>5</v>
      </c>
      <c r="AB631">
        <v>33</v>
      </c>
      <c r="AC631">
        <v>32</v>
      </c>
      <c r="AD631" t="str">
        <v>Angie Henderson</v>
      </c>
      <c r="AE631" t="str">
        <v>Active</v>
      </c>
      <c r="AF631">
        <v>746839.2</v>
      </c>
    </row>
    <row r="632" spans="16:32" x14ac:dyDescent="0.25">
      <c r="P632" t="str">
        <v>EMP0629</v>
      </c>
      <c r="Q632" t="str">
        <v>Stephanie Farmer</v>
      </c>
      <c r="R632" t="str">
        <v>Operations</v>
      </c>
      <c r="S632" t="str">
        <v>Operations Manager</v>
      </c>
      <c r="T632" t="str">
        <v>Male</v>
      </c>
      <c r="U632">
        <v>24</v>
      </c>
      <c r="V632">
        <v>45318</v>
      </c>
      <c r="W632" t="str">
        <v>Contract</v>
      </c>
      <c r="X632">
        <v>84159.25</v>
      </c>
      <c r="Y632">
        <v>4</v>
      </c>
      <c r="Z632">
        <v>95.82</v>
      </c>
      <c r="AA632">
        <v>1</v>
      </c>
      <c r="AB632">
        <v>17</v>
      </c>
      <c r="AC632">
        <v>0</v>
      </c>
      <c r="AD632" t="str">
        <v>Lisa Hensley</v>
      </c>
      <c r="AE632" t="str">
        <v>Active</v>
      </c>
      <c r="AF632">
        <v>1009911</v>
      </c>
    </row>
    <row r="633" spans="16:32" x14ac:dyDescent="0.25">
      <c r="P633" t="str">
        <v>EMP0630</v>
      </c>
      <c r="Q633" t="str">
        <v>Richard Stevens</v>
      </c>
      <c r="R633" t="str">
        <v>Finance</v>
      </c>
      <c r="S633" t="str">
        <v>Financial Analyst</v>
      </c>
      <c r="T633" t="str">
        <v>Male</v>
      </c>
      <c r="U633">
        <v>28</v>
      </c>
      <c r="V633">
        <v>42588</v>
      </c>
      <c r="W633" t="str">
        <v>Full-Time</v>
      </c>
      <c r="X633">
        <v>44960.36</v>
      </c>
      <c r="Y633">
        <v>2</v>
      </c>
      <c r="Z633">
        <v>96.94</v>
      </c>
      <c r="AA633">
        <v>9</v>
      </c>
      <c r="AB633">
        <v>52</v>
      </c>
      <c r="AC633">
        <v>50</v>
      </c>
      <c r="AD633" t="str">
        <v>Monica Herrera</v>
      </c>
      <c r="AE633" t="str">
        <v>Active</v>
      </c>
      <c r="AF633">
        <v>539524.32000000007</v>
      </c>
    </row>
    <row r="634" spans="16:32" x14ac:dyDescent="0.25">
      <c r="P634" t="str">
        <v>EMP0631</v>
      </c>
      <c r="Q634" t="str">
        <v>Brooke Bryant</v>
      </c>
      <c r="R634" t="str">
        <v>HR</v>
      </c>
      <c r="S634" t="str">
        <v>Recruiter</v>
      </c>
      <c r="T634" t="str">
        <v>Male</v>
      </c>
      <c r="U634">
        <v>58</v>
      </c>
      <c r="V634">
        <v>43074</v>
      </c>
      <c r="W634" t="str">
        <v>Part-Time</v>
      </c>
      <c r="X634">
        <v>99952.87</v>
      </c>
      <c r="Y634">
        <v>2</v>
      </c>
      <c r="Z634">
        <v>81.69</v>
      </c>
      <c r="AA634">
        <v>8</v>
      </c>
      <c r="AB634">
        <v>47</v>
      </c>
      <c r="AC634">
        <v>11</v>
      </c>
      <c r="AD634" t="str">
        <v>Lisa Hensley</v>
      </c>
      <c r="AE634" t="str">
        <v>Resigned</v>
      </c>
      <c r="AF634">
        <v>1199434.44</v>
      </c>
    </row>
    <row r="635" spans="16:32" x14ac:dyDescent="0.25">
      <c r="P635" t="str">
        <v>EMP0632</v>
      </c>
      <c r="Q635" t="str">
        <v>Michael Anderson</v>
      </c>
      <c r="R635" t="str">
        <v>IT</v>
      </c>
      <c r="S635" t="str">
        <v>IT Support</v>
      </c>
      <c r="T635" t="str">
        <v>Male</v>
      </c>
      <c r="U635">
        <v>56</v>
      </c>
      <c r="V635">
        <v>44961</v>
      </c>
      <c r="W635" t="str">
        <v>Contract</v>
      </c>
      <c r="X635">
        <v>81200.320000000007</v>
      </c>
      <c r="Y635">
        <v>2</v>
      </c>
      <c r="Z635">
        <v>98.14</v>
      </c>
      <c r="AA635">
        <v>2</v>
      </c>
      <c r="AB635">
        <v>59</v>
      </c>
      <c r="AC635">
        <v>12</v>
      </c>
      <c r="AD635" t="str">
        <v>Gabrielle Davis</v>
      </c>
      <c r="AE635" t="str">
        <v>Active</v>
      </c>
      <c r="AF635">
        <v>974403.84000000008</v>
      </c>
    </row>
    <row r="636" spans="16:32" x14ac:dyDescent="0.25">
      <c r="P636" t="str">
        <v>EMP0633</v>
      </c>
      <c r="Q636" t="str">
        <v>Timothy Hill</v>
      </c>
      <c r="R636" t="str">
        <v>HR</v>
      </c>
      <c r="S636" t="str">
        <v>HR Officer</v>
      </c>
      <c r="T636" t="str">
        <v>Female</v>
      </c>
      <c r="U636">
        <v>60</v>
      </c>
      <c r="V636">
        <v>44178</v>
      </c>
      <c r="W636" t="str">
        <v>Part-Time</v>
      </c>
      <c r="X636">
        <v>80039.27</v>
      </c>
      <c r="Y636">
        <v>2</v>
      </c>
      <c r="Z636">
        <v>81.78</v>
      </c>
      <c r="AA636">
        <v>5</v>
      </c>
      <c r="AB636">
        <v>47</v>
      </c>
      <c r="AC636">
        <v>10</v>
      </c>
      <c r="AD636" t="str">
        <v>Lisa Jackson</v>
      </c>
      <c r="AE636" t="str">
        <v>Active</v>
      </c>
      <c r="AF636">
        <v>960471.24</v>
      </c>
    </row>
    <row r="637" spans="16:32" x14ac:dyDescent="0.25">
      <c r="P637" t="str">
        <v>EMP0634</v>
      </c>
      <c r="Q637" t="str">
        <v>Jacob Mckee</v>
      </c>
      <c r="R637" t="str">
        <v>Customer Support</v>
      </c>
      <c r="S637" t="str">
        <v>Team Lead</v>
      </c>
      <c r="T637" t="str">
        <v>Female</v>
      </c>
      <c r="U637">
        <v>28</v>
      </c>
      <c r="V637">
        <v>44542</v>
      </c>
      <c r="W637" t="str">
        <v>Full-Time</v>
      </c>
      <c r="X637">
        <v>91356.37</v>
      </c>
      <c r="Y637">
        <v>2</v>
      </c>
      <c r="Z637">
        <v>98.92</v>
      </c>
      <c r="AA637">
        <v>4</v>
      </c>
      <c r="AB637">
        <v>34</v>
      </c>
      <c r="AC637">
        <v>18</v>
      </c>
      <c r="AD637" t="str">
        <v>Brian Ramirez</v>
      </c>
      <c r="AE637" t="str">
        <v>Active</v>
      </c>
      <c r="AF637">
        <v>1096276.44</v>
      </c>
    </row>
    <row r="638" spans="16:32" x14ac:dyDescent="0.25">
      <c r="P638" t="str">
        <v>EMP0635</v>
      </c>
      <c r="Q638" t="str">
        <v>Mario Barber</v>
      </c>
      <c r="R638" t="str">
        <v>Customer Support</v>
      </c>
      <c r="S638" t="str">
        <v>Support Agent</v>
      </c>
      <c r="T638" t="str">
        <v>Male</v>
      </c>
      <c r="U638">
        <v>39</v>
      </c>
      <c r="V638">
        <v>43331</v>
      </c>
      <c r="W638" t="str">
        <v>Contract</v>
      </c>
      <c r="X638">
        <v>87718.87</v>
      </c>
      <c r="Y638">
        <v>4</v>
      </c>
      <c r="Z638">
        <v>83.61</v>
      </c>
      <c r="AA638">
        <v>7</v>
      </c>
      <c r="AB638">
        <v>18</v>
      </c>
      <c r="AC638">
        <v>1</v>
      </c>
      <c r="AD638" t="str">
        <v>Ryan Munoz</v>
      </c>
      <c r="AE638" t="str">
        <v>Resigned</v>
      </c>
      <c r="AF638">
        <v>1052626.44</v>
      </c>
    </row>
    <row r="639" spans="16:32" x14ac:dyDescent="0.25">
      <c r="P639" t="str">
        <v>EMP0636</v>
      </c>
      <c r="Q639" t="str">
        <v>Brandon Davis</v>
      </c>
      <c r="R639" t="str">
        <v>IT</v>
      </c>
      <c r="S639" t="str">
        <v>Data Analyst</v>
      </c>
      <c r="T639" t="str">
        <v>Female</v>
      </c>
      <c r="U639">
        <v>36</v>
      </c>
      <c r="V639">
        <v>43757</v>
      </c>
      <c r="W639" t="str">
        <v>Part-Time</v>
      </c>
      <c r="X639">
        <v>78290.31</v>
      </c>
      <c r="Y639">
        <v>4</v>
      </c>
      <c r="Z639">
        <v>81.709999999999994</v>
      </c>
      <c r="AA639">
        <v>6</v>
      </c>
      <c r="AB639">
        <v>60</v>
      </c>
      <c r="AC639">
        <v>8</v>
      </c>
      <c r="AD639" t="str">
        <v>Monica Herrera</v>
      </c>
      <c r="AE639" t="str">
        <v>Resigned</v>
      </c>
      <c r="AF639">
        <v>939483.72</v>
      </c>
    </row>
    <row r="640" spans="16:32" x14ac:dyDescent="0.25">
      <c r="P640" t="str">
        <v>EMP0637</v>
      </c>
      <c r="Q640" t="str">
        <v>Casey Perez</v>
      </c>
      <c r="R640" t="str">
        <v>Customer Support</v>
      </c>
      <c r="S640" t="str">
        <v>Support Agent</v>
      </c>
      <c r="T640" t="str">
        <v>Female</v>
      </c>
      <c r="U640">
        <v>48</v>
      </c>
      <c r="V640">
        <v>43629</v>
      </c>
      <c r="W640" t="str">
        <v>Contract</v>
      </c>
      <c r="X640">
        <v>79719.59</v>
      </c>
      <c r="Y640">
        <v>1</v>
      </c>
      <c r="Z640">
        <v>81.91</v>
      </c>
      <c r="AA640">
        <v>6</v>
      </c>
      <c r="AB640">
        <v>7</v>
      </c>
      <c r="AC640">
        <v>3</v>
      </c>
      <c r="AD640" t="str">
        <v>Monica Herrera</v>
      </c>
      <c r="AE640" t="str">
        <v>Resigned</v>
      </c>
      <c r="AF640">
        <v>956635.08</v>
      </c>
    </row>
    <row r="641" spans="16:32" x14ac:dyDescent="0.25">
      <c r="P641" t="str">
        <v>EMP0638</v>
      </c>
      <c r="Q641" t="str">
        <v>Michael Montoya</v>
      </c>
      <c r="R641" t="str">
        <v>R&amp;D</v>
      </c>
      <c r="S641" t="str">
        <v>Product Developer</v>
      </c>
      <c r="T641" t="str">
        <v>Male</v>
      </c>
      <c r="U641">
        <v>21</v>
      </c>
      <c r="V641">
        <v>45068</v>
      </c>
      <c r="W641" t="str">
        <v>Part-Time</v>
      </c>
      <c r="X641">
        <v>70454.2</v>
      </c>
      <c r="Y641">
        <v>4</v>
      </c>
      <c r="Z641">
        <v>86.05</v>
      </c>
      <c r="AA641">
        <v>2</v>
      </c>
      <c r="AB641">
        <v>50</v>
      </c>
      <c r="AC641">
        <v>42</v>
      </c>
      <c r="AD641" t="str">
        <v>Jamie Arnold</v>
      </c>
      <c r="AE641" t="str">
        <v>Active</v>
      </c>
      <c r="AF641">
        <v>845450.39999999991</v>
      </c>
    </row>
    <row r="642" spans="16:32" x14ac:dyDescent="0.25">
      <c r="P642" t="str">
        <v>EMP0639</v>
      </c>
      <c r="Q642" t="str">
        <v>Karen Perez</v>
      </c>
      <c r="R642" t="str">
        <v>Sales</v>
      </c>
      <c r="S642" t="str">
        <v>Account Executive</v>
      </c>
      <c r="T642" t="str">
        <v>Male</v>
      </c>
      <c r="U642">
        <v>37</v>
      </c>
      <c r="V642">
        <v>44927</v>
      </c>
      <c r="W642" t="str">
        <v>Full-Time</v>
      </c>
      <c r="X642">
        <v>70374.67</v>
      </c>
      <c r="Y642">
        <v>3</v>
      </c>
      <c r="Z642">
        <v>97.56</v>
      </c>
      <c r="AA642">
        <v>2</v>
      </c>
      <c r="AB642">
        <v>16</v>
      </c>
      <c r="AC642">
        <v>5</v>
      </c>
      <c r="AD642" t="str">
        <v>Monica Herrera</v>
      </c>
      <c r="AE642" t="str">
        <v>Active</v>
      </c>
      <c r="AF642">
        <v>844496.04</v>
      </c>
    </row>
    <row r="643" spans="16:32" x14ac:dyDescent="0.25">
      <c r="P643" t="str">
        <v>EMP0640</v>
      </c>
      <c r="Q643" t="str">
        <v>Ashley Edwards</v>
      </c>
      <c r="R643" t="str">
        <v>Customer Support</v>
      </c>
      <c r="S643" t="str">
        <v>Support Agent</v>
      </c>
      <c r="T643" t="str">
        <v>Female</v>
      </c>
      <c r="U643">
        <v>28</v>
      </c>
      <c r="V643">
        <v>42858</v>
      </c>
      <c r="W643" t="str">
        <v>Part-Time</v>
      </c>
      <c r="X643">
        <v>24416.22</v>
      </c>
      <c r="Y643">
        <v>2</v>
      </c>
      <c r="Z643">
        <v>89.98</v>
      </c>
      <c r="AA643">
        <v>8</v>
      </c>
      <c r="AB643">
        <v>35</v>
      </c>
      <c r="AC643">
        <v>47</v>
      </c>
      <c r="AD643" t="str">
        <v>Jamie Arnold</v>
      </c>
      <c r="AE643" t="str">
        <v>Resigned</v>
      </c>
      <c r="AF643">
        <v>292994.64</v>
      </c>
    </row>
    <row r="644" spans="16:32" x14ac:dyDescent="0.25">
      <c r="P644" t="str">
        <v>EMP0641</v>
      </c>
      <c r="Q644" t="str">
        <v>Raymond Mullins</v>
      </c>
      <c r="R644" t="str">
        <v>Finance</v>
      </c>
      <c r="S644" t="str">
        <v>Financial Analyst</v>
      </c>
      <c r="T644" t="str">
        <v>Female</v>
      </c>
      <c r="U644">
        <v>54</v>
      </c>
      <c r="V644">
        <v>44162</v>
      </c>
      <c r="W644" t="str">
        <v>Part-Time</v>
      </c>
      <c r="X644">
        <v>63577.54</v>
      </c>
      <c r="Y644">
        <v>2</v>
      </c>
      <c r="Z644">
        <v>86.31</v>
      </c>
      <c r="AA644">
        <v>5</v>
      </c>
      <c r="AB644">
        <v>62</v>
      </c>
      <c r="AC644">
        <v>48</v>
      </c>
      <c r="AD644" t="str">
        <v>Cristian Santos</v>
      </c>
      <c r="AE644" t="str">
        <v>Active</v>
      </c>
      <c r="AF644">
        <v>762930.48</v>
      </c>
    </row>
    <row r="645" spans="16:32" x14ac:dyDescent="0.25">
      <c r="P645" t="str">
        <v>EMP0642</v>
      </c>
      <c r="Q645" t="str">
        <v>Megan Jones</v>
      </c>
      <c r="R645" t="str">
        <v>R&amp;D</v>
      </c>
      <c r="S645" t="str">
        <v>Researcher</v>
      </c>
      <c r="T645" t="str">
        <v>Male</v>
      </c>
      <c r="U645">
        <v>30</v>
      </c>
      <c r="V645">
        <v>43130</v>
      </c>
      <c r="W645" t="str">
        <v>Full-Time</v>
      </c>
      <c r="X645">
        <v>42986.05</v>
      </c>
      <c r="Y645">
        <v>1</v>
      </c>
      <c r="Z645">
        <v>89.4</v>
      </c>
      <c r="AA645">
        <v>7</v>
      </c>
      <c r="AB645">
        <v>20</v>
      </c>
      <c r="AC645">
        <v>45</v>
      </c>
      <c r="AD645" t="str">
        <v>Dylan Miller</v>
      </c>
      <c r="AE645" t="str">
        <v>Active</v>
      </c>
      <c r="AF645">
        <v>515832.60000000003</v>
      </c>
    </row>
    <row r="646" spans="16:32" x14ac:dyDescent="0.25">
      <c r="P646" t="str">
        <v>EMP0643</v>
      </c>
      <c r="Q646" t="str">
        <v>Matthew Alexander</v>
      </c>
      <c r="R646" t="str">
        <v>R&amp;D</v>
      </c>
      <c r="S646" t="str">
        <v>Researcher</v>
      </c>
      <c r="T646" t="str">
        <v>Female</v>
      </c>
      <c r="U646">
        <v>43</v>
      </c>
      <c r="V646">
        <v>45803</v>
      </c>
      <c r="W646" t="str">
        <v>Contract</v>
      </c>
      <c r="X646">
        <v>76085.45</v>
      </c>
      <c r="Y646">
        <v>4</v>
      </c>
      <c r="Z646">
        <v>89.86</v>
      </c>
      <c r="AA646">
        <v>0</v>
      </c>
      <c r="AB646">
        <v>18</v>
      </c>
      <c r="AC646">
        <v>7</v>
      </c>
      <c r="AD646" t="str">
        <v>Jamie Arnold</v>
      </c>
      <c r="AE646" t="str">
        <v>Active</v>
      </c>
      <c r="AF646">
        <v>913025.39999999991</v>
      </c>
    </row>
    <row r="647" spans="16:32" x14ac:dyDescent="0.25">
      <c r="P647" t="str">
        <v>EMP0644</v>
      </c>
      <c r="Q647" t="str">
        <v>Brittany Jenkins</v>
      </c>
      <c r="R647" t="str">
        <v>Finance</v>
      </c>
      <c r="S647" t="str">
        <v>Accountant</v>
      </c>
      <c r="T647" t="str">
        <v>Male</v>
      </c>
      <c r="U647">
        <v>53</v>
      </c>
      <c r="V647">
        <v>43626</v>
      </c>
      <c r="W647" t="str">
        <v>Part-Time</v>
      </c>
      <c r="X647">
        <v>76324.740000000005</v>
      </c>
      <c r="Y647">
        <v>5</v>
      </c>
      <c r="Z647">
        <v>84.25</v>
      </c>
      <c r="AA647">
        <v>6</v>
      </c>
      <c r="AB647">
        <v>0</v>
      </c>
      <c r="AC647">
        <v>33</v>
      </c>
      <c r="AD647" t="str">
        <v>Lisa Jackson</v>
      </c>
      <c r="AE647" t="str">
        <v>Active</v>
      </c>
      <c r="AF647">
        <v>915896.88000000012</v>
      </c>
    </row>
    <row r="648" spans="16:32" x14ac:dyDescent="0.25">
      <c r="P648" t="str">
        <v>EMP0645</v>
      </c>
      <c r="Q648" t="str">
        <v>Angelica Garcia</v>
      </c>
      <c r="R648" t="str">
        <v>Marketing</v>
      </c>
      <c r="S648" t="str">
        <v>Marketing Analyst</v>
      </c>
      <c r="T648" t="str">
        <v>Female</v>
      </c>
      <c r="U648">
        <v>27</v>
      </c>
      <c r="V648">
        <v>45051</v>
      </c>
      <c r="W648" t="str">
        <v>Part-Time</v>
      </c>
      <c r="X648">
        <v>22596.22</v>
      </c>
      <c r="Y648">
        <v>1</v>
      </c>
      <c r="Z648">
        <v>87.88</v>
      </c>
      <c r="AA648">
        <v>2</v>
      </c>
      <c r="AB648">
        <v>75</v>
      </c>
      <c r="AC648">
        <v>59</v>
      </c>
      <c r="AD648" t="str">
        <v>Daniel Wagner</v>
      </c>
      <c r="AE648" t="str">
        <v>Active</v>
      </c>
      <c r="AF648">
        <v>271154.64</v>
      </c>
    </row>
    <row r="649" spans="16:32" x14ac:dyDescent="0.25">
      <c r="P649" t="str">
        <v>EMP0646</v>
      </c>
      <c r="Q649" t="str">
        <v>Janet Richmond</v>
      </c>
      <c r="R649" t="str">
        <v>HR</v>
      </c>
      <c r="S649" t="str">
        <v>HR Officer</v>
      </c>
      <c r="T649" t="str">
        <v>Male</v>
      </c>
      <c r="U649">
        <v>50</v>
      </c>
      <c r="V649">
        <v>43068</v>
      </c>
      <c r="W649" t="str">
        <v>Contract</v>
      </c>
      <c r="X649">
        <v>85953.93</v>
      </c>
      <c r="Y649">
        <v>4</v>
      </c>
      <c r="Z649">
        <v>92.57</v>
      </c>
      <c r="AA649">
        <v>8</v>
      </c>
      <c r="AB649">
        <v>34</v>
      </c>
      <c r="AC649">
        <v>38</v>
      </c>
      <c r="AD649" t="str">
        <v>Allison Hill</v>
      </c>
      <c r="AE649" t="str">
        <v>Active</v>
      </c>
      <c r="AF649">
        <v>1031447.1599999999</v>
      </c>
    </row>
    <row r="650" spans="16:32" x14ac:dyDescent="0.25">
      <c r="P650" t="str">
        <v>EMP0647</v>
      </c>
      <c r="Q650" t="str">
        <v>Danielle Newman</v>
      </c>
      <c r="R650" t="str">
        <v>Sales</v>
      </c>
      <c r="S650" t="str">
        <v>Account Executive</v>
      </c>
      <c r="T650" t="str">
        <v>Female</v>
      </c>
      <c r="U650">
        <v>41</v>
      </c>
      <c r="V650">
        <v>44257</v>
      </c>
      <c r="W650" t="str">
        <v>Contract</v>
      </c>
      <c r="X650">
        <v>119982.11</v>
      </c>
      <c r="Y650">
        <v>5</v>
      </c>
      <c r="Z650">
        <v>82.59</v>
      </c>
      <c r="AA650">
        <v>4</v>
      </c>
      <c r="AB650">
        <v>6</v>
      </c>
      <c r="AC650">
        <v>51</v>
      </c>
      <c r="AD650" t="str">
        <v>Ryan Munoz</v>
      </c>
      <c r="AE650" t="str">
        <v>Active</v>
      </c>
      <c r="AF650">
        <v>1439785.32</v>
      </c>
    </row>
    <row r="651" spans="16:32" x14ac:dyDescent="0.25">
      <c r="P651" t="str">
        <v>EMP0648</v>
      </c>
      <c r="Q651" t="str">
        <v>Lindsay Lawson</v>
      </c>
      <c r="R651" t="str">
        <v>Sales</v>
      </c>
      <c r="S651" t="str">
        <v>Account Executive</v>
      </c>
      <c r="T651" t="str">
        <v>Male</v>
      </c>
      <c r="U651">
        <v>56</v>
      </c>
      <c r="V651">
        <v>43845</v>
      </c>
      <c r="W651" t="str">
        <v>Contract</v>
      </c>
      <c r="X651">
        <v>58139.09</v>
      </c>
      <c r="Y651">
        <v>4</v>
      </c>
      <c r="Z651">
        <v>85.1</v>
      </c>
      <c r="AA651">
        <v>5</v>
      </c>
      <c r="AB651">
        <v>30</v>
      </c>
      <c r="AC651">
        <v>49</v>
      </c>
      <c r="AD651" t="str">
        <v>Lisa Hensley</v>
      </c>
      <c r="AE651" t="str">
        <v>Active</v>
      </c>
      <c r="AF651">
        <v>697669.08</v>
      </c>
    </row>
    <row r="652" spans="16:32" x14ac:dyDescent="0.25">
      <c r="P652" t="str">
        <v>EMP0649</v>
      </c>
      <c r="Q652" t="str">
        <v>Mary Turner</v>
      </c>
      <c r="R652" t="str">
        <v>IT</v>
      </c>
      <c r="S652" t="str">
        <v>IT Support</v>
      </c>
      <c r="T652" t="str">
        <v>Female</v>
      </c>
      <c r="U652">
        <v>46</v>
      </c>
      <c r="V652">
        <v>42469</v>
      </c>
      <c r="W652" t="str">
        <v>Part-Time</v>
      </c>
      <c r="X652">
        <v>84716.800000000003</v>
      </c>
      <c r="Y652">
        <v>2</v>
      </c>
      <c r="Z652">
        <v>82.41</v>
      </c>
      <c r="AA652">
        <v>9</v>
      </c>
      <c r="AB652">
        <v>62</v>
      </c>
      <c r="AC652">
        <v>51</v>
      </c>
      <c r="AD652" t="str">
        <v>Michele Williams</v>
      </c>
      <c r="AE652" t="str">
        <v>Active</v>
      </c>
      <c r="AF652">
        <v>1016601.6000000001</v>
      </c>
    </row>
    <row r="653" spans="16:32" x14ac:dyDescent="0.25">
      <c r="P653" t="str">
        <v>EMP0650</v>
      </c>
      <c r="Q653" t="str">
        <v>Chelsea Myers</v>
      </c>
      <c r="R653" t="str">
        <v>Finance</v>
      </c>
      <c r="S653" t="str">
        <v>Finance Manager</v>
      </c>
      <c r="T653" t="str">
        <v>Male</v>
      </c>
      <c r="U653">
        <v>43</v>
      </c>
      <c r="V653">
        <v>45520</v>
      </c>
      <c r="W653" t="str">
        <v>Contract</v>
      </c>
      <c r="X653">
        <v>29611.15</v>
      </c>
      <c r="Y653">
        <v>3</v>
      </c>
      <c r="Z653">
        <v>90.25</v>
      </c>
      <c r="AA653">
        <v>1</v>
      </c>
      <c r="AB653">
        <v>62</v>
      </c>
      <c r="AC653">
        <v>28</v>
      </c>
      <c r="AD653" t="str">
        <v>Lisa Hensley</v>
      </c>
      <c r="AE653" t="str">
        <v>Active</v>
      </c>
      <c r="AF653">
        <v>355333.80000000005</v>
      </c>
    </row>
    <row r="654" spans="16:32" x14ac:dyDescent="0.25">
      <c r="P654" t="str">
        <v>EMP0651</v>
      </c>
      <c r="Q654" t="str">
        <v>Rebecca Allen</v>
      </c>
      <c r="R654" t="str">
        <v>Customer Support</v>
      </c>
      <c r="S654" t="str">
        <v>Support Agent</v>
      </c>
      <c r="T654" t="str">
        <v>Female</v>
      </c>
      <c r="U654">
        <v>44</v>
      </c>
      <c r="V654">
        <v>42642</v>
      </c>
      <c r="W654" t="str">
        <v>Contract</v>
      </c>
      <c r="X654">
        <v>38635.58</v>
      </c>
      <c r="Y654">
        <v>4</v>
      </c>
      <c r="Z654">
        <v>81.86</v>
      </c>
      <c r="AA654">
        <v>9</v>
      </c>
      <c r="AB654">
        <v>65</v>
      </c>
      <c r="AC654">
        <v>21</v>
      </c>
      <c r="AD654" t="str">
        <v>Dylan Miller</v>
      </c>
      <c r="AE654" t="str">
        <v>Active</v>
      </c>
      <c r="AF654">
        <v>463626.96</v>
      </c>
    </row>
    <row r="655" spans="16:32" x14ac:dyDescent="0.25">
      <c r="P655" t="str">
        <v>EMP0652</v>
      </c>
      <c r="Q655" t="str">
        <v>Jonathan Wheeler</v>
      </c>
      <c r="R655" t="str">
        <v>HR</v>
      </c>
      <c r="S655" t="str">
        <v>Recruiter</v>
      </c>
      <c r="T655" t="str">
        <v>Male</v>
      </c>
      <c r="U655">
        <v>39</v>
      </c>
      <c r="V655">
        <v>44700</v>
      </c>
      <c r="W655" t="str">
        <v>Part-Time</v>
      </c>
      <c r="X655">
        <v>63735.55</v>
      </c>
      <c r="Y655">
        <v>4</v>
      </c>
      <c r="Z655">
        <v>86.01</v>
      </c>
      <c r="AA655">
        <v>3</v>
      </c>
      <c r="AB655">
        <v>16</v>
      </c>
      <c r="AC655">
        <v>43</v>
      </c>
      <c r="AD655" t="str">
        <v>Ryan Munoz</v>
      </c>
      <c r="AE655" t="str">
        <v>Active</v>
      </c>
      <c r="AF655">
        <v>764826.60000000009</v>
      </c>
    </row>
    <row r="656" spans="16:32" x14ac:dyDescent="0.25">
      <c r="P656" t="str">
        <v>EMP0653</v>
      </c>
      <c r="Q656" t="str">
        <v>Alexandria Ward</v>
      </c>
      <c r="R656" t="str">
        <v>Customer Support</v>
      </c>
      <c r="S656" t="str">
        <v>Team Lead</v>
      </c>
      <c r="T656" t="str">
        <v>Male</v>
      </c>
      <c r="U656">
        <v>56</v>
      </c>
      <c r="V656">
        <v>45585</v>
      </c>
      <c r="W656" t="str">
        <v>Full-Time</v>
      </c>
      <c r="X656">
        <v>111730.2</v>
      </c>
      <c r="Y656">
        <v>5</v>
      </c>
      <c r="Z656">
        <v>82.15</v>
      </c>
      <c r="AA656">
        <v>1</v>
      </c>
      <c r="AB656">
        <v>54</v>
      </c>
      <c r="AC656">
        <v>26</v>
      </c>
      <c r="AD656" t="str">
        <v>Daniel Wagner</v>
      </c>
      <c r="AE656" t="str">
        <v>Active</v>
      </c>
      <c r="AF656">
        <v>1340762.3999999999</v>
      </c>
    </row>
    <row r="657" spans="16:32" x14ac:dyDescent="0.25">
      <c r="P657" t="str">
        <v>EMP0654</v>
      </c>
      <c r="Q657" t="str">
        <v>Scott Carroll</v>
      </c>
      <c r="R657" t="str">
        <v>Finance</v>
      </c>
      <c r="S657" t="str">
        <v>Financial Analyst</v>
      </c>
      <c r="T657" t="str">
        <v>Female</v>
      </c>
      <c r="U657">
        <v>58</v>
      </c>
      <c r="V657">
        <v>44269</v>
      </c>
      <c r="W657" t="str">
        <v>Full-Time</v>
      </c>
      <c r="X657">
        <v>96864.68</v>
      </c>
      <c r="Y657">
        <v>1</v>
      </c>
      <c r="Z657">
        <v>82.28</v>
      </c>
      <c r="AA657">
        <v>4</v>
      </c>
      <c r="AB657">
        <v>59</v>
      </c>
      <c r="AC657">
        <v>11</v>
      </c>
      <c r="AD657" t="str">
        <v>Connie Lawrence</v>
      </c>
      <c r="AE657" t="str">
        <v>Active</v>
      </c>
      <c r="AF657">
        <v>1162376.1599999999</v>
      </c>
    </row>
    <row r="658" spans="16:32" x14ac:dyDescent="0.25">
      <c r="P658" t="str">
        <v>EMP0655</v>
      </c>
      <c r="Q658" t="str">
        <v>Carrie Ruiz</v>
      </c>
      <c r="R658" t="str">
        <v>Sales</v>
      </c>
      <c r="S658" t="str">
        <v>Sales Rep</v>
      </c>
      <c r="T658" t="str">
        <v>Female</v>
      </c>
      <c r="U658">
        <v>40</v>
      </c>
      <c r="V658">
        <v>44573</v>
      </c>
      <c r="W658" t="str">
        <v>Part-Time</v>
      </c>
      <c r="X658">
        <v>78720.84</v>
      </c>
      <c r="Y658">
        <v>4</v>
      </c>
      <c r="Z658">
        <v>95.15</v>
      </c>
      <c r="AA658">
        <v>3</v>
      </c>
      <c r="AB658">
        <v>57</v>
      </c>
      <c r="AC658">
        <v>39</v>
      </c>
      <c r="AD658" t="str">
        <v>Gabrielle Davis</v>
      </c>
      <c r="AE658" t="str">
        <v>Active</v>
      </c>
      <c r="AF658">
        <v>944650.08</v>
      </c>
    </row>
    <row r="659" spans="16:32" x14ac:dyDescent="0.25">
      <c r="P659" t="str">
        <v>EMP0656</v>
      </c>
      <c r="Q659" t="str">
        <v>Austin Baker</v>
      </c>
      <c r="R659" t="str">
        <v>HR</v>
      </c>
      <c r="S659" t="str">
        <v>HR Officer</v>
      </c>
      <c r="T659" t="str">
        <v>Male</v>
      </c>
      <c r="U659">
        <v>26</v>
      </c>
      <c r="V659">
        <v>42756</v>
      </c>
      <c r="W659" t="str">
        <v>Contract</v>
      </c>
      <c r="X659">
        <v>118218.62</v>
      </c>
      <c r="Y659">
        <v>3</v>
      </c>
      <c r="Z659">
        <v>97.43</v>
      </c>
      <c r="AA659">
        <v>8</v>
      </c>
      <c r="AB659">
        <v>13</v>
      </c>
      <c r="AC659">
        <v>27</v>
      </c>
      <c r="AD659" t="str">
        <v>Derek Zuniga</v>
      </c>
      <c r="AE659" t="str">
        <v>Active</v>
      </c>
      <c r="AF659">
        <v>1418623.44</v>
      </c>
    </row>
    <row r="660" spans="16:32" x14ac:dyDescent="0.25">
      <c r="P660" t="str">
        <v>EMP0657</v>
      </c>
      <c r="Q660" t="str">
        <v>Tiffany Sanders</v>
      </c>
      <c r="R660" t="str">
        <v>Customer Support</v>
      </c>
      <c r="S660" t="str">
        <v>Support Agent</v>
      </c>
      <c r="T660" t="str">
        <v>Male</v>
      </c>
      <c r="U660">
        <v>31</v>
      </c>
      <c r="V660">
        <v>42550</v>
      </c>
      <c r="W660" t="str">
        <v>Contract</v>
      </c>
      <c r="X660">
        <v>67711.990000000005</v>
      </c>
      <c r="Y660">
        <v>4</v>
      </c>
      <c r="Z660">
        <v>97.38</v>
      </c>
      <c r="AA660">
        <v>9</v>
      </c>
      <c r="AB660">
        <v>77</v>
      </c>
      <c r="AC660">
        <v>46</v>
      </c>
      <c r="AD660" t="str">
        <v>Brian Ramirez</v>
      </c>
      <c r="AE660" t="str">
        <v>Active</v>
      </c>
      <c r="AF660">
        <v>812543.88000000012</v>
      </c>
    </row>
    <row r="661" spans="16:32" x14ac:dyDescent="0.25">
      <c r="P661" t="str">
        <v>EMP0658</v>
      </c>
      <c r="Q661" t="str">
        <v>Kathryn Perry</v>
      </c>
      <c r="R661" t="str">
        <v>Operations</v>
      </c>
      <c r="S661" t="str">
        <v>Operations Manager</v>
      </c>
      <c r="T661" t="str">
        <v>Female</v>
      </c>
      <c r="U661">
        <v>26</v>
      </c>
      <c r="V661">
        <v>44083</v>
      </c>
      <c r="W661" t="str">
        <v>Full-Time</v>
      </c>
      <c r="X661">
        <v>33511.39</v>
      </c>
      <c r="Y661">
        <v>2</v>
      </c>
      <c r="Z661">
        <v>82.24</v>
      </c>
      <c r="AA661">
        <v>5</v>
      </c>
      <c r="AB661">
        <v>2</v>
      </c>
      <c r="AC661">
        <v>44</v>
      </c>
      <c r="AD661" t="str">
        <v>Abigail Shaffer</v>
      </c>
      <c r="AE661" t="str">
        <v>Resigned</v>
      </c>
      <c r="AF661">
        <v>402136.68</v>
      </c>
    </row>
    <row r="662" spans="16:32" x14ac:dyDescent="0.25">
      <c r="P662" t="str">
        <v>EMP0659</v>
      </c>
      <c r="Q662" t="str">
        <v>Joshua Jensen</v>
      </c>
      <c r="R662" t="str">
        <v>IT</v>
      </c>
      <c r="S662" t="str">
        <v>Software Engineer</v>
      </c>
      <c r="T662" t="str">
        <v>Male</v>
      </c>
      <c r="U662">
        <v>36</v>
      </c>
      <c r="V662">
        <v>44802</v>
      </c>
      <c r="W662" t="str">
        <v>Part-Time</v>
      </c>
      <c r="X662">
        <v>104208.97</v>
      </c>
      <c r="Y662">
        <v>5</v>
      </c>
      <c r="Z662">
        <v>83.82</v>
      </c>
      <c r="AA662">
        <v>3</v>
      </c>
      <c r="AB662">
        <v>38</v>
      </c>
      <c r="AC662">
        <v>49</v>
      </c>
      <c r="AD662" t="str">
        <v>Dylan Miller</v>
      </c>
      <c r="AE662" t="str">
        <v>Active</v>
      </c>
      <c r="AF662">
        <v>1250507.6400000001</v>
      </c>
    </row>
    <row r="663" spans="16:32" x14ac:dyDescent="0.25">
      <c r="P663" t="str">
        <v>EMP0660</v>
      </c>
      <c r="Q663" t="str">
        <v>Bob Mccall</v>
      </c>
      <c r="R663" t="str">
        <v>Customer Support</v>
      </c>
      <c r="S663" t="str">
        <v>Support Agent</v>
      </c>
      <c r="T663" t="str">
        <v>Male</v>
      </c>
      <c r="U663">
        <v>31</v>
      </c>
      <c r="V663">
        <v>44027</v>
      </c>
      <c r="W663" t="str">
        <v>Full-Time</v>
      </c>
      <c r="X663">
        <v>93878.12</v>
      </c>
      <c r="Y663">
        <v>4</v>
      </c>
      <c r="Z663">
        <v>99.28</v>
      </c>
      <c r="AA663">
        <v>5</v>
      </c>
      <c r="AB663">
        <v>60</v>
      </c>
      <c r="AC663">
        <v>1</v>
      </c>
      <c r="AD663" t="str">
        <v>Dylan Miller</v>
      </c>
      <c r="AE663" t="str">
        <v>Active</v>
      </c>
      <c r="AF663">
        <v>1126537.44</v>
      </c>
    </row>
    <row r="664" spans="16:32" x14ac:dyDescent="0.25">
      <c r="P664" t="str">
        <v>EMP0661</v>
      </c>
      <c r="Q664" t="str">
        <v>Jeanette Walters</v>
      </c>
      <c r="R664" t="str">
        <v>IT</v>
      </c>
      <c r="S664" t="str">
        <v>Software Engineer</v>
      </c>
      <c r="T664" t="str">
        <v>Female</v>
      </c>
      <c r="U664">
        <v>24</v>
      </c>
      <c r="V664">
        <v>43268</v>
      </c>
      <c r="W664" t="str">
        <v>Part-Time</v>
      </c>
      <c r="X664">
        <v>20787.43</v>
      </c>
      <c r="Y664">
        <v>4</v>
      </c>
      <c r="Z664">
        <v>99.59</v>
      </c>
      <c r="AA664">
        <v>7</v>
      </c>
      <c r="AB664">
        <v>63</v>
      </c>
      <c r="AC664">
        <v>47</v>
      </c>
      <c r="AD664" t="str">
        <v>Lisa Jackson</v>
      </c>
      <c r="AE664" t="str">
        <v>Active</v>
      </c>
      <c r="AF664">
        <v>249449.16</v>
      </c>
    </row>
    <row r="665" spans="16:32" x14ac:dyDescent="0.25">
      <c r="P665" t="str">
        <v>EMP0662</v>
      </c>
      <c r="Q665" t="str">
        <v>Jeffrey Ashley</v>
      </c>
      <c r="R665" t="str">
        <v>Finance</v>
      </c>
      <c r="S665" t="str">
        <v>Accountant</v>
      </c>
      <c r="T665" t="str">
        <v>Female</v>
      </c>
      <c r="U665">
        <v>46</v>
      </c>
      <c r="V665">
        <v>42713</v>
      </c>
      <c r="W665" t="str">
        <v>Part-Time</v>
      </c>
      <c r="X665">
        <v>71335.570000000007</v>
      </c>
      <c r="Y665">
        <v>5</v>
      </c>
      <c r="Z665">
        <v>98.71</v>
      </c>
      <c r="AA665">
        <v>9</v>
      </c>
      <c r="AB665">
        <v>62</v>
      </c>
      <c r="AC665">
        <v>14</v>
      </c>
      <c r="AD665" t="str">
        <v>Noah Rhodes</v>
      </c>
      <c r="AE665" t="str">
        <v>Active</v>
      </c>
      <c r="AF665">
        <v>856026.84000000008</v>
      </c>
    </row>
    <row r="666" spans="16:32" x14ac:dyDescent="0.25">
      <c r="P666" t="str">
        <v>EMP0663</v>
      </c>
      <c r="Q666" t="str">
        <v>Brandon Hamilton</v>
      </c>
      <c r="R666" t="str">
        <v>Customer Support</v>
      </c>
      <c r="S666" t="str">
        <v>Team Lead</v>
      </c>
      <c r="T666" t="str">
        <v>Male</v>
      </c>
      <c r="U666">
        <v>38</v>
      </c>
      <c r="V666">
        <v>43785</v>
      </c>
      <c r="W666" t="str">
        <v>Contract</v>
      </c>
      <c r="X666">
        <v>61713.75</v>
      </c>
      <c r="Y666">
        <v>4</v>
      </c>
      <c r="Z666">
        <v>82.34</v>
      </c>
      <c r="AA666">
        <v>6</v>
      </c>
      <c r="AB666">
        <v>79</v>
      </c>
      <c r="AC666">
        <v>60</v>
      </c>
      <c r="AD666" t="str">
        <v>Jamie Arnold</v>
      </c>
      <c r="AE666" t="str">
        <v>Active</v>
      </c>
      <c r="AF666">
        <v>740565</v>
      </c>
    </row>
    <row r="667" spans="16:32" x14ac:dyDescent="0.25">
      <c r="P667" t="str">
        <v>EMP0664</v>
      </c>
      <c r="Q667" t="str">
        <v>Amy Wade</v>
      </c>
      <c r="R667" t="str">
        <v>Customer Support</v>
      </c>
      <c r="S667" t="str">
        <v>Support Agent</v>
      </c>
      <c r="T667" t="str">
        <v>Male</v>
      </c>
      <c r="U667">
        <v>39</v>
      </c>
      <c r="V667">
        <v>45120</v>
      </c>
      <c r="W667" t="str">
        <v>Contract</v>
      </c>
      <c r="X667">
        <v>39220.129999999997</v>
      </c>
      <c r="Y667">
        <v>3</v>
      </c>
      <c r="Z667">
        <v>88.76</v>
      </c>
      <c r="AA667">
        <v>2</v>
      </c>
      <c r="AB667">
        <v>64</v>
      </c>
      <c r="AC667">
        <v>14</v>
      </c>
      <c r="AD667" t="str">
        <v>Lisa Jackson</v>
      </c>
      <c r="AE667" t="str">
        <v>Resigned</v>
      </c>
      <c r="AF667">
        <v>470641.55999999994</v>
      </c>
    </row>
    <row r="668" spans="16:32" x14ac:dyDescent="0.25">
      <c r="P668" t="str">
        <v>EMP0665</v>
      </c>
      <c r="Q668" t="str">
        <v>Michael Miles</v>
      </c>
      <c r="R668" t="str">
        <v>Operations</v>
      </c>
      <c r="S668" t="str">
        <v>Operations Manager</v>
      </c>
      <c r="T668" t="str">
        <v>Male</v>
      </c>
      <c r="U668">
        <v>39</v>
      </c>
      <c r="V668">
        <v>43394</v>
      </c>
      <c r="W668" t="str">
        <v>Contract</v>
      </c>
      <c r="X668">
        <v>91138.52</v>
      </c>
      <c r="Y668">
        <v>4</v>
      </c>
      <c r="Z668">
        <v>96.66</v>
      </c>
      <c r="AA668">
        <v>7</v>
      </c>
      <c r="AB668">
        <v>46</v>
      </c>
      <c r="AC668">
        <v>50</v>
      </c>
      <c r="AD668" t="str">
        <v>Brian Ramirez</v>
      </c>
      <c r="AE668" t="str">
        <v>Active</v>
      </c>
      <c r="AF668">
        <v>1093662.24</v>
      </c>
    </row>
    <row r="669" spans="16:32" x14ac:dyDescent="0.25">
      <c r="P669" t="str">
        <v>EMP0666</v>
      </c>
      <c r="Q669" t="str">
        <v>Gregory Holmes PhD</v>
      </c>
      <c r="R669" t="str">
        <v>HR</v>
      </c>
      <c r="S669" t="str">
        <v>HR Manager</v>
      </c>
      <c r="T669" t="str">
        <v>Male</v>
      </c>
      <c r="U669">
        <v>39</v>
      </c>
      <c r="V669">
        <v>43321</v>
      </c>
      <c r="W669" t="str">
        <v>Contract</v>
      </c>
      <c r="X669">
        <v>94925.43</v>
      </c>
      <c r="Y669">
        <v>4</v>
      </c>
      <c r="Z669">
        <v>82.58</v>
      </c>
      <c r="AA669">
        <v>7</v>
      </c>
      <c r="AB669">
        <v>25</v>
      </c>
      <c r="AC669">
        <v>10</v>
      </c>
      <c r="AD669" t="str">
        <v>Carla Gray</v>
      </c>
      <c r="AE669" t="str">
        <v>Active</v>
      </c>
      <c r="AF669">
        <v>1139105.1599999999</v>
      </c>
    </row>
    <row r="670" spans="16:32" x14ac:dyDescent="0.25">
      <c r="P670" t="str">
        <v>EMP0667</v>
      </c>
      <c r="Q670" t="str">
        <v>Cameron Norman</v>
      </c>
      <c r="R670" t="str">
        <v>Customer Support</v>
      </c>
      <c r="S670" t="str">
        <v>Team Lead</v>
      </c>
      <c r="T670" t="str">
        <v>Female</v>
      </c>
      <c r="U670">
        <v>36</v>
      </c>
      <c r="V670">
        <v>43913</v>
      </c>
      <c r="W670" t="str">
        <v>Full-Time</v>
      </c>
      <c r="X670">
        <v>75683.05</v>
      </c>
      <c r="Y670">
        <v>1</v>
      </c>
      <c r="Z670">
        <v>87.18</v>
      </c>
      <c r="AA670">
        <v>5</v>
      </c>
      <c r="AB670">
        <v>33</v>
      </c>
      <c r="AC670">
        <v>22</v>
      </c>
      <c r="AD670" t="str">
        <v>Connie Lawrence</v>
      </c>
      <c r="AE670" t="str">
        <v>Active</v>
      </c>
      <c r="AF670">
        <v>908196.60000000009</v>
      </c>
    </row>
    <row r="671" spans="16:32" x14ac:dyDescent="0.25">
      <c r="P671" t="str">
        <v>EMP0668</v>
      </c>
      <c r="Q671" t="str">
        <v>Bailey Yoder</v>
      </c>
      <c r="R671" t="str">
        <v>Sales</v>
      </c>
      <c r="S671" t="str">
        <v>Sales Rep</v>
      </c>
      <c r="T671" t="str">
        <v>Female</v>
      </c>
      <c r="U671">
        <v>48</v>
      </c>
      <c r="V671">
        <v>43973</v>
      </c>
      <c r="W671" t="str">
        <v>Full-Time</v>
      </c>
      <c r="X671">
        <v>81756.289999999994</v>
      </c>
      <c r="Y671">
        <v>1</v>
      </c>
      <c r="Z671">
        <v>91.24</v>
      </c>
      <c r="AA671">
        <v>5</v>
      </c>
      <c r="AB671">
        <v>62</v>
      </c>
      <c r="AC671">
        <v>16</v>
      </c>
      <c r="AD671" t="str">
        <v>Monica Herrera</v>
      </c>
      <c r="AE671" t="str">
        <v>Active</v>
      </c>
      <c r="AF671">
        <v>981075.48</v>
      </c>
    </row>
    <row r="672" spans="16:32" x14ac:dyDescent="0.25">
      <c r="P672" t="str">
        <v>EMP0669</v>
      </c>
      <c r="Q672" t="str">
        <v>Denise Brown</v>
      </c>
      <c r="R672" t="str">
        <v>Sales</v>
      </c>
      <c r="S672" t="str">
        <v>Account Executive</v>
      </c>
      <c r="T672" t="str">
        <v>Female</v>
      </c>
      <c r="U672">
        <v>30</v>
      </c>
      <c r="V672">
        <v>44384</v>
      </c>
      <c r="W672" t="str">
        <v>Contract</v>
      </c>
      <c r="X672">
        <v>107369.57</v>
      </c>
      <c r="Y672">
        <v>5</v>
      </c>
      <c r="Z672">
        <v>93.39</v>
      </c>
      <c r="AA672">
        <v>4</v>
      </c>
      <c r="AB672">
        <v>6</v>
      </c>
      <c r="AC672">
        <v>59</v>
      </c>
      <c r="AD672" t="str">
        <v>Dylan Miller</v>
      </c>
      <c r="AE672" t="str">
        <v>Active</v>
      </c>
      <c r="AF672">
        <v>1288434.8400000001</v>
      </c>
    </row>
    <row r="673" spans="16:32" x14ac:dyDescent="0.25">
      <c r="P673" t="str">
        <v>EMP0670</v>
      </c>
      <c r="Q673" t="str">
        <v>Kathleen Dixon</v>
      </c>
      <c r="R673" t="str">
        <v>Marketing</v>
      </c>
      <c r="S673" t="str">
        <v>Marketing Analyst</v>
      </c>
      <c r="T673" t="str">
        <v>Male</v>
      </c>
      <c r="U673">
        <v>56</v>
      </c>
      <c r="V673">
        <v>45886</v>
      </c>
      <c r="W673" t="str">
        <v>Full-Time</v>
      </c>
      <c r="X673">
        <v>70730.570000000007</v>
      </c>
      <c r="Y673">
        <v>2</v>
      </c>
      <c r="Z673">
        <v>92.6</v>
      </c>
      <c r="AA673">
        <v>0</v>
      </c>
      <c r="AB673">
        <v>26</v>
      </c>
      <c r="AC673">
        <v>58</v>
      </c>
      <c r="AD673" t="str">
        <v>Jamie Arnold</v>
      </c>
      <c r="AE673" t="str">
        <v>Active</v>
      </c>
      <c r="AF673">
        <v>848766.84000000008</v>
      </c>
    </row>
    <row r="674" spans="16:32" x14ac:dyDescent="0.25">
      <c r="P674" t="str">
        <v>EMP0671</v>
      </c>
      <c r="Q674" t="str">
        <v>Mr. Jacob Scott Jr.</v>
      </c>
      <c r="R674" t="str">
        <v>Finance</v>
      </c>
      <c r="S674" t="str">
        <v>Finance Manager</v>
      </c>
      <c r="T674" t="str">
        <v>Female</v>
      </c>
      <c r="U674">
        <v>53</v>
      </c>
      <c r="V674">
        <v>42647</v>
      </c>
      <c r="W674" t="str">
        <v>Part-Time</v>
      </c>
      <c r="X674">
        <v>93255.19</v>
      </c>
      <c r="Y674">
        <v>1</v>
      </c>
      <c r="Z674">
        <v>83.09</v>
      </c>
      <c r="AA674">
        <v>9</v>
      </c>
      <c r="AB674">
        <v>46</v>
      </c>
      <c r="AC674">
        <v>21</v>
      </c>
      <c r="AD674" t="str">
        <v>Cristian Santos</v>
      </c>
      <c r="AE674" t="str">
        <v>Active</v>
      </c>
      <c r="AF674">
        <v>1119062.28</v>
      </c>
    </row>
    <row r="675" spans="16:32" x14ac:dyDescent="0.25">
      <c r="P675" t="str">
        <v>EMP0672</v>
      </c>
      <c r="Q675" t="str">
        <v>Ashley Yang</v>
      </c>
      <c r="R675" t="str">
        <v>IT</v>
      </c>
      <c r="S675" t="str">
        <v>Software Engineer</v>
      </c>
      <c r="T675" t="str">
        <v>Female</v>
      </c>
      <c r="U675">
        <v>21</v>
      </c>
      <c r="V675">
        <v>45869</v>
      </c>
      <c r="W675" t="str">
        <v>Full-Time</v>
      </c>
      <c r="X675">
        <v>103481.34</v>
      </c>
      <c r="Y675">
        <v>4</v>
      </c>
      <c r="Z675">
        <v>86.83</v>
      </c>
      <c r="AA675">
        <v>0</v>
      </c>
      <c r="AB675">
        <v>64</v>
      </c>
      <c r="AC675">
        <v>10</v>
      </c>
      <c r="AD675" t="str">
        <v>Angie Henderson</v>
      </c>
      <c r="AE675" t="str">
        <v>Active</v>
      </c>
      <c r="AF675">
        <v>1241776.08</v>
      </c>
    </row>
    <row r="676" spans="16:32" x14ac:dyDescent="0.25">
      <c r="P676" t="str">
        <v>EMP0673</v>
      </c>
      <c r="Q676" t="str">
        <v>Scott Sanchez</v>
      </c>
      <c r="R676" t="str">
        <v>Customer Support</v>
      </c>
      <c r="S676" t="str">
        <v>Team Lead</v>
      </c>
      <c r="T676" t="str">
        <v>Male</v>
      </c>
      <c r="U676">
        <v>30</v>
      </c>
      <c r="V676">
        <v>42318</v>
      </c>
      <c r="W676" t="str">
        <v>Contract</v>
      </c>
      <c r="X676">
        <v>62172.22</v>
      </c>
      <c r="Y676">
        <v>2</v>
      </c>
      <c r="Z676">
        <v>82.76</v>
      </c>
      <c r="AA676">
        <v>10</v>
      </c>
      <c r="AB676">
        <v>54</v>
      </c>
      <c r="AC676">
        <v>26</v>
      </c>
      <c r="AD676" t="str">
        <v>Michele Williams</v>
      </c>
      <c r="AE676" t="str">
        <v>Resigned</v>
      </c>
      <c r="AF676">
        <v>746066.64</v>
      </c>
    </row>
    <row r="677" spans="16:32" x14ac:dyDescent="0.25">
      <c r="P677" t="str">
        <v>EMP0674</v>
      </c>
      <c r="Q677" t="str">
        <v>Thomas White</v>
      </c>
      <c r="R677" t="str">
        <v>Operations</v>
      </c>
      <c r="S677" t="str">
        <v>Operations Associate</v>
      </c>
      <c r="T677" t="str">
        <v>Female</v>
      </c>
      <c r="U677">
        <v>30</v>
      </c>
      <c r="V677">
        <v>45234</v>
      </c>
      <c r="W677" t="str">
        <v>Full-Time</v>
      </c>
      <c r="X677">
        <v>91762.57</v>
      </c>
      <c r="Y677">
        <v>5</v>
      </c>
      <c r="Z677">
        <v>98.87</v>
      </c>
      <c r="AA677">
        <v>2</v>
      </c>
      <c r="AB677">
        <v>10</v>
      </c>
      <c r="AC677">
        <v>21</v>
      </c>
      <c r="AD677" t="str">
        <v>Monica Herrera</v>
      </c>
      <c r="AE677" t="str">
        <v>Active</v>
      </c>
      <c r="AF677">
        <v>1101150.8400000001</v>
      </c>
    </row>
    <row r="678" spans="16:32" x14ac:dyDescent="0.25">
      <c r="P678" t="str">
        <v>EMP0675</v>
      </c>
      <c r="Q678" t="str">
        <v>Suzanne Yang</v>
      </c>
      <c r="R678" t="str">
        <v>HR</v>
      </c>
      <c r="S678" t="str">
        <v>Recruiter</v>
      </c>
      <c r="T678" t="str">
        <v>Male</v>
      </c>
      <c r="U678">
        <v>46</v>
      </c>
      <c r="V678">
        <v>42522</v>
      </c>
      <c r="W678" t="str">
        <v>Full-Time</v>
      </c>
      <c r="X678">
        <v>86017.62</v>
      </c>
      <c r="Y678">
        <v>2</v>
      </c>
      <c r="Z678">
        <v>98.05</v>
      </c>
      <c r="AA678">
        <v>9</v>
      </c>
      <c r="AB678">
        <v>7</v>
      </c>
      <c r="AC678">
        <v>40</v>
      </c>
      <c r="AD678" t="str">
        <v>Holly Wood</v>
      </c>
      <c r="AE678" t="str">
        <v>Resigned</v>
      </c>
      <c r="AF678">
        <v>1032211.44</v>
      </c>
    </row>
    <row r="679" spans="16:32" x14ac:dyDescent="0.25">
      <c r="P679" t="str">
        <v>EMP0676</v>
      </c>
      <c r="Q679" t="str">
        <v>David Moon</v>
      </c>
      <c r="R679" t="str">
        <v>Customer Support</v>
      </c>
      <c r="S679" t="str">
        <v>Team Lead</v>
      </c>
      <c r="T679" t="str">
        <v>Female</v>
      </c>
      <c r="U679">
        <v>41</v>
      </c>
      <c r="V679">
        <v>44908</v>
      </c>
      <c r="W679" t="str">
        <v>Part-Time</v>
      </c>
      <c r="X679">
        <v>20790.22</v>
      </c>
      <c r="Y679">
        <v>3</v>
      </c>
      <c r="Z679">
        <v>98</v>
      </c>
      <c r="AA679">
        <v>3</v>
      </c>
      <c r="AB679">
        <v>78</v>
      </c>
      <c r="AC679">
        <v>58</v>
      </c>
      <c r="AD679" t="str">
        <v>Cristian Santos</v>
      </c>
      <c r="AE679" t="str">
        <v>Active</v>
      </c>
      <c r="AF679">
        <v>249482.64</v>
      </c>
    </row>
    <row r="680" spans="16:32" x14ac:dyDescent="0.25">
      <c r="P680" t="str">
        <v>EMP0677</v>
      </c>
      <c r="Q680" t="str">
        <v>Blake Watson</v>
      </c>
      <c r="R680" t="str">
        <v>R&amp;D</v>
      </c>
      <c r="S680" t="str">
        <v>Researcher</v>
      </c>
      <c r="T680" t="str">
        <v>Female</v>
      </c>
      <c r="U680">
        <v>43</v>
      </c>
      <c r="V680">
        <v>44291</v>
      </c>
      <c r="W680" t="str">
        <v>Contract</v>
      </c>
      <c r="X680">
        <v>60450.57</v>
      </c>
      <c r="Y680">
        <v>2</v>
      </c>
      <c r="Z680">
        <v>97.62</v>
      </c>
      <c r="AA680">
        <v>4</v>
      </c>
      <c r="AB680">
        <v>10</v>
      </c>
      <c r="AC680">
        <v>2</v>
      </c>
      <c r="AD680" t="str">
        <v>Derek Zuniga</v>
      </c>
      <c r="AE680" t="str">
        <v>Active</v>
      </c>
      <c r="AF680">
        <v>725406.84</v>
      </c>
    </row>
    <row r="681" spans="16:32" x14ac:dyDescent="0.25">
      <c r="P681" t="str">
        <v>EMP0678</v>
      </c>
      <c r="Q681" t="str">
        <v>Amy Walker</v>
      </c>
      <c r="R681" t="str">
        <v>HR</v>
      </c>
      <c r="S681" t="str">
        <v>HR Manager</v>
      </c>
      <c r="T681" t="str">
        <v>Female</v>
      </c>
      <c r="U681">
        <v>34</v>
      </c>
      <c r="V681">
        <v>45422</v>
      </c>
      <c r="W681" t="str">
        <v>Full-Time</v>
      </c>
      <c r="X681">
        <v>71167.16</v>
      </c>
      <c r="Y681">
        <v>3</v>
      </c>
      <c r="Z681">
        <v>90.43</v>
      </c>
      <c r="AA681">
        <v>1</v>
      </c>
      <c r="AB681">
        <v>20</v>
      </c>
      <c r="AC681">
        <v>1</v>
      </c>
      <c r="AD681" t="str">
        <v>Allison Hill</v>
      </c>
      <c r="AE681" t="str">
        <v>Resigned</v>
      </c>
      <c r="AF681">
        <v>854005.92</v>
      </c>
    </row>
    <row r="682" spans="16:32" x14ac:dyDescent="0.25">
      <c r="P682" t="str">
        <v>EMP0679</v>
      </c>
      <c r="Q682" t="str">
        <v>Dr. Andrea Marshall</v>
      </c>
      <c r="R682" t="str">
        <v>Finance</v>
      </c>
      <c r="S682" t="str">
        <v>Accountant</v>
      </c>
      <c r="T682" t="str">
        <v>Female</v>
      </c>
      <c r="U682">
        <v>48</v>
      </c>
      <c r="V682">
        <v>45507</v>
      </c>
      <c r="W682" t="str">
        <v>Contract</v>
      </c>
      <c r="X682">
        <v>31044.19</v>
      </c>
      <c r="Y682">
        <v>1</v>
      </c>
      <c r="Z682">
        <v>96.83</v>
      </c>
      <c r="AA682">
        <v>1</v>
      </c>
      <c r="AB682">
        <v>33</v>
      </c>
      <c r="AC682">
        <v>40</v>
      </c>
      <c r="AD682" t="str">
        <v>Holly Wood</v>
      </c>
      <c r="AE682" t="str">
        <v>Active</v>
      </c>
      <c r="AF682">
        <v>372530.27999999997</v>
      </c>
    </row>
    <row r="683" spans="16:32" x14ac:dyDescent="0.25">
      <c r="P683" t="str">
        <v>EMP0680</v>
      </c>
      <c r="Q683" t="str">
        <v>Emily Miller</v>
      </c>
      <c r="R683" t="str">
        <v>Sales</v>
      </c>
      <c r="S683" t="str">
        <v>Account Executive</v>
      </c>
      <c r="T683" t="str">
        <v>Male</v>
      </c>
      <c r="U683">
        <v>49</v>
      </c>
      <c r="V683">
        <v>44057</v>
      </c>
      <c r="W683" t="str">
        <v>Part-Time</v>
      </c>
      <c r="X683">
        <v>77243.53</v>
      </c>
      <c r="Y683">
        <v>1</v>
      </c>
      <c r="Z683">
        <v>89.06</v>
      </c>
      <c r="AA683">
        <v>5</v>
      </c>
      <c r="AB683">
        <v>30</v>
      </c>
      <c r="AC683">
        <v>51</v>
      </c>
      <c r="AD683" t="str">
        <v>Lisa Jackson</v>
      </c>
      <c r="AE683" t="str">
        <v>Active</v>
      </c>
      <c r="AF683">
        <v>926922.36</v>
      </c>
    </row>
    <row r="684" spans="16:32" x14ac:dyDescent="0.25">
      <c r="P684" t="str">
        <v>EMP0681</v>
      </c>
      <c r="Q684" t="str">
        <v>Curtis Elliott</v>
      </c>
      <c r="R684" t="str">
        <v>IT</v>
      </c>
      <c r="S684" t="str">
        <v>Software Engineer</v>
      </c>
      <c r="T684" t="str">
        <v>Female</v>
      </c>
      <c r="U684">
        <v>39</v>
      </c>
      <c r="V684">
        <v>45141</v>
      </c>
      <c r="W684" t="str">
        <v>Contract</v>
      </c>
      <c r="X684">
        <v>98478.93</v>
      </c>
      <c r="Y684">
        <v>5</v>
      </c>
      <c r="Z684">
        <v>93.45</v>
      </c>
      <c r="AA684">
        <v>2</v>
      </c>
      <c r="AB684">
        <v>48</v>
      </c>
      <c r="AC684">
        <v>33</v>
      </c>
      <c r="AD684" t="str">
        <v>Gina Moore</v>
      </c>
      <c r="AE684" t="str">
        <v>Active</v>
      </c>
      <c r="AF684">
        <v>1181747.1599999999</v>
      </c>
    </row>
    <row r="685" spans="16:32" x14ac:dyDescent="0.25">
      <c r="P685" t="str">
        <v>EMP0682</v>
      </c>
      <c r="Q685" t="str">
        <v>Dana Richardson</v>
      </c>
      <c r="R685" t="str">
        <v>IT</v>
      </c>
      <c r="S685" t="str">
        <v>Software Engineer</v>
      </c>
      <c r="T685" t="str">
        <v>Female</v>
      </c>
      <c r="U685">
        <v>27</v>
      </c>
      <c r="V685">
        <v>44191</v>
      </c>
      <c r="W685" t="str">
        <v>Full-Time</v>
      </c>
      <c r="X685">
        <v>91164.04</v>
      </c>
      <c r="Y685">
        <v>4</v>
      </c>
      <c r="Z685">
        <v>81.64</v>
      </c>
      <c r="AA685">
        <v>5</v>
      </c>
      <c r="AB685">
        <v>7</v>
      </c>
      <c r="AC685">
        <v>27</v>
      </c>
      <c r="AD685" t="str">
        <v>Cristian Santos</v>
      </c>
      <c r="AE685" t="str">
        <v>Active</v>
      </c>
      <c r="AF685">
        <v>1093968.48</v>
      </c>
    </row>
    <row r="686" spans="16:32" x14ac:dyDescent="0.25">
      <c r="P686" t="str">
        <v>EMP0683</v>
      </c>
      <c r="Q686" t="str">
        <v>Dr. Morgan Payne PhD</v>
      </c>
      <c r="R686" t="str">
        <v>R&amp;D</v>
      </c>
      <c r="S686" t="str">
        <v>Researcher</v>
      </c>
      <c r="T686" t="str">
        <v>Female</v>
      </c>
      <c r="U686">
        <v>54</v>
      </c>
      <c r="V686">
        <v>45368</v>
      </c>
      <c r="W686" t="str">
        <v>Part-Time</v>
      </c>
      <c r="X686">
        <v>78823.95</v>
      </c>
      <c r="Y686">
        <v>5</v>
      </c>
      <c r="Z686">
        <v>95.58</v>
      </c>
      <c r="AA686">
        <v>1</v>
      </c>
      <c r="AB686">
        <v>33</v>
      </c>
      <c r="AC686">
        <v>37</v>
      </c>
      <c r="AD686" t="str">
        <v>Brian Ramirez</v>
      </c>
      <c r="AE686" t="str">
        <v>Active</v>
      </c>
      <c r="AF686">
        <v>945887.39999999991</v>
      </c>
    </row>
    <row r="687" spans="16:32" x14ac:dyDescent="0.25">
      <c r="P687" t="str">
        <v>EMP0684</v>
      </c>
      <c r="Q687" t="str">
        <v>Jason Hall</v>
      </c>
      <c r="R687" t="str">
        <v>R&amp;D</v>
      </c>
      <c r="S687" t="str">
        <v>Product Developer</v>
      </c>
      <c r="T687" t="str">
        <v>Female</v>
      </c>
      <c r="U687">
        <v>31</v>
      </c>
      <c r="V687">
        <v>43238</v>
      </c>
      <c r="W687" t="str">
        <v>Full-Time</v>
      </c>
      <c r="X687">
        <v>70578.59</v>
      </c>
      <c r="Y687">
        <v>4</v>
      </c>
      <c r="Z687">
        <v>94.22</v>
      </c>
      <c r="AA687">
        <v>7</v>
      </c>
      <c r="AB687">
        <v>16</v>
      </c>
      <c r="AC687">
        <v>45</v>
      </c>
      <c r="AD687" t="str">
        <v>Holly Wood</v>
      </c>
      <c r="AE687" t="str">
        <v>Resigned</v>
      </c>
      <c r="AF687">
        <v>846943.08</v>
      </c>
    </row>
    <row r="688" spans="16:32" x14ac:dyDescent="0.25">
      <c r="P688" t="str">
        <v>EMP0685</v>
      </c>
      <c r="Q688" t="str">
        <v>Melissa Smith</v>
      </c>
      <c r="R688" t="str">
        <v>Marketing</v>
      </c>
      <c r="S688" t="str">
        <v>Content Specialist</v>
      </c>
      <c r="T688" t="str">
        <v>Male</v>
      </c>
      <c r="U688">
        <v>50</v>
      </c>
      <c r="V688">
        <v>44455</v>
      </c>
      <c r="W688" t="str">
        <v>Part-Time</v>
      </c>
      <c r="X688">
        <v>23260.74</v>
      </c>
      <c r="Y688">
        <v>2</v>
      </c>
      <c r="Z688">
        <v>98.88</v>
      </c>
      <c r="AA688">
        <v>4</v>
      </c>
      <c r="AB688">
        <v>47</v>
      </c>
      <c r="AC688">
        <v>58</v>
      </c>
      <c r="AD688" t="str">
        <v>Daniel Wagner</v>
      </c>
      <c r="AE688" t="str">
        <v>Active</v>
      </c>
      <c r="AF688">
        <v>279128.88</v>
      </c>
    </row>
    <row r="689" spans="16:32" x14ac:dyDescent="0.25">
      <c r="P689" t="str">
        <v>EMP0686</v>
      </c>
      <c r="Q689" t="str">
        <v>Matthew Sweeney</v>
      </c>
      <c r="R689" t="str">
        <v>Customer Support</v>
      </c>
      <c r="S689" t="str">
        <v>Support Agent</v>
      </c>
      <c r="T689" t="str">
        <v>Male</v>
      </c>
      <c r="U689">
        <v>44</v>
      </c>
      <c r="V689">
        <v>44384</v>
      </c>
      <c r="W689" t="str">
        <v>Contract</v>
      </c>
      <c r="X689">
        <v>48959.06</v>
      </c>
      <c r="Y689">
        <v>5</v>
      </c>
      <c r="Z689">
        <v>83.07</v>
      </c>
      <c r="AA689">
        <v>4</v>
      </c>
      <c r="AB689">
        <v>47</v>
      </c>
      <c r="AC689">
        <v>19</v>
      </c>
      <c r="AD689" t="str">
        <v>Jamie Arnold</v>
      </c>
      <c r="AE689" t="str">
        <v>Active</v>
      </c>
      <c r="AF689">
        <v>587508.72</v>
      </c>
    </row>
    <row r="690" spans="16:32" x14ac:dyDescent="0.25">
      <c r="P690" t="str">
        <v>EMP0687</v>
      </c>
      <c r="Q690" t="str">
        <v>Joseph Allen</v>
      </c>
      <c r="R690" t="str">
        <v>R&amp;D</v>
      </c>
      <c r="S690" t="str">
        <v>Researcher</v>
      </c>
      <c r="T690" t="str">
        <v>Male</v>
      </c>
      <c r="U690">
        <v>30</v>
      </c>
      <c r="V690">
        <v>44213</v>
      </c>
      <c r="W690" t="str">
        <v>Contract</v>
      </c>
      <c r="X690">
        <v>62175.7</v>
      </c>
      <c r="Y690">
        <v>3</v>
      </c>
      <c r="Z690">
        <v>97.78</v>
      </c>
      <c r="AA690">
        <v>4</v>
      </c>
      <c r="AB690">
        <v>27</v>
      </c>
      <c r="AC690">
        <v>11</v>
      </c>
      <c r="AD690" t="str">
        <v>Brian Ramirez</v>
      </c>
      <c r="AE690" t="str">
        <v>Active</v>
      </c>
      <c r="AF690">
        <v>746108.39999999991</v>
      </c>
    </row>
    <row r="691" spans="16:32" x14ac:dyDescent="0.25">
      <c r="P691" t="str">
        <v>EMP0688</v>
      </c>
      <c r="Q691" t="str">
        <v>Valerie Thomas</v>
      </c>
      <c r="R691" t="str">
        <v>Operations</v>
      </c>
      <c r="S691" t="str">
        <v>Operations Associate</v>
      </c>
      <c r="T691" t="str">
        <v>Male</v>
      </c>
      <c r="U691">
        <v>47</v>
      </c>
      <c r="V691">
        <v>45360</v>
      </c>
      <c r="W691" t="str">
        <v>Part-Time</v>
      </c>
      <c r="X691">
        <v>77305.91</v>
      </c>
      <c r="Y691">
        <v>5</v>
      </c>
      <c r="Z691">
        <v>89.05</v>
      </c>
      <c r="AA691">
        <v>1</v>
      </c>
      <c r="AB691">
        <v>43</v>
      </c>
      <c r="AC691">
        <v>50</v>
      </c>
      <c r="AD691" t="str">
        <v>Lisa Hensley</v>
      </c>
      <c r="AE691" t="str">
        <v>Active</v>
      </c>
      <c r="AF691">
        <v>927670.92</v>
      </c>
    </row>
    <row r="692" spans="16:32" x14ac:dyDescent="0.25">
      <c r="P692" t="str">
        <v>EMP0689</v>
      </c>
      <c r="Q692" t="str">
        <v>Thomas Merritt</v>
      </c>
      <c r="R692" t="str">
        <v>HR</v>
      </c>
      <c r="S692" t="str">
        <v>HR Officer</v>
      </c>
      <c r="T692" t="str">
        <v>Female</v>
      </c>
      <c r="U692">
        <v>49</v>
      </c>
      <c r="V692">
        <v>44041</v>
      </c>
      <c r="W692" t="str">
        <v>Contract</v>
      </c>
      <c r="X692">
        <v>64907.47</v>
      </c>
      <c r="Y692">
        <v>3</v>
      </c>
      <c r="Z692">
        <v>81.790000000000006</v>
      </c>
      <c r="AA692">
        <v>5</v>
      </c>
      <c r="AB692">
        <v>79</v>
      </c>
      <c r="AC692">
        <v>42</v>
      </c>
      <c r="AD692" t="str">
        <v>Carla Gray</v>
      </c>
      <c r="AE692" t="str">
        <v>Active</v>
      </c>
      <c r="AF692">
        <v>778889.64</v>
      </c>
    </row>
    <row r="693" spans="16:32" x14ac:dyDescent="0.25">
      <c r="P693" t="str">
        <v>EMP0690</v>
      </c>
      <c r="Q693" t="str">
        <v>Steven Ellis</v>
      </c>
      <c r="R693" t="str">
        <v>IT</v>
      </c>
      <c r="S693" t="str">
        <v>Software Engineer</v>
      </c>
      <c r="T693" t="str">
        <v>Female</v>
      </c>
      <c r="U693">
        <v>55</v>
      </c>
      <c r="V693">
        <v>45532</v>
      </c>
      <c r="W693" t="str">
        <v>Full-Time</v>
      </c>
      <c r="X693">
        <v>115807.95</v>
      </c>
      <c r="Y693">
        <v>4</v>
      </c>
      <c r="Z693">
        <v>94.72</v>
      </c>
      <c r="AA693">
        <v>1</v>
      </c>
      <c r="AB693">
        <v>11</v>
      </c>
      <c r="AC693">
        <v>55</v>
      </c>
      <c r="AD693" t="str">
        <v>Connie Lawrence</v>
      </c>
      <c r="AE693" t="str">
        <v>Active</v>
      </c>
      <c r="AF693">
        <v>1389695.4</v>
      </c>
    </row>
    <row r="694" spans="16:32" x14ac:dyDescent="0.25">
      <c r="P694" t="str">
        <v>EMP0691</v>
      </c>
      <c r="Q694" t="str">
        <v>Kathy Walsh</v>
      </c>
      <c r="R694" t="str">
        <v>Finance</v>
      </c>
      <c r="S694" t="str">
        <v>Finance Manager</v>
      </c>
      <c r="T694" t="str">
        <v>Male</v>
      </c>
      <c r="U694">
        <v>56</v>
      </c>
      <c r="V694">
        <v>42830</v>
      </c>
      <c r="W694" t="str">
        <v>Full-Time</v>
      </c>
      <c r="X694">
        <v>39242.67</v>
      </c>
      <c r="Y694">
        <v>5</v>
      </c>
      <c r="Z694">
        <v>90.84</v>
      </c>
      <c r="AA694">
        <v>8</v>
      </c>
      <c r="AB694">
        <v>6</v>
      </c>
      <c r="AC694">
        <v>36</v>
      </c>
      <c r="AD694" t="str">
        <v>Holly Wood</v>
      </c>
      <c r="AE694" t="str">
        <v>Active</v>
      </c>
      <c r="AF694">
        <v>470912.04</v>
      </c>
    </row>
    <row r="695" spans="16:32" x14ac:dyDescent="0.25">
      <c r="P695" t="str">
        <v>EMP0692</v>
      </c>
      <c r="Q695" t="str">
        <v>Keith Graham</v>
      </c>
      <c r="R695" t="str">
        <v>R&amp;D</v>
      </c>
      <c r="S695" t="str">
        <v>Researcher</v>
      </c>
      <c r="T695" t="str">
        <v>Male</v>
      </c>
      <c r="U695">
        <v>55</v>
      </c>
      <c r="V695">
        <v>44753</v>
      </c>
      <c r="W695" t="str">
        <v>Full-Time</v>
      </c>
      <c r="X695">
        <v>116237.68</v>
      </c>
      <c r="Y695">
        <v>3</v>
      </c>
      <c r="Z695">
        <v>95.74</v>
      </c>
      <c r="AA695">
        <v>3</v>
      </c>
      <c r="AB695">
        <v>31</v>
      </c>
      <c r="AC695">
        <v>53</v>
      </c>
      <c r="AD695" t="str">
        <v>Lisa Jackson</v>
      </c>
      <c r="AE695" t="str">
        <v>Active</v>
      </c>
      <c r="AF695">
        <v>1394852.16</v>
      </c>
    </row>
    <row r="696" spans="16:32" x14ac:dyDescent="0.25">
      <c r="P696" t="str">
        <v>EMP0693</v>
      </c>
      <c r="Q696" t="str">
        <v>Dean Edwards</v>
      </c>
      <c r="R696" t="str">
        <v>Operations</v>
      </c>
      <c r="S696" t="str">
        <v>Operations Manager</v>
      </c>
      <c r="T696" t="str">
        <v>Male</v>
      </c>
      <c r="U696">
        <v>52</v>
      </c>
      <c r="V696">
        <v>43115</v>
      </c>
      <c r="W696" t="str">
        <v>Full-Time</v>
      </c>
      <c r="X696">
        <v>53995.66</v>
      </c>
      <c r="Y696">
        <v>2</v>
      </c>
      <c r="Z696">
        <v>88.3</v>
      </c>
      <c r="AA696">
        <v>7</v>
      </c>
      <c r="AB696">
        <v>67</v>
      </c>
      <c r="AC696">
        <v>20</v>
      </c>
      <c r="AD696" t="str">
        <v>Lisa Hensley</v>
      </c>
      <c r="AE696" t="str">
        <v>Active</v>
      </c>
      <c r="AF696">
        <v>647947.92000000004</v>
      </c>
    </row>
    <row r="697" spans="16:32" x14ac:dyDescent="0.25">
      <c r="P697" t="str">
        <v>EMP0694</v>
      </c>
      <c r="Q697" t="str">
        <v>Nancy Stewart</v>
      </c>
      <c r="R697" t="str">
        <v>Marketing</v>
      </c>
      <c r="S697" t="str">
        <v>Marketing Analyst</v>
      </c>
      <c r="T697" t="str">
        <v>Male</v>
      </c>
      <c r="U697">
        <v>39</v>
      </c>
      <c r="V697">
        <v>44744</v>
      </c>
      <c r="W697" t="str">
        <v>Full-Time</v>
      </c>
      <c r="X697">
        <v>38266.89</v>
      </c>
      <c r="Y697">
        <v>1</v>
      </c>
      <c r="Z697">
        <v>83.08</v>
      </c>
      <c r="AA697">
        <v>3</v>
      </c>
      <c r="AB697">
        <v>52</v>
      </c>
      <c r="AC697">
        <v>43</v>
      </c>
      <c r="AD697" t="str">
        <v>Connie Lawrence</v>
      </c>
      <c r="AE697" t="str">
        <v>Active</v>
      </c>
      <c r="AF697">
        <v>459202.68</v>
      </c>
    </row>
    <row r="698" spans="16:32" x14ac:dyDescent="0.25">
      <c r="P698" t="str">
        <v>EMP0695</v>
      </c>
      <c r="Q698" t="str">
        <v>Tony Taylor</v>
      </c>
      <c r="R698" t="str">
        <v>Operations</v>
      </c>
      <c r="S698" t="str">
        <v>Operations Associate</v>
      </c>
      <c r="T698" t="str">
        <v>Male</v>
      </c>
      <c r="U698">
        <v>24</v>
      </c>
      <c r="V698">
        <v>43992</v>
      </c>
      <c r="W698" t="str">
        <v>Part-Time</v>
      </c>
      <c r="X698">
        <v>58993.97</v>
      </c>
      <c r="Y698">
        <v>3</v>
      </c>
      <c r="Z698">
        <v>82.85</v>
      </c>
      <c r="AA698">
        <v>5</v>
      </c>
      <c r="AB698">
        <v>41</v>
      </c>
      <c r="AC698">
        <v>16</v>
      </c>
      <c r="AD698" t="str">
        <v>Lisa Hensley</v>
      </c>
      <c r="AE698" t="str">
        <v>Resigned</v>
      </c>
      <c r="AF698">
        <v>707927.64</v>
      </c>
    </row>
    <row r="699" spans="16:32" x14ac:dyDescent="0.25">
      <c r="P699" t="str">
        <v>EMP0696</v>
      </c>
      <c r="Q699" t="str">
        <v>Brian Cole</v>
      </c>
      <c r="R699" t="str">
        <v>Marketing</v>
      </c>
      <c r="S699" t="str">
        <v>Marketing Analyst</v>
      </c>
      <c r="T699" t="str">
        <v>Male</v>
      </c>
      <c r="U699">
        <v>36</v>
      </c>
      <c r="V699">
        <v>45936</v>
      </c>
      <c r="W699" t="str">
        <v>Contract</v>
      </c>
      <c r="X699">
        <v>78602.91</v>
      </c>
      <c r="Y699">
        <v>4</v>
      </c>
      <c r="Z699">
        <v>90.17</v>
      </c>
      <c r="AA699">
        <v>0</v>
      </c>
      <c r="AB699">
        <v>64</v>
      </c>
      <c r="AC699">
        <v>24</v>
      </c>
      <c r="AD699" t="str">
        <v>Daniel Wagner</v>
      </c>
      <c r="AE699" t="str">
        <v>Active</v>
      </c>
      <c r="AF699">
        <v>943234.92</v>
      </c>
    </row>
    <row r="700" spans="16:32" x14ac:dyDescent="0.25">
      <c r="P700" t="str">
        <v>EMP0697</v>
      </c>
      <c r="Q700" t="str">
        <v>Joshua Oconnell</v>
      </c>
      <c r="R700" t="str">
        <v>Operations</v>
      </c>
      <c r="S700" t="str">
        <v>Operations Manager</v>
      </c>
      <c r="T700" t="str">
        <v>Female</v>
      </c>
      <c r="U700">
        <v>25</v>
      </c>
      <c r="V700">
        <v>44254</v>
      </c>
      <c r="W700" t="str">
        <v>Part-Time</v>
      </c>
      <c r="X700">
        <v>22890.639999999999</v>
      </c>
      <c r="Y700">
        <v>2</v>
      </c>
      <c r="Z700">
        <v>98.27</v>
      </c>
      <c r="AA700">
        <v>4</v>
      </c>
      <c r="AB700">
        <v>2</v>
      </c>
      <c r="AC700">
        <v>17</v>
      </c>
      <c r="AD700" t="str">
        <v>Derek Zuniga</v>
      </c>
      <c r="AE700" t="str">
        <v>Resigned</v>
      </c>
      <c r="AF700">
        <v>274687.68</v>
      </c>
    </row>
    <row r="701" spans="16:32" x14ac:dyDescent="0.25">
      <c r="P701" t="str">
        <v>EMP0698</v>
      </c>
      <c r="Q701" t="str">
        <v>John Phelps</v>
      </c>
      <c r="R701" t="str">
        <v>Marketing</v>
      </c>
      <c r="S701" t="str">
        <v>Marketing Analyst</v>
      </c>
      <c r="T701" t="str">
        <v>Male</v>
      </c>
      <c r="U701">
        <v>40</v>
      </c>
      <c r="V701">
        <v>43593</v>
      </c>
      <c r="W701" t="str">
        <v>Contract</v>
      </c>
      <c r="X701">
        <v>60674.59</v>
      </c>
      <c r="Y701">
        <v>1</v>
      </c>
      <c r="Z701">
        <v>96.93</v>
      </c>
      <c r="AA701">
        <v>6</v>
      </c>
      <c r="AB701">
        <v>64</v>
      </c>
      <c r="AC701">
        <v>13</v>
      </c>
      <c r="AD701" t="str">
        <v>Cristian Santos</v>
      </c>
      <c r="AE701" t="str">
        <v>Active</v>
      </c>
      <c r="AF701">
        <v>728095.08</v>
      </c>
    </row>
    <row r="702" spans="16:32" x14ac:dyDescent="0.25">
      <c r="P702" t="str">
        <v>EMP0699</v>
      </c>
      <c r="Q702" t="str">
        <v>Michael Mckenzie</v>
      </c>
      <c r="R702" t="str">
        <v>HR</v>
      </c>
      <c r="S702" t="str">
        <v>HR Officer</v>
      </c>
      <c r="T702" t="str">
        <v>Female</v>
      </c>
      <c r="U702">
        <v>56</v>
      </c>
      <c r="V702">
        <v>42864</v>
      </c>
      <c r="W702" t="str">
        <v>Part-Time</v>
      </c>
      <c r="X702">
        <v>24179.21</v>
      </c>
      <c r="Y702">
        <v>4</v>
      </c>
      <c r="Z702">
        <v>99.22</v>
      </c>
      <c r="AA702">
        <v>8</v>
      </c>
      <c r="AB702">
        <v>79</v>
      </c>
      <c r="AC702">
        <v>18</v>
      </c>
      <c r="AD702" t="str">
        <v>Connie Lawrence</v>
      </c>
      <c r="AE702" t="str">
        <v>Active</v>
      </c>
      <c r="AF702">
        <v>290150.52</v>
      </c>
    </row>
    <row r="703" spans="16:32" x14ac:dyDescent="0.25">
      <c r="P703" t="str">
        <v>EMP0700</v>
      </c>
      <c r="Q703" t="str">
        <v>Scott Hernandez</v>
      </c>
      <c r="R703" t="str">
        <v>R&amp;D</v>
      </c>
      <c r="S703" t="str">
        <v>Product Developer</v>
      </c>
      <c r="T703" t="str">
        <v>Female</v>
      </c>
      <c r="U703">
        <v>45</v>
      </c>
      <c r="V703">
        <v>42553</v>
      </c>
      <c r="W703" t="str">
        <v>Part-Time</v>
      </c>
      <c r="X703">
        <v>104243.87</v>
      </c>
      <c r="Y703">
        <v>2</v>
      </c>
      <c r="Z703">
        <v>91.7</v>
      </c>
      <c r="AA703">
        <v>9</v>
      </c>
      <c r="AB703">
        <v>65</v>
      </c>
      <c r="AC703">
        <v>18</v>
      </c>
      <c r="AD703" t="str">
        <v>Noah Rhodes</v>
      </c>
      <c r="AE703" t="str">
        <v>Active</v>
      </c>
      <c r="AF703">
        <v>1250926.44</v>
      </c>
    </row>
    <row r="704" spans="16:32" x14ac:dyDescent="0.25">
      <c r="P704" t="str">
        <v>EMP0701</v>
      </c>
      <c r="Q704" t="str">
        <v>Jennifer Williams</v>
      </c>
      <c r="R704" t="str">
        <v>Marketing</v>
      </c>
      <c r="S704" t="str">
        <v>Brand Manager</v>
      </c>
      <c r="T704" t="str">
        <v>Male</v>
      </c>
      <c r="U704">
        <v>46</v>
      </c>
      <c r="V704">
        <v>43845</v>
      </c>
      <c r="W704" t="str">
        <v>Contract</v>
      </c>
      <c r="X704">
        <v>32297.7</v>
      </c>
      <c r="Y704">
        <v>2</v>
      </c>
      <c r="Z704">
        <v>94.5</v>
      </c>
      <c r="AA704">
        <v>5</v>
      </c>
      <c r="AB704">
        <v>35</v>
      </c>
      <c r="AC704">
        <v>56</v>
      </c>
      <c r="AD704" t="str">
        <v>Michele Williams</v>
      </c>
      <c r="AE704" t="str">
        <v>Active</v>
      </c>
      <c r="AF704">
        <v>387572.4</v>
      </c>
    </row>
    <row r="705" spans="16:32" x14ac:dyDescent="0.25">
      <c r="P705" t="str">
        <v>EMP0702</v>
      </c>
      <c r="Q705" t="str">
        <v>William Johnson</v>
      </c>
      <c r="R705" t="str">
        <v>Operations</v>
      </c>
      <c r="S705" t="str">
        <v>Operations Manager</v>
      </c>
      <c r="T705" t="str">
        <v>Female</v>
      </c>
      <c r="U705">
        <v>49</v>
      </c>
      <c r="V705">
        <v>44159</v>
      </c>
      <c r="W705" t="str">
        <v>Part-Time</v>
      </c>
      <c r="X705">
        <v>44592.83</v>
      </c>
      <c r="Y705">
        <v>3</v>
      </c>
      <c r="Z705">
        <v>86.83</v>
      </c>
      <c r="AA705">
        <v>5</v>
      </c>
      <c r="AB705">
        <v>58</v>
      </c>
      <c r="AC705">
        <v>38</v>
      </c>
      <c r="AD705" t="str">
        <v>Monica Herrera</v>
      </c>
      <c r="AE705" t="str">
        <v>Active</v>
      </c>
      <c r="AF705">
        <v>535113.96</v>
      </c>
    </row>
    <row r="706" spans="16:32" x14ac:dyDescent="0.25">
      <c r="P706" t="str">
        <v>EMP0703</v>
      </c>
      <c r="Q706" t="str">
        <v>Kristi Pierce</v>
      </c>
      <c r="R706" t="str">
        <v>HR</v>
      </c>
      <c r="S706" t="str">
        <v>HR Manager</v>
      </c>
      <c r="T706" t="str">
        <v>Male</v>
      </c>
      <c r="U706">
        <v>59</v>
      </c>
      <c r="V706">
        <v>44815</v>
      </c>
      <c r="W706" t="str">
        <v>Part-Time</v>
      </c>
      <c r="X706">
        <v>20427.919999999998</v>
      </c>
      <c r="Y706">
        <v>1</v>
      </c>
      <c r="Z706">
        <v>93.45</v>
      </c>
      <c r="AA706">
        <v>3</v>
      </c>
      <c r="AB706">
        <v>52</v>
      </c>
      <c r="AC706">
        <v>35</v>
      </c>
      <c r="AD706" t="str">
        <v>Brian Ramirez</v>
      </c>
      <c r="AE706" t="str">
        <v>Active</v>
      </c>
      <c r="AF706">
        <v>245135.03999999998</v>
      </c>
    </row>
    <row r="707" spans="16:32" x14ac:dyDescent="0.25">
      <c r="P707" t="str">
        <v>EMP0704</v>
      </c>
      <c r="Q707" t="str">
        <v>Robert Taylor</v>
      </c>
      <c r="R707" t="str">
        <v>Marketing</v>
      </c>
      <c r="S707" t="str">
        <v>Content Specialist</v>
      </c>
      <c r="T707" t="str">
        <v>Male</v>
      </c>
      <c r="U707">
        <v>55</v>
      </c>
      <c r="V707">
        <v>42891</v>
      </c>
      <c r="W707" t="str">
        <v>Full-Time</v>
      </c>
      <c r="X707">
        <v>109257.22</v>
      </c>
      <c r="Y707">
        <v>4</v>
      </c>
      <c r="Z707">
        <v>93.44</v>
      </c>
      <c r="AA707">
        <v>8</v>
      </c>
      <c r="AB707">
        <v>45</v>
      </c>
      <c r="AC707">
        <v>52</v>
      </c>
      <c r="AD707" t="str">
        <v>Lisa Hensley</v>
      </c>
      <c r="AE707" t="str">
        <v>Active</v>
      </c>
      <c r="AF707">
        <v>1311086.6400000001</v>
      </c>
    </row>
    <row r="708" spans="16:32" x14ac:dyDescent="0.25">
      <c r="P708" t="str">
        <v>EMP0705</v>
      </c>
      <c r="Q708" t="str">
        <v>Richard Walker</v>
      </c>
      <c r="R708" t="str">
        <v>Operations</v>
      </c>
      <c r="S708" t="str">
        <v>Operations Manager</v>
      </c>
      <c r="T708" t="str">
        <v>Male</v>
      </c>
      <c r="U708">
        <v>21</v>
      </c>
      <c r="V708">
        <v>42377</v>
      </c>
      <c r="W708" t="str">
        <v>Full-Time</v>
      </c>
      <c r="X708">
        <v>66269.25</v>
      </c>
      <c r="Y708">
        <v>2</v>
      </c>
      <c r="Z708">
        <v>88.89</v>
      </c>
      <c r="AA708">
        <v>9</v>
      </c>
      <c r="AB708">
        <v>28</v>
      </c>
      <c r="AC708">
        <v>47</v>
      </c>
      <c r="AD708" t="str">
        <v>Allison Hill</v>
      </c>
      <c r="AE708" t="str">
        <v>Active</v>
      </c>
      <c r="AF708">
        <v>795231</v>
      </c>
    </row>
    <row r="709" spans="16:32" x14ac:dyDescent="0.25">
      <c r="P709" t="str">
        <v>EMP0706</v>
      </c>
      <c r="Q709" t="str">
        <v>Jacqueline Mccoy</v>
      </c>
      <c r="R709" t="str">
        <v>Operations</v>
      </c>
      <c r="S709" t="str">
        <v>Operations Associate</v>
      </c>
      <c r="T709" t="str">
        <v>Male</v>
      </c>
      <c r="U709">
        <v>60</v>
      </c>
      <c r="V709">
        <v>43534</v>
      </c>
      <c r="W709" t="str">
        <v>Contract</v>
      </c>
      <c r="X709">
        <v>50317.85</v>
      </c>
      <c r="Y709">
        <v>2</v>
      </c>
      <c r="Z709">
        <v>84.69</v>
      </c>
      <c r="AA709">
        <v>6</v>
      </c>
      <c r="AB709">
        <v>63</v>
      </c>
      <c r="AC709">
        <v>23</v>
      </c>
      <c r="AD709" t="str">
        <v>Noah Rhodes</v>
      </c>
      <c r="AE709" t="str">
        <v>Active</v>
      </c>
      <c r="AF709">
        <v>603814.19999999995</v>
      </c>
    </row>
    <row r="710" spans="16:32" x14ac:dyDescent="0.25">
      <c r="P710" t="str">
        <v>EMP0707</v>
      </c>
      <c r="Q710" t="str">
        <v>Deanna Hess</v>
      </c>
      <c r="R710" t="str">
        <v>IT</v>
      </c>
      <c r="S710" t="str">
        <v>IT Support</v>
      </c>
      <c r="T710" t="str">
        <v>Male</v>
      </c>
      <c r="U710">
        <v>46</v>
      </c>
      <c r="V710">
        <v>42825</v>
      </c>
      <c r="W710" t="str">
        <v>Full-Time</v>
      </c>
      <c r="X710">
        <v>106991.62</v>
      </c>
      <c r="Y710">
        <v>5</v>
      </c>
      <c r="Z710">
        <v>90.01</v>
      </c>
      <c r="AA710">
        <v>8</v>
      </c>
      <c r="AB710">
        <v>21</v>
      </c>
      <c r="AC710">
        <v>35</v>
      </c>
      <c r="AD710" t="str">
        <v>Abigail Shaffer</v>
      </c>
      <c r="AE710" t="str">
        <v>Active</v>
      </c>
      <c r="AF710">
        <v>1283899.44</v>
      </c>
    </row>
    <row r="711" spans="16:32" x14ac:dyDescent="0.25">
      <c r="P711" t="str">
        <v>EMP0708</v>
      </c>
      <c r="Q711" t="str">
        <v>Christina Brewer PhD</v>
      </c>
      <c r="R711" t="str">
        <v>HR</v>
      </c>
      <c r="S711" t="str">
        <v>HR Officer</v>
      </c>
      <c r="T711" t="str">
        <v>Male</v>
      </c>
      <c r="U711">
        <v>25</v>
      </c>
      <c r="V711">
        <v>42438</v>
      </c>
      <c r="W711" t="str">
        <v>Full-Time</v>
      </c>
      <c r="X711">
        <v>45962.45</v>
      </c>
      <c r="Y711">
        <v>5</v>
      </c>
      <c r="Z711">
        <v>97.11</v>
      </c>
      <c r="AA711">
        <v>9</v>
      </c>
      <c r="AB711">
        <v>66</v>
      </c>
      <c r="AC711">
        <v>46</v>
      </c>
      <c r="AD711" t="str">
        <v>Gabrielle Davis</v>
      </c>
      <c r="AE711" t="str">
        <v>Active</v>
      </c>
      <c r="AF711">
        <v>551549.39999999991</v>
      </c>
    </row>
    <row r="712" spans="16:32" x14ac:dyDescent="0.25">
      <c r="P712" t="str">
        <v>EMP0709</v>
      </c>
      <c r="Q712" t="str">
        <v>Sandra Rivera</v>
      </c>
      <c r="R712" t="str">
        <v>Sales</v>
      </c>
      <c r="S712" t="str">
        <v>Account Executive</v>
      </c>
      <c r="T712" t="str">
        <v>Female</v>
      </c>
      <c r="U712">
        <v>56</v>
      </c>
      <c r="V712">
        <v>42874</v>
      </c>
      <c r="W712" t="str">
        <v>Part-Time</v>
      </c>
      <c r="X712">
        <v>20195.5</v>
      </c>
      <c r="Y712">
        <v>4</v>
      </c>
      <c r="Z712">
        <v>92.82</v>
      </c>
      <c r="AA712">
        <v>8</v>
      </c>
      <c r="AB712">
        <v>6</v>
      </c>
      <c r="AC712">
        <v>54</v>
      </c>
      <c r="AD712" t="str">
        <v>Monica Herrera</v>
      </c>
      <c r="AE712" t="str">
        <v>Active</v>
      </c>
      <c r="AF712">
        <v>242346</v>
      </c>
    </row>
    <row r="713" spans="16:32" x14ac:dyDescent="0.25">
      <c r="P713" t="str">
        <v>EMP0710</v>
      </c>
      <c r="Q713" t="str">
        <v>Amber Glass</v>
      </c>
      <c r="R713" t="str">
        <v>Customer Support</v>
      </c>
      <c r="S713" t="str">
        <v>Team Lead</v>
      </c>
      <c r="T713" t="str">
        <v>Male</v>
      </c>
      <c r="U713">
        <v>54</v>
      </c>
      <c r="V713">
        <v>42568</v>
      </c>
      <c r="W713" t="str">
        <v>Part-Time</v>
      </c>
      <c r="X713">
        <v>69557.47</v>
      </c>
      <c r="Y713">
        <v>5</v>
      </c>
      <c r="Z713">
        <v>95.18</v>
      </c>
      <c r="AA713">
        <v>9</v>
      </c>
      <c r="AB713">
        <v>28</v>
      </c>
      <c r="AC713">
        <v>3</v>
      </c>
      <c r="AD713" t="str">
        <v>Gabrielle Davis</v>
      </c>
      <c r="AE713" t="str">
        <v>Resigned</v>
      </c>
      <c r="AF713">
        <v>834689.64</v>
      </c>
    </row>
    <row r="714" spans="16:32" x14ac:dyDescent="0.25">
      <c r="P714" t="str">
        <v>EMP0711</v>
      </c>
      <c r="Q714" t="str">
        <v>Jennifer Johnson</v>
      </c>
      <c r="R714" t="str">
        <v>R&amp;D</v>
      </c>
      <c r="S714" t="str">
        <v>Product Developer</v>
      </c>
      <c r="T714" t="str">
        <v>Male</v>
      </c>
      <c r="U714">
        <v>46</v>
      </c>
      <c r="V714">
        <v>44994</v>
      </c>
      <c r="W714" t="str">
        <v>Full-Time</v>
      </c>
      <c r="X714">
        <v>53470.58</v>
      </c>
      <c r="Y714">
        <v>5</v>
      </c>
      <c r="Z714">
        <v>96.15</v>
      </c>
      <c r="AA714">
        <v>2</v>
      </c>
      <c r="AB714">
        <v>28</v>
      </c>
      <c r="AC714">
        <v>44</v>
      </c>
      <c r="AD714" t="str">
        <v>Michele Williams</v>
      </c>
      <c r="AE714" t="str">
        <v>Resigned</v>
      </c>
      <c r="AF714">
        <v>641646.96</v>
      </c>
    </row>
    <row r="715" spans="16:32" x14ac:dyDescent="0.25">
      <c r="P715" t="str">
        <v>EMP0712</v>
      </c>
      <c r="Q715" t="str">
        <v>Daniel Lopez</v>
      </c>
      <c r="R715" t="str">
        <v>IT</v>
      </c>
      <c r="S715" t="str">
        <v>IT Support</v>
      </c>
      <c r="T715" t="str">
        <v>Male</v>
      </c>
      <c r="U715">
        <v>42</v>
      </c>
      <c r="V715">
        <v>44954</v>
      </c>
      <c r="W715" t="str">
        <v>Part-Time</v>
      </c>
      <c r="X715">
        <v>26284.41</v>
      </c>
      <c r="Y715">
        <v>1</v>
      </c>
      <c r="Z715">
        <v>80.56</v>
      </c>
      <c r="AA715">
        <v>2</v>
      </c>
      <c r="AB715">
        <v>55</v>
      </c>
      <c r="AC715">
        <v>51</v>
      </c>
      <c r="AD715" t="str">
        <v>Allison Hill</v>
      </c>
      <c r="AE715" t="str">
        <v>Active</v>
      </c>
      <c r="AF715">
        <v>315412.92</v>
      </c>
    </row>
    <row r="716" spans="16:32" x14ac:dyDescent="0.25">
      <c r="P716" t="str">
        <v>EMP0713</v>
      </c>
      <c r="Q716" t="str">
        <v>Charles Mendez</v>
      </c>
      <c r="R716" t="str">
        <v>Operations</v>
      </c>
      <c r="S716" t="str">
        <v>Operations Manager</v>
      </c>
      <c r="T716" t="str">
        <v>Male</v>
      </c>
      <c r="U716">
        <v>27</v>
      </c>
      <c r="V716">
        <v>44041</v>
      </c>
      <c r="W716" t="str">
        <v>Part-Time</v>
      </c>
      <c r="X716">
        <v>43835.92</v>
      </c>
      <c r="Y716">
        <v>3</v>
      </c>
      <c r="Z716">
        <v>96.65</v>
      </c>
      <c r="AA716">
        <v>5</v>
      </c>
      <c r="AB716">
        <v>42</v>
      </c>
      <c r="AC716">
        <v>33</v>
      </c>
      <c r="AD716" t="str">
        <v>Gina Moore</v>
      </c>
      <c r="AE716" t="str">
        <v>Resigned</v>
      </c>
      <c r="AF716">
        <v>526031.04</v>
      </c>
    </row>
    <row r="717" spans="16:32" x14ac:dyDescent="0.25">
      <c r="P717" t="str">
        <v>EMP0714</v>
      </c>
      <c r="Q717" t="str">
        <v>Kathleen Andrade</v>
      </c>
      <c r="R717" t="str">
        <v>R&amp;D</v>
      </c>
      <c r="S717" t="str">
        <v>Researcher</v>
      </c>
      <c r="T717" t="str">
        <v>Female</v>
      </c>
      <c r="U717">
        <v>58</v>
      </c>
      <c r="V717">
        <v>43830</v>
      </c>
      <c r="W717" t="str">
        <v>Full-Time</v>
      </c>
      <c r="X717">
        <v>28553.47</v>
      </c>
      <c r="Y717">
        <v>1</v>
      </c>
      <c r="Z717">
        <v>98.33</v>
      </c>
      <c r="AA717">
        <v>6</v>
      </c>
      <c r="AB717">
        <v>48</v>
      </c>
      <c r="AC717">
        <v>20</v>
      </c>
      <c r="AD717" t="str">
        <v>Angie Henderson</v>
      </c>
      <c r="AE717" t="str">
        <v>Active</v>
      </c>
      <c r="AF717">
        <v>342641.64</v>
      </c>
    </row>
    <row r="718" spans="16:32" x14ac:dyDescent="0.25">
      <c r="P718" t="str">
        <v>EMP0715</v>
      </c>
      <c r="Q718" t="str">
        <v>Douglas Taylor</v>
      </c>
      <c r="R718" t="str">
        <v>Sales</v>
      </c>
      <c r="S718" t="str">
        <v>Sales Manager</v>
      </c>
      <c r="T718" t="str">
        <v>Male</v>
      </c>
      <c r="U718">
        <v>40</v>
      </c>
      <c r="V718">
        <v>45279</v>
      </c>
      <c r="W718" t="str">
        <v>Contract</v>
      </c>
      <c r="X718">
        <v>82618.52</v>
      </c>
      <c r="Y718">
        <v>1</v>
      </c>
      <c r="Z718">
        <v>82.04</v>
      </c>
      <c r="AA718">
        <v>2</v>
      </c>
      <c r="AB718">
        <v>7</v>
      </c>
      <c r="AC718">
        <v>35</v>
      </c>
      <c r="AD718" t="str">
        <v>Noah Rhodes</v>
      </c>
      <c r="AE718" t="str">
        <v>Active</v>
      </c>
      <c r="AF718">
        <v>991422.24</v>
      </c>
    </row>
    <row r="719" spans="16:32" x14ac:dyDescent="0.25">
      <c r="P719" t="str">
        <v>EMP0716</v>
      </c>
      <c r="Q719" t="str">
        <v>Rebecca Wright</v>
      </c>
      <c r="R719" t="str">
        <v>Customer Support</v>
      </c>
      <c r="S719" t="str">
        <v>Team Lead</v>
      </c>
      <c r="T719" t="str">
        <v>Male</v>
      </c>
      <c r="U719">
        <v>60</v>
      </c>
      <c r="V719">
        <v>43542</v>
      </c>
      <c r="W719" t="str">
        <v>Part-Time</v>
      </c>
      <c r="X719">
        <v>43311.199999999997</v>
      </c>
      <c r="Y719">
        <v>5</v>
      </c>
      <c r="Z719">
        <v>95.75</v>
      </c>
      <c r="AA719">
        <v>6</v>
      </c>
      <c r="AB719">
        <v>79</v>
      </c>
      <c r="AC719">
        <v>0</v>
      </c>
      <c r="AD719" t="str">
        <v>Dylan Miller</v>
      </c>
      <c r="AE719" t="str">
        <v>Active</v>
      </c>
      <c r="AF719">
        <v>519734.39999999997</v>
      </c>
    </row>
    <row r="720" spans="16:32" x14ac:dyDescent="0.25">
      <c r="P720" t="str">
        <v>EMP0717</v>
      </c>
      <c r="Q720" t="str">
        <v>Virginia Casey</v>
      </c>
      <c r="R720" t="str">
        <v>Customer Support</v>
      </c>
      <c r="S720" t="str">
        <v>Support Agent</v>
      </c>
      <c r="T720" t="str">
        <v>Female</v>
      </c>
      <c r="U720">
        <v>22</v>
      </c>
      <c r="V720">
        <v>45681</v>
      </c>
      <c r="W720" t="str">
        <v>Part-Time</v>
      </c>
      <c r="X720">
        <v>71721.289999999994</v>
      </c>
      <c r="Y720">
        <v>5</v>
      </c>
      <c r="Z720">
        <v>83.85</v>
      </c>
      <c r="AA720">
        <v>0</v>
      </c>
      <c r="AB720">
        <v>13</v>
      </c>
      <c r="AC720">
        <v>0</v>
      </c>
      <c r="AD720" t="str">
        <v>Carla Gray</v>
      </c>
      <c r="AE720" t="str">
        <v>Active</v>
      </c>
      <c r="AF720">
        <v>860655.48</v>
      </c>
    </row>
    <row r="721" spans="16:32" x14ac:dyDescent="0.25">
      <c r="P721" t="str">
        <v>EMP0718</v>
      </c>
      <c r="Q721" t="str">
        <v>Richard Cooper</v>
      </c>
      <c r="R721" t="str">
        <v>IT</v>
      </c>
      <c r="S721" t="str">
        <v>Data Analyst</v>
      </c>
      <c r="T721" t="str">
        <v>Male</v>
      </c>
      <c r="U721">
        <v>53</v>
      </c>
      <c r="V721">
        <v>44534</v>
      </c>
      <c r="W721" t="str">
        <v>Part-Time</v>
      </c>
      <c r="X721">
        <v>55539.12</v>
      </c>
      <c r="Y721">
        <v>4</v>
      </c>
      <c r="Z721">
        <v>94.49</v>
      </c>
      <c r="AA721">
        <v>4</v>
      </c>
      <c r="AB721">
        <v>56</v>
      </c>
      <c r="AC721">
        <v>11</v>
      </c>
      <c r="AD721" t="str">
        <v>Gina Moore</v>
      </c>
      <c r="AE721" t="str">
        <v>Active</v>
      </c>
      <c r="AF721">
        <v>666469.44000000006</v>
      </c>
    </row>
    <row r="722" spans="16:32" x14ac:dyDescent="0.25">
      <c r="P722" t="str">
        <v>EMP0719</v>
      </c>
      <c r="Q722" t="str">
        <v>Jasmine White</v>
      </c>
      <c r="R722" t="str">
        <v>Sales</v>
      </c>
      <c r="S722" t="str">
        <v>Sales Rep</v>
      </c>
      <c r="T722" t="str">
        <v>Male</v>
      </c>
      <c r="U722">
        <v>40</v>
      </c>
      <c r="V722">
        <v>45817</v>
      </c>
      <c r="W722" t="str">
        <v>Contract</v>
      </c>
      <c r="X722">
        <v>63584.81</v>
      </c>
      <c r="Y722">
        <v>3</v>
      </c>
      <c r="Z722">
        <v>86.22</v>
      </c>
      <c r="AA722">
        <v>0</v>
      </c>
      <c r="AB722">
        <v>69</v>
      </c>
      <c r="AC722">
        <v>49</v>
      </c>
      <c r="AD722" t="str">
        <v>Cristian Santos</v>
      </c>
      <c r="AE722" t="str">
        <v>Active</v>
      </c>
      <c r="AF722">
        <v>763017.72</v>
      </c>
    </row>
    <row r="723" spans="16:32" x14ac:dyDescent="0.25">
      <c r="P723" t="str">
        <v>EMP0720</v>
      </c>
      <c r="Q723" t="str">
        <v>Alyssa Cochran</v>
      </c>
      <c r="R723" t="str">
        <v>Finance</v>
      </c>
      <c r="S723" t="str">
        <v>Finance Manager</v>
      </c>
      <c r="T723" t="str">
        <v>Female</v>
      </c>
      <c r="U723">
        <v>39</v>
      </c>
      <c r="V723">
        <v>44284</v>
      </c>
      <c r="W723" t="str">
        <v>Part-Time</v>
      </c>
      <c r="X723">
        <v>117027.11</v>
      </c>
      <c r="Y723">
        <v>5</v>
      </c>
      <c r="Z723">
        <v>91.73</v>
      </c>
      <c r="AA723">
        <v>4</v>
      </c>
      <c r="AB723">
        <v>18</v>
      </c>
      <c r="AC723">
        <v>3</v>
      </c>
      <c r="AD723" t="str">
        <v>Gina Moore</v>
      </c>
      <c r="AE723" t="str">
        <v>Active</v>
      </c>
      <c r="AF723">
        <v>1404325.32</v>
      </c>
    </row>
    <row r="724" spans="16:32" x14ac:dyDescent="0.25">
      <c r="P724" t="str">
        <v>EMP0721</v>
      </c>
      <c r="Q724" t="str">
        <v>William Moreno</v>
      </c>
      <c r="R724" t="str">
        <v>Sales</v>
      </c>
      <c r="S724" t="str">
        <v>Sales Manager</v>
      </c>
      <c r="T724" t="str">
        <v>Female</v>
      </c>
      <c r="U724">
        <v>33</v>
      </c>
      <c r="V724">
        <v>44048</v>
      </c>
      <c r="W724" t="str">
        <v>Full-Time</v>
      </c>
      <c r="X724">
        <v>84055.48</v>
      </c>
      <c r="Y724">
        <v>2</v>
      </c>
      <c r="Z724">
        <v>95.71</v>
      </c>
      <c r="AA724">
        <v>5</v>
      </c>
      <c r="AB724">
        <v>43</v>
      </c>
      <c r="AC724">
        <v>12</v>
      </c>
      <c r="AD724" t="str">
        <v>Brian Ramirez</v>
      </c>
      <c r="AE724" t="str">
        <v>Active</v>
      </c>
      <c r="AF724">
        <v>1008665.76</v>
      </c>
    </row>
    <row r="725" spans="16:32" x14ac:dyDescent="0.25">
      <c r="P725" t="str">
        <v>EMP0722</v>
      </c>
      <c r="Q725" t="str">
        <v>Dr. Ariel Sandoval MD</v>
      </c>
      <c r="R725" t="str">
        <v>R&amp;D</v>
      </c>
      <c r="S725" t="str">
        <v>Product Developer</v>
      </c>
      <c r="T725" t="str">
        <v>Female</v>
      </c>
      <c r="U725">
        <v>60</v>
      </c>
      <c r="V725">
        <v>45931</v>
      </c>
      <c r="W725" t="str">
        <v>Part-Time</v>
      </c>
      <c r="X725">
        <v>61869.53</v>
      </c>
      <c r="Y725">
        <v>2</v>
      </c>
      <c r="Z725">
        <v>82.1</v>
      </c>
      <c r="AA725">
        <v>0</v>
      </c>
      <c r="AB725">
        <v>5</v>
      </c>
      <c r="AC725">
        <v>31</v>
      </c>
      <c r="AD725" t="str">
        <v>Gina Moore</v>
      </c>
      <c r="AE725" t="str">
        <v>Resigned</v>
      </c>
      <c r="AF725">
        <v>742434.36</v>
      </c>
    </row>
    <row r="726" spans="16:32" x14ac:dyDescent="0.25">
      <c r="P726" t="str">
        <v>EMP0723</v>
      </c>
      <c r="Q726" t="str">
        <v>Theresa Johnston</v>
      </c>
      <c r="R726" t="str">
        <v>IT</v>
      </c>
      <c r="S726" t="str">
        <v>Data Analyst</v>
      </c>
      <c r="T726" t="str">
        <v>Male</v>
      </c>
      <c r="U726">
        <v>50</v>
      </c>
      <c r="V726">
        <v>42650</v>
      </c>
      <c r="W726" t="str">
        <v>Contract</v>
      </c>
      <c r="X726">
        <v>41313.85</v>
      </c>
      <c r="Y726">
        <v>4</v>
      </c>
      <c r="Z726">
        <v>94.69</v>
      </c>
      <c r="AA726">
        <v>9</v>
      </c>
      <c r="AB726">
        <v>42</v>
      </c>
      <c r="AC726">
        <v>51</v>
      </c>
      <c r="AD726" t="str">
        <v>Lisa Hensley</v>
      </c>
      <c r="AE726" t="str">
        <v>Active</v>
      </c>
      <c r="AF726">
        <v>495766.19999999995</v>
      </c>
    </row>
    <row r="727" spans="16:32" x14ac:dyDescent="0.25">
      <c r="P727" t="str">
        <v>EMP0724</v>
      </c>
      <c r="Q727" t="str">
        <v>Ryan Bruce</v>
      </c>
      <c r="R727" t="str">
        <v>HR</v>
      </c>
      <c r="S727" t="str">
        <v>HR Officer</v>
      </c>
      <c r="T727" t="str">
        <v>Female</v>
      </c>
      <c r="U727">
        <v>21</v>
      </c>
      <c r="V727">
        <v>44716</v>
      </c>
      <c r="W727" t="str">
        <v>Full-Time</v>
      </c>
      <c r="X727">
        <v>55788.67</v>
      </c>
      <c r="Y727">
        <v>5</v>
      </c>
      <c r="Z727">
        <v>82.3</v>
      </c>
      <c r="AA727">
        <v>3</v>
      </c>
      <c r="AB727">
        <v>37</v>
      </c>
      <c r="AC727">
        <v>28</v>
      </c>
      <c r="AD727" t="str">
        <v>Abigail Shaffer</v>
      </c>
      <c r="AE727" t="str">
        <v>Active</v>
      </c>
      <c r="AF727">
        <v>669464.04</v>
      </c>
    </row>
    <row r="728" spans="16:32" x14ac:dyDescent="0.25">
      <c r="P728" t="str">
        <v>EMP0725</v>
      </c>
      <c r="Q728" t="str">
        <v>Evan Rojas</v>
      </c>
      <c r="R728" t="str">
        <v>Operations</v>
      </c>
      <c r="S728" t="str">
        <v>Operations Associate</v>
      </c>
      <c r="T728" t="str">
        <v>Male</v>
      </c>
      <c r="U728">
        <v>33</v>
      </c>
      <c r="V728">
        <v>43397</v>
      </c>
      <c r="W728" t="str">
        <v>Full-Time</v>
      </c>
      <c r="X728">
        <v>48410.09</v>
      </c>
      <c r="Y728">
        <v>2</v>
      </c>
      <c r="Z728">
        <v>97.71</v>
      </c>
      <c r="AA728">
        <v>7</v>
      </c>
      <c r="AB728">
        <v>22</v>
      </c>
      <c r="AC728">
        <v>21</v>
      </c>
      <c r="AD728" t="str">
        <v>Derek Zuniga</v>
      </c>
      <c r="AE728" t="str">
        <v>Active</v>
      </c>
      <c r="AF728">
        <v>580921.07999999996</v>
      </c>
    </row>
    <row r="729" spans="16:32" x14ac:dyDescent="0.25">
      <c r="P729" t="str">
        <v>EMP0726</v>
      </c>
      <c r="Q729" t="str">
        <v>Alyssa Haynes</v>
      </c>
      <c r="R729" t="str">
        <v>IT</v>
      </c>
      <c r="S729" t="str">
        <v>IT Support</v>
      </c>
      <c r="T729" t="str">
        <v>Male</v>
      </c>
      <c r="U729">
        <v>37</v>
      </c>
      <c r="V729">
        <v>44532</v>
      </c>
      <c r="W729" t="str">
        <v>Full-Time</v>
      </c>
      <c r="X729">
        <v>22099.38</v>
      </c>
      <c r="Y729">
        <v>2</v>
      </c>
      <c r="Z729">
        <v>87.58</v>
      </c>
      <c r="AA729">
        <v>4</v>
      </c>
      <c r="AB729">
        <v>14</v>
      </c>
      <c r="AC729">
        <v>21</v>
      </c>
      <c r="AD729" t="str">
        <v>Abigail Shaffer</v>
      </c>
      <c r="AE729" t="str">
        <v>Active</v>
      </c>
      <c r="AF729">
        <v>265192.56</v>
      </c>
    </row>
    <row r="730" spans="16:32" x14ac:dyDescent="0.25">
      <c r="P730" t="str">
        <v>EMP0727</v>
      </c>
      <c r="Q730" t="str">
        <v>Kristine Lopez</v>
      </c>
      <c r="R730" t="str">
        <v>IT</v>
      </c>
      <c r="S730" t="str">
        <v>Software Engineer</v>
      </c>
      <c r="T730" t="str">
        <v>Female</v>
      </c>
      <c r="U730">
        <v>31</v>
      </c>
      <c r="V730">
        <v>45830</v>
      </c>
      <c r="W730" t="str">
        <v>Contract</v>
      </c>
      <c r="X730">
        <v>117710.18</v>
      </c>
      <c r="Y730">
        <v>5</v>
      </c>
      <c r="Z730">
        <v>97.63</v>
      </c>
      <c r="AA730">
        <v>0</v>
      </c>
      <c r="AB730">
        <v>8</v>
      </c>
      <c r="AC730">
        <v>7</v>
      </c>
      <c r="AD730" t="str">
        <v>Cristian Santos</v>
      </c>
      <c r="AE730" t="str">
        <v>Resigned</v>
      </c>
      <c r="AF730">
        <v>1412522.16</v>
      </c>
    </row>
    <row r="731" spans="16:32" x14ac:dyDescent="0.25">
      <c r="P731" t="str">
        <v>EMP0728</v>
      </c>
      <c r="Q731" t="str">
        <v>Casey Johnson</v>
      </c>
      <c r="R731" t="str">
        <v>HR</v>
      </c>
      <c r="S731" t="str">
        <v>HR Officer</v>
      </c>
      <c r="T731" t="str">
        <v>Male</v>
      </c>
      <c r="U731">
        <v>55</v>
      </c>
      <c r="V731">
        <v>45361</v>
      </c>
      <c r="W731" t="str">
        <v>Part-Time</v>
      </c>
      <c r="X731">
        <v>89435.39</v>
      </c>
      <c r="Y731">
        <v>3</v>
      </c>
      <c r="Z731">
        <v>91.99</v>
      </c>
      <c r="AA731">
        <v>1</v>
      </c>
      <c r="AB731">
        <v>31</v>
      </c>
      <c r="AC731">
        <v>58</v>
      </c>
      <c r="AD731" t="str">
        <v>Noah Rhodes</v>
      </c>
      <c r="AE731" t="str">
        <v>Active</v>
      </c>
      <c r="AF731">
        <v>1073224.68</v>
      </c>
    </row>
    <row r="732" spans="16:32" x14ac:dyDescent="0.25">
      <c r="P732" t="str">
        <v>EMP0729</v>
      </c>
      <c r="Q732" t="str">
        <v>Daniel Fox</v>
      </c>
      <c r="R732" t="str">
        <v>IT</v>
      </c>
      <c r="S732" t="str">
        <v>Data Analyst</v>
      </c>
      <c r="T732" t="str">
        <v>Female</v>
      </c>
      <c r="U732">
        <v>30</v>
      </c>
      <c r="V732">
        <v>42652</v>
      </c>
      <c r="W732" t="str">
        <v>Part-Time</v>
      </c>
      <c r="X732">
        <v>44717.16</v>
      </c>
      <c r="Y732">
        <v>3</v>
      </c>
      <c r="Z732">
        <v>97.46</v>
      </c>
      <c r="AA732">
        <v>9</v>
      </c>
      <c r="AB732">
        <v>65</v>
      </c>
      <c r="AC732">
        <v>37</v>
      </c>
      <c r="AD732" t="str">
        <v>Brian Ramirez</v>
      </c>
      <c r="AE732" t="str">
        <v>Active</v>
      </c>
      <c r="AF732">
        <v>536605.92000000004</v>
      </c>
    </row>
    <row r="733" spans="16:32" x14ac:dyDescent="0.25">
      <c r="P733" t="str">
        <v>EMP0730</v>
      </c>
      <c r="Q733" t="str">
        <v>Lucas Drake</v>
      </c>
      <c r="R733" t="str">
        <v>Marketing</v>
      </c>
      <c r="S733" t="str">
        <v>Brand Manager</v>
      </c>
      <c r="T733" t="str">
        <v>Male</v>
      </c>
      <c r="U733">
        <v>31</v>
      </c>
      <c r="V733">
        <v>42307</v>
      </c>
      <c r="W733" t="str">
        <v>Contract</v>
      </c>
      <c r="X733">
        <v>58811.58</v>
      </c>
      <c r="Y733">
        <v>5</v>
      </c>
      <c r="Z733">
        <v>87.49</v>
      </c>
      <c r="AA733">
        <v>10</v>
      </c>
      <c r="AB733">
        <v>66</v>
      </c>
      <c r="AC733">
        <v>29</v>
      </c>
      <c r="AD733" t="str">
        <v>Connie Lawrence</v>
      </c>
      <c r="AE733" t="str">
        <v>Active</v>
      </c>
      <c r="AF733">
        <v>705738.96</v>
      </c>
    </row>
    <row r="734" spans="16:32" x14ac:dyDescent="0.25">
      <c r="P734" t="str">
        <v>EMP0731</v>
      </c>
      <c r="Q734" t="str">
        <v>Tamara Richard</v>
      </c>
      <c r="R734" t="str">
        <v>Operations</v>
      </c>
      <c r="S734" t="str">
        <v>Operations Manager</v>
      </c>
      <c r="T734" t="str">
        <v>Female</v>
      </c>
      <c r="U734">
        <v>51</v>
      </c>
      <c r="V734">
        <v>44420</v>
      </c>
      <c r="W734" t="str">
        <v>Part-Time</v>
      </c>
      <c r="X734">
        <v>78118.67</v>
      </c>
      <c r="Y734">
        <v>5</v>
      </c>
      <c r="Z734">
        <v>92.99</v>
      </c>
      <c r="AA734">
        <v>4</v>
      </c>
      <c r="AB734">
        <v>26</v>
      </c>
      <c r="AC734">
        <v>14</v>
      </c>
      <c r="AD734" t="str">
        <v>Abigail Shaffer</v>
      </c>
      <c r="AE734" t="str">
        <v>Active</v>
      </c>
      <c r="AF734">
        <v>937424.04</v>
      </c>
    </row>
    <row r="735" spans="16:32" x14ac:dyDescent="0.25">
      <c r="P735" t="str">
        <v>EMP0732</v>
      </c>
      <c r="Q735" t="str">
        <v>Charles Bush</v>
      </c>
      <c r="R735" t="str">
        <v>IT</v>
      </c>
      <c r="S735" t="str">
        <v>Software Engineer</v>
      </c>
      <c r="T735" t="str">
        <v>Male</v>
      </c>
      <c r="U735">
        <v>40</v>
      </c>
      <c r="V735">
        <v>44313</v>
      </c>
      <c r="W735" t="str">
        <v>Part-Time</v>
      </c>
      <c r="X735">
        <v>108870.89</v>
      </c>
      <c r="Y735">
        <v>5</v>
      </c>
      <c r="Z735">
        <v>83.14</v>
      </c>
      <c r="AA735">
        <v>4</v>
      </c>
      <c r="AB735">
        <v>47</v>
      </c>
      <c r="AC735">
        <v>16</v>
      </c>
      <c r="AD735" t="str">
        <v>Derek Zuniga</v>
      </c>
      <c r="AE735" t="str">
        <v>Active</v>
      </c>
      <c r="AF735">
        <v>1306450.68</v>
      </c>
    </row>
    <row r="736" spans="16:32" x14ac:dyDescent="0.25">
      <c r="P736" t="str">
        <v>EMP0733</v>
      </c>
      <c r="Q736" t="str">
        <v>Sarah Valencia</v>
      </c>
      <c r="R736" t="str">
        <v>Marketing</v>
      </c>
      <c r="S736" t="str">
        <v>Brand Manager</v>
      </c>
      <c r="T736" t="str">
        <v>Female</v>
      </c>
      <c r="U736">
        <v>54</v>
      </c>
      <c r="V736">
        <v>43183</v>
      </c>
      <c r="W736" t="str">
        <v>Part-Time</v>
      </c>
      <c r="X736">
        <v>43017.760000000002</v>
      </c>
      <c r="Y736">
        <v>1</v>
      </c>
      <c r="Z736">
        <v>89.31</v>
      </c>
      <c r="AA736">
        <v>7</v>
      </c>
      <c r="AB736">
        <v>79</v>
      </c>
      <c r="AC736">
        <v>21</v>
      </c>
      <c r="AD736" t="str">
        <v>Michele Williams</v>
      </c>
      <c r="AE736" t="str">
        <v>Active</v>
      </c>
      <c r="AF736">
        <v>516213.12</v>
      </c>
    </row>
    <row r="737" spans="16:32" x14ac:dyDescent="0.25">
      <c r="P737" t="str">
        <v>EMP0734</v>
      </c>
      <c r="Q737" t="str">
        <v>Tom Foster</v>
      </c>
      <c r="R737" t="str">
        <v>Customer Support</v>
      </c>
      <c r="S737" t="str">
        <v>Team Lead</v>
      </c>
      <c r="T737" t="str">
        <v>Female</v>
      </c>
      <c r="U737">
        <v>52</v>
      </c>
      <c r="V737">
        <v>42753</v>
      </c>
      <c r="W737" t="str">
        <v>Part-Time</v>
      </c>
      <c r="X737">
        <v>47301.95</v>
      </c>
      <c r="Y737">
        <v>1</v>
      </c>
      <c r="Z737">
        <v>83.59</v>
      </c>
      <c r="AA737">
        <v>8</v>
      </c>
      <c r="AB737">
        <v>29</v>
      </c>
      <c r="AC737">
        <v>16</v>
      </c>
      <c r="AD737" t="str">
        <v>Angie Henderson</v>
      </c>
      <c r="AE737" t="str">
        <v>Active</v>
      </c>
      <c r="AF737">
        <v>567623.39999999991</v>
      </c>
    </row>
    <row r="738" spans="16:32" x14ac:dyDescent="0.25">
      <c r="P738" t="str">
        <v>EMP0735</v>
      </c>
      <c r="Q738" t="str">
        <v>Frank Daugherty</v>
      </c>
      <c r="R738" t="str">
        <v>Marketing</v>
      </c>
      <c r="S738" t="str">
        <v>Brand Manager</v>
      </c>
      <c r="T738" t="str">
        <v>Male</v>
      </c>
      <c r="U738">
        <v>38</v>
      </c>
      <c r="V738">
        <v>42930</v>
      </c>
      <c r="W738" t="str">
        <v>Full-Time</v>
      </c>
      <c r="X738">
        <v>29840.91</v>
      </c>
      <c r="Y738">
        <v>1</v>
      </c>
      <c r="Z738">
        <v>87.2</v>
      </c>
      <c r="AA738">
        <v>8</v>
      </c>
      <c r="AB738">
        <v>69</v>
      </c>
      <c r="AC738">
        <v>12</v>
      </c>
      <c r="AD738" t="str">
        <v>Monica Herrera</v>
      </c>
      <c r="AE738" t="str">
        <v>Active</v>
      </c>
      <c r="AF738">
        <v>358090.92</v>
      </c>
    </row>
    <row r="739" spans="16:32" x14ac:dyDescent="0.25">
      <c r="P739" t="str">
        <v>EMP0736</v>
      </c>
      <c r="Q739" t="str">
        <v>Toni Banks</v>
      </c>
      <c r="R739" t="str">
        <v>Operations</v>
      </c>
      <c r="S739" t="str">
        <v>Operations Manager</v>
      </c>
      <c r="T739" t="str">
        <v>Female</v>
      </c>
      <c r="U739">
        <v>38</v>
      </c>
      <c r="V739">
        <v>45017</v>
      </c>
      <c r="W739" t="str">
        <v>Full-Time</v>
      </c>
      <c r="X739">
        <v>90564.26</v>
      </c>
      <c r="Y739">
        <v>2</v>
      </c>
      <c r="Z739">
        <v>99.97</v>
      </c>
      <c r="AA739">
        <v>2</v>
      </c>
      <c r="AB739">
        <v>69</v>
      </c>
      <c r="AC739">
        <v>58</v>
      </c>
      <c r="AD739" t="str">
        <v>Gabrielle Davis</v>
      </c>
      <c r="AE739" t="str">
        <v>Active</v>
      </c>
      <c r="AF739">
        <v>1086771.1199999999</v>
      </c>
    </row>
    <row r="740" spans="16:32" x14ac:dyDescent="0.25">
      <c r="P740" t="str">
        <v>EMP0737</v>
      </c>
      <c r="Q740" t="str">
        <v>Kristina Preston</v>
      </c>
      <c r="R740" t="str">
        <v>Finance</v>
      </c>
      <c r="S740" t="str">
        <v>Financial Analyst</v>
      </c>
      <c r="T740" t="str">
        <v>Female</v>
      </c>
      <c r="U740">
        <v>46</v>
      </c>
      <c r="V740">
        <v>43385</v>
      </c>
      <c r="W740" t="str">
        <v>Part-Time</v>
      </c>
      <c r="X740">
        <v>102186.13</v>
      </c>
      <c r="Y740">
        <v>1</v>
      </c>
      <c r="Z740">
        <v>89.44</v>
      </c>
      <c r="AA740">
        <v>7</v>
      </c>
      <c r="AB740">
        <v>65</v>
      </c>
      <c r="AC740">
        <v>48</v>
      </c>
      <c r="AD740" t="str">
        <v>Cristian Santos</v>
      </c>
      <c r="AE740" t="str">
        <v>Resigned</v>
      </c>
      <c r="AF740">
        <v>1226233.56</v>
      </c>
    </row>
    <row r="741" spans="16:32" x14ac:dyDescent="0.25">
      <c r="P741" t="str">
        <v>EMP0738</v>
      </c>
      <c r="Q741" t="str">
        <v>Kevin Thompson</v>
      </c>
      <c r="R741" t="str">
        <v>IT</v>
      </c>
      <c r="S741" t="str">
        <v>IT Support</v>
      </c>
      <c r="T741" t="str">
        <v>Male</v>
      </c>
      <c r="U741">
        <v>51</v>
      </c>
      <c r="V741">
        <v>44520</v>
      </c>
      <c r="W741" t="str">
        <v>Full-Time</v>
      </c>
      <c r="X741">
        <v>71582.539999999994</v>
      </c>
      <c r="Y741">
        <v>5</v>
      </c>
      <c r="Z741">
        <v>95.15</v>
      </c>
      <c r="AA741">
        <v>4</v>
      </c>
      <c r="AB741">
        <v>59</v>
      </c>
      <c r="AC741">
        <v>21</v>
      </c>
      <c r="AD741" t="str">
        <v>Angie Henderson</v>
      </c>
      <c r="AE741" t="str">
        <v>Active</v>
      </c>
      <c r="AF741">
        <v>858990.48</v>
      </c>
    </row>
    <row r="742" spans="16:32" x14ac:dyDescent="0.25">
      <c r="P742" t="str">
        <v>EMP0739</v>
      </c>
      <c r="Q742" t="str">
        <v>Elizabeth Thompson</v>
      </c>
      <c r="R742" t="str">
        <v>IT</v>
      </c>
      <c r="S742" t="str">
        <v>Software Engineer</v>
      </c>
      <c r="T742" t="str">
        <v>Female</v>
      </c>
      <c r="U742">
        <v>34</v>
      </c>
      <c r="V742">
        <v>44209</v>
      </c>
      <c r="W742" t="str">
        <v>Part-Time</v>
      </c>
      <c r="X742">
        <v>64997.19</v>
      </c>
      <c r="Y742">
        <v>5</v>
      </c>
      <c r="Z742">
        <v>80.599999999999994</v>
      </c>
      <c r="AA742">
        <v>4</v>
      </c>
      <c r="AB742">
        <v>17</v>
      </c>
      <c r="AC742">
        <v>36</v>
      </c>
      <c r="AD742" t="str">
        <v>Cristian Santos</v>
      </c>
      <c r="AE742" t="str">
        <v>Active</v>
      </c>
      <c r="AF742">
        <v>779966.28</v>
      </c>
    </row>
    <row r="743" spans="16:32" x14ac:dyDescent="0.25">
      <c r="P743" t="str">
        <v>EMP0740</v>
      </c>
      <c r="Q743" t="str">
        <v>Tiffany Myers</v>
      </c>
      <c r="R743" t="str">
        <v>Sales</v>
      </c>
      <c r="S743" t="str">
        <v>Sales Manager</v>
      </c>
      <c r="T743" t="str">
        <v>Female</v>
      </c>
      <c r="U743">
        <v>42</v>
      </c>
      <c r="V743">
        <v>42314</v>
      </c>
      <c r="W743" t="str">
        <v>Full-Time</v>
      </c>
      <c r="X743">
        <v>61914.73</v>
      </c>
      <c r="Y743">
        <v>4</v>
      </c>
      <c r="Z743">
        <v>95.26</v>
      </c>
      <c r="AA743">
        <v>10</v>
      </c>
      <c r="AB743">
        <v>68</v>
      </c>
      <c r="AC743">
        <v>19</v>
      </c>
      <c r="AD743" t="str">
        <v>Monica Herrera</v>
      </c>
      <c r="AE743" t="str">
        <v>Active</v>
      </c>
      <c r="AF743">
        <v>742976.76</v>
      </c>
    </row>
    <row r="744" spans="16:32" x14ac:dyDescent="0.25">
      <c r="P744" t="str">
        <v>EMP0741</v>
      </c>
      <c r="Q744" t="str">
        <v>Lance Mccall</v>
      </c>
      <c r="R744" t="str">
        <v>Sales</v>
      </c>
      <c r="S744" t="str">
        <v>Sales Rep</v>
      </c>
      <c r="T744" t="str">
        <v>Male</v>
      </c>
      <c r="U744">
        <v>42</v>
      </c>
      <c r="V744">
        <v>45829</v>
      </c>
      <c r="W744" t="str">
        <v>Contract</v>
      </c>
      <c r="X744">
        <v>82983.929999999993</v>
      </c>
      <c r="Y744">
        <v>5</v>
      </c>
      <c r="Z744">
        <v>98.28</v>
      </c>
      <c r="AA744">
        <v>0</v>
      </c>
      <c r="AB744">
        <v>73</v>
      </c>
      <c r="AC744">
        <v>55</v>
      </c>
      <c r="AD744" t="str">
        <v>Lisa Hensley</v>
      </c>
      <c r="AE744" t="str">
        <v>Resigned</v>
      </c>
      <c r="AF744">
        <v>995807.15999999992</v>
      </c>
    </row>
    <row r="745" spans="16:32" x14ac:dyDescent="0.25">
      <c r="P745" t="str">
        <v>EMP0742</v>
      </c>
      <c r="Q745" t="str">
        <v>Ashley Crawford</v>
      </c>
      <c r="R745" t="str">
        <v>IT</v>
      </c>
      <c r="S745" t="str">
        <v>Software Engineer</v>
      </c>
      <c r="T745" t="str">
        <v>Male</v>
      </c>
      <c r="U745">
        <v>55</v>
      </c>
      <c r="V745">
        <v>43675</v>
      </c>
      <c r="W745" t="str">
        <v>Part-Time</v>
      </c>
      <c r="X745">
        <v>38833.870000000003</v>
      </c>
      <c r="Y745">
        <v>1</v>
      </c>
      <c r="Z745">
        <v>86.58</v>
      </c>
      <c r="AA745">
        <v>6</v>
      </c>
      <c r="AB745">
        <v>57</v>
      </c>
      <c r="AC745">
        <v>40</v>
      </c>
      <c r="AD745" t="str">
        <v>Ryan Munoz</v>
      </c>
      <c r="AE745" t="str">
        <v>Active</v>
      </c>
      <c r="AF745">
        <v>466006.44000000006</v>
      </c>
    </row>
    <row r="746" spans="16:32" x14ac:dyDescent="0.25">
      <c r="P746" t="str">
        <v>EMP0743</v>
      </c>
      <c r="Q746" t="str">
        <v>Cynthia Haas</v>
      </c>
      <c r="R746" t="str">
        <v>Marketing</v>
      </c>
      <c r="S746" t="str">
        <v>Content Specialist</v>
      </c>
      <c r="T746" t="str">
        <v>Male</v>
      </c>
      <c r="U746">
        <v>23</v>
      </c>
      <c r="V746">
        <v>44360</v>
      </c>
      <c r="W746" t="str">
        <v>Contract</v>
      </c>
      <c r="X746">
        <v>80336.39</v>
      </c>
      <c r="Y746">
        <v>1</v>
      </c>
      <c r="Z746">
        <v>83.73</v>
      </c>
      <c r="AA746">
        <v>4</v>
      </c>
      <c r="AB746">
        <v>8</v>
      </c>
      <c r="AC746">
        <v>58</v>
      </c>
      <c r="AD746" t="str">
        <v>Lisa Hensley</v>
      </c>
      <c r="AE746" t="str">
        <v>Active</v>
      </c>
      <c r="AF746">
        <v>964036.67999999993</v>
      </c>
    </row>
    <row r="747" spans="16:32" x14ac:dyDescent="0.25">
      <c r="P747" t="str">
        <v>EMP0744</v>
      </c>
      <c r="Q747" t="str">
        <v>Tracey Underwood</v>
      </c>
      <c r="R747" t="str">
        <v>IT</v>
      </c>
      <c r="S747" t="str">
        <v>Software Engineer</v>
      </c>
      <c r="T747" t="str">
        <v>Male</v>
      </c>
      <c r="U747">
        <v>50</v>
      </c>
      <c r="V747">
        <v>43346</v>
      </c>
      <c r="W747" t="str">
        <v>Full-Time</v>
      </c>
      <c r="X747">
        <v>56865.23</v>
      </c>
      <c r="Y747">
        <v>1</v>
      </c>
      <c r="Z747">
        <v>83.44</v>
      </c>
      <c r="AA747">
        <v>7</v>
      </c>
      <c r="AB747">
        <v>52</v>
      </c>
      <c r="AC747">
        <v>25</v>
      </c>
      <c r="AD747" t="str">
        <v>Connie Lawrence</v>
      </c>
      <c r="AE747" t="str">
        <v>Resigned</v>
      </c>
      <c r="AF747">
        <v>682382.76</v>
      </c>
    </row>
    <row r="748" spans="16:32" x14ac:dyDescent="0.25">
      <c r="P748" t="str">
        <v>EMP0745</v>
      </c>
      <c r="Q748" t="str">
        <v>Derek Wright</v>
      </c>
      <c r="R748" t="str">
        <v>HR</v>
      </c>
      <c r="S748" t="str">
        <v>HR Manager</v>
      </c>
      <c r="T748" t="str">
        <v>Female</v>
      </c>
      <c r="U748">
        <v>51</v>
      </c>
      <c r="V748">
        <v>44389</v>
      </c>
      <c r="W748" t="str">
        <v>Contract</v>
      </c>
      <c r="X748">
        <v>26876.3</v>
      </c>
      <c r="Y748">
        <v>2</v>
      </c>
      <c r="Z748">
        <v>82.6</v>
      </c>
      <c r="AA748">
        <v>4</v>
      </c>
      <c r="AB748">
        <v>26</v>
      </c>
      <c r="AC748">
        <v>19</v>
      </c>
      <c r="AD748" t="str">
        <v>Michele Williams</v>
      </c>
      <c r="AE748" t="str">
        <v>Active</v>
      </c>
      <c r="AF748">
        <v>322515.59999999998</v>
      </c>
    </row>
    <row r="749" spans="16:32" x14ac:dyDescent="0.25">
      <c r="P749" t="str">
        <v>EMP0746</v>
      </c>
      <c r="Q749" t="str">
        <v>Richard Le</v>
      </c>
      <c r="R749" t="str">
        <v>R&amp;D</v>
      </c>
      <c r="S749" t="str">
        <v>Researcher</v>
      </c>
      <c r="T749" t="str">
        <v>Female</v>
      </c>
      <c r="U749">
        <v>58</v>
      </c>
      <c r="V749">
        <v>42724</v>
      </c>
      <c r="W749" t="str">
        <v>Full-Time</v>
      </c>
      <c r="X749">
        <v>70247.5</v>
      </c>
      <c r="Y749">
        <v>4</v>
      </c>
      <c r="Z749">
        <v>85.51</v>
      </c>
      <c r="AA749">
        <v>9</v>
      </c>
      <c r="AB749">
        <v>0</v>
      </c>
      <c r="AC749">
        <v>9</v>
      </c>
      <c r="AD749" t="str">
        <v>Dylan Miller</v>
      </c>
      <c r="AE749" t="str">
        <v>Active</v>
      </c>
      <c r="AF749">
        <v>842970</v>
      </c>
    </row>
    <row r="750" spans="16:32" x14ac:dyDescent="0.25">
      <c r="P750" t="str">
        <v>EMP0747</v>
      </c>
      <c r="Q750" t="str">
        <v>Nicholas Costa</v>
      </c>
      <c r="R750" t="str">
        <v>Customer Support</v>
      </c>
      <c r="S750" t="str">
        <v>Support Agent</v>
      </c>
      <c r="T750" t="str">
        <v>Female</v>
      </c>
      <c r="U750">
        <v>57</v>
      </c>
      <c r="V750">
        <v>42602</v>
      </c>
      <c r="W750" t="str">
        <v>Part-Time</v>
      </c>
      <c r="X750">
        <v>66020.460000000006</v>
      </c>
      <c r="Y750">
        <v>5</v>
      </c>
      <c r="Z750">
        <v>80.78</v>
      </c>
      <c r="AA750">
        <v>9</v>
      </c>
      <c r="AB750">
        <v>11</v>
      </c>
      <c r="AC750">
        <v>18</v>
      </c>
      <c r="AD750" t="str">
        <v>Dylan Miller</v>
      </c>
      <c r="AE750" t="str">
        <v>Active</v>
      </c>
      <c r="AF750">
        <v>792245.52</v>
      </c>
    </row>
    <row r="751" spans="16:32" x14ac:dyDescent="0.25">
      <c r="P751" t="str">
        <v>EMP0748</v>
      </c>
      <c r="Q751" t="str">
        <v>James Payne Jr.</v>
      </c>
      <c r="R751" t="str">
        <v>Finance</v>
      </c>
      <c r="S751" t="str">
        <v>Financial Analyst</v>
      </c>
      <c r="T751" t="str">
        <v>Male</v>
      </c>
      <c r="U751">
        <v>47</v>
      </c>
      <c r="V751">
        <v>44875</v>
      </c>
      <c r="W751" t="str">
        <v>Full-Time</v>
      </c>
      <c r="X751">
        <v>37957.81</v>
      </c>
      <c r="Y751">
        <v>5</v>
      </c>
      <c r="Z751">
        <v>94.66</v>
      </c>
      <c r="AA751">
        <v>3</v>
      </c>
      <c r="AB751">
        <v>58</v>
      </c>
      <c r="AC751">
        <v>24</v>
      </c>
      <c r="AD751" t="str">
        <v>Connie Lawrence</v>
      </c>
      <c r="AE751" t="str">
        <v>Active</v>
      </c>
      <c r="AF751">
        <v>455493.72</v>
      </c>
    </row>
    <row r="752" spans="16:32" x14ac:dyDescent="0.25">
      <c r="P752" t="str">
        <v>EMP0749</v>
      </c>
      <c r="Q752" t="str">
        <v>Laura Chang</v>
      </c>
      <c r="R752" t="str">
        <v>Marketing</v>
      </c>
      <c r="S752" t="str">
        <v>Brand Manager</v>
      </c>
      <c r="T752" t="str">
        <v>Male</v>
      </c>
      <c r="U752">
        <v>36</v>
      </c>
      <c r="V752">
        <v>45282</v>
      </c>
      <c r="W752" t="str">
        <v>Full-Time</v>
      </c>
      <c r="X752">
        <v>47377.63</v>
      </c>
      <c r="Y752">
        <v>5</v>
      </c>
      <c r="Z752">
        <v>85.84</v>
      </c>
      <c r="AA752">
        <v>2</v>
      </c>
      <c r="AB752">
        <v>8</v>
      </c>
      <c r="AC752">
        <v>44</v>
      </c>
      <c r="AD752" t="str">
        <v>Abigail Shaffer</v>
      </c>
      <c r="AE752" t="str">
        <v>Resigned</v>
      </c>
      <c r="AF752">
        <v>568531.55999999994</v>
      </c>
    </row>
    <row r="753" spans="16:32" x14ac:dyDescent="0.25">
      <c r="P753" t="str">
        <v>EMP0750</v>
      </c>
      <c r="Q753" t="str">
        <v>Benjamin Singleton</v>
      </c>
      <c r="R753" t="str">
        <v>Customer Support</v>
      </c>
      <c r="S753" t="str">
        <v>Support Agent</v>
      </c>
      <c r="T753" t="str">
        <v>Female</v>
      </c>
      <c r="U753">
        <v>25</v>
      </c>
      <c r="V753">
        <v>43704</v>
      </c>
      <c r="W753" t="str">
        <v>Full-Time</v>
      </c>
      <c r="X753">
        <v>70439.48</v>
      </c>
      <c r="Y753">
        <v>3</v>
      </c>
      <c r="Z753">
        <v>88.2</v>
      </c>
      <c r="AA753">
        <v>6</v>
      </c>
      <c r="AB753">
        <v>21</v>
      </c>
      <c r="AC753">
        <v>16</v>
      </c>
      <c r="AD753" t="str">
        <v>Abigail Shaffer</v>
      </c>
      <c r="AE753" t="str">
        <v>Active</v>
      </c>
      <c r="AF753">
        <v>845273.76</v>
      </c>
    </row>
    <row r="754" spans="16:32" x14ac:dyDescent="0.25">
      <c r="P754" t="str">
        <v>EMP0751</v>
      </c>
      <c r="Q754" t="str">
        <v>Dean Garcia</v>
      </c>
      <c r="R754" t="str">
        <v>R&amp;D</v>
      </c>
      <c r="S754" t="str">
        <v>Researcher</v>
      </c>
      <c r="T754" t="str">
        <v>Male</v>
      </c>
      <c r="U754">
        <v>50</v>
      </c>
      <c r="V754">
        <v>44135</v>
      </c>
      <c r="W754" t="str">
        <v>Part-Time</v>
      </c>
      <c r="X754">
        <v>54365.77</v>
      </c>
      <c r="Y754">
        <v>4</v>
      </c>
      <c r="Z754">
        <v>97.12</v>
      </c>
      <c r="AA754">
        <v>5</v>
      </c>
      <c r="AB754">
        <v>50</v>
      </c>
      <c r="AC754">
        <v>2</v>
      </c>
      <c r="AD754" t="str">
        <v>Allison Hill</v>
      </c>
      <c r="AE754" t="str">
        <v>Active</v>
      </c>
      <c r="AF754">
        <v>652389.24</v>
      </c>
    </row>
    <row r="755" spans="16:32" x14ac:dyDescent="0.25">
      <c r="P755" t="str">
        <v>EMP0752</v>
      </c>
      <c r="Q755" t="str">
        <v>James Dennis</v>
      </c>
      <c r="R755" t="str">
        <v>HR</v>
      </c>
      <c r="S755" t="str">
        <v>Recruiter</v>
      </c>
      <c r="T755" t="str">
        <v>Female</v>
      </c>
      <c r="U755">
        <v>52</v>
      </c>
      <c r="V755">
        <v>44426</v>
      </c>
      <c r="W755" t="str">
        <v>Part-Time</v>
      </c>
      <c r="X755">
        <v>26823.72</v>
      </c>
      <c r="Y755">
        <v>5</v>
      </c>
      <c r="Z755">
        <v>93.14</v>
      </c>
      <c r="AA755">
        <v>4</v>
      </c>
      <c r="AB755">
        <v>56</v>
      </c>
      <c r="AC755">
        <v>8</v>
      </c>
      <c r="AD755" t="str">
        <v>Brian Ramirez</v>
      </c>
      <c r="AE755" t="str">
        <v>Active</v>
      </c>
      <c r="AF755">
        <v>321884.64</v>
      </c>
    </row>
    <row r="756" spans="16:32" x14ac:dyDescent="0.25">
      <c r="P756" t="str">
        <v>EMP0753</v>
      </c>
      <c r="Q756" t="str">
        <v>Vanessa Morgan</v>
      </c>
      <c r="R756" t="str">
        <v>HR</v>
      </c>
      <c r="S756" t="str">
        <v>HR Officer</v>
      </c>
      <c r="T756" t="str">
        <v>Male</v>
      </c>
      <c r="U756">
        <v>59</v>
      </c>
      <c r="V756">
        <v>45702</v>
      </c>
      <c r="W756" t="str">
        <v>Full-Time</v>
      </c>
      <c r="X756">
        <v>37723.660000000003</v>
      </c>
      <c r="Y756">
        <v>1</v>
      </c>
      <c r="Z756">
        <v>90.69</v>
      </c>
      <c r="AA756">
        <v>0</v>
      </c>
      <c r="AB756">
        <v>50</v>
      </c>
      <c r="AC756">
        <v>10</v>
      </c>
      <c r="AD756" t="str">
        <v>Angie Henderson</v>
      </c>
      <c r="AE756" t="str">
        <v>Active</v>
      </c>
      <c r="AF756">
        <v>452683.92000000004</v>
      </c>
    </row>
    <row r="757" spans="16:32" x14ac:dyDescent="0.25">
      <c r="P757" t="str">
        <v>EMP0754</v>
      </c>
      <c r="Q757" t="str">
        <v>Jessica Valdez</v>
      </c>
      <c r="R757" t="str">
        <v>Sales</v>
      </c>
      <c r="S757" t="str">
        <v>Account Executive</v>
      </c>
      <c r="T757" t="str">
        <v>Female</v>
      </c>
      <c r="U757">
        <v>30</v>
      </c>
      <c r="V757">
        <v>45302</v>
      </c>
      <c r="W757" t="str">
        <v>Part-Time</v>
      </c>
      <c r="X757">
        <v>55808.7</v>
      </c>
      <c r="Y757">
        <v>2</v>
      </c>
      <c r="Z757">
        <v>94.29</v>
      </c>
      <c r="AA757">
        <v>1</v>
      </c>
      <c r="AB757">
        <v>68</v>
      </c>
      <c r="AC757">
        <v>13</v>
      </c>
      <c r="AD757" t="str">
        <v>Dylan Miller</v>
      </c>
      <c r="AE757" t="str">
        <v>Active</v>
      </c>
      <c r="AF757">
        <v>669704.39999999991</v>
      </c>
    </row>
    <row r="758" spans="16:32" x14ac:dyDescent="0.25">
      <c r="P758" t="str">
        <v>EMP0755</v>
      </c>
      <c r="Q758" t="str">
        <v>Brian Harris</v>
      </c>
      <c r="R758" t="str">
        <v>Marketing</v>
      </c>
      <c r="S758" t="str">
        <v>Brand Manager</v>
      </c>
      <c r="T758" t="str">
        <v>Female</v>
      </c>
      <c r="U758">
        <v>49</v>
      </c>
      <c r="V758">
        <v>45001</v>
      </c>
      <c r="W758" t="str">
        <v>Full-Time</v>
      </c>
      <c r="X758">
        <v>79820.539999999994</v>
      </c>
      <c r="Y758">
        <v>1</v>
      </c>
      <c r="Z758">
        <v>95.45</v>
      </c>
      <c r="AA758">
        <v>2</v>
      </c>
      <c r="AB758">
        <v>25</v>
      </c>
      <c r="AC758">
        <v>59</v>
      </c>
      <c r="AD758" t="str">
        <v>Gina Moore</v>
      </c>
      <c r="AE758" t="str">
        <v>Active</v>
      </c>
      <c r="AF758">
        <v>957846.48</v>
      </c>
    </row>
    <row r="759" spans="16:32" x14ac:dyDescent="0.25">
      <c r="P759" t="str">
        <v>EMP0756</v>
      </c>
      <c r="Q759" t="str">
        <v>Julian Frost</v>
      </c>
      <c r="R759" t="str">
        <v>IT</v>
      </c>
      <c r="S759" t="str">
        <v>IT Support</v>
      </c>
      <c r="T759" t="str">
        <v>Male</v>
      </c>
      <c r="U759">
        <v>22</v>
      </c>
      <c r="V759">
        <v>43483</v>
      </c>
      <c r="W759" t="str">
        <v>Part-Time</v>
      </c>
      <c r="X759">
        <v>22794.42</v>
      </c>
      <c r="Y759">
        <v>1</v>
      </c>
      <c r="Z759">
        <v>86.74</v>
      </c>
      <c r="AA759">
        <v>6</v>
      </c>
      <c r="AB759">
        <v>24</v>
      </c>
      <c r="AC759">
        <v>43</v>
      </c>
      <c r="AD759" t="str">
        <v>Angie Henderson</v>
      </c>
      <c r="AE759" t="str">
        <v>Active</v>
      </c>
      <c r="AF759">
        <v>273533.03999999998</v>
      </c>
    </row>
    <row r="760" spans="16:32" x14ac:dyDescent="0.25">
      <c r="P760" t="str">
        <v>EMP0757</v>
      </c>
      <c r="Q760" t="str">
        <v>Douglas Young</v>
      </c>
      <c r="R760" t="str">
        <v>Marketing</v>
      </c>
      <c r="S760" t="str">
        <v>Content Specialist</v>
      </c>
      <c r="T760" t="str">
        <v>Male</v>
      </c>
      <c r="U760">
        <v>31</v>
      </c>
      <c r="V760">
        <v>45659</v>
      </c>
      <c r="W760" t="str">
        <v>Full-Time</v>
      </c>
      <c r="X760">
        <v>61568</v>
      </c>
      <c r="Y760">
        <v>1</v>
      </c>
      <c r="Z760">
        <v>96.31</v>
      </c>
      <c r="AA760">
        <v>0</v>
      </c>
      <c r="AB760">
        <v>41</v>
      </c>
      <c r="AC760">
        <v>35</v>
      </c>
      <c r="AD760" t="str">
        <v>Abigail Shaffer</v>
      </c>
      <c r="AE760" t="str">
        <v>Active</v>
      </c>
      <c r="AF760">
        <v>738816</v>
      </c>
    </row>
    <row r="761" spans="16:32" x14ac:dyDescent="0.25">
      <c r="P761" t="str">
        <v>EMP0758</v>
      </c>
      <c r="Q761" t="str">
        <v>Joshua Henry</v>
      </c>
      <c r="R761" t="str">
        <v>Customer Support</v>
      </c>
      <c r="S761" t="str">
        <v>Team Lead</v>
      </c>
      <c r="T761" t="str">
        <v>Male</v>
      </c>
      <c r="U761">
        <v>35</v>
      </c>
      <c r="V761">
        <v>42611</v>
      </c>
      <c r="W761" t="str">
        <v>Full-Time</v>
      </c>
      <c r="X761">
        <v>30588.53</v>
      </c>
      <c r="Y761">
        <v>3</v>
      </c>
      <c r="Z761">
        <v>83.47</v>
      </c>
      <c r="AA761">
        <v>9</v>
      </c>
      <c r="AB761">
        <v>51</v>
      </c>
      <c r="AC761">
        <v>41</v>
      </c>
      <c r="AD761" t="str">
        <v>Monica Herrera</v>
      </c>
      <c r="AE761" t="str">
        <v>Active</v>
      </c>
      <c r="AF761">
        <v>367062.36</v>
      </c>
    </row>
    <row r="762" spans="16:32" x14ac:dyDescent="0.25">
      <c r="P762" t="str">
        <v>EMP0759</v>
      </c>
      <c r="Q762" t="str">
        <v>Jeffrey Phillips</v>
      </c>
      <c r="R762" t="str">
        <v>IT</v>
      </c>
      <c r="S762" t="str">
        <v>Software Engineer</v>
      </c>
      <c r="T762" t="str">
        <v>Male</v>
      </c>
      <c r="U762">
        <v>25</v>
      </c>
      <c r="V762">
        <v>42641</v>
      </c>
      <c r="W762" t="str">
        <v>Contract</v>
      </c>
      <c r="X762">
        <v>101508.49</v>
      </c>
      <c r="Y762">
        <v>5</v>
      </c>
      <c r="Z762">
        <v>87.38</v>
      </c>
      <c r="AA762">
        <v>9</v>
      </c>
      <c r="AB762">
        <v>8</v>
      </c>
      <c r="AC762">
        <v>56</v>
      </c>
      <c r="AD762" t="str">
        <v>Abigail Shaffer</v>
      </c>
      <c r="AE762" t="str">
        <v>Active</v>
      </c>
      <c r="AF762">
        <v>1218101.8800000001</v>
      </c>
    </row>
    <row r="763" spans="16:32" x14ac:dyDescent="0.25">
      <c r="P763" t="str">
        <v>EMP0760</v>
      </c>
      <c r="Q763" t="str">
        <v>Alexander Jackson</v>
      </c>
      <c r="R763" t="str">
        <v>R&amp;D</v>
      </c>
      <c r="S763" t="str">
        <v>Researcher</v>
      </c>
      <c r="T763" t="str">
        <v>Male</v>
      </c>
      <c r="U763">
        <v>37</v>
      </c>
      <c r="V763">
        <v>45287</v>
      </c>
      <c r="W763" t="str">
        <v>Full-Time</v>
      </c>
      <c r="X763">
        <v>79986.710000000006</v>
      </c>
      <c r="Y763">
        <v>4</v>
      </c>
      <c r="Z763">
        <v>93.56</v>
      </c>
      <c r="AA763">
        <v>2</v>
      </c>
      <c r="AB763">
        <v>17</v>
      </c>
      <c r="AC763">
        <v>21</v>
      </c>
      <c r="AD763" t="str">
        <v>Connie Lawrence</v>
      </c>
      <c r="AE763" t="str">
        <v>Active</v>
      </c>
      <c r="AF763">
        <v>959840.52</v>
      </c>
    </row>
    <row r="764" spans="16:32" x14ac:dyDescent="0.25">
      <c r="P764" t="str">
        <v>EMP0761</v>
      </c>
      <c r="Q764" t="str">
        <v>Kara Wilson</v>
      </c>
      <c r="R764" t="str">
        <v>Operations</v>
      </c>
      <c r="S764" t="str">
        <v>Operations Manager</v>
      </c>
      <c r="T764" t="str">
        <v>Male</v>
      </c>
      <c r="U764">
        <v>42</v>
      </c>
      <c r="V764">
        <v>44116</v>
      </c>
      <c r="W764" t="str">
        <v>Full-Time</v>
      </c>
      <c r="X764">
        <v>80853.33</v>
      </c>
      <c r="Y764">
        <v>5</v>
      </c>
      <c r="Z764">
        <v>88.98</v>
      </c>
      <c r="AA764">
        <v>5</v>
      </c>
      <c r="AB764">
        <v>65</v>
      </c>
      <c r="AC764">
        <v>40</v>
      </c>
      <c r="AD764" t="str">
        <v>Gina Moore</v>
      </c>
      <c r="AE764" t="str">
        <v>Active</v>
      </c>
      <c r="AF764">
        <v>970239.96</v>
      </c>
    </row>
    <row r="765" spans="16:32" x14ac:dyDescent="0.25">
      <c r="P765" t="str">
        <v>EMP0762</v>
      </c>
      <c r="Q765" t="str">
        <v>Steven Baker</v>
      </c>
      <c r="R765" t="str">
        <v>Sales</v>
      </c>
      <c r="S765" t="str">
        <v>Sales Rep</v>
      </c>
      <c r="T765" t="str">
        <v>Male</v>
      </c>
      <c r="U765">
        <v>60</v>
      </c>
      <c r="V765">
        <v>44772</v>
      </c>
      <c r="W765" t="str">
        <v>Full-Time</v>
      </c>
      <c r="X765">
        <v>50884.86</v>
      </c>
      <c r="Y765">
        <v>4</v>
      </c>
      <c r="Z765">
        <v>95.14</v>
      </c>
      <c r="AA765">
        <v>3</v>
      </c>
      <c r="AB765">
        <v>79</v>
      </c>
      <c r="AC765">
        <v>5</v>
      </c>
      <c r="AD765" t="str">
        <v>Noah Rhodes</v>
      </c>
      <c r="AE765" t="str">
        <v>Active</v>
      </c>
      <c r="AF765">
        <v>610618.32000000007</v>
      </c>
    </row>
    <row r="766" spans="16:32" x14ac:dyDescent="0.25">
      <c r="P766" t="str">
        <v>EMP0763</v>
      </c>
      <c r="Q766" t="str">
        <v>Jacob James</v>
      </c>
      <c r="R766" t="str">
        <v>R&amp;D</v>
      </c>
      <c r="S766" t="str">
        <v>Product Developer</v>
      </c>
      <c r="T766" t="str">
        <v>Male</v>
      </c>
      <c r="U766">
        <v>30</v>
      </c>
      <c r="V766">
        <v>45684</v>
      </c>
      <c r="W766" t="str">
        <v>Part-Time</v>
      </c>
      <c r="X766">
        <v>40438.53</v>
      </c>
      <c r="Y766">
        <v>1</v>
      </c>
      <c r="Z766">
        <v>84.76</v>
      </c>
      <c r="AA766">
        <v>0</v>
      </c>
      <c r="AB766">
        <v>76</v>
      </c>
      <c r="AC766">
        <v>60</v>
      </c>
      <c r="AD766" t="str">
        <v>Dylan Miller</v>
      </c>
      <c r="AE766" t="str">
        <v>Active</v>
      </c>
      <c r="AF766">
        <v>485262.36</v>
      </c>
    </row>
    <row r="767" spans="16:32" x14ac:dyDescent="0.25">
      <c r="P767" t="str">
        <v>EMP0764</v>
      </c>
      <c r="Q767" t="str">
        <v>Dennis Marshall</v>
      </c>
      <c r="R767" t="str">
        <v>Operations</v>
      </c>
      <c r="S767" t="str">
        <v>Operations Associate</v>
      </c>
      <c r="T767" t="str">
        <v>Female</v>
      </c>
      <c r="U767">
        <v>41</v>
      </c>
      <c r="V767">
        <v>43462</v>
      </c>
      <c r="W767" t="str">
        <v>Contract</v>
      </c>
      <c r="X767">
        <v>98697.09</v>
      </c>
      <c r="Y767">
        <v>1</v>
      </c>
      <c r="Z767">
        <v>90.42</v>
      </c>
      <c r="AA767">
        <v>7</v>
      </c>
      <c r="AB767">
        <v>53</v>
      </c>
      <c r="AC767">
        <v>41</v>
      </c>
      <c r="AD767" t="str">
        <v>Ryan Munoz</v>
      </c>
      <c r="AE767" t="str">
        <v>Active</v>
      </c>
      <c r="AF767">
        <v>1184365.08</v>
      </c>
    </row>
    <row r="768" spans="16:32" x14ac:dyDescent="0.25">
      <c r="P768" t="str">
        <v>EMP0765</v>
      </c>
      <c r="Q768" t="str">
        <v>Kristy Hernandez</v>
      </c>
      <c r="R768" t="str">
        <v>IT</v>
      </c>
      <c r="S768" t="str">
        <v>Data Analyst</v>
      </c>
      <c r="T768" t="str">
        <v>Female</v>
      </c>
      <c r="U768">
        <v>42</v>
      </c>
      <c r="V768">
        <v>43708</v>
      </c>
      <c r="W768" t="str">
        <v>Full-Time</v>
      </c>
      <c r="X768">
        <v>40581.74</v>
      </c>
      <c r="Y768">
        <v>1</v>
      </c>
      <c r="Z768">
        <v>98.13</v>
      </c>
      <c r="AA768">
        <v>6</v>
      </c>
      <c r="AB768">
        <v>31</v>
      </c>
      <c r="AC768">
        <v>51</v>
      </c>
      <c r="AD768" t="str">
        <v>Gina Moore</v>
      </c>
      <c r="AE768" t="str">
        <v>Active</v>
      </c>
      <c r="AF768">
        <v>486980.88</v>
      </c>
    </row>
    <row r="769" spans="16:32" x14ac:dyDescent="0.25">
      <c r="P769" t="str">
        <v>EMP0766</v>
      </c>
      <c r="Q769" t="str">
        <v>Gregg Weaver</v>
      </c>
      <c r="R769" t="str">
        <v>Customer Support</v>
      </c>
      <c r="S769" t="str">
        <v>Team Lead</v>
      </c>
      <c r="T769" t="str">
        <v>Male</v>
      </c>
      <c r="U769">
        <v>49</v>
      </c>
      <c r="V769">
        <v>42903</v>
      </c>
      <c r="W769" t="str">
        <v>Contract</v>
      </c>
      <c r="X769">
        <v>20604.27</v>
      </c>
      <c r="Y769">
        <v>4</v>
      </c>
      <c r="Z769">
        <v>81.400000000000006</v>
      </c>
      <c r="AA769">
        <v>8</v>
      </c>
      <c r="AB769">
        <v>24</v>
      </c>
      <c r="AC769">
        <v>3</v>
      </c>
      <c r="AD769" t="str">
        <v>Cristian Santos</v>
      </c>
      <c r="AE769" t="str">
        <v>Resigned</v>
      </c>
      <c r="AF769">
        <v>247251.24</v>
      </c>
    </row>
    <row r="770" spans="16:32" x14ac:dyDescent="0.25">
      <c r="P770" t="str">
        <v>EMP0767</v>
      </c>
      <c r="Q770" t="str">
        <v>Sara Cardenas</v>
      </c>
      <c r="R770" t="str">
        <v>HR</v>
      </c>
      <c r="S770" t="str">
        <v>HR Officer</v>
      </c>
      <c r="T770" t="str">
        <v>Male</v>
      </c>
      <c r="U770">
        <v>58</v>
      </c>
      <c r="V770">
        <v>43716</v>
      </c>
      <c r="W770" t="str">
        <v>Contract</v>
      </c>
      <c r="X770">
        <v>103122.09</v>
      </c>
      <c r="Y770">
        <v>2</v>
      </c>
      <c r="Z770">
        <v>84.73</v>
      </c>
      <c r="AA770">
        <v>6</v>
      </c>
      <c r="AB770">
        <v>10</v>
      </c>
      <c r="AC770">
        <v>27</v>
      </c>
      <c r="AD770" t="str">
        <v>Dylan Miller</v>
      </c>
      <c r="AE770" t="str">
        <v>Active</v>
      </c>
      <c r="AF770">
        <v>1237465.08</v>
      </c>
    </row>
    <row r="771" spans="16:32" x14ac:dyDescent="0.25">
      <c r="P771" t="str">
        <v>EMP0768</v>
      </c>
      <c r="Q771" t="str">
        <v>Melissa Mayer</v>
      </c>
      <c r="R771" t="str">
        <v>IT</v>
      </c>
      <c r="S771" t="str">
        <v>IT Support</v>
      </c>
      <c r="T771" t="str">
        <v>Female</v>
      </c>
      <c r="U771">
        <v>32</v>
      </c>
      <c r="V771">
        <v>44904</v>
      </c>
      <c r="W771" t="str">
        <v>Contract</v>
      </c>
      <c r="X771">
        <v>44896.94</v>
      </c>
      <c r="Y771">
        <v>3</v>
      </c>
      <c r="Z771">
        <v>91.53</v>
      </c>
      <c r="AA771">
        <v>3</v>
      </c>
      <c r="AB771">
        <v>25</v>
      </c>
      <c r="AC771">
        <v>17</v>
      </c>
      <c r="AD771" t="str">
        <v>Brian Ramirez</v>
      </c>
      <c r="AE771" t="str">
        <v>Active</v>
      </c>
      <c r="AF771">
        <v>538763.28</v>
      </c>
    </row>
    <row r="772" spans="16:32" x14ac:dyDescent="0.25">
      <c r="P772" t="str">
        <v>EMP0769</v>
      </c>
      <c r="Q772" t="str">
        <v>Karen Miller</v>
      </c>
      <c r="R772" t="str">
        <v>Operations</v>
      </c>
      <c r="S772" t="str">
        <v>Operations Manager</v>
      </c>
      <c r="T772" t="str">
        <v>Female</v>
      </c>
      <c r="U772">
        <v>31</v>
      </c>
      <c r="V772">
        <v>45861</v>
      </c>
      <c r="W772" t="str">
        <v>Part-Time</v>
      </c>
      <c r="X772">
        <v>64137.61</v>
      </c>
      <c r="Y772">
        <v>5</v>
      </c>
      <c r="Z772">
        <v>92.19</v>
      </c>
      <c r="AA772">
        <v>0</v>
      </c>
      <c r="AB772">
        <v>55</v>
      </c>
      <c r="AC772">
        <v>48</v>
      </c>
      <c r="AD772" t="str">
        <v>Cristian Santos</v>
      </c>
      <c r="AE772" t="str">
        <v>Active</v>
      </c>
      <c r="AF772">
        <v>769651.32000000007</v>
      </c>
    </row>
    <row r="773" spans="16:32" x14ac:dyDescent="0.25">
      <c r="P773" t="str">
        <v>EMP0770</v>
      </c>
      <c r="Q773" t="str">
        <v>Stephanie Mcbride</v>
      </c>
      <c r="R773" t="str">
        <v>R&amp;D</v>
      </c>
      <c r="S773" t="str">
        <v>Researcher</v>
      </c>
      <c r="T773" t="str">
        <v>Female</v>
      </c>
      <c r="U773">
        <v>48</v>
      </c>
      <c r="V773">
        <v>42518</v>
      </c>
      <c r="W773" t="str">
        <v>Full-Time</v>
      </c>
      <c r="X773">
        <v>95885.83</v>
      </c>
      <c r="Y773">
        <v>3</v>
      </c>
      <c r="Z773">
        <v>91.9</v>
      </c>
      <c r="AA773">
        <v>9</v>
      </c>
      <c r="AB773">
        <v>19</v>
      </c>
      <c r="AC773">
        <v>35</v>
      </c>
      <c r="AD773" t="str">
        <v>Connie Lawrence</v>
      </c>
      <c r="AE773" t="str">
        <v>Active</v>
      </c>
      <c r="AF773">
        <v>1150629.96</v>
      </c>
    </row>
    <row r="774" spans="16:32" x14ac:dyDescent="0.25">
      <c r="P774" t="str">
        <v>EMP0771</v>
      </c>
      <c r="Q774" t="str">
        <v>Peter Thompson</v>
      </c>
      <c r="R774" t="str">
        <v>R&amp;D</v>
      </c>
      <c r="S774" t="str">
        <v>Product Developer</v>
      </c>
      <c r="T774" t="str">
        <v>Female</v>
      </c>
      <c r="U774">
        <v>39</v>
      </c>
      <c r="V774">
        <v>43219</v>
      </c>
      <c r="W774" t="str">
        <v>Part-Time</v>
      </c>
      <c r="X774">
        <v>76214.210000000006</v>
      </c>
      <c r="Y774">
        <v>4</v>
      </c>
      <c r="Z774">
        <v>81.44</v>
      </c>
      <c r="AA774">
        <v>7</v>
      </c>
      <c r="AB774">
        <v>17</v>
      </c>
      <c r="AC774">
        <v>45</v>
      </c>
      <c r="AD774" t="str">
        <v>Brian Ramirez</v>
      </c>
      <c r="AE774" t="str">
        <v>Active</v>
      </c>
      <c r="AF774">
        <v>914570.52</v>
      </c>
    </row>
    <row r="775" spans="16:32" x14ac:dyDescent="0.25">
      <c r="P775" t="str">
        <v>EMP0772</v>
      </c>
      <c r="Q775" t="str">
        <v>Rhonda Martinez</v>
      </c>
      <c r="R775" t="str">
        <v>IT</v>
      </c>
      <c r="S775" t="str">
        <v>IT Support</v>
      </c>
      <c r="T775" t="str">
        <v>Male</v>
      </c>
      <c r="U775">
        <v>53</v>
      </c>
      <c r="V775">
        <v>43341</v>
      </c>
      <c r="W775" t="str">
        <v>Contract</v>
      </c>
      <c r="X775">
        <v>92534.54</v>
      </c>
      <c r="Y775">
        <v>4</v>
      </c>
      <c r="Z775">
        <v>88.09</v>
      </c>
      <c r="AA775">
        <v>7</v>
      </c>
      <c r="AB775">
        <v>53</v>
      </c>
      <c r="AC775">
        <v>60</v>
      </c>
      <c r="AD775" t="str">
        <v>Lisa Hensley</v>
      </c>
      <c r="AE775" t="str">
        <v>Resigned</v>
      </c>
      <c r="AF775">
        <v>1110414.48</v>
      </c>
    </row>
    <row r="776" spans="16:32" x14ac:dyDescent="0.25">
      <c r="P776" t="str">
        <v>EMP0773</v>
      </c>
      <c r="Q776" t="str">
        <v>Michael Harris</v>
      </c>
      <c r="R776" t="str">
        <v>Operations</v>
      </c>
      <c r="S776" t="str">
        <v>Operations Manager</v>
      </c>
      <c r="T776" t="str">
        <v>Female</v>
      </c>
      <c r="U776">
        <v>40</v>
      </c>
      <c r="V776">
        <v>44933</v>
      </c>
      <c r="W776" t="str">
        <v>Contract</v>
      </c>
      <c r="X776">
        <v>118752.21</v>
      </c>
      <c r="Y776">
        <v>1</v>
      </c>
      <c r="Z776">
        <v>88.18</v>
      </c>
      <c r="AA776">
        <v>2</v>
      </c>
      <c r="AB776">
        <v>4</v>
      </c>
      <c r="AC776">
        <v>58</v>
      </c>
      <c r="AD776" t="str">
        <v>Daniel Wagner</v>
      </c>
      <c r="AE776" t="str">
        <v>Active</v>
      </c>
      <c r="AF776">
        <v>1425026.52</v>
      </c>
    </row>
    <row r="777" spans="16:32" x14ac:dyDescent="0.25">
      <c r="P777" t="str">
        <v>EMP0774</v>
      </c>
      <c r="Q777" t="str">
        <v>Deanna Bartlett</v>
      </c>
      <c r="R777" t="str">
        <v>HR</v>
      </c>
      <c r="S777" t="str">
        <v>HR Officer</v>
      </c>
      <c r="T777" t="str">
        <v>Female</v>
      </c>
      <c r="U777">
        <v>37</v>
      </c>
      <c r="V777">
        <v>43221</v>
      </c>
      <c r="W777" t="str">
        <v>Contract</v>
      </c>
      <c r="X777">
        <v>54857.87</v>
      </c>
      <c r="Y777">
        <v>4</v>
      </c>
      <c r="Z777">
        <v>92.7</v>
      </c>
      <c r="AA777">
        <v>7</v>
      </c>
      <c r="AB777">
        <v>47</v>
      </c>
      <c r="AC777">
        <v>44</v>
      </c>
      <c r="AD777" t="str">
        <v>Noah Rhodes</v>
      </c>
      <c r="AE777" t="str">
        <v>Active</v>
      </c>
      <c r="AF777">
        <v>658294.44000000006</v>
      </c>
    </row>
    <row r="778" spans="16:32" x14ac:dyDescent="0.25">
      <c r="P778" t="str">
        <v>EMP0775</v>
      </c>
      <c r="Q778" t="str">
        <v>Justin Arnold</v>
      </c>
      <c r="R778" t="str">
        <v>Customer Support</v>
      </c>
      <c r="S778" t="str">
        <v>Support Agent</v>
      </c>
      <c r="T778" t="str">
        <v>Male</v>
      </c>
      <c r="U778">
        <v>51</v>
      </c>
      <c r="V778">
        <v>42719</v>
      </c>
      <c r="W778" t="str">
        <v>Full-Time</v>
      </c>
      <c r="X778">
        <v>112146.85</v>
      </c>
      <c r="Y778">
        <v>3</v>
      </c>
      <c r="Z778">
        <v>92.62</v>
      </c>
      <c r="AA778">
        <v>9</v>
      </c>
      <c r="AB778">
        <v>3</v>
      </c>
      <c r="AC778">
        <v>44</v>
      </c>
      <c r="AD778" t="str">
        <v>Cristian Santos</v>
      </c>
      <c r="AE778" t="str">
        <v>Active</v>
      </c>
      <c r="AF778">
        <v>1345762.2000000002</v>
      </c>
    </row>
    <row r="779" spans="16:32" x14ac:dyDescent="0.25">
      <c r="P779" t="str">
        <v>EMP0776</v>
      </c>
      <c r="Q779" t="str">
        <v>Sylvia Smith</v>
      </c>
      <c r="R779" t="str">
        <v>R&amp;D</v>
      </c>
      <c r="S779" t="str">
        <v>Researcher</v>
      </c>
      <c r="T779" t="str">
        <v>Female</v>
      </c>
      <c r="U779">
        <v>36</v>
      </c>
      <c r="V779">
        <v>44019</v>
      </c>
      <c r="W779" t="str">
        <v>Contract</v>
      </c>
      <c r="X779">
        <v>77834.179999999993</v>
      </c>
      <c r="Y779">
        <v>2</v>
      </c>
      <c r="Z779">
        <v>80.25</v>
      </c>
      <c r="AA779">
        <v>5</v>
      </c>
      <c r="AB779">
        <v>11</v>
      </c>
      <c r="AC779">
        <v>41</v>
      </c>
      <c r="AD779" t="str">
        <v>Lisa Hensley</v>
      </c>
      <c r="AE779" t="str">
        <v>Active</v>
      </c>
      <c r="AF779">
        <v>934010.15999999992</v>
      </c>
    </row>
    <row r="780" spans="16:32" x14ac:dyDescent="0.25">
      <c r="P780" t="str">
        <v>EMP0777</v>
      </c>
      <c r="Q780" t="str">
        <v>Jennifer Perry</v>
      </c>
      <c r="R780" t="str">
        <v>Marketing</v>
      </c>
      <c r="S780" t="str">
        <v>Content Specialist</v>
      </c>
      <c r="T780" t="str">
        <v>Male</v>
      </c>
      <c r="U780">
        <v>48</v>
      </c>
      <c r="V780">
        <v>45954</v>
      </c>
      <c r="W780" t="str">
        <v>Full-Time</v>
      </c>
      <c r="X780">
        <v>102974.96</v>
      </c>
      <c r="Y780">
        <v>3</v>
      </c>
      <c r="Z780">
        <v>93.84</v>
      </c>
      <c r="AA780">
        <v>0</v>
      </c>
      <c r="AB780">
        <v>64</v>
      </c>
      <c r="AC780">
        <v>34</v>
      </c>
      <c r="AD780" t="str">
        <v>Lisa Hensley</v>
      </c>
      <c r="AE780" t="str">
        <v>Active</v>
      </c>
      <c r="AF780">
        <v>1235699.52</v>
      </c>
    </row>
    <row r="781" spans="16:32" x14ac:dyDescent="0.25">
      <c r="P781" t="str">
        <v>EMP0778</v>
      </c>
      <c r="Q781" t="str">
        <v>Lauren Hanna</v>
      </c>
      <c r="R781" t="str">
        <v>Customer Support</v>
      </c>
      <c r="S781" t="str">
        <v>Support Agent</v>
      </c>
      <c r="T781" t="str">
        <v>Male</v>
      </c>
      <c r="U781">
        <v>57</v>
      </c>
      <c r="V781">
        <v>43223</v>
      </c>
      <c r="W781" t="str">
        <v>Part-Time</v>
      </c>
      <c r="X781">
        <v>101422.8</v>
      </c>
      <c r="Y781">
        <v>3</v>
      </c>
      <c r="Z781">
        <v>94.97</v>
      </c>
      <c r="AA781">
        <v>7</v>
      </c>
      <c r="AB781">
        <v>50</v>
      </c>
      <c r="AC781">
        <v>44</v>
      </c>
      <c r="AD781" t="str">
        <v>Ryan Munoz</v>
      </c>
      <c r="AE781" t="str">
        <v>Active</v>
      </c>
      <c r="AF781">
        <v>1217073.6000000001</v>
      </c>
    </row>
    <row r="782" spans="16:32" x14ac:dyDescent="0.25">
      <c r="P782" t="str">
        <v>EMP0779</v>
      </c>
      <c r="Q782" t="str">
        <v>Kristine Garcia</v>
      </c>
      <c r="R782" t="str">
        <v>HR</v>
      </c>
      <c r="S782" t="str">
        <v>Recruiter</v>
      </c>
      <c r="T782" t="str">
        <v>Male</v>
      </c>
      <c r="U782">
        <v>27</v>
      </c>
      <c r="V782">
        <v>42925</v>
      </c>
      <c r="W782" t="str">
        <v>Full-Time</v>
      </c>
      <c r="X782">
        <v>97374.36</v>
      </c>
      <c r="Y782">
        <v>4</v>
      </c>
      <c r="Z782">
        <v>90.5</v>
      </c>
      <c r="AA782">
        <v>8</v>
      </c>
      <c r="AB782">
        <v>36</v>
      </c>
      <c r="AC782">
        <v>46</v>
      </c>
      <c r="AD782" t="str">
        <v>Michele Williams</v>
      </c>
      <c r="AE782" t="str">
        <v>Active</v>
      </c>
      <c r="AF782">
        <v>1168492.32</v>
      </c>
    </row>
    <row r="783" spans="16:32" x14ac:dyDescent="0.25">
      <c r="P783" t="str">
        <v>EMP0780</v>
      </c>
      <c r="Q783" t="str">
        <v>Sheryl Humphrey</v>
      </c>
      <c r="R783" t="str">
        <v>Operations</v>
      </c>
      <c r="S783" t="str">
        <v>Operations Associate</v>
      </c>
      <c r="T783" t="str">
        <v>Male</v>
      </c>
      <c r="U783">
        <v>33</v>
      </c>
      <c r="V783">
        <v>44080</v>
      </c>
      <c r="W783" t="str">
        <v>Part-Time</v>
      </c>
      <c r="X783">
        <v>38198.43</v>
      </c>
      <c r="Y783">
        <v>1</v>
      </c>
      <c r="Z783">
        <v>89.01</v>
      </c>
      <c r="AA783">
        <v>5</v>
      </c>
      <c r="AB783">
        <v>27</v>
      </c>
      <c r="AC783">
        <v>11</v>
      </c>
      <c r="AD783" t="str">
        <v>Abigail Shaffer</v>
      </c>
      <c r="AE783" t="str">
        <v>Active</v>
      </c>
      <c r="AF783">
        <v>458381.16000000003</v>
      </c>
    </row>
    <row r="784" spans="16:32" x14ac:dyDescent="0.25">
      <c r="P784" t="str">
        <v>EMP0781</v>
      </c>
      <c r="Q784" t="str">
        <v>John Lynch</v>
      </c>
      <c r="R784" t="str">
        <v>HR</v>
      </c>
      <c r="S784" t="str">
        <v>HR Officer</v>
      </c>
      <c r="T784" t="str">
        <v>Female</v>
      </c>
      <c r="U784">
        <v>47</v>
      </c>
      <c r="V784">
        <v>43944</v>
      </c>
      <c r="W784" t="str">
        <v>Part-Time</v>
      </c>
      <c r="X784">
        <v>82683.740000000005</v>
      </c>
      <c r="Y784">
        <v>5</v>
      </c>
      <c r="Z784">
        <v>82.18</v>
      </c>
      <c r="AA784">
        <v>5</v>
      </c>
      <c r="AB784">
        <v>21</v>
      </c>
      <c r="AC784">
        <v>5</v>
      </c>
      <c r="AD784" t="str">
        <v>Ryan Munoz</v>
      </c>
      <c r="AE784" t="str">
        <v>Active</v>
      </c>
      <c r="AF784">
        <v>992204.88000000012</v>
      </c>
    </row>
    <row r="785" spans="16:32" x14ac:dyDescent="0.25">
      <c r="P785" t="str">
        <v>EMP0782</v>
      </c>
      <c r="Q785" t="str">
        <v>Jamie Montgomery</v>
      </c>
      <c r="R785" t="str">
        <v>Marketing</v>
      </c>
      <c r="S785" t="str">
        <v>Brand Manager</v>
      </c>
      <c r="T785" t="str">
        <v>Male</v>
      </c>
      <c r="U785">
        <v>42</v>
      </c>
      <c r="V785">
        <v>42535</v>
      </c>
      <c r="W785" t="str">
        <v>Full-Time</v>
      </c>
      <c r="X785">
        <v>78564.639999999999</v>
      </c>
      <c r="Y785">
        <v>4</v>
      </c>
      <c r="Z785">
        <v>89.7</v>
      </c>
      <c r="AA785">
        <v>9</v>
      </c>
      <c r="AB785">
        <v>12</v>
      </c>
      <c r="AC785">
        <v>0</v>
      </c>
      <c r="AD785" t="str">
        <v>Noah Rhodes</v>
      </c>
      <c r="AE785" t="str">
        <v>Active</v>
      </c>
      <c r="AF785">
        <v>942775.67999999993</v>
      </c>
    </row>
    <row r="786" spans="16:32" x14ac:dyDescent="0.25">
      <c r="P786" t="str">
        <v>EMP0783</v>
      </c>
      <c r="Q786" t="str">
        <v>Steve Rivera</v>
      </c>
      <c r="R786" t="str">
        <v>Sales</v>
      </c>
      <c r="S786" t="str">
        <v>Account Executive</v>
      </c>
      <c r="T786" t="str">
        <v>Male</v>
      </c>
      <c r="U786">
        <v>27</v>
      </c>
      <c r="V786">
        <v>44799</v>
      </c>
      <c r="W786" t="str">
        <v>Full-Time</v>
      </c>
      <c r="X786">
        <v>72233.45</v>
      </c>
      <c r="Y786">
        <v>1</v>
      </c>
      <c r="Z786">
        <v>87.51</v>
      </c>
      <c r="AA786">
        <v>3</v>
      </c>
      <c r="AB786">
        <v>66</v>
      </c>
      <c r="AC786">
        <v>48</v>
      </c>
      <c r="AD786" t="str">
        <v>Gabrielle Davis</v>
      </c>
      <c r="AE786" t="str">
        <v>Resigned</v>
      </c>
      <c r="AF786">
        <v>866801.39999999991</v>
      </c>
    </row>
    <row r="787" spans="16:32" x14ac:dyDescent="0.25">
      <c r="P787" t="str">
        <v>EMP0784</v>
      </c>
      <c r="Q787" t="str">
        <v>John Adams</v>
      </c>
      <c r="R787" t="str">
        <v>R&amp;D</v>
      </c>
      <c r="S787" t="str">
        <v>Product Developer</v>
      </c>
      <c r="T787" t="str">
        <v>Female</v>
      </c>
      <c r="U787">
        <v>42</v>
      </c>
      <c r="V787">
        <v>43779</v>
      </c>
      <c r="W787" t="str">
        <v>Part-Time</v>
      </c>
      <c r="X787">
        <v>88186</v>
      </c>
      <c r="Y787">
        <v>3</v>
      </c>
      <c r="Z787">
        <v>99.99</v>
      </c>
      <c r="AA787">
        <v>6</v>
      </c>
      <c r="AB787">
        <v>30</v>
      </c>
      <c r="AC787">
        <v>60</v>
      </c>
      <c r="AD787" t="str">
        <v>Jamie Arnold</v>
      </c>
      <c r="AE787" t="str">
        <v>Active</v>
      </c>
      <c r="AF787">
        <v>1058232</v>
      </c>
    </row>
    <row r="788" spans="16:32" x14ac:dyDescent="0.25">
      <c r="P788" t="str">
        <v>EMP0785</v>
      </c>
      <c r="Q788" t="str">
        <v>Robert Turner</v>
      </c>
      <c r="R788" t="str">
        <v>Customer Support</v>
      </c>
      <c r="S788" t="str">
        <v>Support Agent</v>
      </c>
      <c r="T788" t="str">
        <v>Female</v>
      </c>
      <c r="U788">
        <v>42</v>
      </c>
      <c r="V788">
        <v>44617</v>
      </c>
      <c r="W788" t="str">
        <v>Full-Time</v>
      </c>
      <c r="X788">
        <v>20308.47</v>
      </c>
      <c r="Y788">
        <v>4</v>
      </c>
      <c r="Z788">
        <v>94.5</v>
      </c>
      <c r="AA788">
        <v>3</v>
      </c>
      <c r="AB788">
        <v>17</v>
      </c>
      <c r="AC788">
        <v>1</v>
      </c>
      <c r="AD788" t="str">
        <v>Carla Gray</v>
      </c>
      <c r="AE788" t="str">
        <v>Active</v>
      </c>
      <c r="AF788">
        <v>243701.64</v>
      </c>
    </row>
    <row r="789" spans="16:32" x14ac:dyDescent="0.25">
      <c r="P789" t="str">
        <v>EMP0786</v>
      </c>
      <c r="Q789" t="str">
        <v>Shannon Cohen</v>
      </c>
      <c r="R789" t="str">
        <v>Finance</v>
      </c>
      <c r="S789" t="str">
        <v>Finance Manager</v>
      </c>
      <c r="T789" t="str">
        <v>Male</v>
      </c>
      <c r="U789">
        <v>44</v>
      </c>
      <c r="V789">
        <v>44045</v>
      </c>
      <c r="W789" t="str">
        <v>Part-Time</v>
      </c>
      <c r="X789">
        <v>81835.17</v>
      </c>
      <c r="Y789">
        <v>4</v>
      </c>
      <c r="Z789">
        <v>90.3</v>
      </c>
      <c r="AA789">
        <v>5</v>
      </c>
      <c r="AB789">
        <v>24</v>
      </c>
      <c r="AC789">
        <v>0</v>
      </c>
      <c r="AD789" t="str">
        <v>Monica Herrera</v>
      </c>
      <c r="AE789" t="str">
        <v>Active</v>
      </c>
      <c r="AF789">
        <v>982022.04</v>
      </c>
    </row>
    <row r="790" spans="16:32" x14ac:dyDescent="0.25">
      <c r="P790" t="str">
        <v>EMP0787</v>
      </c>
      <c r="Q790" t="str">
        <v>William Ramos</v>
      </c>
      <c r="R790" t="str">
        <v>Operations</v>
      </c>
      <c r="S790" t="str">
        <v>Operations Associate</v>
      </c>
      <c r="T790" t="str">
        <v>Female</v>
      </c>
      <c r="U790">
        <v>49</v>
      </c>
      <c r="V790">
        <v>43719</v>
      </c>
      <c r="W790" t="str">
        <v>Full-Time</v>
      </c>
      <c r="X790">
        <v>80676.3</v>
      </c>
      <c r="Y790">
        <v>4</v>
      </c>
      <c r="Z790">
        <v>94.78</v>
      </c>
      <c r="AA790">
        <v>6</v>
      </c>
      <c r="AB790">
        <v>10</v>
      </c>
      <c r="AC790">
        <v>22</v>
      </c>
      <c r="AD790" t="str">
        <v>Michele Williams</v>
      </c>
      <c r="AE790" t="str">
        <v>Resigned</v>
      </c>
      <c r="AF790">
        <v>968115.60000000009</v>
      </c>
    </row>
    <row r="791" spans="16:32" x14ac:dyDescent="0.25">
      <c r="P791" t="str">
        <v>EMP0788</v>
      </c>
      <c r="Q791" t="str">
        <v>Jason Brewer</v>
      </c>
      <c r="R791" t="str">
        <v>R&amp;D</v>
      </c>
      <c r="S791" t="str">
        <v>Researcher</v>
      </c>
      <c r="T791" t="str">
        <v>Female</v>
      </c>
      <c r="U791">
        <v>39</v>
      </c>
      <c r="V791">
        <v>44296</v>
      </c>
      <c r="W791" t="str">
        <v>Contract</v>
      </c>
      <c r="X791">
        <v>39507.699999999997</v>
      </c>
      <c r="Y791">
        <v>2</v>
      </c>
      <c r="Z791">
        <v>97.4</v>
      </c>
      <c r="AA791">
        <v>4</v>
      </c>
      <c r="AB791">
        <v>73</v>
      </c>
      <c r="AC791">
        <v>50</v>
      </c>
      <c r="AD791" t="str">
        <v>Holly Wood</v>
      </c>
      <c r="AE791" t="str">
        <v>Active</v>
      </c>
      <c r="AF791">
        <v>474092.39999999997</v>
      </c>
    </row>
    <row r="792" spans="16:32" x14ac:dyDescent="0.25">
      <c r="P792" t="str">
        <v>EMP0789</v>
      </c>
      <c r="Q792" t="str">
        <v>Thomas Russell</v>
      </c>
      <c r="R792" t="str">
        <v>R&amp;D</v>
      </c>
      <c r="S792" t="str">
        <v>Researcher</v>
      </c>
      <c r="T792" t="str">
        <v>Female</v>
      </c>
      <c r="U792">
        <v>56</v>
      </c>
      <c r="V792">
        <v>43470</v>
      </c>
      <c r="W792" t="str">
        <v>Part-Time</v>
      </c>
      <c r="X792">
        <v>36805.29</v>
      </c>
      <c r="Y792">
        <v>4</v>
      </c>
      <c r="Z792">
        <v>99.1</v>
      </c>
      <c r="AA792">
        <v>6</v>
      </c>
      <c r="AB792">
        <v>61</v>
      </c>
      <c r="AC792">
        <v>42</v>
      </c>
      <c r="AD792" t="str">
        <v>Derek Zuniga</v>
      </c>
      <c r="AE792" t="str">
        <v>Active</v>
      </c>
      <c r="AF792">
        <v>441663.48</v>
      </c>
    </row>
    <row r="793" spans="16:32" x14ac:dyDescent="0.25">
      <c r="P793" t="str">
        <v>EMP0790</v>
      </c>
      <c r="Q793" t="str">
        <v>Sharon Nicholson</v>
      </c>
      <c r="R793" t="str">
        <v>IT</v>
      </c>
      <c r="S793" t="str">
        <v>IT Support</v>
      </c>
      <c r="T793" t="str">
        <v>Male</v>
      </c>
      <c r="U793">
        <v>27</v>
      </c>
      <c r="V793">
        <v>45313</v>
      </c>
      <c r="W793" t="str">
        <v>Part-Time</v>
      </c>
      <c r="X793">
        <v>119336.15</v>
      </c>
      <c r="Y793">
        <v>1</v>
      </c>
      <c r="Z793">
        <v>83.2</v>
      </c>
      <c r="AA793">
        <v>1</v>
      </c>
      <c r="AB793">
        <v>41</v>
      </c>
      <c r="AC793">
        <v>57</v>
      </c>
      <c r="AD793" t="str">
        <v>Lisa Hensley</v>
      </c>
      <c r="AE793" t="str">
        <v>Active</v>
      </c>
      <c r="AF793">
        <v>1432033.7999999998</v>
      </c>
    </row>
    <row r="794" spans="16:32" x14ac:dyDescent="0.25">
      <c r="P794" t="str">
        <v>EMP0791</v>
      </c>
      <c r="Q794" t="str">
        <v>Ana Mckinney</v>
      </c>
      <c r="R794" t="str">
        <v>IT</v>
      </c>
      <c r="S794" t="str">
        <v>Data Analyst</v>
      </c>
      <c r="T794" t="str">
        <v>Female</v>
      </c>
      <c r="U794">
        <v>51</v>
      </c>
      <c r="V794">
        <v>45504</v>
      </c>
      <c r="W794" t="str">
        <v>Contract</v>
      </c>
      <c r="X794">
        <v>32309.81</v>
      </c>
      <c r="Y794">
        <v>2</v>
      </c>
      <c r="Z794">
        <v>98.45</v>
      </c>
      <c r="AA794">
        <v>1</v>
      </c>
      <c r="AB794">
        <v>62</v>
      </c>
      <c r="AC794">
        <v>5</v>
      </c>
      <c r="AD794" t="str">
        <v>Monica Herrera</v>
      </c>
      <c r="AE794" t="str">
        <v>Resigned</v>
      </c>
      <c r="AF794">
        <v>387717.72000000003</v>
      </c>
    </row>
    <row r="795" spans="16:32" x14ac:dyDescent="0.25">
      <c r="P795" t="str">
        <v>EMP0792</v>
      </c>
      <c r="Q795" t="str">
        <v>Samuel Suarez</v>
      </c>
      <c r="R795" t="str">
        <v>Marketing</v>
      </c>
      <c r="S795" t="str">
        <v>Content Specialist</v>
      </c>
      <c r="T795" t="str">
        <v>Female</v>
      </c>
      <c r="U795">
        <v>45</v>
      </c>
      <c r="V795">
        <v>44809</v>
      </c>
      <c r="W795" t="str">
        <v>Contract</v>
      </c>
      <c r="X795">
        <v>94296.78</v>
      </c>
      <c r="Y795">
        <v>4</v>
      </c>
      <c r="Z795">
        <v>93.08</v>
      </c>
      <c r="AA795">
        <v>3</v>
      </c>
      <c r="AB795">
        <v>71</v>
      </c>
      <c r="AC795">
        <v>54</v>
      </c>
      <c r="AD795" t="str">
        <v>Michele Williams</v>
      </c>
      <c r="AE795" t="str">
        <v>Active</v>
      </c>
      <c r="AF795">
        <v>1131561.3599999999</v>
      </c>
    </row>
    <row r="796" spans="16:32" x14ac:dyDescent="0.25">
      <c r="P796" t="str">
        <v>EMP0793</v>
      </c>
      <c r="Q796" t="str">
        <v>Shaun Gonzalez</v>
      </c>
      <c r="R796" t="str">
        <v>IT</v>
      </c>
      <c r="S796" t="str">
        <v>Software Engineer</v>
      </c>
      <c r="T796" t="str">
        <v>Male</v>
      </c>
      <c r="U796">
        <v>39</v>
      </c>
      <c r="V796">
        <v>42482</v>
      </c>
      <c r="W796" t="str">
        <v>Full-Time</v>
      </c>
      <c r="X796">
        <v>31138.25</v>
      </c>
      <c r="Y796">
        <v>3</v>
      </c>
      <c r="Z796">
        <v>94.81</v>
      </c>
      <c r="AA796">
        <v>9</v>
      </c>
      <c r="AB796">
        <v>24</v>
      </c>
      <c r="AC796">
        <v>47</v>
      </c>
      <c r="AD796" t="str">
        <v>Daniel Wagner</v>
      </c>
      <c r="AE796" t="str">
        <v>Active</v>
      </c>
      <c r="AF796">
        <v>373659</v>
      </c>
    </row>
    <row r="797" spans="16:32" x14ac:dyDescent="0.25">
      <c r="P797" t="str">
        <v>EMP0794</v>
      </c>
      <c r="Q797" t="str">
        <v>Jesus Hull</v>
      </c>
      <c r="R797" t="str">
        <v>HR</v>
      </c>
      <c r="S797" t="str">
        <v>Recruiter</v>
      </c>
      <c r="T797" t="str">
        <v>Female</v>
      </c>
      <c r="U797">
        <v>57</v>
      </c>
      <c r="V797">
        <v>42661</v>
      </c>
      <c r="W797" t="str">
        <v>Contract</v>
      </c>
      <c r="X797">
        <v>20167.849999999999</v>
      </c>
      <c r="Y797">
        <v>1</v>
      </c>
      <c r="Z797">
        <v>91.8</v>
      </c>
      <c r="AA797">
        <v>9</v>
      </c>
      <c r="AB797">
        <v>24</v>
      </c>
      <c r="AC797">
        <v>54</v>
      </c>
      <c r="AD797" t="str">
        <v>Lisa Hensley</v>
      </c>
      <c r="AE797" t="str">
        <v>Resigned</v>
      </c>
      <c r="AF797">
        <v>242014.19999999998</v>
      </c>
    </row>
    <row r="798" spans="16:32" x14ac:dyDescent="0.25">
      <c r="P798" t="str">
        <v>EMP0795</v>
      </c>
      <c r="Q798" t="str">
        <v>Rodney Wagner</v>
      </c>
      <c r="R798" t="str">
        <v>Operations</v>
      </c>
      <c r="S798" t="str">
        <v>Operations Manager</v>
      </c>
      <c r="T798" t="str">
        <v>Male</v>
      </c>
      <c r="U798">
        <v>54</v>
      </c>
      <c r="V798">
        <v>43540</v>
      </c>
      <c r="W798" t="str">
        <v>Contract</v>
      </c>
      <c r="X798">
        <v>80161.759999999995</v>
      </c>
      <c r="Y798">
        <v>2</v>
      </c>
      <c r="Z798">
        <v>82.13</v>
      </c>
      <c r="AA798">
        <v>6</v>
      </c>
      <c r="AB798">
        <v>1</v>
      </c>
      <c r="AC798">
        <v>34</v>
      </c>
      <c r="AD798" t="str">
        <v>Dylan Miller</v>
      </c>
      <c r="AE798" t="str">
        <v>Active</v>
      </c>
      <c r="AF798">
        <v>961941.11999999988</v>
      </c>
    </row>
    <row r="799" spans="16:32" x14ac:dyDescent="0.25">
      <c r="P799" t="str">
        <v>EMP0796</v>
      </c>
      <c r="Q799" t="str">
        <v>Dana Burns</v>
      </c>
      <c r="R799" t="str">
        <v>Finance</v>
      </c>
      <c r="S799" t="str">
        <v>Accountant</v>
      </c>
      <c r="T799" t="str">
        <v>Female</v>
      </c>
      <c r="U799">
        <v>50</v>
      </c>
      <c r="V799">
        <v>43072</v>
      </c>
      <c r="W799" t="str">
        <v>Full-Time</v>
      </c>
      <c r="X799">
        <v>80146.539999999994</v>
      </c>
      <c r="Y799">
        <v>2</v>
      </c>
      <c r="Z799">
        <v>94.94</v>
      </c>
      <c r="AA799">
        <v>8</v>
      </c>
      <c r="AB799">
        <v>4</v>
      </c>
      <c r="AC799">
        <v>38</v>
      </c>
      <c r="AD799" t="str">
        <v>Monica Herrera</v>
      </c>
      <c r="AE799" t="str">
        <v>Active</v>
      </c>
      <c r="AF799">
        <v>961758.48</v>
      </c>
    </row>
    <row r="800" spans="16:32" x14ac:dyDescent="0.25">
      <c r="P800" t="str">
        <v>EMP0797</v>
      </c>
      <c r="Q800" t="str">
        <v>Seth Matthews</v>
      </c>
      <c r="R800" t="str">
        <v>Marketing</v>
      </c>
      <c r="S800" t="str">
        <v>Brand Manager</v>
      </c>
      <c r="T800" t="str">
        <v>Female</v>
      </c>
      <c r="U800">
        <v>34</v>
      </c>
      <c r="V800">
        <v>45074</v>
      </c>
      <c r="W800" t="str">
        <v>Part-Time</v>
      </c>
      <c r="X800">
        <v>49149.51</v>
      </c>
      <c r="Y800">
        <v>4</v>
      </c>
      <c r="Z800">
        <v>81.180000000000007</v>
      </c>
      <c r="AA800">
        <v>2</v>
      </c>
      <c r="AB800">
        <v>42</v>
      </c>
      <c r="AC800">
        <v>9</v>
      </c>
      <c r="AD800" t="str">
        <v>Abigail Shaffer</v>
      </c>
      <c r="AE800" t="str">
        <v>Active</v>
      </c>
      <c r="AF800">
        <v>589794.12</v>
      </c>
    </row>
    <row r="801" spans="16:32" x14ac:dyDescent="0.25">
      <c r="P801" t="str">
        <v>EMP0798</v>
      </c>
      <c r="Q801" t="str">
        <v>Ryan Green</v>
      </c>
      <c r="R801" t="str">
        <v>IT</v>
      </c>
      <c r="S801" t="str">
        <v>Data Analyst</v>
      </c>
      <c r="T801" t="str">
        <v>Male</v>
      </c>
      <c r="U801">
        <v>32</v>
      </c>
      <c r="V801">
        <v>44476</v>
      </c>
      <c r="W801" t="str">
        <v>Part-Time</v>
      </c>
      <c r="X801">
        <v>92739.55</v>
      </c>
      <c r="Y801">
        <v>3</v>
      </c>
      <c r="Z801">
        <v>99.69</v>
      </c>
      <c r="AA801">
        <v>4</v>
      </c>
      <c r="AB801">
        <v>20</v>
      </c>
      <c r="AC801">
        <v>1</v>
      </c>
      <c r="AD801" t="str">
        <v>Derek Zuniga</v>
      </c>
      <c r="AE801" t="str">
        <v>Active</v>
      </c>
      <c r="AF801">
        <v>1112874.6000000001</v>
      </c>
    </row>
    <row r="802" spans="16:32" x14ac:dyDescent="0.25">
      <c r="P802" t="str">
        <v>EMP0799</v>
      </c>
      <c r="Q802" t="str">
        <v>James Martin</v>
      </c>
      <c r="R802" t="str">
        <v>Customer Support</v>
      </c>
      <c r="S802" t="str">
        <v>Team Lead</v>
      </c>
      <c r="T802" t="str">
        <v>Female</v>
      </c>
      <c r="U802">
        <v>46</v>
      </c>
      <c r="V802">
        <v>42864</v>
      </c>
      <c r="W802" t="str">
        <v>Part-Time</v>
      </c>
      <c r="X802">
        <v>27182.32</v>
      </c>
      <c r="Y802">
        <v>3</v>
      </c>
      <c r="Z802">
        <v>85.65</v>
      </c>
      <c r="AA802">
        <v>8</v>
      </c>
      <c r="AB802">
        <v>24</v>
      </c>
      <c r="AC802">
        <v>44</v>
      </c>
      <c r="AD802" t="str">
        <v>Derek Zuniga</v>
      </c>
      <c r="AE802" t="str">
        <v>Active</v>
      </c>
      <c r="AF802">
        <v>326187.83999999997</v>
      </c>
    </row>
    <row r="803" spans="16:32" x14ac:dyDescent="0.25">
      <c r="P803" t="str">
        <v>EMP0800</v>
      </c>
      <c r="Q803" t="str">
        <v>Cindy Walker</v>
      </c>
      <c r="R803" t="str">
        <v>HR</v>
      </c>
      <c r="S803" t="str">
        <v>Recruiter</v>
      </c>
      <c r="T803" t="str">
        <v>Male</v>
      </c>
      <c r="U803">
        <v>40</v>
      </c>
      <c r="V803">
        <v>45858</v>
      </c>
      <c r="W803" t="str">
        <v>Part-Time</v>
      </c>
      <c r="X803">
        <v>85463.4</v>
      </c>
      <c r="Y803">
        <v>5</v>
      </c>
      <c r="Z803">
        <v>82.75</v>
      </c>
      <c r="AA803">
        <v>0</v>
      </c>
      <c r="AB803">
        <v>61</v>
      </c>
      <c r="AC803">
        <v>18</v>
      </c>
      <c r="AD803" t="str">
        <v>Cristian Santos</v>
      </c>
      <c r="AE803" t="str">
        <v>Active</v>
      </c>
      <c r="AF803">
        <v>1025560.7999999999</v>
      </c>
    </row>
    <row r="804" spans="16:32" x14ac:dyDescent="0.25">
      <c r="P804" t="str">
        <v>EMP0801</v>
      </c>
      <c r="Q804" t="str">
        <v>Debra Ortiz</v>
      </c>
      <c r="R804" t="str">
        <v>IT</v>
      </c>
      <c r="S804" t="str">
        <v>Data Analyst</v>
      </c>
      <c r="T804" t="str">
        <v>Male</v>
      </c>
      <c r="U804">
        <v>44</v>
      </c>
      <c r="V804">
        <v>43701</v>
      </c>
      <c r="W804" t="str">
        <v>Contract</v>
      </c>
      <c r="X804">
        <v>105614.13</v>
      </c>
      <c r="Y804">
        <v>1</v>
      </c>
      <c r="Z804">
        <v>93.57</v>
      </c>
      <c r="AA804">
        <v>6</v>
      </c>
      <c r="AB804">
        <v>18</v>
      </c>
      <c r="AC804">
        <v>24</v>
      </c>
      <c r="AD804" t="str">
        <v>Michele Williams</v>
      </c>
      <c r="AE804" t="str">
        <v>Active</v>
      </c>
      <c r="AF804">
        <v>1267369.56</v>
      </c>
    </row>
    <row r="805" spans="16:32" x14ac:dyDescent="0.25">
      <c r="P805" t="str">
        <v>EMP0802</v>
      </c>
      <c r="Q805" t="str">
        <v>Tracy Fleming</v>
      </c>
      <c r="R805" t="str">
        <v>HR</v>
      </c>
      <c r="S805" t="str">
        <v>HR Officer</v>
      </c>
      <c r="T805" t="str">
        <v>Male</v>
      </c>
      <c r="U805">
        <v>43</v>
      </c>
      <c r="V805">
        <v>42427</v>
      </c>
      <c r="W805" t="str">
        <v>Part-Time</v>
      </c>
      <c r="X805">
        <v>37963.29</v>
      </c>
      <c r="Y805">
        <v>1</v>
      </c>
      <c r="Z805">
        <v>82.35</v>
      </c>
      <c r="AA805">
        <v>9</v>
      </c>
      <c r="AB805">
        <v>65</v>
      </c>
      <c r="AC805">
        <v>41</v>
      </c>
      <c r="AD805" t="str">
        <v>Monica Herrera</v>
      </c>
      <c r="AE805" t="str">
        <v>Active</v>
      </c>
      <c r="AF805">
        <v>455559.48</v>
      </c>
    </row>
    <row r="806" spans="16:32" x14ac:dyDescent="0.25">
      <c r="P806" t="str">
        <v>EMP0803</v>
      </c>
      <c r="Q806" t="str">
        <v>Maria Burke</v>
      </c>
      <c r="R806" t="str">
        <v>HR</v>
      </c>
      <c r="S806" t="str">
        <v>HR Manager</v>
      </c>
      <c r="T806" t="str">
        <v>Female</v>
      </c>
      <c r="U806">
        <v>36</v>
      </c>
      <c r="V806">
        <v>45248</v>
      </c>
      <c r="W806" t="str">
        <v>Full-Time</v>
      </c>
      <c r="X806">
        <v>31880.25</v>
      </c>
      <c r="Y806">
        <v>4</v>
      </c>
      <c r="Z806">
        <v>89.77</v>
      </c>
      <c r="AA806">
        <v>2</v>
      </c>
      <c r="AB806">
        <v>76</v>
      </c>
      <c r="AC806">
        <v>11</v>
      </c>
      <c r="AD806" t="str">
        <v>Lisa Hensley</v>
      </c>
      <c r="AE806" t="str">
        <v>Active</v>
      </c>
      <c r="AF806">
        <v>382563</v>
      </c>
    </row>
    <row r="807" spans="16:32" x14ac:dyDescent="0.25">
      <c r="P807" t="str">
        <v>EMP0804</v>
      </c>
      <c r="Q807" t="str">
        <v>Lee Hahn</v>
      </c>
      <c r="R807" t="str">
        <v>Marketing</v>
      </c>
      <c r="S807" t="str">
        <v>Brand Manager</v>
      </c>
      <c r="T807" t="str">
        <v>Female</v>
      </c>
      <c r="U807">
        <v>38</v>
      </c>
      <c r="V807">
        <v>42355</v>
      </c>
      <c r="W807" t="str">
        <v>Contract</v>
      </c>
      <c r="X807">
        <v>85319.55</v>
      </c>
      <c r="Y807">
        <v>3</v>
      </c>
      <c r="Z807">
        <v>80.23</v>
      </c>
      <c r="AA807">
        <v>10</v>
      </c>
      <c r="AB807">
        <v>14</v>
      </c>
      <c r="AC807">
        <v>5</v>
      </c>
      <c r="AD807" t="str">
        <v>Daniel Wagner</v>
      </c>
      <c r="AE807" t="str">
        <v>Active</v>
      </c>
      <c r="AF807">
        <v>1023834.6000000001</v>
      </c>
    </row>
    <row r="808" spans="16:32" x14ac:dyDescent="0.25">
      <c r="P808" t="str">
        <v>EMP0805</v>
      </c>
      <c r="Q808" t="str">
        <v>James Bailey</v>
      </c>
      <c r="R808" t="str">
        <v>IT</v>
      </c>
      <c r="S808" t="str">
        <v>IT Support</v>
      </c>
      <c r="T808" t="str">
        <v>Female</v>
      </c>
      <c r="U808">
        <v>38</v>
      </c>
      <c r="V808">
        <v>44014</v>
      </c>
      <c r="W808" t="str">
        <v>Contract</v>
      </c>
      <c r="X808">
        <v>94535.93</v>
      </c>
      <c r="Y808">
        <v>5</v>
      </c>
      <c r="Z808">
        <v>83.62</v>
      </c>
      <c r="AA808">
        <v>5</v>
      </c>
      <c r="AB808">
        <v>61</v>
      </c>
      <c r="AC808">
        <v>41</v>
      </c>
      <c r="AD808" t="str">
        <v>Michele Williams</v>
      </c>
      <c r="AE808" t="str">
        <v>Active</v>
      </c>
      <c r="AF808">
        <v>1134431.1599999999</v>
      </c>
    </row>
    <row r="809" spans="16:32" x14ac:dyDescent="0.25">
      <c r="P809" t="str">
        <v>EMP0806</v>
      </c>
      <c r="Q809" t="str">
        <v>Eric Meyer</v>
      </c>
      <c r="R809" t="str">
        <v>HR</v>
      </c>
      <c r="S809" t="str">
        <v>HR Officer</v>
      </c>
      <c r="T809" t="str">
        <v>Female</v>
      </c>
      <c r="U809">
        <v>25</v>
      </c>
      <c r="V809">
        <v>43868</v>
      </c>
      <c r="W809" t="str">
        <v>Contract</v>
      </c>
      <c r="X809">
        <v>110888.05</v>
      </c>
      <c r="Y809">
        <v>5</v>
      </c>
      <c r="Z809">
        <v>83.7</v>
      </c>
      <c r="AA809">
        <v>5</v>
      </c>
      <c r="AB809">
        <v>2</v>
      </c>
      <c r="AC809">
        <v>25</v>
      </c>
      <c r="AD809" t="str">
        <v>Derek Zuniga</v>
      </c>
      <c r="AE809" t="str">
        <v>Active</v>
      </c>
      <c r="AF809">
        <v>1330656.6000000001</v>
      </c>
    </row>
    <row r="810" spans="16:32" x14ac:dyDescent="0.25">
      <c r="P810" t="str">
        <v>EMP0807</v>
      </c>
      <c r="Q810" t="str">
        <v>Adrienne Key</v>
      </c>
      <c r="R810" t="str">
        <v>R&amp;D</v>
      </c>
      <c r="S810" t="str">
        <v>Researcher</v>
      </c>
      <c r="T810" t="str">
        <v>Male</v>
      </c>
      <c r="U810">
        <v>34</v>
      </c>
      <c r="V810">
        <v>44770</v>
      </c>
      <c r="W810" t="str">
        <v>Contract</v>
      </c>
      <c r="X810">
        <v>109760.23</v>
      </c>
      <c r="Y810">
        <v>2</v>
      </c>
      <c r="Z810">
        <v>97.24</v>
      </c>
      <c r="AA810">
        <v>3</v>
      </c>
      <c r="AB810">
        <v>23</v>
      </c>
      <c r="AC810">
        <v>0</v>
      </c>
      <c r="AD810" t="str">
        <v>Derek Zuniga</v>
      </c>
      <c r="AE810" t="str">
        <v>Active</v>
      </c>
      <c r="AF810">
        <v>1317122.76</v>
      </c>
    </row>
    <row r="811" spans="16:32" x14ac:dyDescent="0.25">
      <c r="P811" t="str">
        <v>EMP0808</v>
      </c>
      <c r="Q811" t="str">
        <v>Linda Campbell</v>
      </c>
      <c r="R811" t="str">
        <v>Operations</v>
      </c>
      <c r="S811" t="str">
        <v>Operations Associate</v>
      </c>
      <c r="T811" t="str">
        <v>Male</v>
      </c>
      <c r="U811">
        <v>29</v>
      </c>
      <c r="V811">
        <v>44628</v>
      </c>
      <c r="W811" t="str">
        <v>Contract</v>
      </c>
      <c r="X811">
        <v>40622.99</v>
      </c>
      <c r="Y811">
        <v>2</v>
      </c>
      <c r="Z811">
        <v>81.760000000000005</v>
      </c>
      <c r="AA811">
        <v>3</v>
      </c>
      <c r="AB811">
        <v>32</v>
      </c>
      <c r="AC811">
        <v>54</v>
      </c>
      <c r="AD811" t="str">
        <v>Noah Rhodes</v>
      </c>
      <c r="AE811" t="str">
        <v>Active</v>
      </c>
      <c r="AF811">
        <v>487475.88</v>
      </c>
    </row>
    <row r="812" spans="16:32" x14ac:dyDescent="0.25">
      <c r="P812" t="str">
        <v>EMP0809</v>
      </c>
      <c r="Q812" t="str">
        <v>Mr. Donald Nguyen</v>
      </c>
      <c r="R812" t="str">
        <v>Marketing</v>
      </c>
      <c r="S812" t="str">
        <v>Content Specialist</v>
      </c>
      <c r="T812" t="str">
        <v>Female</v>
      </c>
      <c r="U812">
        <v>44</v>
      </c>
      <c r="V812">
        <v>42974</v>
      </c>
      <c r="W812" t="str">
        <v>Contract</v>
      </c>
      <c r="X812">
        <v>37160.32</v>
      </c>
      <c r="Y812">
        <v>1</v>
      </c>
      <c r="Z812">
        <v>84.97</v>
      </c>
      <c r="AA812">
        <v>8</v>
      </c>
      <c r="AB812">
        <v>5</v>
      </c>
      <c r="AC812">
        <v>60</v>
      </c>
      <c r="AD812" t="str">
        <v>Holly Wood</v>
      </c>
      <c r="AE812" t="str">
        <v>Resigned</v>
      </c>
      <c r="AF812">
        <v>445923.83999999997</v>
      </c>
    </row>
    <row r="813" spans="16:32" x14ac:dyDescent="0.25">
      <c r="P813" t="str">
        <v>EMP0810</v>
      </c>
      <c r="Q813" t="str">
        <v>Michael Stafford</v>
      </c>
      <c r="R813" t="str">
        <v>Finance</v>
      </c>
      <c r="S813" t="str">
        <v>Finance Manager</v>
      </c>
      <c r="T813" t="str">
        <v>Female</v>
      </c>
      <c r="U813">
        <v>29</v>
      </c>
      <c r="V813">
        <v>44023</v>
      </c>
      <c r="W813" t="str">
        <v>Contract</v>
      </c>
      <c r="X813">
        <v>69044.28</v>
      </c>
      <c r="Y813">
        <v>3</v>
      </c>
      <c r="Z813">
        <v>90.45</v>
      </c>
      <c r="AA813">
        <v>5</v>
      </c>
      <c r="AB813">
        <v>45</v>
      </c>
      <c r="AC813">
        <v>38</v>
      </c>
      <c r="AD813" t="str">
        <v>Derek Zuniga</v>
      </c>
      <c r="AE813" t="str">
        <v>Active</v>
      </c>
      <c r="AF813">
        <v>828531.36</v>
      </c>
    </row>
    <row r="814" spans="16:32" x14ac:dyDescent="0.25">
      <c r="P814" t="str">
        <v>EMP0811</v>
      </c>
      <c r="Q814" t="str">
        <v>Joseph Allen</v>
      </c>
      <c r="R814" t="str">
        <v>Marketing</v>
      </c>
      <c r="S814" t="str">
        <v>Content Specialist</v>
      </c>
      <c r="T814" t="str">
        <v>Male</v>
      </c>
      <c r="U814">
        <v>36</v>
      </c>
      <c r="V814">
        <v>44159</v>
      </c>
      <c r="W814" t="str">
        <v>Full-Time</v>
      </c>
      <c r="X814">
        <v>38807.370000000003</v>
      </c>
      <c r="Y814">
        <v>3</v>
      </c>
      <c r="Z814">
        <v>97.12</v>
      </c>
      <c r="AA814">
        <v>5</v>
      </c>
      <c r="AB814">
        <v>27</v>
      </c>
      <c r="AC814">
        <v>8</v>
      </c>
      <c r="AD814" t="str">
        <v>Carla Gray</v>
      </c>
      <c r="AE814" t="str">
        <v>Active</v>
      </c>
      <c r="AF814">
        <v>465688.44000000006</v>
      </c>
    </row>
    <row r="815" spans="16:32" x14ac:dyDescent="0.25">
      <c r="P815" t="str">
        <v>EMP0812</v>
      </c>
      <c r="Q815" t="str">
        <v>Rebekah Greene</v>
      </c>
      <c r="R815" t="str">
        <v>Operations</v>
      </c>
      <c r="S815" t="str">
        <v>Operations Manager</v>
      </c>
      <c r="T815" t="str">
        <v>Male</v>
      </c>
      <c r="U815">
        <v>60</v>
      </c>
      <c r="V815">
        <v>42655</v>
      </c>
      <c r="W815" t="str">
        <v>Part-Time</v>
      </c>
      <c r="X815">
        <v>27435.97</v>
      </c>
      <c r="Y815">
        <v>3</v>
      </c>
      <c r="Z815">
        <v>85.21</v>
      </c>
      <c r="AA815">
        <v>9</v>
      </c>
      <c r="AB815">
        <v>20</v>
      </c>
      <c r="AC815">
        <v>25</v>
      </c>
      <c r="AD815" t="str">
        <v>Dylan Miller</v>
      </c>
      <c r="AE815" t="str">
        <v>Active</v>
      </c>
      <c r="AF815">
        <v>329231.64</v>
      </c>
    </row>
    <row r="816" spans="16:32" x14ac:dyDescent="0.25">
      <c r="P816" t="str">
        <v>EMP0813</v>
      </c>
      <c r="Q816" t="str">
        <v>Mikayla Rios</v>
      </c>
      <c r="R816" t="str">
        <v>Finance</v>
      </c>
      <c r="S816" t="str">
        <v>Finance Manager</v>
      </c>
      <c r="T816" t="str">
        <v>Female</v>
      </c>
      <c r="U816">
        <v>30</v>
      </c>
      <c r="V816">
        <v>44288</v>
      </c>
      <c r="W816" t="str">
        <v>Contract</v>
      </c>
      <c r="X816">
        <v>40376.29</v>
      </c>
      <c r="Y816">
        <v>3</v>
      </c>
      <c r="Z816">
        <v>99.91</v>
      </c>
      <c r="AA816">
        <v>4</v>
      </c>
      <c r="AB816">
        <v>24</v>
      </c>
      <c r="AC816">
        <v>45</v>
      </c>
      <c r="AD816" t="str">
        <v>Jamie Arnold</v>
      </c>
      <c r="AE816" t="str">
        <v>Active</v>
      </c>
      <c r="AF816">
        <v>484515.48</v>
      </c>
    </row>
    <row r="817" spans="16:32" x14ac:dyDescent="0.25">
      <c r="P817" t="str">
        <v>EMP0814</v>
      </c>
      <c r="Q817" t="str">
        <v>Jason Price</v>
      </c>
      <c r="R817" t="str">
        <v>HR</v>
      </c>
      <c r="S817" t="str">
        <v>Recruiter</v>
      </c>
      <c r="T817" t="str">
        <v>Male</v>
      </c>
      <c r="U817">
        <v>41</v>
      </c>
      <c r="V817">
        <v>44139</v>
      </c>
      <c r="W817" t="str">
        <v>Part-Time</v>
      </c>
      <c r="X817">
        <v>57894.19</v>
      </c>
      <c r="Y817">
        <v>5</v>
      </c>
      <c r="Z817">
        <v>84.95</v>
      </c>
      <c r="AA817">
        <v>5</v>
      </c>
      <c r="AB817">
        <v>34</v>
      </c>
      <c r="AC817">
        <v>7</v>
      </c>
      <c r="AD817" t="str">
        <v>Derek Zuniga</v>
      </c>
      <c r="AE817" t="str">
        <v>Active</v>
      </c>
      <c r="AF817">
        <v>694730.28</v>
      </c>
    </row>
    <row r="818" spans="16:32" x14ac:dyDescent="0.25">
      <c r="P818" t="str">
        <v>EMP0815</v>
      </c>
      <c r="Q818" t="str">
        <v>Wendy Cabrera</v>
      </c>
      <c r="R818" t="str">
        <v>Customer Support</v>
      </c>
      <c r="S818" t="str">
        <v>Support Agent</v>
      </c>
      <c r="T818" t="str">
        <v>Female</v>
      </c>
      <c r="U818">
        <v>26</v>
      </c>
      <c r="V818">
        <v>42522</v>
      </c>
      <c r="W818" t="str">
        <v>Part-Time</v>
      </c>
      <c r="X818">
        <v>110924.54</v>
      </c>
      <c r="Y818">
        <v>3</v>
      </c>
      <c r="Z818">
        <v>82.93</v>
      </c>
      <c r="AA818">
        <v>9</v>
      </c>
      <c r="AB818">
        <v>28</v>
      </c>
      <c r="AC818">
        <v>17</v>
      </c>
      <c r="AD818" t="str">
        <v>Allison Hill</v>
      </c>
      <c r="AE818" t="str">
        <v>Active</v>
      </c>
      <c r="AF818">
        <v>1331094.48</v>
      </c>
    </row>
    <row r="819" spans="16:32" x14ac:dyDescent="0.25">
      <c r="P819" t="str">
        <v>EMP0816</v>
      </c>
      <c r="Q819" t="str">
        <v>Courtney Nichols</v>
      </c>
      <c r="R819" t="str">
        <v>IT</v>
      </c>
      <c r="S819" t="str">
        <v>Software Engineer</v>
      </c>
      <c r="T819" t="str">
        <v>Male</v>
      </c>
      <c r="U819">
        <v>28</v>
      </c>
      <c r="V819">
        <v>44435</v>
      </c>
      <c r="W819" t="str">
        <v>Full-Time</v>
      </c>
      <c r="X819">
        <v>72647.570000000007</v>
      </c>
      <c r="Y819">
        <v>3</v>
      </c>
      <c r="Z819">
        <v>91.78</v>
      </c>
      <c r="AA819">
        <v>4</v>
      </c>
      <c r="AB819">
        <v>62</v>
      </c>
      <c r="AC819">
        <v>6</v>
      </c>
      <c r="AD819" t="str">
        <v>Holly Wood</v>
      </c>
      <c r="AE819" t="str">
        <v>Active</v>
      </c>
      <c r="AF819">
        <v>871770.84000000008</v>
      </c>
    </row>
    <row r="820" spans="16:32" x14ac:dyDescent="0.25">
      <c r="P820" t="str">
        <v>EMP0817</v>
      </c>
      <c r="Q820" t="str">
        <v>Megan Romero</v>
      </c>
      <c r="R820" t="str">
        <v>Finance</v>
      </c>
      <c r="S820" t="str">
        <v>Finance Manager</v>
      </c>
      <c r="T820" t="str">
        <v>Female</v>
      </c>
      <c r="U820">
        <v>59</v>
      </c>
      <c r="V820">
        <v>45259</v>
      </c>
      <c r="W820" t="str">
        <v>Full-Time</v>
      </c>
      <c r="X820">
        <v>109657.02</v>
      </c>
      <c r="Y820">
        <v>2</v>
      </c>
      <c r="Z820">
        <v>86.36</v>
      </c>
      <c r="AA820">
        <v>2</v>
      </c>
      <c r="AB820">
        <v>49</v>
      </c>
      <c r="AC820">
        <v>11</v>
      </c>
      <c r="AD820" t="str">
        <v>Jamie Arnold</v>
      </c>
      <c r="AE820" t="str">
        <v>Active</v>
      </c>
      <c r="AF820">
        <v>1315884.24</v>
      </c>
    </row>
    <row r="821" spans="16:32" x14ac:dyDescent="0.25">
      <c r="P821" t="str">
        <v>EMP0818</v>
      </c>
      <c r="Q821" t="str">
        <v>Sherri White</v>
      </c>
      <c r="R821" t="str">
        <v>Customer Support</v>
      </c>
      <c r="S821" t="str">
        <v>Team Lead</v>
      </c>
      <c r="T821" t="str">
        <v>Male</v>
      </c>
      <c r="U821">
        <v>37</v>
      </c>
      <c r="V821">
        <v>43359</v>
      </c>
      <c r="W821" t="str">
        <v>Full-Time</v>
      </c>
      <c r="X821">
        <v>88665.83</v>
      </c>
      <c r="Y821">
        <v>2</v>
      </c>
      <c r="Z821">
        <v>93.15</v>
      </c>
      <c r="AA821">
        <v>7</v>
      </c>
      <c r="AB821">
        <v>18</v>
      </c>
      <c r="AC821">
        <v>24</v>
      </c>
      <c r="AD821" t="str">
        <v>Lisa Jackson</v>
      </c>
      <c r="AE821" t="str">
        <v>Active</v>
      </c>
      <c r="AF821">
        <v>1063989.96</v>
      </c>
    </row>
    <row r="822" spans="16:32" x14ac:dyDescent="0.25">
      <c r="P822" t="str">
        <v>EMP0819</v>
      </c>
      <c r="Q822" t="str">
        <v>Patrick Hardy</v>
      </c>
      <c r="R822" t="str">
        <v>Sales</v>
      </c>
      <c r="S822" t="str">
        <v>Account Executive</v>
      </c>
      <c r="T822" t="str">
        <v>Female</v>
      </c>
      <c r="U822">
        <v>36</v>
      </c>
      <c r="V822">
        <v>42909</v>
      </c>
      <c r="W822" t="str">
        <v>Contract</v>
      </c>
      <c r="X822">
        <v>80870.3</v>
      </c>
      <c r="Y822">
        <v>4</v>
      </c>
      <c r="Z822">
        <v>83.66</v>
      </c>
      <c r="AA822">
        <v>8</v>
      </c>
      <c r="AB822">
        <v>45</v>
      </c>
      <c r="AC822">
        <v>51</v>
      </c>
      <c r="AD822" t="str">
        <v>Dylan Miller</v>
      </c>
      <c r="AE822" t="str">
        <v>Active</v>
      </c>
      <c r="AF822">
        <v>970443.60000000009</v>
      </c>
    </row>
    <row r="823" spans="16:32" x14ac:dyDescent="0.25">
      <c r="P823" t="str">
        <v>EMP0820</v>
      </c>
      <c r="Q823" t="str">
        <v>Catherine Frazier</v>
      </c>
      <c r="R823" t="str">
        <v>Finance</v>
      </c>
      <c r="S823" t="str">
        <v>Financial Analyst</v>
      </c>
      <c r="T823" t="str">
        <v>Male</v>
      </c>
      <c r="U823">
        <v>40</v>
      </c>
      <c r="V823">
        <v>45776</v>
      </c>
      <c r="W823" t="str">
        <v>Contract</v>
      </c>
      <c r="X823">
        <v>105792.15</v>
      </c>
      <c r="Y823">
        <v>3</v>
      </c>
      <c r="Z823">
        <v>88.13</v>
      </c>
      <c r="AA823">
        <v>0</v>
      </c>
      <c r="AB823">
        <v>40</v>
      </c>
      <c r="AC823">
        <v>54</v>
      </c>
      <c r="AD823" t="str">
        <v>Angie Henderson</v>
      </c>
      <c r="AE823" t="str">
        <v>Active</v>
      </c>
      <c r="AF823">
        <v>1269505.7999999998</v>
      </c>
    </row>
    <row r="824" spans="16:32" x14ac:dyDescent="0.25">
      <c r="P824" t="str">
        <v>EMP0821</v>
      </c>
      <c r="Q824" t="str">
        <v>Courtney Walker</v>
      </c>
      <c r="R824" t="str">
        <v>Marketing</v>
      </c>
      <c r="S824" t="str">
        <v>Content Specialist</v>
      </c>
      <c r="T824" t="str">
        <v>Male</v>
      </c>
      <c r="U824">
        <v>26</v>
      </c>
      <c r="V824">
        <v>44388</v>
      </c>
      <c r="W824" t="str">
        <v>Full-Time</v>
      </c>
      <c r="X824">
        <v>77531.67</v>
      </c>
      <c r="Y824">
        <v>1</v>
      </c>
      <c r="Z824">
        <v>94.87</v>
      </c>
      <c r="AA824">
        <v>4</v>
      </c>
      <c r="AB824">
        <v>70</v>
      </c>
      <c r="AC824">
        <v>59</v>
      </c>
      <c r="AD824" t="str">
        <v>Brian Ramirez</v>
      </c>
      <c r="AE824" t="str">
        <v>Active</v>
      </c>
      <c r="AF824">
        <v>930380.04</v>
      </c>
    </row>
    <row r="825" spans="16:32" x14ac:dyDescent="0.25">
      <c r="P825" t="str">
        <v>EMP0822</v>
      </c>
      <c r="Q825" t="str">
        <v>Stephen Watson</v>
      </c>
      <c r="R825" t="str">
        <v>Sales</v>
      </c>
      <c r="S825" t="str">
        <v>Sales Manager</v>
      </c>
      <c r="T825" t="str">
        <v>Male</v>
      </c>
      <c r="U825">
        <v>51</v>
      </c>
      <c r="V825">
        <v>44211</v>
      </c>
      <c r="W825" t="str">
        <v>Part-Time</v>
      </c>
      <c r="X825">
        <v>71501.149999999994</v>
      </c>
      <c r="Y825">
        <v>5</v>
      </c>
      <c r="Z825">
        <v>93.96</v>
      </c>
      <c r="AA825">
        <v>4</v>
      </c>
      <c r="AB825">
        <v>51</v>
      </c>
      <c r="AC825">
        <v>0</v>
      </c>
      <c r="AD825" t="str">
        <v>Carla Gray</v>
      </c>
      <c r="AE825" t="str">
        <v>Active</v>
      </c>
      <c r="AF825">
        <v>858013.79999999993</v>
      </c>
    </row>
    <row r="826" spans="16:32" x14ac:dyDescent="0.25">
      <c r="P826" t="str">
        <v>EMP0823</v>
      </c>
      <c r="Q826" t="str">
        <v>Samuel Ruiz</v>
      </c>
      <c r="R826" t="str">
        <v>Sales</v>
      </c>
      <c r="S826" t="str">
        <v>Account Executive</v>
      </c>
      <c r="T826" t="str">
        <v>Female</v>
      </c>
      <c r="U826">
        <v>55</v>
      </c>
      <c r="V826">
        <v>45941</v>
      </c>
      <c r="W826" t="str">
        <v>Contract</v>
      </c>
      <c r="X826">
        <v>54506.06</v>
      </c>
      <c r="Y826">
        <v>5</v>
      </c>
      <c r="Z826">
        <v>93.68</v>
      </c>
      <c r="AA826">
        <v>0</v>
      </c>
      <c r="AB826">
        <v>5</v>
      </c>
      <c r="AC826">
        <v>38</v>
      </c>
      <c r="AD826" t="str">
        <v>Dylan Miller</v>
      </c>
      <c r="AE826" t="str">
        <v>Resigned</v>
      </c>
      <c r="AF826">
        <v>654072.72</v>
      </c>
    </row>
    <row r="827" spans="16:32" x14ac:dyDescent="0.25">
      <c r="P827" t="str">
        <v>EMP0824</v>
      </c>
      <c r="Q827" t="str">
        <v>Lisa Kennedy</v>
      </c>
      <c r="R827" t="str">
        <v>IT</v>
      </c>
      <c r="S827" t="str">
        <v>IT Support</v>
      </c>
      <c r="T827" t="str">
        <v>Male</v>
      </c>
      <c r="U827">
        <v>44</v>
      </c>
      <c r="V827">
        <v>45929</v>
      </c>
      <c r="W827" t="str">
        <v>Full-Time</v>
      </c>
      <c r="X827">
        <v>71368.45</v>
      </c>
      <c r="Y827">
        <v>1</v>
      </c>
      <c r="Z827">
        <v>88.45</v>
      </c>
      <c r="AA827">
        <v>0</v>
      </c>
      <c r="AB827">
        <v>48</v>
      </c>
      <c r="AC827">
        <v>10</v>
      </c>
      <c r="AD827" t="str">
        <v>Jamie Arnold</v>
      </c>
      <c r="AE827" t="str">
        <v>Resigned</v>
      </c>
      <c r="AF827">
        <v>856421.39999999991</v>
      </c>
    </row>
    <row r="828" spans="16:32" x14ac:dyDescent="0.25">
      <c r="P828" t="str">
        <v>EMP0825</v>
      </c>
      <c r="Q828" t="str">
        <v>Sharon James</v>
      </c>
      <c r="R828" t="str">
        <v>Operations</v>
      </c>
      <c r="S828" t="str">
        <v>Operations Associate</v>
      </c>
      <c r="T828" t="str">
        <v>Male</v>
      </c>
      <c r="U828">
        <v>39</v>
      </c>
      <c r="V828">
        <v>43511</v>
      </c>
      <c r="W828" t="str">
        <v>Part-Time</v>
      </c>
      <c r="X828">
        <v>68312.47</v>
      </c>
      <c r="Y828">
        <v>3</v>
      </c>
      <c r="Z828">
        <v>84.26</v>
      </c>
      <c r="AA828">
        <v>6</v>
      </c>
      <c r="AB828">
        <v>80</v>
      </c>
      <c r="AC828">
        <v>36</v>
      </c>
      <c r="AD828" t="str">
        <v>Lisa Hensley</v>
      </c>
      <c r="AE828" t="str">
        <v>Active</v>
      </c>
      <c r="AF828">
        <v>819749.64</v>
      </c>
    </row>
    <row r="829" spans="16:32" x14ac:dyDescent="0.25">
      <c r="P829" t="str">
        <v>EMP0826</v>
      </c>
      <c r="Q829" t="str">
        <v>Seth Hernandez</v>
      </c>
      <c r="R829" t="str">
        <v>Finance</v>
      </c>
      <c r="S829" t="str">
        <v>Finance Manager</v>
      </c>
      <c r="T829" t="str">
        <v>Male</v>
      </c>
      <c r="U829">
        <v>50</v>
      </c>
      <c r="V829">
        <v>44156</v>
      </c>
      <c r="W829" t="str">
        <v>Contract</v>
      </c>
      <c r="X829">
        <v>104835.18</v>
      </c>
      <c r="Y829">
        <v>1</v>
      </c>
      <c r="Z829">
        <v>87.11</v>
      </c>
      <c r="AA829">
        <v>5</v>
      </c>
      <c r="AB829">
        <v>78</v>
      </c>
      <c r="AC829">
        <v>29</v>
      </c>
      <c r="AD829" t="str">
        <v>Monica Herrera</v>
      </c>
      <c r="AE829" t="str">
        <v>Active</v>
      </c>
      <c r="AF829">
        <v>1258022.1599999999</v>
      </c>
    </row>
    <row r="830" spans="16:32" x14ac:dyDescent="0.25">
      <c r="P830" t="str">
        <v>EMP0827</v>
      </c>
      <c r="Q830" t="str">
        <v>William Orozco</v>
      </c>
      <c r="R830" t="str">
        <v>Marketing</v>
      </c>
      <c r="S830" t="str">
        <v>Marketing Analyst</v>
      </c>
      <c r="T830" t="str">
        <v>Female</v>
      </c>
      <c r="U830">
        <v>32</v>
      </c>
      <c r="V830">
        <v>43547</v>
      </c>
      <c r="W830" t="str">
        <v>Part-Time</v>
      </c>
      <c r="X830">
        <v>55453.23</v>
      </c>
      <c r="Y830">
        <v>1</v>
      </c>
      <c r="Z830">
        <v>88.62</v>
      </c>
      <c r="AA830">
        <v>6</v>
      </c>
      <c r="AB830">
        <v>25</v>
      </c>
      <c r="AC830">
        <v>5</v>
      </c>
      <c r="AD830" t="str">
        <v>Holly Wood</v>
      </c>
      <c r="AE830" t="str">
        <v>Active</v>
      </c>
      <c r="AF830">
        <v>665438.76</v>
      </c>
    </row>
    <row r="831" spans="16:32" x14ac:dyDescent="0.25">
      <c r="P831" t="str">
        <v>EMP0828</v>
      </c>
      <c r="Q831" t="str">
        <v>Scott White</v>
      </c>
      <c r="R831" t="str">
        <v>HR</v>
      </c>
      <c r="S831" t="str">
        <v>Recruiter</v>
      </c>
      <c r="T831" t="str">
        <v>Male</v>
      </c>
      <c r="U831">
        <v>52</v>
      </c>
      <c r="V831">
        <v>45146</v>
      </c>
      <c r="W831" t="str">
        <v>Full-Time</v>
      </c>
      <c r="X831">
        <v>35563.040000000001</v>
      </c>
      <c r="Y831">
        <v>3</v>
      </c>
      <c r="Z831">
        <v>84.52</v>
      </c>
      <c r="AA831">
        <v>2</v>
      </c>
      <c r="AB831">
        <v>50</v>
      </c>
      <c r="AC831">
        <v>23</v>
      </c>
      <c r="AD831" t="str">
        <v>Ryan Munoz</v>
      </c>
      <c r="AE831" t="str">
        <v>Active</v>
      </c>
      <c r="AF831">
        <v>426756.48</v>
      </c>
    </row>
    <row r="832" spans="16:32" x14ac:dyDescent="0.25">
      <c r="P832" t="str">
        <v>EMP0829</v>
      </c>
      <c r="Q832" t="str">
        <v>Mr. Christopher Walters</v>
      </c>
      <c r="R832" t="str">
        <v>HR</v>
      </c>
      <c r="S832" t="str">
        <v>HR Manager</v>
      </c>
      <c r="T832" t="str">
        <v>Female</v>
      </c>
      <c r="U832">
        <v>27</v>
      </c>
      <c r="V832">
        <v>42805</v>
      </c>
      <c r="W832" t="str">
        <v>Part-Time</v>
      </c>
      <c r="X832">
        <v>85627.96</v>
      </c>
      <c r="Y832">
        <v>4</v>
      </c>
      <c r="Z832">
        <v>83.24</v>
      </c>
      <c r="AA832">
        <v>8</v>
      </c>
      <c r="AB832">
        <v>45</v>
      </c>
      <c r="AC832">
        <v>47</v>
      </c>
      <c r="AD832" t="str">
        <v>Michele Williams</v>
      </c>
      <c r="AE832" t="str">
        <v>Active</v>
      </c>
      <c r="AF832">
        <v>1027535.52</v>
      </c>
    </row>
    <row r="833" spans="16:32" x14ac:dyDescent="0.25">
      <c r="P833" t="str">
        <v>EMP0830</v>
      </c>
      <c r="Q833" t="str">
        <v>Daniel Ayala</v>
      </c>
      <c r="R833" t="str">
        <v>IT</v>
      </c>
      <c r="S833" t="str">
        <v>IT Support</v>
      </c>
      <c r="T833" t="str">
        <v>Male</v>
      </c>
      <c r="U833">
        <v>39</v>
      </c>
      <c r="V833">
        <v>42332</v>
      </c>
      <c r="W833" t="str">
        <v>Full-Time</v>
      </c>
      <c r="X833">
        <v>33368.03</v>
      </c>
      <c r="Y833">
        <v>4</v>
      </c>
      <c r="Z833">
        <v>94.88</v>
      </c>
      <c r="AA833">
        <v>10</v>
      </c>
      <c r="AB833">
        <v>4</v>
      </c>
      <c r="AC833">
        <v>10</v>
      </c>
      <c r="AD833" t="str">
        <v>Abigail Shaffer</v>
      </c>
      <c r="AE833" t="str">
        <v>Resigned</v>
      </c>
      <c r="AF833">
        <v>400416.36</v>
      </c>
    </row>
    <row r="834" spans="16:32" x14ac:dyDescent="0.25">
      <c r="P834" t="str">
        <v>EMP0831</v>
      </c>
      <c r="Q834" t="str">
        <v>Katherine Gallagher</v>
      </c>
      <c r="R834" t="str">
        <v>Finance</v>
      </c>
      <c r="S834" t="str">
        <v>Accountant</v>
      </c>
      <c r="T834" t="str">
        <v>Female</v>
      </c>
      <c r="U834">
        <v>52</v>
      </c>
      <c r="V834">
        <v>45883</v>
      </c>
      <c r="W834" t="str">
        <v>Contract</v>
      </c>
      <c r="X834">
        <v>69556.759999999995</v>
      </c>
      <c r="Y834">
        <v>2</v>
      </c>
      <c r="Z834">
        <v>86.5</v>
      </c>
      <c r="AA834">
        <v>0</v>
      </c>
      <c r="AB834">
        <v>51</v>
      </c>
      <c r="AC834">
        <v>32</v>
      </c>
      <c r="AD834" t="str">
        <v>Lisa Hensley</v>
      </c>
      <c r="AE834" t="str">
        <v>Active</v>
      </c>
      <c r="AF834">
        <v>834681.11999999988</v>
      </c>
    </row>
    <row r="835" spans="16:32" x14ac:dyDescent="0.25">
      <c r="P835" t="str">
        <v>EMP0832</v>
      </c>
      <c r="Q835" t="str">
        <v>Jeffrey Jordan</v>
      </c>
      <c r="R835" t="str">
        <v>Marketing</v>
      </c>
      <c r="S835" t="str">
        <v>Marketing Analyst</v>
      </c>
      <c r="T835" t="str">
        <v>Male</v>
      </c>
      <c r="U835">
        <v>30</v>
      </c>
      <c r="V835">
        <v>42850</v>
      </c>
      <c r="W835" t="str">
        <v>Part-Time</v>
      </c>
      <c r="X835">
        <v>70000.09</v>
      </c>
      <c r="Y835">
        <v>2</v>
      </c>
      <c r="Z835">
        <v>81.040000000000006</v>
      </c>
      <c r="AA835">
        <v>8</v>
      </c>
      <c r="AB835">
        <v>43</v>
      </c>
      <c r="AC835">
        <v>27</v>
      </c>
      <c r="AD835" t="str">
        <v>Carla Gray</v>
      </c>
      <c r="AE835" t="str">
        <v>Active</v>
      </c>
      <c r="AF835">
        <v>840001.08</v>
      </c>
    </row>
    <row r="836" spans="16:32" x14ac:dyDescent="0.25">
      <c r="P836" t="str">
        <v>EMP0833</v>
      </c>
      <c r="Q836" t="str">
        <v>Janet Johnson</v>
      </c>
      <c r="R836" t="str">
        <v>Customer Support</v>
      </c>
      <c r="S836" t="str">
        <v>Team Lead</v>
      </c>
      <c r="T836" t="str">
        <v>Female</v>
      </c>
      <c r="U836">
        <v>39</v>
      </c>
      <c r="V836">
        <v>44968</v>
      </c>
      <c r="W836" t="str">
        <v>Part-Time</v>
      </c>
      <c r="X836">
        <v>28261.49</v>
      </c>
      <c r="Y836">
        <v>4</v>
      </c>
      <c r="Z836">
        <v>84.95</v>
      </c>
      <c r="AA836">
        <v>2</v>
      </c>
      <c r="AB836">
        <v>19</v>
      </c>
      <c r="AC836">
        <v>46</v>
      </c>
      <c r="AD836" t="str">
        <v>Holly Wood</v>
      </c>
      <c r="AE836" t="str">
        <v>Active</v>
      </c>
      <c r="AF836">
        <v>339137.88</v>
      </c>
    </row>
    <row r="837" spans="16:32" x14ac:dyDescent="0.25">
      <c r="P837" t="str">
        <v>EMP0834</v>
      </c>
      <c r="Q837" t="str">
        <v>Tiffany Mcclain</v>
      </c>
      <c r="R837" t="str">
        <v>Finance</v>
      </c>
      <c r="S837" t="str">
        <v>Accountant</v>
      </c>
      <c r="T837" t="str">
        <v>Female</v>
      </c>
      <c r="U837">
        <v>36</v>
      </c>
      <c r="V837">
        <v>43542</v>
      </c>
      <c r="W837" t="str">
        <v>Contract</v>
      </c>
      <c r="X837">
        <v>102060.94</v>
      </c>
      <c r="Y837">
        <v>2</v>
      </c>
      <c r="Z837">
        <v>89.48</v>
      </c>
      <c r="AA837">
        <v>6</v>
      </c>
      <c r="AB837">
        <v>13</v>
      </c>
      <c r="AC837">
        <v>44</v>
      </c>
      <c r="AD837" t="str">
        <v>Holly Wood</v>
      </c>
      <c r="AE837" t="str">
        <v>Active</v>
      </c>
      <c r="AF837">
        <v>1224731.28</v>
      </c>
    </row>
    <row r="838" spans="16:32" x14ac:dyDescent="0.25">
      <c r="P838" t="str">
        <v>EMP0835</v>
      </c>
      <c r="Q838" t="str">
        <v>Michael Sims</v>
      </c>
      <c r="R838" t="str">
        <v>IT</v>
      </c>
      <c r="S838" t="str">
        <v>Data Analyst</v>
      </c>
      <c r="T838" t="str">
        <v>Male</v>
      </c>
      <c r="U838">
        <v>35</v>
      </c>
      <c r="V838">
        <v>45602</v>
      </c>
      <c r="W838" t="str">
        <v>Full-Time</v>
      </c>
      <c r="X838">
        <v>33229.58</v>
      </c>
      <c r="Y838">
        <v>1</v>
      </c>
      <c r="Z838">
        <v>85.48</v>
      </c>
      <c r="AA838">
        <v>1</v>
      </c>
      <c r="AB838">
        <v>24</v>
      </c>
      <c r="AC838">
        <v>59</v>
      </c>
      <c r="AD838" t="str">
        <v>Cristian Santos</v>
      </c>
      <c r="AE838" t="str">
        <v>Active</v>
      </c>
      <c r="AF838">
        <v>398754.96</v>
      </c>
    </row>
    <row r="839" spans="16:32" x14ac:dyDescent="0.25">
      <c r="P839" t="str">
        <v>EMP0836</v>
      </c>
      <c r="Q839" t="str">
        <v>Shawn Collins</v>
      </c>
      <c r="R839" t="str">
        <v>IT</v>
      </c>
      <c r="S839" t="str">
        <v>IT Support</v>
      </c>
      <c r="T839" t="str">
        <v>Male</v>
      </c>
      <c r="U839">
        <v>45</v>
      </c>
      <c r="V839">
        <v>43849</v>
      </c>
      <c r="W839" t="str">
        <v>Part-Time</v>
      </c>
      <c r="X839">
        <v>72497.119999999995</v>
      </c>
      <c r="Y839">
        <v>2</v>
      </c>
      <c r="Z839">
        <v>84.44</v>
      </c>
      <c r="AA839">
        <v>5</v>
      </c>
      <c r="AB839">
        <v>54</v>
      </c>
      <c r="AC839">
        <v>30</v>
      </c>
      <c r="AD839" t="str">
        <v>Noah Rhodes</v>
      </c>
      <c r="AE839" t="str">
        <v>Active</v>
      </c>
      <c r="AF839">
        <v>869965.44</v>
      </c>
    </row>
    <row r="840" spans="16:32" x14ac:dyDescent="0.25">
      <c r="P840" t="str">
        <v>EMP0837</v>
      </c>
      <c r="Q840" t="str">
        <v>Kevin Jackson</v>
      </c>
      <c r="R840" t="str">
        <v>Sales</v>
      </c>
      <c r="S840" t="str">
        <v>Sales Manager</v>
      </c>
      <c r="T840" t="str">
        <v>Male</v>
      </c>
      <c r="U840">
        <v>38</v>
      </c>
      <c r="V840">
        <v>42941</v>
      </c>
      <c r="W840" t="str">
        <v>Part-Time</v>
      </c>
      <c r="X840">
        <v>48055.59</v>
      </c>
      <c r="Y840">
        <v>3</v>
      </c>
      <c r="Z840">
        <v>94.23</v>
      </c>
      <c r="AA840">
        <v>8</v>
      </c>
      <c r="AB840">
        <v>31</v>
      </c>
      <c r="AC840">
        <v>20</v>
      </c>
      <c r="AD840" t="str">
        <v>Noah Rhodes</v>
      </c>
      <c r="AE840" t="str">
        <v>Active</v>
      </c>
      <c r="AF840">
        <v>576667.07999999996</v>
      </c>
    </row>
    <row r="841" spans="16:32" x14ac:dyDescent="0.25">
      <c r="P841" t="str">
        <v>EMP0838</v>
      </c>
      <c r="Q841" t="str">
        <v>Earl Luna</v>
      </c>
      <c r="R841" t="str">
        <v>Sales</v>
      </c>
      <c r="S841" t="str">
        <v>Sales Rep</v>
      </c>
      <c r="T841" t="str">
        <v>Female</v>
      </c>
      <c r="U841">
        <v>34</v>
      </c>
      <c r="V841">
        <v>42587</v>
      </c>
      <c r="W841" t="str">
        <v>Part-Time</v>
      </c>
      <c r="X841">
        <v>67205.820000000007</v>
      </c>
      <c r="Y841">
        <v>5</v>
      </c>
      <c r="Z841">
        <v>82.02</v>
      </c>
      <c r="AA841">
        <v>9</v>
      </c>
      <c r="AB841">
        <v>23</v>
      </c>
      <c r="AC841">
        <v>16</v>
      </c>
      <c r="AD841" t="str">
        <v>Brian Ramirez</v>
      </c>
      <c r="AE841" t="str">
        <v>Active</v>
      </c>
      <c r="AF841">
        <v>806469.84000000008</v>
      </c>
    </row>
    <row r="842" spans="16:32" x14ac:dyDescent="0.25">
      <c r="P842" t="str">
        <v>EMP0839</v>
      </c>
      <c r="Q842" t="str">
        <v>Stephen Cowan</v>
      </c>
      <c r="R842" t="str">
        <v>Finance</v>
      </c>
      <c r="S842" t="str">
        <v>Accountant</v>
      </c>
      <c r="T842" t="str">
        <v>Male</v>
      </c>
      <c r="U842">
        <v>21</v>
      </c>
      <c r="V842">
        <v>45559</v>
      </c>
      <c r="W842" t="str">
        <v>Contract</v>
      </c>
      <c r="X842">
        <v>75176.820000000007</v>
      </c>
      <c r="Y842">
        <v>2</v>
      </c>
      <c r="Z842">
        <v>86.62</v>
      </c>
      <c r="AA842">
        <v>1</v>
      </c>
      <c r="AB842">
        <v>46</v>
      </c>
      <c r="AC842">
        <v>47</v>
      </c>
      <c r="AD842" t="str">
        <v>Lisa Jackson</v>
      </c>
      <c r="AE842" t="str">
        <v>Active</v>
      </c>
      <c r="AF842">
        <v>902121.84000000008</v>
      </c>
    </row>
    <row r="843" spans="16:32" x14ac:dyDescent="0.25">
      <c r="P843" t="str">
        <v>EMP0840</v>
      </c>
      <c r="Q843" t="str">
        <v>Katherine Christensen MD</v>
      </c>
      <c r="R843" t="str">
        <v>Operations</v>
      </c>
      <c r="S843" t="str">
        <v>Operations Associate</v>
      </c>
      <c r="T843" t="str">
        <v>Female</v>
      </c>
      <c r="U843">
        <v>34</v>
      </c>
      <c r="V843">
        <v>44432</v>
      </c>
      <c r="W843" t="str">
        <v>Contract</v>
      </c>
      <c r="X843">
        <v>58404.94</v>
      </c>
      <c r="Y843">
        <v>1</v>
      </c>
      <c r="Z843">
        <v>82.61</v>
      </c>
      <c r="AA843">
        <v>4</v>
      </c>
      <c r="AB843">
        <v>77</v>
      </c>
      <c r="AC843">
        <v>7</v>
      </c>
      <c r="AD843" t="str">
        <v>Noah Rhodes</v>
      </c>
      <c r="AE843" t="str">
        <v>Active</v>
      </c>
      <c r="AF843">
        <v>700859.28</v>
      </c>
    </row>
    <row r="844" spans="16:32" x14ac:dyDescent="0.25">
      <c r="P844" t="str">
        <v>EMP0841</v>
      </c>
      <c r="Q844" t="str">
        <v>Danny Mercer</v>
      </c>
      <c r="R844" t="str">
        <v>IT</v>
      </c>
      <c r="S844" t="str">
        <v>IT Support</v>
      </c>
      <c r="T844" t="str">
        <v>Female</v>
      </c>
      <c r="U844">
        <v>27</v>
      </c>
      <c r="V844">
        <v>44809</v>
      </c>
      <c r="W844" t="str">
        <v>Full-Time</v>
      </c>
      <c r="X844">
        <v>114181.8</v>
      </c>
      <c r="Y844">
        <v>5</v>
      </c>
      <c r="Z844">
        <v>86.86</v>
      </c>
      <c r="AA844">
        <v>3</v>
      </c>
      <c r="AB844">
        <v>60</v>
      </c>
      <c r="AC844">
        <v>48</v>
      </c>
      <c r="AD844" t="str">
        <v>Abigail Shaffer</v>
      </c>
      <c r="AE844" t="str">
        <v>Active</v>
      </c>
      <c r="AF844">
        <v>1370181.6</v>
      </c>
    </row>
    <row r="845" spans="16:32" x14ac:dyDescent="0.25">
      <c r="P845" t="str">
        <v>EMP0842</v>
      </c>
      <c r="Q845" t="str">
        <v>Leah Jackson</v>
      </c>
      <c r="R845" t="str">
        <v>HR</v>
      </c>
      <c r="S845" t="str">
        <v>HR Officer</v>
      </c>
      <c r="T845" t="str">
        <v>Male</v>
      </c>
      <c r="U845">
        <v>33</v>
      </c>
      <c r="V845">
        <v>43615</v>
      </c>
      <c r="W845" t="str">
        <v>Part-Time</v>
      </c>
      <c r="X845">
        <v>75049.570000000007</v>
      </c>
      <c r="Y845">
        <v>3</v>
      </c>
      <c r="Z845">
        <v>97.83</v>
      </c>
      <c r="AA845">
        <v>6</v>
      </c>
      <c r="AB845">
        <v>71</v>
      </c>
      <c r="AC845">
        <v>22</v>
      </c>
      <c r="AD845" t="str">
        <v>Jamie Arnold</v>
      </c>
      <c r="AE845" t="str">
        <v>Active</v>
      </c>
      <c r="AF845">
        <v>900594.84000000008</v>
      </c>
    </row>
    <row r="846" spans="16:32" x14ac:dyDescent="0.25">
      <c r="P846" t="str">
        <v>EMP0843</v>
      </c>
      <c r="Q846" t="str">
        <v>Rebecca Brooks</v>
      </c>
      <c r="R846" t="str">
        <v>Marketing</v>
      </c>
      <c r="S846" t="str">
        <v>Brand Manager</v>
      </c>
      <c r="T846" t="str">
        <v>Male</v>
      </c>
      <c r="U846">
        <v>51</v>
      </c>
      <c r="V846">
        <v>44580</v>
      </c>
      <c r="W846" t="str">
        <v>Part-Time</v>
      </c>
      <c r="X846">
        <v>72376.28</v>
      </c>
      <c r="Y846">
        <v>5</v>
      </c>
      <c r="Z846">
        <v>95.82</v>
      </c>
      <c r="AA846">
        <v>3</v>
      </c>
      <c r="AB846">
        <v>21</v>
      </c>
      <c r="AC846">
        <v>38</v>
      </c>
      <c r="AD846" t="str">
        <v>Gabrielle Davis</v>
      </c>
      <c r="AE846" t="str">
        <v>Active</v>
      </c>
      <c r="AF846">
        <v>868515.36</v>
      </c>
    </row>
    <row r="847" spans="16:32" x14ac:dyDescent="0.25">
      <c r="P847" t="str">
        <v>EMP0844</v>
      </c>
      <c r="Q847" t="str">
        <v>Lisa Wheeler</v>
      </c>
      <c r="R847" t="str">
        <v>HR</v>
      </c>
      <c r="S847" t="str">
        <v>Recruiter</v>
      </c>
      <c r="T847" t="str">
        <v>Male</v>
      </c>
      <c r="U847">
        <v>57</v>
      </c>
      <c r="V847">
        <v>43892</v>
      </c>
      <c r="W847" t="str">
        <v>Full-Time</v>
      </c>
      <c r="X847">
        <v>99439.039999999994</v>
      </c>
      <c r="Y847">
        <v>2</v>
      </c>
      <c r="Z847">
        <v>94.81</v>
      </c>
      <c r="AA847">
        <v>5</v>
      </c>
      <c r="AB847">
        <v>50</v>
      </c>
      <c r="AC847">
        <v>31</v>
      </c>
      <c r="AD847" t="str">
        <v>Derek Zuniga</v>
      </c>
      <c r="AE847" t="str">
        <v>Resigned</v>
      </c>
      <c r="AF847">
        <v>1193268.48</v>
      </c>
    </row>
    <row r="848" spans="16:32" x14ac:dyDescent="0.25">
      <c r="P848" t="str">
        <v>EMP0845</v>
      </c>
      <c r="Q848" t="str">
        <v>Martha Smith</v>
      </c>
      <c r="R848" t="str">
        <v>Marketing</v>
      </c>
      <c r="S848" t="str">
        <v>Marketing Analyst</v>
      </c>
      <c r="T848" t="str">
        <v>Female</v>
      </c>
      <c r="U848">
        <v>53</v>
      </c>
      <c r="V848">
        <v>42601</v>
      </c>
      <c r="W848" t="str">
        <v>Part-Time</v>
      </c>
      <c r="X848">
        <v>76249.86</v>
      </c>
      <c r="Y848">
        <v>4</v>
      </c>
      <c r="Z848">
        <v>88.02</v>
      </c>
      <c r="AA848">
        <v>9</v>
      </c>
      <c r="AB848">
        <v>34</v>
      </c>
      <c r="AC848">
        <v>13</v>
      </c>
      <c r="AD848" t="str">
        <v>Connie Lawrence</v>
      </c>
      <c r="AE848" t="str">
        <v>Active</v>
      </c>
      <c r="AF848">
        <v>914998.32000000007</v>
      </c>
    </row>
    <row r="849" spans="16:32" x14ac:dyDescent="0.25">
      <c r="P849" t="str">
        <v>EMP0846</v>
      </c>
      <c r="Q849" t="str">
        <v>James Kelley</v>
      </c>
      <c r="R849" t="str">
        <v>IT</v>
      </c>
      <c r="S849" t="str">
        <v>Data Analyst</v>
      </c>
      <c r="T849" t="str">
        <v>Male</v>
      </c>
      <c r="U849">
        <v>53</v>
      </c>
      <c r="V849">
        <v>43022</v>
      </c>
      <c r="W849" t="str">
        <v>Part-Time</v>
      </c>
      <c r="X849">
        <v>70381.78</v>
      </c>
      <c r="Y849">
        <v>5</v>
      </c>
      <c r="Z849">
        <v>85.18</v>
      </c>
      <c r="AA849">
        <v>8</v>
      </c>
      <c r="AB849">
        <v>28</v>
      </c>
      <c r="AC849">
        <v>18</v>
      </c>
      <c r="AD849" t="str">
        <v>Gabrielle Davis</v>
      </c>
      <c r="AE849" t="str">
        <v>Active</v>
      </c>
      <c r="AF849">
        <v>844581.36</v>
      </c>
    </row>
    <row r="850" spans="16:32" x14ac:dyDescent="0.25">
      <c r="P850" t="str">
        <v>EMP0847</v>
      </c>
      <c r="Q850" t="str">
        <v>Christine Jennings</v>
      </c>
      <c r="R850" t="str">
        <v>HR</v>
      </c>
      <c r="S850" t="str">
        <v>HR Officer</v>
      </c>
      <c r="T850" t="str">
        <v>Male</v>
      </c>
      <c r="U850">
        <v>55</v>
      </c>
      <c r="V850">
        <v>45250</v>
      </c>
      <c r="W850" t="str">
        <v>Full-Time</v>
      </c>
      <c r="X850">
        <v>49184.33</v>
      </c>
      <c r="Y850">
        <v>2</v>
      </c>
      <c r="Z850">
        <v>98.84</v>
      </c>
      <c r="AA850">
        <v>2</v>
      </c>
      <c r="AB850">
        <v>35</v>
      </c>
      <c r="AC850">
        <v>59</v>
      </c>
      <c r="AD850" t="str">
        <v>Cristian Santos</v>
      </c>
      <c r="AE850" t="str">
        <v>Active</v>
      </c>
      <c r="AF850">
        <v>590211.96</v>
      </c>
    </row>
    <row r="851" spans="16:32" x14ac:dyDescent="0.25">
      <c r="P851" t="str">
        <v>EMP0848</v>
      </c>
      <c r="Q851" t="str">
        <v>Matthew Bates</v>
      </c>
      <c r="R851" t="str">
        <v>Sales</v>
      </c>
      <c r="S851" t="str">
        <v>Account Executive</v>
      </c>
      <c r="T851" t="str">
        <v>Male</v>
      </c>
      <c r="U851">
        <v>34</v>
      </c>
      <c r="V851">
        <v>42360</v>
      </c>
      <c r="W851" t="str">
        <v>Contract</v>
      </c>
      <c r="X851">
        <v>31618.48</v>
      </c>
      <c r="Y851">
        <v>3</v>
      </c>
      <c r="Z851">
        <v>92.65</v>
      </c>
      <c r="AA851">
        <v>10</v>
      </c>
      <c r="AB851">
        <v>47</v>
      </c>
      <c r="AC851">
        <v>20</v>
      </c>
      <c r="AD851" t="str">
        <v>Angie Henderson</v>
      </c>
      <c r="AE851" t="str">
        <v>Resigned</v>
      </c>
      <c r="AF851">
        <v>379421.76</v>
      </c>
    </row>
    <row r="852" spans="16:32" x14ac:dyDescent="0.25">
      <c r="P852" t="str">
        <v>EMP0849</v>
      </c>
      <c r="Q852" t="str">
        <v>Mercedes Barnes</v>
      </c>
      <c r="R852" t="str">
        <v>Finance</v>
      </c>
      <c r="S852" t="str">
        <v>Finance Manager</v>
      </c>
      <c r="T852" t="str">
        <v>Male</v>
      </c>
      <c r="U852">
        <v>47</v>
      </c>
      <c r="V852">
        <v>43980</v>
      </c>
      <c r="W852" t="str">
        <v>Contract</v>
      </c>
      <c r="X852">
        <v>49489.53</v>
      </c>
      <c r="Y852">
        <v>1</v>
      </c>
      <c r="Z852">
        <v>92.52</v>
      </c>
      <c r="AA852">
        <v>5</v>
      </c>
      <c r="AB852">
        <v>1</v>
      </c>
      <c r="AC852">
        <v>52</v>
      </c>
      <c r="AD852" t="str">
        <v>Jamie Arnold</v>
      </c>
      <c r="AE852" t="str">
        <v>Active</v>
      </c>
      <c r="AF852">
        <v>593874.36</v>
      </c>
    </row>
    <row r="853" spans="16:32" x14ac:dyDescent="0.25">
      <c r="P853" t="str">
        <v>EMP0850</v>
      </c>
      <c r="Q853" t="str">
        <v>Lisa Campbell</v>
      </c>
      <c r="R853" t="str">
        <v>Finance</v>
      </c>
      <c r="S853" t="str">
        <v>Accountant</v>
      </c>
      <c r="T853" t="str">
        <v>Female</v>
      </c>
      <c r="U853">
        <v>22</v>
      </c>
      <c r="V853">
        <v>42954</v>
      </c>
      <c r="W853" t="str">
        <v>Contract</v>
      </c>
      <c r="X853">
        <v>85731.76</v>
      </c>
      <c r="Y853">
        <v>5</v>
      </c>
      <c r="Z853">
        <v>82.13</v>
      </c>
      <c r="AA853">
        <v>8</v>
      </c>
      <c r="AB853">
        <v>48</v>
      </c>
      <c r="AC853">
        <v>60</v>
      </c>
      <c r="AD853" t="str">
        <v>Gabrielle Davis</v>
      </c>
      <c r="AE853" t="str">
        <v>Resigned</v>
      </c>
      <c r="AF853">
        <v>1028781.1199999999</v>
      </c>
    </row>
    <row r="854" spans="16:32" x14ac:dyDescent="0.25">
      <c r="P854" t="str">
        <v>EMP0851</v>
      </c>
      <c r="Q854" t="str">
        <v>Mr. Richard Decker DVM</v>
      </c>
      <c r="R854" t="str">
        <v>IT</v>
      </c>
      <c r="S854" t="str">
        <v>Software Engineer</v>
      </c>
      <c r="T854" t="str">
        <v>Male</v>
      </c>
      <c r="U854">
        <v>41</v>
      </c>
      <c r="V854">
        <v>42963</v>
      </c>
      <c r="W854" t="str">
        <v>Part-Time</v>
      </c>
      <c r="X854">
        <v>40391.86</v>
      </c>
      <c r="Y854">
        <v>4</v>
      </c>
      <c r="Z854">
        <v>83.11</v>
      </c>
      <c r="AA854">
        <v>8</v>
      </c>
      <c r="AB854">
        <v>29</v>
      </c>
      <c r="AC854">
        <v>46</v>
      </c>
      <c r="AD854" t="str">
        <v>Michele Williams</v>
      </c>
      <c r="AE854" t="str">
        <v>Active</v>
      </c>
      <c r="AF854">
        <v>484702.32</v>
      </c>
    </row>
    <row r="855" spans="16:32" x14ac:dyDescent="0.25">
      <c r="P855" t="str">
        <v>EMP0852</v>
      </c>
      <c r="Q855" t="str">
        <v>Elizabeth Williams</v>
      </c>
      <c r="R855" t="str">
        <v>R&amp;D</v>
      </c>
      <c r="S855" t="str">
        <v>Researcher</v>
      </c>
      <c r="T855" t="str">
        <v>Female</v>
      </c>
      <c r="U855">
        <v>32</v>
      </c>
      <c r="V855">
        <v>44527</v>
      </c>
      <c r="W855" t="str">
        <v>Part-Time</v>
      </c>
      <c r="X855">
        <v>38502.800000000003</v>
      </c>
      <c r="Y855">
        <v>2</v>
      </c>
      <c r="Z855">
        <v>83.78</v>
      </c>
      <c r="AA855">
        <v>4</v>
      </c>
      <c r="AB855">
        <v>62</v>
      </c>
      <c r="AC855">
        <v>60</v>
      </c>
      <c r="AD855" t="str">
        <v>Connie Lawrence</v>
      </c>
      <c r="AE855" t="str">
        <v>Active</v>
      </c>
      <c r="AF855">
        <v>462033.60000000003</v>
      </c>
    </row>
    <row r="856" spans="16:32" x14ac:dyDescent="0.25">
      <c r="P856" t="str">
        <v>EMP0853</v>
      </c>
      <c r="Q856" t="str">
        <v>Melissa Castillo</v>
      </c>
      <c r="R856" t="str">
        <v>Sales</v>
      </c>
      <c r="S856" t="str">
        <v>Sales Manager</v>
      </c>
      <c r="T856" t="str">
        <v>Male</v>
      </c>
      <c r="U856">
        <v>32</v>
      </c>
      <c r="V856">
        <v>45387</v>
      </c>
      <c r="W856" t="str">
        <v>Part-Time</v>
      </c>
      <c r="X856">
        <v>88736.68</v>
      </c>
      <c r="Y856">
        <v>2</v>
      </c>
      <c r="Z856">
        <v>81.39</v>
      </c>
      <c r="AA856">
        <v>1</v>
      </c>
      <c r="AB856">
        <v>9</v>
      </c>
      <c r="AC856">
        <v>27</v>
      </c>
      <c r="AD856" t="str">
        <v>Gina Moore</v>
      </c>
      <c r="AE856" t="str">
        <v>Active</v>
      </c>
      <c r="AF856">
        <v>1064840.1599999999</v>
      </c>
    </row>
    <row r="857" spans="16:32" x14ac:dyDescent="0.25">
      <c r="P857" t="str">
        <v>EMP0854</v>
      </c>
      <c r="Q857" t="str">
        <v>Michael Meadows</v>
      </c>
      <c r="R857" t="str">
        <v>Customer Support</v>
      </c>
      <c r="S857" t="str">
        <v>Support Agent</v>
      </c>
      <c r="T857" t="str">
        <v>Male</v>
      </c>
      <c r="U857">
        <v>21</v>
      </c>
      <c r="V857">
        <v>43760</v>
      </c>
      <c r="W857" t="str">
        <v>Contract</v>
      </c>
      <c r="X857">
        <v>29972.99</v>
      </c>
      <c r="Y857">
        <v>4</v>
      </c>
      <c r="Z857">
        <v>80.41</v>
      </c>
      <c r="AA857">
        <v>6</v>
      </c>
      <c r="AB857">
        <v>1</v>
      </c>
      <c r="AC857">
        <v>48</v>
      </c>
      <c r="AD857" t="str">
        <v>Noah Rhodes</v>
      </c>
      <c r="AE857" t="str">
        <v>Active</v>
      </c>
      <c r="AF857">
        <v>359675.88</v>
      </c>
    </row>
    <row r="858" spans="16:32" x14ac:dyDescent="0.25">
      <c r="P858" t="str">
        <v>EMP0855</v>
      </c>
      <c r="Q858" t="str">
        <v>Brittany Davis</v>
      </c>
      <c r="R858" t="str">
        <v>Marketing</v>
      </c>
      <c r="S858" t="str">
        <v>Brand Manager</v>
      </c>
      <c r="T858" t="str">
        <v>Male</v>
      </c>
      <c r="U858">
        <v>59</v>
      </c>
      <c r="V858">
        <v>45870</v>
      </c>
      <c r="W858" t="str">
        <v>Full-Time</v>
      </c>
      <c r="X858">
        <v>99240.04</v>
      </c>
      <c r="Y858">
        <v>1</v>
      </c>
      <c r="Z858">
        <v>99.15</v>
      </c>
      <c r="AA858">
        <v>0</v>
      </c>
      <c r="AB858">
        <v>13</v>
      </c>
      <c r="AC858">
        <v>34</v>
      </c>
      <c r="AD858" t="str">
        <v>Monica Herrera</v>
      </c>
      <c r="AE858" t="str">
        <v>Resigned</v>
      </c>
      <c r="AF858">
        <v>1190880.48</v>
      </c>
    </row>
    <row r="859" spans="16:32" x14ac:dyDescent="0.25">
      <c r="P859" t="str">
        <v>EMP0856</v>
      </c>
      <c r="Q859" t="str">
        <v>Nathaniel Conway</v>
      </c>
      <c r="R859" t="str">
        <v>Marketing</v>
      </c>
      <c r="S859" t="str">
        <v>Marketing Analyst</v>
      </c>
      <c r="T859" t="str">
        <v>Male</v>
      </c>
      <c r="U859">
        <v>51</v>
      </c>
      <c r="V859">
        <v>45482</v>
      </c>
      <c r="W859" t="str">
        <v>Contract</v>
      </c>
      <c r="X859">
        <v>109239.03</v>
      </c>
      <c r="Y859">
        <v>2</v>
      </c>
      <c r="Z859">
        <v>86.15</v>
      </c>
      <c r="AA859">
        <v>1</v>
      </c>
      <c r="AB859">
        <v>61</v>
      </c>
      <c r="AC859">
        <v>9</v>
      </c>
      <c r="AD859" t="str">
        <v>Gina Moore</v>
      </c>
      <c r="AE859" t="str">
        <v>Active</v>
      </c>
      <c r="AF859">
        <v>1310868.3599999999</v>
      </c>
    </row>
    <row r="860" spans="16:32" x14ac:dyDescent="0.25">
      <c r="P860" t="str">
        <v>EMP0857</v>
      </c>
      <c r="Q860" t="str">
        <v>William Baker</v>
      </c>
      <c r="R860" t="str">
        <v>Finance</v>
      </c>
      <c r="S860" t="str">
        <v>Finance Manager</v>
      </c>
      <c r="T860" t="str">
        <v>Male</v>
      </c>
      <c r="U860">
        <v>22</v>
      </c>
      <c r="V860">
        <v>43739</v>
      </c>
      <c r="W860" t="str">
        <v>Full-Time</v>
      </c>
      <c r="X860">
        <v>30281.53</v>
      </c>
      <c r="Y860">
        <v>3</v>
      </c>
      <c r="Z860">
        <v>82.05</v>
      </c>
      <c r="AA860">
        <v>6</v>
      </c>
      <c r="AB860">
        <v>53</v>
      </c>
      <c r="AC860">
        <v>9</v>
      </c>
      <c r="AD860" t="str">
        <v>Allison Hill</v>
      </c>
      <c r="AE860" t="str">
        <v>Resigned</v>
      </c>
      <c r="AF860">
        <v>363378.36</v>
      </c>
    </row>
    <row r="861" spans="16:32" x14ac:dyDescent="0.25">
      <c r="P861" t="str">
        <v>EMP0858</v>
      </c>
      <c r="Q861" t="str">
        <v>Christopher Williams</v>
      </c>
      <c r="R861" t="str">
        <v>Sales</v>
      </c>
      <c r="S861" t="str">
        <v>Sales Rep</v>
      </c>
      <c r="T861" t="str">
        <v>Female</v>
      </c>
      <c r="U861">
        <v>45</v>
      </c>
      <c r="V861">
        <v>42614</v>
      </c>
      <c r="W861" t="str">
        <v>Full-Time</v>
      </c>
      <c r="X861">
        <v>55330.99</v>
      </c>
      <c r="Y861">
        <v>3</v>
      </c>
      <c r="Z861">
        <v>84.52</v>
      </c>
      <c r="AA861">
        <v>9</v>
      </c>
      <c r="AB861">
        <v>49</v>
      </c>
      <c r="AC861">
        <v>43</v>
      </c>
      <c r="AD861" t="str">
        <v>Daniel Wagner</v>
      </c>
      <c r="AE861" t="str">
        <v>Active</v>
      </c>
      <c r="AF861">
        <v>663971.88</v>
      </c>
    </row>
    <row r="862" spans="16:32" x14ac:dyDescent="0.25">
      <c r="P862" t="str">
        <v>EMP0859</v>
      </c>
      <c r="Q862" t="str">
        <v>Michael Simmons</v>
      </c>
      <c r="R862" t="str">
        <v>Marketing</v>
      </c>
      <c r="S862" t="str">
        <v>Marketing Analyst</v>
      </c>
      <c r="T862" t="str">
        <v>Male</v>
      </c>
      <c r="U862">
        <v>39</v>
      </c>
      <c r="V862">
        <v>44108</v>
      </c>
      <c r="W862" t="str">
        <v>Part-Time</v>
      </c>
      <c r="X862">
        <v>27628.99</v>
      </c>
      <c r="Y862">
        <v>3</v>
      </c>
      <c r="Z862">
        <v>82.37</v>
      </c>
      <c r="AA862">
        <v>5</v>
      </c>
      <c r="AB862">
        <v>10</v>
      </c>
      <c r="AC862">
        <v>57</v>
      </c>
      <c r="AD862" t="str">
        <v>Noah Rhodes</v>
      </c>
      <c r="AE862" t="str">
        <v>Active</v>
      </c>
      <c r="AF862">
        <v>331547.88</v>
      </c>
    </row>
    <row r="863" spans="16:32" x14ac:dyDescent="0.25">
      <c r="P863" t="str">
        <v>EMP0860</v>
      </c>
      <c r="Q863" t="str">
        <v>Peter Williams</v>
      </c>
      <c r="R863" t="str">
        <v>HR</v>
      </c>
      <c r="S863" t="str">
        <v>Recruiter</v>
      </c>
      <c r="T863" t="str">
        <v>Female</v>
      </c>
      <c r="U863">
        <v>59</v>
      </c>
      <c r="V863">
        <v>43023</v>
      </c>
      <c r="W863" t="str">
        <v>Full-Time</v>
      </c>
      <c r="X863">
        <v>87943.33</v>
      </c>
      <c r="Y863">
        <v>2</v>
      </c>
      <c r="Z863">
        <v>97.86</v>
      </c>
      <c r="AA863">
        <v>8</v>
      </c>
      <c r="AB863">
        <v>38</v>
      </c>
      <c r="AC863">
        <v>39</v>
      </c>
      <c r="AD863" t="str">
        <v>Ryan Munoz</v>
      </c>
      <c r="AE863" t="str">
        <v>Active</v>
      </c>
      <c r="AF863">
        <v>1055319.96</v>
      </c>
    </row>
    <row r="864" spans="16:32" x14ac:dyDescent="0.25">
      <c r="P864" t="str">
        <v>EMP0861</v>
      </c>
      <c r="Q864" t="str">
        <v>Carolyn Howard</v>
      </c>
      <c r="R864" t="str">
        <v>Marketing</v>
      </c>
      <c r="S864" t="str">
        <v>Brand Manager</v>
      </c>
      <c r="T864" t="str">
        <v>Female</v>
      </c>
      <c r="U864">
        <v>44</v>
      </c>
      <c r="V864">
        <v>43162</v>
      </c>
      <c r="W864" t="str">
        <v>Part-Time</v>
      </c>
      <c r="X864">
        <v>101071.94</v>
      </c>
      <c r="Y864">
        <v>1</v>
      </c>
      <c r="Z864">
        <v>95.78</v>
      </c>
      <c r="AA864">
        <v>7</v>
      </c>
      <c r="AB864">
        <v>19</v>
      </c>
      <c r="AC864">
        <v>49</v>
      </c>
      <c r="AD864" t="str">
        <v>Cristian Santos</v>
      </c>
      <c r="AE864" t="str">
        <v>Active</v>
      </c>
      <c r="AF864">
        <v>1212863.28</v>
      </c>
    </row>
    <row r="865" spans="16:32" x14ac:dyDescent="0.25">
      <c r="P865" t="str">
        <v>EMP0862</v>
      </c>
      <c r="Q865" t="str">
        <v>Debra Quinn</v>
      </c>
      <c r="R865" t="str">
        <v>Customer Support</v>
      </c>
      <c r="S865" t="str">
        <v>Team Lead</v>
      </c>
      <c r="T865" t="str">
        <v>Female</v>
      </c>
      <c r="U865">
        <v>25</v>
      </c>
      <c r="V865">
        <v>45022</v>
      </c>
      <c r="W865" t="str">
        <v>Full-Time</v>
      </c>
      <c r="X865">
        <v>77784.289999999994</v>
      </c>
      <c r="Y865">
        <v>3</v>
      </c>
      <c r="Z865">
        <v>82.89</v>
      </c>
      <c r="AA865">
        <v>2</v>
      </c>
      <c r="AB865">
        <v>41</v>
      </c>
      <c r="AC865">
        <v>8</v>
      </c>
      <c r="AD865" t="str">
        <v>Connie Lawrence</v>
      </c>
      <c r="AE865" t="str">
        <v>Active</v>
      </c>
      <c r="AF865">
        <v>933411.48</v>
      </c>
    </row>
    <row r="866" spans="16:32" x14ac:dyDescent="0.25">
      <c r="P866" t="str">
        <v>EMP0863</v>
      </c>
      <c r="Q866" t="str">
        <v>Catherine Morales</v>
      </c>
      <c r="R866" t="str">
        <v>Operations</v>
      </c>
      <c r="S866" t="str">
        <v>Operations Manager</v>
      </c>
      <c r="T866" t="str">
        <v>Female</v>
      </c>
      <c r="U866">
        <v>48</v>
      </c>
      <c r="V866">
        <v>44618</v>
      </c>
      <c r="W866" t="str">
        <v>Part-Time</v>
      </c>
      <c r="X866">
        <v>89342.080000000002</v>
      </c>
      <c r="Y866">
        <v>4</v>
      </c>
      <c r="Z866">
        <v>92.03</v>
      </c>
      <c r="AA866">
        <v>3</v>
      </c>
      <c r="AB866">
        <v>42</v>
      </c>
      <c r="AC866">
        <v>8</v>
      </c>
      <c r="AD866" t="str">
        <v>Gina Moore</v>
      </c>
      <c r="AE866" t="str">
        <v>Active</v>
      </c>
      <c r="AF866">
        <v>1072104.96</v>
      </c>
    </row>
    <row r="867" spans="16:32" x14ac:dyDescent="0.25">
      <c r="P867" t="str">
        <v>EMP0864</v>
      </c>
      <c r="Q867" t="str">
        <v>James Jefferson</v>
      </c>
      <c r="R867" t="str">
        <v>R&amp;D</v>
      </c>
      <c r="S867" t="str">
        <v>Product Developer</v>
      </c>
      <c r="T867" t="str">
        <v>Male</v>
      </c>
      <c r="U867">
        <v>45</v>
      </c>
      <c r="V867">
        <v>45139</v>
      </c>
      <c r="W867" t="str">
        <v>Full-Time</v>
      </c>
      <c r="X867">
        <v>78096.39</v>
      </c>
      <c r="Y867">
        <v>4</v>
      </c>
      <c r="Z867">
        <v>90.54</v>
      </c>
      <c r="AA867">
        <v>2</v>
      </c>
      <c r="AB867">
        <v>28</v>
      </c>
      <c r="AC867">
        <v>44</v>
      </c>
      <c r="AD867" t="str">
        <v>Angie Henderson</v>
      </c>
      <c r="AE867" t="str">
        <v>Active</v>
      </c>
      <c r="AF867">
        <v>937156.67999999993</v>
      </c>
    </row>
    <row r="868" spans="16:32" x14ac:dyDescent="0.25">
      <c r="P868" t="str">
        <v>EMP0865</v>
      </c>
      <c r="Q868" t="str">
        <v>Rebecca Wilson</v>
      </c>
      <c r="R868" t="str">
        <v>Sales</v>
      </c>
      <c r="S868" t="str">
        <v>Sales Rep</v>
      </c>
      <c r="T868" t="str">
        <v>Male</v>
      </c>
      <c r="U868">
        <v>44</v>
      </c>
      <c r="V868">
        <v>44923</v>
      </c>
      <c r="W868" t="str">
        <v>Contract</v>
      </c>
      <c r="X868">
        <v>67392.639999999999</v>
      </c>
      <c r="Y868">
        <v>2</v>
      </c>
      <c r="Z868">
        <v>98.42</v>
      </c>
      <c r="AA868">
        <v>3</v>
      </c>
      <c r="AB868">
        <v>7</v>
      </c>
      <c r="AC868">
        <v>58</v>
      </c>
      <c r="AD868" t="str">
        <v>Jamie Arnold</v>
      </c>
      <c r="AE868" t="str">
        <v>Active</v>
      </c>
      <c r="AF868">
        <v>808711.67999999993</v>
      </c>
    </row>
    <row r="869" spans="16:32" x14ac:dyDescent="0.25">
      <c r="P869" t="str">
        <v>EMP0866</v>
      </c>
      <c r="Q869" t="str">
        <v>Dr. Ashley Pruitt</v>
      </c>
      <c r="R869" t="str">
        <v>HR</v>
      </c>
      <c r="S869" t="str">
        <v>Recruiter</v>
      </c>
      <c r="T869" t="str">
        <v>Female</v>
      </c>
      <c r="U869">
        <v>30</v>
      </c>
      <c r="V869">
        <v>42667</v>
      </c>
      <c r="W869" t="str">
        <v>Contract</v>
      </c>
      <c r="X869">
        <v>117181.96</v>
      </c>
      <c r="Y869">
        <v>4</v>
      </c>
      <c r="Z869">
        <v>84.85</v>
      </c>
      <c r="AA869">
        <v>9</v>
      </c>
      <c r="AB869">
        <v>28</v>
      </c>
      <c r="AC869">
        <v>3</v>
      </c>
      <c r="AD869" t="str">
        <v>Cristian Santos</v>
      </c>
      <c r="AE869" t="str">
        <v>Active</v>
      </c>
      <c r="AF869">
        <v>1406183.52</v>
      </c>
    </row>
    <row r="870" spans="16:32" x14ac:dyDescent="0.25">
      <c r="P870" t="str">
        <v>EMP0867</v>
      </c>
      <c r="Q870" t="str">
        <v>Meghan White</v>
      </c>
      <c r="R870" t="str">
        <v>HR</v>
      </c>
      <c r="S870" t="str">
        <v>Recruiter</v>
      </c>
      <c r="T870" t="str">
        <v>Male</v>
      </c>
      <c r="U870">
        <v>48</v>
      </c>
      <c r="V870">
        <v>45302</v>
      </c>
      <c r="W870" t="str">
        <v>Part-Time</v>
      </c>
      <c r="X870">
        <v>25408.33</v>
      </c>
      <c r="Y870">
        <v>1</v>
      </c>
      <c r="Z870">
        <v>93.25</v>
      </c>
      <c r="AA870">
        <v>1</v>
      </c>
      <c r="AB870">
        <v>9</v>
      </c>
      <c r="AC870">
        <v>30</v>
      </c>
      <c r="AD870" t="str">
        <v>Carla Gray</v>
      </c>
      <c r="AE870" t="str">
        <v>Resigned</v>
      </c>
      <c r="AF870">
        <v>304899.96000000002</v>
      </c>
    </row>
    <row r="871" spans="16:32" x14ac:dyDescent="0.25">
      <c r="P871" t="str">
        <v>EMP0868</v>
      </c>
      <c r="Q871" t="str">
        <v>Lisa Huffman</v>
      </c>
      <c r="R871" t="str">
        <v>Sales</v>
      </c>
      <c r="S871" t="str">
        <v>Sales Rep</v>
      </c>
      <c r="T871" t="str">
        <v>Female</v>
      </c>
      <c r="U871">
        <v>30</v>
      </c>
      <c r="V871">
        <v>44662</v>
      </c>
      <c r="W871" t="str">
        <v>Full-Time</v>
      </c>
      <c r="X871">
        <v>44504.58</v>
      </c>
      <c r="Y871">
        <v>1</v>
      </c>
      <c r="Z871">
        <v>91.38</v>
      </c>
      <c r="AA871">
        <v>3</v>
      </c>
      <c r="AB871">
        <v>53</v>
      </c>
      <c r="AC871">
        <v>9</v>
      </c>
      <c r="AD871" t="str">
        <v>Connie Lawrence</v>
      </c>
      <c r="AE871" t="str">
        <v>Active</v>
      </c>
      <c r="AF871">
        <v>534054.96</v>
      </c>
    </row>
    <row r="872" spans="16:32" x14ac:dyDescent="0.25">
      <c r="P872" t="str">
        <v>EMP0869</v>
      </c>
      <c r="Q872" t="str">
        <v>Mr. Stephen Alexander</v>
      </c>
      <c r="R872" t="str">
        <v>HR</v>
      </c>
      <c r="S872" t="str">
        <v>HR Manager</v>
      </c>
      <c r="T872" t="str">
        <v>Female</v>
      </c>
      <c r="U872">
        <v>51</v>
      </c>
      <c r="V872">
        <v>43114</v>
      </c>
      <c r="W872" t="str">
        <v>Part-Time</v>
      </c>
      <c r="X872">
        <v>92255.74</v>
      </c>
      <c r="Y872">
        <v>4</v>
      </c>
      <c r="Z872">
        <v>95.63</v>
      </c>
      <c r="AA872">
        <v>7</v>
      </c>
      <c r="AB872">
        <v>1</v>
      </c>
      <c r="AC872">
        <v>18</v>
      </c>
      <c r="AD872" t="str">
        <v>Daniel Wagner</v>
      </c>
      <c r="AE872" t="str">
        <v>Active</v>
      </c>
      <c r="AF872">
        <v>1107068.8800000001</v>
      </c>
    </row>
    <row r="873" spans="16:32" x14ac:dyDescent="0.25">
      <c r="P873" t="str">
        <v>EMP0870</v>
      </c>
      <c r="Q873" t="str">
        <v>Ernest Bush</v>
      </c>
      <c r="R873" t="str">
        <v>Sales</v>
      </c>
      <c r="S873" t="str">
        <v>Account Executive</v>
      </c>
      <c r="T873" t="str">
        <v>Male</v>
      </c>
      <c r="U873">
        <v>53</v>
      </c>
      <c r="V873">
        <v>42696</v>
      </c>
      <c r="W873" t="str">
        <v>Full-Time</v>
      </c>
      <c r="X873">
        <v>21086.76</v>
      </c>
      <c r="Y873">
        <v>4</v>
      </c>
      <c r="Z873">
        <v>93.6</v>
      </c>
      <c r="AA873">
        <v>9</v>
      </c>
      <c r="AB873">
        <v>58</v>
      </c>
      <c r="AC873">
        <v>35</v>
      </c>
      <c r="AD873" t="str">
        <v>Gabrielle Davis</v>
      </c>
      <c r="AE873" t="str">
        <v>Resigned</v>
      </c>
      <c r="AF873">
        <v>253041.12</v>
      </c>
    </row>
    <row r="874" spans="16:32" x14ac:dyDescent="0.25">
      <c r="P874" t="str">
        <v>EMP0871</v>
      </c>
      <c r="Q874" t="str">
        <v>Laura Cunningham</v>
      </c>
      <c r="R874" t="str">
        <v>Finance</v>
      </c>
      <c r="S874" t="str">
        <v>Finance Manager</v>
      </c>
      <c r="T874" t="str">
        <v>Male</v>
      </c>
      <c r="U874">
        <v>48</v>
      </c>
      <c r="V874">
        <v>45564</v>
      </c>
      <c r="W874" t="str">
        <v>Full-Time</v>
      </c>
      <c r="X874">
        <v>47182.76</v>
      </c>
      <c r="Y874">
        <v>1</v>
      </c>
      <c r="Z874">
        <v>90.43</v>
      </c>
      <c r="AA874">
        <v>1</v>
      </c>
      <c r="AB874">
        <v>16</v>
      </c>
      <c r="AC874">
        <v>47</v>
      </c>
      <c r="AD874" t="str">
        <v>Abigail Shaffer</v>
      </c>
      <c r="AE874" t="str">
        <v>Active</v>
      </c>
      <c r="AF874">
        <v>566193.12</v>
      </c>
    </row>
    <row r="875" spans="16:32" x14ac:dyDescent="0.25">
      <c r="P875" t="str">
        <v>EMP0872</v>
      </c>
      <c r="Q875" t="str">
        <v>Melissa Montgomery</v>
      </c>
      <c r="R875" t="str">
        <v>Sales</v>
      </c>
      <c r="S875" t="str">
        <v>Sales Rep</v>
      </c>
      <c r="T875" t="str">
        <v>Female</v>
      </c>
      <c r="U875">
        <v>32</v>
      </c>
      <c r="V875">
        <v>44405</v>
      </c>
      <c r="W875" t="str">
        <v>Contract</v>
      </c>
      <c r="X875">
        <v>117598.74</v>
      </c>
      <c r="Y875">
        <v>5</v>
      </c>
      <c r="Z875">
        <v>96.83</v>
      </c>
      <c r="AA875">
        <v>4</v>
      </c>
      <c r="AB875">
        <v>59</v>
      </c>
      <c r="AC875">
        <v>30</v>
      </c>
      <c r="AD875" t="str">
        <v>Monica Herrera</v>
      </c>
      <c r="AE875" t="str">
        <v>Active</v>
      </c>
      <c r="AF875">
        <v>1411184.8800000001</v>
      </c>
    </row>
    <row r="876" spans="16:32" x14ac:dyDescent="0.25">
      <c r="P876" t="str">
        <v>EMP0873</v>
      </c>
      <c r="Q876" t="str">
        <v>Danielle Reed</v>
      </c>
      <c r="R876" t="str">
        <v>Customer Support</v>
      </c>
      <c r="S876" t="str">
        <v>Team Lead</v>
      </c>
      <c r="T876" t="str">
        <v>Male</v>
      </c>
      <c r="U876">
        <v>24</v>
      </c>
      <c r="V876">
        <v>44992</v>
      </c>
      <c r="W876" t="str">
        <v>Part-Time</v>
      </c>
      <c r="X876">
        <v>84664.72</v>
      </c>
      <c r="Y876">
        <v>2</v>
      </c>
      <c r="Z876">
        <v>85.4</v>
      </c>
      <c r="AA876">
        <v>2</v>
      </c>
      <c r="AB876">
        <v>13</v>
      </c>
      <c r="AC876">
        <v>4</v>
      </c>
      <c r="AD876" t="str">
        <v>Jamie Arnold</v>
      </c>
      <c r="AE876" t="str">
        <v>Active</v>
      </c>
      <c r="AF876">
        <v>1015976.64</v>
      </c>
    </row>
    <row r="877" spans="16:32" x14ac:dyDescent="0.25">
      <c r="P877" t="str">
        <v>EMP0874</v>
      </c>
      <c r="Q877" t="str">
        <v>Ronald Mcclain</v>
      </c>
      <c r="R877" t="str">
        <v>Operations</v>
      </c>
      <c r="S877" t="str">
        <v>Operations Associate</v>
      </c>
      <c r="T877" t="str">
        <v>Male</v>
      </c>
      <c r="U877">
        <v>39</v>
      </c>
      <c r="V877">
        <v>44694</v>
      </c>
      <c r="W877" t="str">
        <v>Full-Time</v>
      </c>
      <c r="X877">
        <v>74156.789999999994</v>
      </c>
      <c r="Y877">
        <v>1</v>
      </c>
      <c r="Z877">
        <v>84.24</v>
      </c>
      <c r="AA877">
        <v>3</v>
      </c>
      <c r="AB877">
        <v>1</v>
      </c>
      <c r="AC877">
        <v>48</v>
      </c>
      <c r="AD877" t="str">
        <v>Ryan Munoz</v>
      </c>
      <c r="AE877" t="str">
        <v>Active</v>
      </c>
      <c r="AF877">
        <v>889881.48</v>
      </c>
    </row>
    <row r="878" spans="16:32" x14ac:dyDescent="0.25">
      <c r="P878" t="str">
        <v>EMP0875</v>
      </c>
      <c r="Q878" t="str">
        <v>Timothy Wagner</v>
      </c>
      <c r="R878" t="str">
        <v>IT</v>
      </c>
      <c r="S878" t="str">
        <v>Data Analyst</v>
      </c>
      <c r="T878" t="str">
        <v>Male</v>
      </c>
      <c r="U878">
        <v>36</v>
      </c>
      <c r="V878">
        <v>42642</v>
      </c>
      <c r="W878" t="str">
        <v>Part-Time</v>
      </c>
      <c r="X878">
        <v>28503.94</v>
      </c>
      <c r="Y878">
        <v>5</v>
      </c>
      <c r="Z878">
        <v>91.3</v>
      </c>
      <c r="AA878">
        <v>9</v>
      </c>
      <c r="AB878">
        <v>72</v>
      </c>
      <c r="AC878">
        <v>50</v>
      </c>
      <c r="AD878" t="str">
        <v>Brian Ramirez</v>
      </c>
      <c r="AE878" t="str">
        <v>Active</v>
      </c>
      <c r="AF878">
        <v>342047.27999999997</v>
      </c>
    </row>
    <row r="879" spans="16:32" x14ac:dyDescent="0.25">
      <c r="P879" t="str">
        <v>EMP0876</v>
      </c>
      <c r="Q879" t="str">
        <v>Sheila Jones</v>
      </c>
      <c r="R879" t="str">
        <v>Operations</v>
      </c>
      <c r="S879" t="str">
        <v>Operations Associate</v>
      </c>
      <c r="T879" t="str">
        <v>Female</v>
      </c>
      <c r="U879">
        <v>21</v>
      </c>
      <c r="V879">
        <v>45219</v>
      </c>
      <c r="W879" t="str">
        <v>Part-Time</v>
      </c>
      <c r="X879">
        <v>95167.94</v>
      </c>
      <c r="Y879">
        <v>4</v>
      </c>
      <c r="Z879">
        <v>90</v>
      </c>
      <c r="AA879">
        <v>2</v>
      </c>
      <c r="AB879">
        <v>40</v>
      </c>
      <c r="AC879">
        <v>48</v>
      </c>
      <c r="AD879" t="str">
        <v>Lisa Hensley</v>
      </c>
      <c r="AE879" t="str">
        <v>Active</v>
      </c>
      <c r="AF879">
        <v>1142015.28</v>
      </c>
    </row>
    <row r="880" spans="16:32" x14ac:dyDescent="0.25">
      <c r="P880" t="str">
        <v>EMP0877</v>
      </c>
      <c r="Q880" t="str">
        <v>Gary Ramirez</v>
      </c>
      <c r="R880" t="str">
        <v>HR</v>
      </c>
      <c r="S880" t="str">
        <v>HR Manager</v>
      </c>
      <c r="T880" t="str">
        <v>Male</v>
      </c>
      <c r="U880">
        <v>42</v>
      </c>
      <c r="V880">
        <v>45357</v>
      </c>
      <c r="W880" t="str">
        <v>Part-Time</v>
      </c>
      <c r="X880">
        <v>109651.12</v>
      </c>
      <c r="Y880">
        <v>5</v>
      </c>
      <c r="Z880">
        <v>82.02</v>
      </c>
      <c r="AA880">
        <v>1</v>
      </c>
      <c r="AB880">
        <v>19</v>
      </c>
      <c r="AC880">
        <v>1</v>
      </c>
      <c r="AD880" t="str">
        <v>Lisa Jackson</v>
      </c>
      <c r="AE880" t="str">
        <v>Active</v>
      </c>
      <c r="AF880">
        <v>1315813.44</v>
      </c>
    </row>
    <row r="881" spans="16:32" x14ac:dyDescent="0.25">
      <c r="P881" t="str">
        <v>EMP0878</v>
      </c>
      <c r="Q881" t="str">
        <v>Mason Powell</v>
      </c>
      <c r="R881" t="str">
        <v>R&amp;D</v>
      </c>
      <c r="S881" t="str">
        <v>Researcher</v>
      </c>
      <c r="T881" t="str">
        <v>Female</v>
      </c>
      <c r="U881">
        <v>31</v>
      </c>
      <c r="V881">
        <v>45452</v>
      </c>
      <c r="W881" t="str">
        <v>Full-Time</v>
      </c>
      <c r="X881">
        <v>88237.4</v>
      </c>
      <c r="Y881">
        <v>1</v>
      </c>
      <c r="Z881">
        <v>97.7</v>
      </c>
      <c r="AA881">
        <v>1</v>
      </c>
      <c r="AB881">
        <v>11</v>
      </c>
      <c r="AC881">
        <v>60</v>
      </c>
      <c r="AD881" t="str">
        <v>Gina Moore</v>
      </c>
      <c r="AE881" t="str">
        <v>Resigned</v>
      </c>
      <c r="AF881">
        <v>1058848.7999999998</v>
      </c>
    </row>
    <row r="882" spans="16:32" x14ac:dyDescent="0.25">
      <c r="P882" t="str">
        <v>EMP0879</v>
      </c>
      <c r="Q882" t="str">
        <v>Jeremy Berry</v>
      </c>
      <c r="R882" t="str">
        <v>HR</v>
      </c>
      <c r="S882" t="str">
        <v>HR Manager</v>
      </c>
      <c r="T882" t="str">
        <v>Male</v>
      </c>
      <c r="U882">
        <v>53</v>
      </c>
      <c r="V882">
        <v>43763</v>
      </c>
      <c r="W882" t="str">
        <v>Contract</v>
      </c>
      <c r="X882">
        <v>119227.89</v>
      </c>
      <c r="Y882">
        <v>5</v>
      </c>
      <c r="Z882">
        <v>93.03</v>
      </c>
      <c r="AA882">
        <v>6</v>
      </c>
      <c r="AB882">
        <v>43</v>
      </c>
      <c r="AC882">
        <v>28</v>
      </c>
      <c r="AD882" t="str">
        <v>Cristian Santos</v>
      </c>
      <c r="AE882" t="str">
        <v>Active</v>
      </c>
      <c r="AF882">
        <v>1430734.68</v>
      </c>
    </row>
    <row r="883" spans="16:32" x14ac:dyDescent="0.25">
      <c r="P883" t="str">
        <v>EMP0880</v>
      </c>
      <c r="Q883" t="str">
        <v>Jillian Wilson</v>
      </c>
      <c r="R883" t="str">
        <v>Operations</v>
      </c>
      <c r="S883" t="str">
        <v>Operations Manager</v>
      </c>
      <c r="T883" t="str">
        <v>Male</v>
      </c>
      <c r="U883">
        <v>45</v>
      </c>
      <c r="V883">
        <v>42849</v>
      </c>
      <c r="W883" t="str">
        <v>Full-Time</v>
      </c>
      <c r="X883">
        <v>40882.06</v>
      </c>
      <c r="Y883">
        <v>5</v>
      </c>
      <c r="Z883">
        <v>92.14</v>
      </c>
      <c r="AA883">
        <v>8</v>
      </c>
      <c r="AB883">
        <v>19</v>
      </c>
      <c r="AC883">
        <v>36</v>
      </c>
      <c r="AD883" t="str">
        <v>Brian Ramirez</v>
      </c>
      <c r="AE883" t="str">
        <v>Active</v>
      </c>
      <c r="AF883">
        <v>490584.72</v>
      </c>
    </row>
    <row r="884" spans="16:32" x14ac:dyDescent="0.25">
      <c r="P884" t="str">
        <v>EMP0881</v>
      </c>
      <c r="Q884" t="str">
        <v>Alicia Powell</v>
      </c>
      <c r="R884" t="str">
        <v>Sales</v>
      </c>
      <c r="S884" t="str">
        <v>Sales Rep</v>
      </c>
      <c r="T884" t="str">
        <v>Female</v>
      </c>
      <c r="U884">
        <v>56</v>
      </c>
      <c r="V884">
        <v>45393</v>
      </c>
      <c r="W884" t="str">
        <v>Full-Time</v>
      </c>
      <c r="X884">
        <v>69891.23</v>
      </c>
      <c r="Y884">
        <v>4</v>
      </c>
      <c r="Z884">
        <v>86.27</v>
      </c>
      <c r="AA884">
        <v>1</v>
      </c>
      <c r="AB884">
        <v>37</v>
      </c>
      <c r="AC884">
        <v>10</v>
      </c>
      <c r="AD884" t="str">
        <v>Angie Henderson</v>
      </c>
      <c r="AE884" t="str">
        <v>Active</v>
      </c>
      <c r="AF884">
        <v>838694.76</v>
      </c>
    </row>
    <row r="885" spans="16:32" x14ac:dyDescent="0.25">
      <c r="P885" t="str">
        <v>EMP0882</v>
      </c>
      <c r="Q885" t="str">
        <v>April Davis</v>
      </c>
      <c r="R885" t="str">
        <v>Operations</v>
      </c>
      <c r="S885" t="str">
        <v>Operations Manager</v>
      </c>
      <c r="T885" t="str">
        <v>Male</v>
      </c>
      <c r="U885">
        <v>25</v>
      </c>
      <c r="V885">
        <v>42525</v>
      </c>
      <c r="W885" t="str">
        <v>Full-Time</v>
      </c>
      <c r="X885">
        <v>91065.5</v>
      </c>
      <c r="Y885">
        <v>4</v>
      </c>
      <c r="Z885">
        <v>85.16</v>
      </c>
      <c r="AA885">
        <v>9</v>
      </c>
      <c r="AB885">
        <v>60</v>
      </c>
      <c r="AC885">
        <v>16</v>
      </c>
      <c r="AD885" t="str">
        <v>Dylan Miller</v>
      </c>
      <c r="AE885" t="str">
        <v>Active</v>
      </c>
      <c r="AF885">
        <v>1092786</v>
      </c>
    </row>
    <row r="886" spans="16:32" x14ac:dyDescent="0.25">
      <c r="P886" t="str">
        <v>EMP0883</v>
      </c>
      <c r="Q886" t="str">
        <v>Kristina Pena</v>
      </c>
      <c r="R886" t="str">
        <v>HR</v>
      </c>
      <c r="S886" t="str">
        <v>HR Officer</v>
      </c>
      <c r="T886" t="str">
        <v>Female</v>
      </c>
      <c r="U886">
        <v>23</v>
      </c>
      <c r="V886">
        <v>44195</v>
      </c>
      <c r="W886" t="str">
        <v>Part-Time</v>
      </c>
      <c r="X886">
        <v>105900.33</v>
      </c>
      <c r="Y886">
        <v>4</v>
      </c>
      <c r="Z886">
        <v>88.18</v>
      </c>
      <c r="AA886">
        <v>5</v>
      </c>
      <c r="AB886">
        <v>79</v>
      </c>
      <c r="AC886">
        <v>58</v>
      </c>
      <c r="AD886" t="str">
        <v>Cristian Santos</v>
      </c>
      <c r="AE886" t="str">
        <v>Active</v>
      </c>
      <c r="AF886">
        <v>1270803.96</v>
      </c>
    </row>
    <row r="887" spans="16:32" x14ac:dyDescent="0.25">
      <c r="P887" t="str">
        <v>EMP0884</v>
      </c>
      <c r="Q887" t="str">
        <v>Heidi Brown</v>
      </c>
      <c r="R887" t="str">
        <v>Operations</v>
      </c>
      <c r="S887" t="str">
        <v>Operations Manager</v>
      </c>
      <c r="T887" t="str">
        <v>Male</v>
      </c>
      <c r="U887">
        <v>47</v>
      </c>
      <c r="V887">
        <v>45137</v>
      </c>
      <c r="W887" t="str">
        <v>Contract</v>
      </c>
      <c r="X887">
        <v>65009.23</v>
      </c>
      <c r="Y887">
        <v>1</v>
      </c>
      <c r="Z887">
        <v>92.41</v>
      </c>
      <c r="AA887">
        <v>2</v>
      </c>
      <c r="AB887">
        <v>7</v>
      </c>
      <c r="AC887">
        <v>47</v>
      </c>
      <c r="AD887" t="str">
        <v>Gina Moore</v>
      </c>
      <c r="AE887" t="str">
        <v>Active</v>
      </c>
      <c r="AF887">
        <v>780110.76</v>
      </c>
    </row>
    <row r="888" spans="16:32" x14ac:dyDescent="0.25">
      <c r="P888" t="str">
        <v>EMP0885</v>
      </c>
      <c r="Q888" t="str">
        <v>Evelyn Saunders</v>
      </c>
      <c r="R888" t="str">
        <v>Sales</v>
      </c>
      <c r="S888" t="str">
        <v>Sales Rep</v>
      </c>
      <c r="T888" t="str">
        <v>Male</v>
      </c>
      <c r="U888">
        <v>39</v>
      </c>
      <c r="V888">
        <v>43688</v>
      </c>
      <c r="W888" t="str">
        <v>Part-Time</v>
      </c>
      <c r="X888">
        <v>35820.58</v>
      </c>
      <c r="Y888">
        <v>4</v>
      </c>
      <c r="Z888">
        <v>97.08</v>
      </c>
      <c r="AA888">
        <v>6</v>
      </c>
      <c r="AB888">
        <v>28</v>
      </c>
      <c r="AC888">
        <v>24</v>
      </c>
      <c r="AD888" t="str">
        <v>Dylan Miller</v>
      </c>
      <c r="AE888" t="str">
        <v>Active</v>
      </c>
      <c r="AF888">
        <v>429846.96</v>
      </c>
    </row>
    <row r="889" spans="16:32" x14ac:dyDescent="0.25">
      <c r="P889" t="str">
        <v>EMP0886</v>
      </c>
      <c r="Q889" t="str">
        <v>Heidi Chavez</v>
      </c>
      <c r="R889" t="str">
        <v>Operations</v>
      </c>
      <c r="S889" t="str">
        <v>Operations Manager</v>
      </c>
      <c r="T889" t="str">
        <v>Female</v>
      </c>
      <c r="U889">
        <v>55</v>
      </c>
      <c r="V889">
        <v>45242</v>
      </c>
      <c r="W889" t="str">
        <v>Part-Time</v>
      </c>
      <c r="X889">
        <v>30911.91</v>
      </c>
      <c r="Y889">
        <v>2</v>
      </c>
      <c r="Z889">
        <v>94.64</v>
      </c>
      <c r="AA889">
        <v>2</v>
      </c>
      <c r="AB889">
        <v>50</v>
      </c>
      <c r="AC889">
        <v>49</v>
      </c>
      <c r="AD889" t="str">
        <v>Michele Williams</v>
      </c>
      <c r="AE889" t="str">
        <v>Active</v>
      </c>
      <c r="AF889">
        <v>370942.92</v>
      </c>
    </row>
    <row r="890" spans="16:32" x14ac:dyDescent="0.25">
      <c r="P890" t="str">
        <v>EMP0887</v>
      </c>
      <c r="Q890" t="str">
        <v>Courtney Peterson</v>
      </c>
      <c r="R890" t="str">
        <v>Operations</v>
      </c>
      <c r="S890" t="str">
        <v>Operations Associate</v>
      </c>
      <c r="T890" t="str">
        <v>Female</v>
      </c>
      <c r="U890">
        <v>42</v>
      </c>
      <c r="V890">
        <v>42908</v>
      </c>
      <c r="W890" t="str">
        <v>Contract</v>
      </c>
      <c r="X890">
        <v>68629.5</v>
      </c>
      <c r="Y890">
        <v>4</v>
      </c>
      <c r="Z890">
        <v>82.29</v>
      </c>
      <c r="AA890">
        <v>8</v>
      </c>
      <c r="AB890">
        <v>58</v>
      </c>
      <c r="AC890">
        <v>2</v>
      </c>
      <c r="AD890" t="str">
        <v>Derek Zuniga</v>
      </c>
      <c r="AE890" t="str">
        <v>Active</v>
      </c>
      <c r="AF890">
        <v>823554</v>
      </c>
    </row>
    <row r="891" spans="16:32" x14ac:dyDescent="0.25">
      <c r="P891" t="str">
        <v>EMP0888</v>
      </c>
      <c r="Q891" t="str">
        <v>Jacqueline Rodriguez</v>
      </c>
      <c r="R891" t="str">
        <v>R&amp;D</v>
      </c>
      <c r="S891" t="str">
        <v>Researcher</v>
      </c>
      <c r="T891" t="str">
        <v>Male</v>
      </c>
      <c r="U891">
        <v>41</v>
      </c>
      <c r="V891">
        <v>44117</v>
      </c>
      <c r="W891" t="str">
        <v>Contract</v>
      </c>
      <c r="X891">
        <v>23132.33</v>
      </c>
      <c r="Y891">
        <v>5</v>
      </c>
      <c r="Z891">
        <v>95.48</v>
      </c>
      <c r="AA891">
        <v>5</v>
      </c>
      <c r="AB891">
        <v>7</v>
      </c>
      <c r="AC891">
        <v>59</v>
      </c>
      <c r="AD891" t="str">
        <v>Jamie Arnold</v>
      </c>
      <c r="AE891" t="str">
        <v>Active</v>
      </c>
      <c r="AF891">
        <v>277587.96000000002</v>
      </c>
    </row>
    <row r="892" spans="16:32" x14ac:dyDescent="0.25">
      <c r="P892" t="str">
        <v>EMP0889</v>
      </c>
      <c r="Q892" t="str">
        <v>Rodney Newton MD</v>
      </c>
      <c r="R892" t="str">
        <v>R&amp;D</v>
      </c>
      <c r="S892" t="str">
        <v>Researcher</v>
      </c>
      <c r="T892" t="str">
        <v>Male</v>
      </c>
      <c r="U892">
        <v>34</v>
      </c>
      <c r="V892">
        <v>43323</v>
      </c>
      <c r="W892" t="str">
        <v>Full-Time</v>
      </c>
      <c r="X892">
        <v>115264.5</v>
      </c>
      <c r="Y892">
        <v>4</v>
      </c>
      <c r="Z892">
        <v>85.4</v>
      </c>
      <c r="AA892">
        <v>7</v>
      </c>
      <c r="AB892">
        <v>22</v>
      </c>
      <c r="AC892">
        <v>5</v>
      </c>
      <c r="AD892" t="str">
        <v>Cristian Santos</v>
      </c>
      <c r="AE892" t="str">
        <v>Active</v>
      </c>
      <c r="AF892">
        <v>1383174</v>
      </c>
    </row>
    <row r="893" spans="16:32" x14ac:dyDescent="0.25">
      <c r="P893" t="str">
        <v>EMP0890</v>
      </c>
      <c r="Q893" t="str">
        <v>Chelsea Conrad</v>
      </c>
      <c r="R893" t="str">
        <v>Customer Support</v>
      </c>
      <c r="S893" t="str">
        <v>Support Agent</v>
      </c>
      <c r="T893" t="str">
        <v>Female</v>
      </c>
      <c r="U893">
        <v>49</v>
      </c>
      <c r="V893">
        <v>43883</v>
      </c>
      <c r="W893" t="str">
        <v>Part-Time</v>
      </c>
      <c r="X893">
        <v>72477.789999999994</v>
      </c>
      <c r="Y893">
        <v>3</v>
      </c>
      <c r="Z893">
        <v>83.68</v>
      </c>
      <c r="AA893">
        <v>5</v>
      </c>
      <c r="AB893">
        <v>6</v>
      </c>
      <c r="AC893">
        <v>5</v>
      </c>
      <c r="AD893" t="str">
        <v>Michele Williams</v>
      </c>
      <c r="AE893" t="str">
        <v>Active</v>
      </c>
      <c r="AF893">
        <v>869733.48</v>
      </c>
    </row>
    <row r="894" spans="16:32" x14ac:dyDescent="0.25">
      <c r="P894" t="str">
        <v>EMP0891</v>
      </c>
      <c r="Q894" t="str">
        <v>Roger Lee</v>
      </c>
      <c r="R894" t="str">
        <v>Finance</v>
      </c>
      <c r="S894" t="str">
        <v>Accountant</v>
      </c>
      <c r="T894" t="str">
        <v>Male</v>
      </c>
      <c r="U894">
        <v>43</v>
      </c>
      <c r="V894">
        <v>44744</v>
      </c>
      <c r="W894" t="str">
        <v>Part-Time</v>
      </c>
      <c r="X894">
        <v>68162.53</v>
      </c>
      <c r="Y894">
        <v>5</v>
      </c>
      <c r="Z894">
        <v>93.78</v>
      </c>
      <c r="AA894">
        <v>3</v>
      </c>
      <c r="AB894">
        <v>20</v>
      </c>
      <c r="AC894">
        <v>44</v>
      </c>
      <c r="AD894" t="str">
        <v>Michele Williams</v>
      </c>
      <c r="AE894" t="str">
        <v>Active</v>
      </c>
      <c r="AF894">
        <v>817950.36</v>
      </c>
    </row>
    <row r="895" spans="16:32" x14ac:dyDescent="0.25">
      <c r="P895" t="str">
        <v>EMP0892</v>
      </c>
      <c r="Q895" t="str">
        <v>Jason House</v>
      </c>
      <c r="R895" t="str">
        <v>Customer Support</v>
      </c>
      <c r="S895" t="str">
        <v>Support Agent</v>
      </c>
      <c r="T895" t="str">
        <v>Male</v>
      </c>
      <c r="U895">
        <v>25</v>
      </c>
      <c r="V895">
        <v>44402</v>
      </c>
      <c r="W895" t="str">
        <v>Contract</v>
      </c>
      <c r="X895">
        <v>86796.25</v>
      </c>
      <c r="Y895">
        <v>5</v>
      </c>
      <c r="Z895">
        <v>82.89</v>
      </c>
      <c r="AA895">
        <v>4</v>
      </c>
      <c r="AB895">
        <v>40</v>
      </c>
      <c r="AC895">
        <v>0</v>
      </c>
      <c r="AD895" t="str">
        <v>Cristian Santos</v>
      </c>
      <c r="AE895" t="str">
        <v>Resigned</v>
      </c>
      <c r="AF895">
        <v>1041555</v>
      </c>
    </row>
    <row r="896" spans="16:32" x14ac:dyDescent="0.25">
      <c r="P896" t="str">
        <v>EMP0893</v>
      </c>
      <c r="Q896" t="str">
        <v>Joanna Barrett</v>
      </c>
      <c r="R896" t="str">
        <v>HR</v>
      </c>
      <c r="S896" t="str">
        <v>Recruiter</v>
      </c>
      <c r="T896" t="str">
        <v>Female</v>
      </c>
      <c r="U896">
        <v>28</v>
      </c>
      <c r="V896">
        <v>43068</v>
      </c>
      <c r="W896" t="str">
        <v>Contract</v>
      </c>
      <c r="X896">
        <v>60638.66</v>
      </c>
      <c r="Y896">
        <v>5</v>
      </c>
      <c r="Z896">
        <v>94.45</v>
      </c>
      <c r="AA896">
        <v>8</v>
      </c>
      <c r="AB896">
        <v>57</v>
      </c>
      <c r="AC896">
        <v>60</v>
      </c>
      <c r="AD896" t="str">
        <v>Cristian Santos</v>
      </c>
      <c r="AE896" t="str">
        <v>Active</v>
      </c>
      <c r="AF896">
        <v>727663.92</v>
      </c>
    </row>
    <row r="897" spans="16:32" x14ac:dyDescent="0.25">
      <c r="P897" t="str">
        <v>EMP0894</v>
      </c>
      <c r="Q897" t="str">
        <v>Jonathan Moreno</v>
      </c>
      <c r="R897" t="str">
        <v>Marketing</v>
      </c>
      <c r="S897" t="str">
        <v>Marketing Analyst</v>
      </c>
      <c r="T897" t="str">
        <v>Male</v>
      </c>
      <c r="U897">
        <v>33</v>
      </c>
      <c r="V897">
        <v>45435</v>
      </c>
      <c r="W897" t="str">
        <v>Part-Time</v>
      </c>
      <c r="X897">
        <v>89644.61</v>
      </c>
      <c r="Y897">
        <v>2</v>
      </c>
      <c r="Z897">
        <v>92.02</v>
      </c>
      <c r="AA897">
        <v>1</v>
      </c>
      <c r="AB897">
        <v>27</v>
      </c>
      <c r="AC897">
        <v>22</v>
      </c>
      <c r="AD897" t="str">
        <v>Abigail Shaffer</v>
      </c>
      <c r="AE897" t="str">
        <v>Resigned</v>
      </c>
      <c r="AF897">
        <v>1075735.32</v>
      </c>
    </row>
    <row r="898" spans="16:32" x14ac:dyDescent="0.25">
      <c r="P898" t="str">
        <v>EMP0895</v>
      </c>
      <c r="Q898" t="str">
        <v>Jessica Richards</v>
      </c>
      <c r="R898" t="str">
        <v>Sales</v>
      </c>
      <c r="S898" t="str">
        <v>Sales Manager</v>
      </c>
      <c r="T898" t="str">
        <v>Female</v>
      </c>
      <c r="U898">
        <v>22</v>
      </c>
      <c r="V898">
        <v>42604</v>
      </c>
      <c r="W898" t="str">
        <v>Part-Time</v>
      </c>
      <c r="X898">
        <v>109665.49</v>
      </c>
      <c r="Y898">
        <v>5</v>
      </c>
      <c r="Z898">
        <v>96.38</v>
      </c>
      <c r="AA898">
        <v>9</v>
      </c>
      <c r="AB898">
        <v>15</v>
      </c>
      <c r="AC898">
        <v>44</v>
      </c>
      <c r="AD898" t="str">
        <v>Brian Ramirez</v>
      </c>
      <c r="AE898" t="str">
        <v>Active</v>
      </c>
      <c r="AF898">
        <v>1315985.8800000001</v>
      </c>
    </row>
    <row r="899" spans="16:32" x14ac:dyDescent="0.25">
      <c r="P899" t="str">
        <v>EMP0896</v>
      </c>
      <c r="Q899" t="str">
        <v>Susan Holt</v>
      </c>
      <c r="R899" t="str">
        <v>R&amp;D</v>
      </c>
      <c r="S899" t="str">
        <v>Product Developer</v>
      </c>
      <c r="T899" t="str">
        <v>Female</v>
      </c>
      <c r="U899">
        <v>43</v>
      </c>
      <c r="V899">
        <v>45461</v>
      </c>
      <c r="W899" t="str">
        <v>Part-Time</v>
      </c>
      <c r="X899">
        <v>102818.59</v>
      </c>
      <c r="Y899">
        <v>4</v>
      </c>
      <c r="Z899">
        <v>90.46</v>
      </c>
      <c r="AA899">
        <v>1</v>
      </c>
      <c r="AB899">
        <v>42</v>
      </c>
      <c r="AC899">
        <v>7</v>
      </c>
      <c r="AD899" t="str">
        <v>Connie Lawrence</v>
      </c>
      <c r="AE899" t="str">
        <v>Active</v>
      </c>
      <c r="AF899">
        <v>1233823.08</v>
      </c>
    </row>
    <row r="900" spans="16:32" x14ac:dyDescent="0.25">
      <c r="P900" t="str">
        <v>EMP0897</v>
      </c>
      <c r="Q900" t="str">
        <v>Betty Hughes</v>
      </c>
      <c r="R900" t="str">
        <v>Operations</v>
      </c>
      <c r="S900" t="str">
        <v>Operations Associate</v>
      </c>
      <c r="T900" t="str">
        <v>Male</v>
      </c>
      <c r="U900">
        <v>55</v>
      </c>
      <c r="V900">
        <v>43382</v>
      </c>
      <c r="W900" t="str">
        <v>Part-Time</v>
      </c>
      <c r="X900">
        <v>58156.33</v>
      </c>
      <c r="Y900">
        <v>4</v>
      </c>
      <c r="Z900">
        <v>92.68</v>
      </c>
      <c r="AA900">
        <v>7</v>
      </c>
      <c r="AB900">
        <v>79</v>
      </c>
      <c r="AC900">
        <v>60</v>
      </c>
      <c r="AD900" t="str">
        <v>Daniel Wagner</v>
      </c>
      <c r="AE900" t="str">
        <v>Resigned</v>
      </c>
      <c r="AF900">
        <v>697875.96</v>
      </c>
    </row>
    <row r="901" spans="16:32" x14ac:dyDescent="0.25">
      <c r="P901" t="str">
        <v>EMP0898</v>
      </c>
      <c r="Q901" t="str">
        <v>Janice Petty</v>
      </c>
      <c r="R901" t="str">
        <v>Marketing</v>
      </c>
      <c r="S901" t="str">
        <v>Marketing Analyst</v>
      </c>
      <c r="T901" t="str">
        <v>Male</v>
      </c>
      <c r="U901">
        <v>60</v>
      </c>
      <c r="V901">
        <v>44302</v>
      </c>
      <c r="W901" t="str">
        <v>Part-Time</v>
      </c>
      <c r="X901">
        <v>30367.53</v>
      </c>
      <c r="Y901">
        <v>5</v>
      </c>
      <c r="Z901">
        <v>98.54</v>
      </c>
      <c r="AA901">
        <v>4</v>
      </c>
      <c r="AB901">
        <v>12</v>
      </c>
      <c r="AC901">
        <v>40</v>
      </c>
      <c r="AD901" t="str">
        <v>Dylan Miller</v>
      </c>
      <c r="AE901" t="str">
        <v>Active</v>
      </c>
      <c r="AF901">
        <v>364410.36</v>
      </c>
    </row>
    <row r="902" spans="16:32" x14ac:dyDescent="0.25">
      <c r="P902" t="str">
        <v>EMP0899</v>
      </c>
      <c r="Q902" t="str">
        <v>Victor Waller</v>
      </c>
      <c r="R902" t="str">
        <v>Sales</v>
      </c>
      <c r="S902" t="str">
        <v>Account Executive</v>
      </c>
      <c r="T902" t="str">
        <v>Female</v>
      </c>
      <c r="U902">
        <v>47</v>
      </c>
      <c r="V902">
        <v>43845</v>
      </c>
      <c r="W902" t="str">
        <v>Full-Time</v>
      </c>
      <c r="X902">
        <v>42287.94</v>
      </c>
      <c r="Y902">
        <v>4</v>
      </c>
      <c r="Z902">
        <v>91.03</v>
      </c>
      <c r="AA902">
        <v>5</v>
      </c>
      <c r="AB902">
        <v>14</v>
      </c>
      <c r="AC902">
        <v>12</v>
      </c>
      <c r="AD902" t="str">
        <v>Brian Ramirez</v>
      </c>
      <c r="AE902" t="str">
        <v>Resigned</v>
      </c>
      <c r="AF902">
        <v>507455.28</v>
      </c>
    </row>
    <row r="903" spans="16:32" x14ac:dyDescent="0.25">
      <c r="P903" t="str">
        <v>EMP0900</v>
      </c>
      <c r="Q903" t="str">
        <v>Brenda Morrison</v>
      </c>
      <c r="R903" t="str">
        <v>Operations</v>
      </c>
      <c r="S903" t="str">
        <v>Operations Manager</v>
      </c>
      <c r="T903" t="str">
        <v>Female</v>
      </c>
      <c r="U903">
        <v>46</v>
      </c>
      <c r="V903">
        <v>45116</v>
      </c>
      <c r="W903" t="str">
        <v>Full-Time</v>
      </c>
      <c r="X903">
        <v>113961.68</v>
      </c>
      <c r="Y903">
        <v>2</v>
      </c>
      <c r="Z903">
        <v>90.15</v>
      </c>
      <c r="AA903">
        <v>2</v>
      </c>
      <c r="AB903">
        <v>34</v>
      </c>
      <c r="AC903">
        <v>56</v>
      </c>
      <c r="AD903" t="str">
        <v>Gabrielle Davis</v>
      </c>
      <c r="AE903" t="str">
        <v>Active</v>
      </c>
      <c r="AF903">
        <v>1367540.16</v>
      </c>
    </row>
    <row r="904" spans="16:32" x14ac:dyDescent="0.25">
      <c r="P904" t="str">
        <v>EMP0901</v>
      </c>
      <c r="Q904" t="str">
        <v>Michael Valencia</v>
      </c>
      <c r="R904" t="str">
        <v>Customer Support</v>
      </c>
      <c r="S904" t="str">
        <v>Support Agent</v>
      </c>
      <c r="T904" t="str">
        <v>Male</v>
      </c>
      <c r="U904">
        <v>47</v>
      </c>
      <c r="V904">
        <v>45486</v>
      </c>
      <c r="W904" t="str">
        <v>Full-Time</v>
      </c>
      <c r="X904">
        <v>21553.01</v>
      </c>
      <c r="Y904">
        <v>2</v>
      </c>
      <c r="Z904">
        <v>95.81</v>
      </c>
      <c r="AA904">
        <v>1</v>
      </c>
      <c r="AB904">
        <v>66</v>
      </c>
      <c r="AC904">
        <v>52</v>
      </c>
      <c r="AD904" t="str">
        <v>Carla Gray</v>
      </c>
      <c r="AE904" t="str">
        <v>Active</v>
      </c>
      <c r="AF904">
        <v>258636.12</v>
      </c>
    </row>
    <row r="905" spans="16:32" x14ac:dyDescent="0.25">
      <c r="P905" t="str">
        <v>EMP0902</v>
      </c>
      <c r="Q905" t="str">
        <v>Christina Weber</v>
      </c>
      <c r="R905" t="str">
        <v>HR</v>
      </c>
      <c r="S905" t="str">
        <v>HR Manager</v>
      </c>
      <c r="T905" t="str">
        <v>Female</v>
      </c>
      <c r="U905">
        <v>36</v>
      </c>
      <c r="V905">
        <v>45742</v>
      </c>
      <c r="W905" t="str">
        <v>Contract</v>
      </c>
      <c r="X905">
        <v>117349.03</v>
      </c>
      <c r="Y905">
        <v>2</v>
      </c>
      <c r="Z905">
        <v>92.33</v>
      </c>
      <c r="AA905">
        <v>0</v>
      </c>
      <c r="AB905">
        <v>50</v>
      </c>
      <c r="AC905">
        <v>53</v>
      </c>
      <c r="AD905" t="str">
        <v>Noah Rhodes</v>
      </c>
      <c r="AE905" t="str">
        <v>Active</v>
      </c>
      <c r="AF905">
        <v>1408188.3599999999</v>
      </c>
    </row>
    <row r="906" spans="16:32" x14ac:dyDescent="0.25">
      <c r="P906" t="str">
        <v>EMP0903</v>
      </c>
      <c r="Q906" t="str">
        <v>Tammy Anderson</v>
      </c>
      <c r="R906" t="str">
        <v>Customer Support</v>
      </c>
      <c r="S906" t="str">
        <v>Support Agent</v>
      </c>
      <c r="T906" t="str">
        <v>Female</v>
      </c>
      <c r="U906">
        <v>32</v>
      </c>
      <c r="V906">
        <v>44108</v>
      </c>
      <c r="W906" t="str">
        <v>Part-Time</v>
      </c>
      <c r="X906">
        <v>110417.14</v>
      </c>
      <c r="Y906">
        <v>5</v>
      </c>
      <c r="Z906">
        <v>83.17</v>
      </c>
      <c r="AA906">
        <v>5</v>
      </c>
      <c r="AB906">
        <v>29</v>
      </c>
      <c r="AC906">
        <v>6</v>
      </c>
      <c r="AD906" t="str">
        <v>Cristian Santos</v>
      </c>
      <c r="AE906" t="str">
        <v>Active</v>
      </c>
      <c r="AF906">
        <v>1325005.68</v>
      </c>
    </row>
    <row r="907" spans="16:32" x14ac:dyDescent="0.25">
      <c r="P907" t="str">
        <v>EMP0904</v>
      </c>
      <c r="Q907" t="str">
        <v>Melissa Morris</v>
      </c>
      <c r="R907" t="str">
        <v>Customer Support</v>
      </c>
      <c r="S907" t="str">
        <v>Team Lead</v>
      </c>
      <c r="T907" t="str">
        <v>Male</v>
      </c>
      <c r="U907">
        <v>41</v>
      </c>
      <c r="V907">
        <v>43407</v>
      </c>
      <c r="W907" t="str">
        <v>Full-Time</v>
      </c>
      <c r="X907">
        <v>29325.439999999999</v>
      </c>
      <c r="Y907">
        <v>1</v>
      </c>
      <c r="Z907">
        <v>88.75</v>
      </c>
      <c r="AA907">
        <v>7</v>
      </c>
      <c r="AB907">
        <v>80</v>
      </c>
      <c r="AC907">
        <v>49</v>
      </c>
      <c r="AD907" t="str">
        <v>Lisa Jackson</v>
      </c>
      <c r="AE907" t="str">
        <v>Active</v>
      </c>
      <c r="AF907">
        <v>351905.27999999997</v>
      </c>
    </row>
    <row r="908" spans="16:32" x14ac:dyDescent="0.25">
      <c r="P908" t="str">
        <v>EMP0905</v>
      </c>
      <c r="Q908" t="str">
        <v>Kristina Aguilar</v>
      </c>
      <c r="R908" t="str">
        <v>Marketing</v>
      </c>
      <c r="S908" t="str">
        <v>Content Specialist</v>
      </c>
      <c r="T908" t="str">
        <v>Female</v>
      </c>
      <c r="U908">
        <v>22</v>
      </c>
      <c r="V908">
        <v>43020</v>
      </c>
      <c r="W908" t="str">
        <v>Contract</v>
      </c>
      <c r="X908">
        <v>93416.92</v>
      </c>
      <c r="Y908">
        <v>4</v>
      </c>
      <c r="Z908">
        <v>92.69</v>
      </c>
      <c r="AA908">
        <v>8</v>
      </c>
      <c r="AB908">
        <v>45</v>
      </c>
      <c r="AC908">
        <v>11</v>
      </c>
      <c r="AD908" t="str">
        <v>Gina Moore</v>
      </c>
      <c r="AE908" t="str">
        <v>Active</v>
      </c>
      <c r="AF908">
        <v>1121003.04</v>
      </c>
    </row>
    <row r="909" spans="16:32" x14ac:dyDescent="0.25">
      <c r="P909" t="str">
        <v>EMP0906</v>
      </c>
      <c r="Q909" t="str">
        <v>Stephanie Ferguson</v>
      </c>
      <c r="R909" t="str">
        <v>IT</v>
      </c>
      <c r="S909" t="str">
        <v>Software Engineer</v>
      </c>
      <c r="T909" t="str">
        <v>Male</v>
      </c>
      <c r="U909">
        <v>55</v>
      </c>
      <c r="V909">
        <v>44897</v>
      </c>
      <c r="W909" t="str">
        <v>Full-Time</v>
      </c>
      <c r="X909">
        <v>92631.26</v>
      </c>
      <c r="Y909">
        <v>4</v>
      </c>
      <c r="Z909">
        <v>95.41</v>
      </c>
      <c r="AA909">
        <v>3</v>
      </c>
      <c r="AB909">
        <v>6</v>
      </c>
      <c r="AC909">
        <v>17</v>
      </c>
      <c r="AD909" t="str">
        <v>Angie Henderson</v>
      </c>
      <c r="AE909" t="str">
        <v>Resigned</v>
      </c>
      <c r="AF909">
        <v>1111575.1199999999</v>
      </c>
    </row>
    <row r="910" spans="16:32" x14ac:dyDescent="0.25">
      <c r="P910" t="str">
        <v>EMP0907</v>
      </c>
      <c r="Q910" t="str">
        <v>Kelly Johnson</v>
      </c>
      <c r="R910" t="str">
        <v>Sales</v>
      </c>
      <c r="S910" t="str">
        <v>Account Executive</v>
      </c>
      <c r="T910" t="str">
        <v>Male</v>
      </c>
      <c r="U910">
        <v>28</v>
      </c>
      <c r="V910">
        <v>44927</v>
      </c>
      <c r="W910" t="str">
        <v>Part-Time</v>
      </c>
      <c r="X910">
        <v>112719.9</v>
      </c>
      <c r="Y910">
        <v>1</v>
      </c>
      <c r="Z910">
        <v>82.14</v>
      </c>
      <c r="AA910">
        <v>2</v>
      </c>
      <c r="AB910">
        <v>36</v>
      </c>
      <c r="AC910">
        <v>16</v>
      </c>
      <c r="AD910" t="str">
        <v>Connie Lawrence</v>
      </c>
      <c r="AE910" t="str">
        <v>Active</v>
      </c>
      <c r="AF910">
        <v>1352638.7999999998</v>
      </c>
    </row>
    <row r="911" spans="16:32" x14ac:dyDescent="0.25">
      <c r="P911" t="str">
        <v>EMP0908</v>
      </c>
      <c r="Q911" t="str">
        <v>Anthony Adams</v>
      </c>
      <c r="R911" t="str">
        <v>R&amp;D</v>
      </c>
      <c r="S911" t="str">
        <v>Product Developer</v>
      </c>
      <c r="T911" t="str">
        <v>Male</v>
      </c>
      <c r="U911">
        <v>46</v>
      </c>
      <c r="V911">
        <v>43206</v>
      </c>
      <c r="W911" t="str">
        <v>Full-Time</v>
      </c>
      <c r="X911">
        <v>69103.7</v>
      </c>
      <c r="Y911">
        <v>1</v>
      </c>
      <c r="Z911">
        <v>88.27</v>
      </c>
      <c r="AA911">
        <v>7</v>
      </c>
      <c r="AB911">
        <v>62</v>
      </c>
      <c r="AC911">
        <v>40</v>
      </c>
      <c r="AD911" t="str">
        <v>Angie Henderson</v>
      </c>
      <c r="AE911" t="str">
        <v>Active</v>
      </c>
      <c r="AF911">
        <v>829244.39999999991</v>
      </c>
    </row>
    <row r="912" spans="16:32" x14ac:dyDescent="0.25">
      <c r="P912" t="str">
        <v>EMP0909</v>
      </c>
      <c r="Q912" t="str">
        <v>Miss Brianna Brown</v>
      </c>
      <c r="R912" t="str">
        <v>Customer Support</v>
      </c>
      <c r="S912" t="str">
        <v>Team Lead</v>
      </c>
      <c r="T912" t="str">
        <v>Female</v>
      </c>
      <c r="U912">
        <v>49</v>
      </c>
      <c r="V912">
        <v>43303</v>
      </c>
      <c r="W912" t="str">
        <v>Full-Time</v>
      </c>
      <c r="X912">
        <v>37980.639999999999</v>
      </c>
      <c r="Y912">
        <v>1</v>
      </c>
      <c r="Z912">
        <v>98.07</v>
      </c>
      <c r="AA912">
        <v>7</v>
      </c>
      <c r="AB912">
        <v>72</v>
      </c>
      <c r="AC912">
        <v>40</v>
      </c>
      <c r="AD912" t="str">
        <v>Carla Gray</v>
      </c>
      <c r="AE912" t="str">
        <v>Resigned</v>
      </c>
      <c r="AF912">
        <v>455767.68</v>
      </c>
    </row>
    <row r="913" spans="16:32" x14ac:dyDescent="0.25">
      <c r="P913" t="str">
        <v>EMP0910</v>
      </c>
      <c r="Q913" t="str">
        <v>Joshua Howard</v>
      </c>
      <c r="R913" t="str">
        <v>Marketing</v>
      </c>
      <c r="S913" t="str">
        <v>Brand Manager</v>
      </c>
      <c r="T913" t="str">
        <v>Female</v>
      </c>
      <c r="U913">
        <v>51</v>
      </c>
      <c r="V913">
        <v>44136</v>
      </c>
      <c r="W913" t="str">
        <v>Contract</v>
      </c>
      <c r="X913">
        <v>79999.289999999994</v>
      </c>
      <c r="Y913">
        <v>1</v>
      </c>
      <c r="Z913">
        <v>83.17</v>
      </c>
      <c r="AA913">
        <v>5</v>
      </c>
      <c r="AB913">
        <v>32</v>
      </c>
      <c r="AC913">
        <v>59</v>
      </c>
      <c r="AD913" t="str">
        <v>Daniel Wagner</v>
      </c>
      <c r="AE913" t="str">
        <v>Active</v>
      </c>
      <c r="AF913">
        <v>959991.48</v>
      </c>
    </row>
    <row r="914" spans="16:32" x14ac:dyDescent="0.25">
      <c r="P914" t="str">
        <v>EMP0911</v>
      </c>
      <c r="Q914" t="str">
        <v>Sean Stevenson</v>
      </c>
      <c r="R914" t="str">
        <v>Sales</v>
      </c>
      <c r="S914" t="str">
        <v>Account Executive</v>
      </c>
      <c r="T914" t="str">
        <v>Male</v>
      </c>
      <c r="U914">
        <v>54</v>
      </c>
      <c r="V914">
        <v>45115</v>
      </c>
      <c r="W914" t="str">
        <v>Contract</v>
      </c>
      <c r="X914">
        <v>96096.1</v>
      </c>
      <c r="Y914">
        <v>2</v>
      </c>
      <c r="Z914">
        <v>97.34</v>
      </c>
      <c r="AA914">
        <v>2</v>
      </c>
      <c r="AB914">
        <v>14</v>
      </c>
      <c r="AC914">
        <v>57</v>
      </c>
      <c r="AD914" t="str">
        <v>Abigail Shaffer</v>
      </c>
      <c r="AE914" t="str">
        <v>Active</v>
      </c>
      <c r="AF914">
        <v>1153153.2000000002</v>
      </c>
    </row>
    <row r="915" spans="16:32" x14ac:dyDescent="0.25">
      <c r="P915" t="str">
        <v>EMP0912</v>
      </c>
      <c r="Q915" t="str">
        <v>Kristina Young</v>
      </c>
      <c r="R915" t="str">
        <v>HR</v>
      </c>
      <c r="S915" t="str">
        <v>HR Officer</v>
      </c>
      <c r="T915" t="str">
        <v>Male</v>
      </c>
      <c r="U915">
        <v>29</v>
      </c>
      <c r="V915">
        <v>43696</v>
      </c>
      <c r="W915" t="str">
        <v>Part-Time</v>
      </c>
      <c r="X915">
        <v>47366.65</v>
      </c>
      <c r="Y915">
        <v>2</v>
      </c>
      <c r="Z915">
        <v>99.06</v>
      </c>
      <c r="AA915">
        <v>6</v>
      </c>
      <c r="AB915">
        <v>44</v>
      </c>
      <c r="AC915">
        <v>45</v>
      </c>
      <c r="AD915" t="str">
        <v>Derek Zuniga</v>
      </c>
      <c r="AE915" t="str">
        <v>Active</v>
      </c>
      <c r="AF915">
        <v>568399.80000000005</v>
      </c>
    </row>
    <row r="916" spans="16:32" x14ac:dyDescent="0.25">
      <c r="P916" t="str">
        <v>EMP0913</v>
      </c>
      <c r="Q916" t="str">
        <v>Amber James</v>
      </c>
      <c r="R916" t="str">
        <v>R&amp;D</v>
      </c>
      <c r="S916" t="str">
        <v>Product Developer</v>
      </c>
      <c r="T916" t="str">
        <v>Female</v>
      </c>
      <c r="U916">
        <v>53</v>
      </c>
      <c r="V916">
        <v>44090</v>
      </c>
      <c r="W916" t="str">
        <v>Part-Time</v>
      </c>
      <c r="X916">
        <v>112234.81</v>
      </c>
      <c r="Y916">
        <v>3</v>
      </c>
      <c r="Z916">
        <v>83.46</v>
      </c>
      <c r="AA916">
        <v>5</v>
      </c>
      <c r="AB916">
        <v>35</v>
      </c>
      <c r="AC916">
        <v>25</v>
      </c>
      <c r="AD916" t="str">
        <v>Daniel Wagner</v>
      </c>
      <c r="AE916" t="str">
        <v>Active</v>
      </c>
      <c r="AF916">
        <v>1346817.72</v>
      </c>
    </row>
    <row r="917" spans="16:32" x14ac:dyDescent="0.25">
      <c r="P917" t="str">
        <v>EMP0914</v>
      </c>
      <c r="Q917" t="str">
        <v>Vanessa Edwards</v>
      </c>
      <c r="R917" t="str">
        <v>Finance</v>
      </c>
      <c r="S917" t="str">
        <v>Accountant</v>
      </c>
      <c r="T917" t="str">
        <v>Male</v>
      </c>
      <c r="U917">
        <v>52</v>
      </c>
      <c r="V917">
        <v>44891</v>
      </c>
      <c r="W917" t="str">
        <v>Part-Time</v>
      </c>
      <c r="X917">
        <v>108285.73</v>
      </c>
      <c r="Y917">
        <v>4</v>
      </c>
      <c r="Z917">
        <v>91.93</v>
      </c>
      <c r="AA917">
        <v>3</v>
      </c>
      <c r="AB917">
        <v>34</v>
      </c>
      <c r="AC917">
        <v>52</v>
      </c>
      <c r="AD917" t="str">
        <v>Monica Herrera</v>
      </c>
      <c r="AE917" t="str">
        <v>Active</v>
      </c>
      <c r="AF917">
        <v>1299428.76</v>
      </c>
    </row>
    <row r="918" spans="16:32" x14ac:dyDescent="0.25">
      <c r="P918" t="str">
        <v>EMP0915</v>
      </c>
      <c r="Q918" t="str">
        <v>Patrick Harris</v>
      </c>
      <c r="R918" t="str">
        <v>Customer Support</v>
      </c>
      <c r="S918" t="str">
        <v>Team Lead</v>
      </c>
      <c r="T918" t="str">
        <v>Male</v>
      </c>
      <c r="U918">
        <v>57</v>
      </c>
      <c r="V918">
        <v>45733</v>
      </c>
      <c r="W918" t="str">
        <v>Part-Time</v>
      </c>
      <c r="X918">
        <v>57396.05</v>
      </c>
      <c r="Y918">
        <v>1</v>
      </c>
      <c r="Z918">
        <v>88.99</v>
      </c>
      <c r="AA918">
        <v>0</v>
      </c>
      <c r="AB918">
        <v>4</v>
      </c>
      <c r="AC918">
        <v>32</v>
      </c>
      <c r="AD918" t="str">
        <v>Gabrielle Davis</v>
      </c>
      <c r="AE918" t="str">
        <v>Active</v>
      </c>
      <c r="AF918">
        <v>688752.60000000009</v>
      </c>
    </row>
    <row r="919" spans="16:32" x14ac:dyDescent="0.25">
      <c r="P919" t="str">
        <v>EMP0916</v>
      </c>
      <c r="Q919" t="str">
        <v>Susan Bush</v>
      </c>
      <c r="R919" t="str">
        <v>Finance</v>
      </c>
      <c r="S919" t="str">
        <v>Finance Manager</v>
      </c>
      <c r="T919" t="str">
        <v>Female</v>
      </c>
      <c r="U919">
        <v>46</v>
      </c>
      <c r="V919">
        <v>45056</v>
      </c>
      <c r="W919" t="str">
        <v>Full-Time</v>
      </c>
      <c r="X919">
        <v>31465</v>
      </c>
      <c r="Y919">
        <v>3</v>
      </c>
      <c r="Z919">
        <v>88.59</v>
      </c>
      <c r="AA919">
        <v>2</v>
      </c>
      <c r="AB919">
        <v>23</v>
      </c>
      <c r="AC919">
        <v>22</v>
      </c>
      <c r="AD919" t="str">
        <v>Gina Moore</v>
      </c>
      <c r="AE919" t="str">
        <v>Active</v>
      </c>
      <c r="AF919">
        <v>377580</v>
      </c>
    </row>
    <row r="920" spans="16:32" x14ac:dyDescent="0.25">
      <c r="P920" t="str">
        <v>EMP0917</v>
      </c>
      <c r="Q920" t="str">
        <v>Kimberly Morrison</v>
      </c>
      <c r="R920" t="str">
        <v>Operations</v>
      </c>
      <c r="S920" t="str">
        <v>Operations Manager</v>
      </c>
      <c r="T920" t="str">
        <v>Male</v>
      </c>
      <c r="U920">
        <v>41</v>
      </c>
      <c r="V920">
        <v>44588</v>
      </c>
      <c r="W920" t="str">
        <v>Full-Time</v>
      </c>
      <c r="X920">
        <v>20963.3</v>
      </c>
      <c r="Y920">
        <v>1</v>
      </c>
      <c r="Z920">
        <v>94.34</v>
      </c>
      <c r="AA920">
        <v>3</v>
      </c>
      <c r="AB920">
        <v>27</v>
      </c>
      <c r="AC920">
        <v>29</v>
      </c>
      <c r="AD920" t="str">
        <v>Lisa Jackson</v>
      </c>
      <c r="AE920" t="str">
        <v>Active</v>
      </c>
      <c r="AF920">
        <v>251559.59999999998</v>
      </c>
    </row>
    <row r="921" spans="16:32" x14ac:dyDescent="0.25">
      <c r="P921" t="str">
        <v>EMP0918</v>
      </c>
      <c r="Q921" t="str">
        <v>Christopher Fleming</v>
      </c>
      <c r="R921" t="str">
        <v>IT</v>
      </c>
      <c r="S921" t="str">
        <v>Data Analyst</v>
      </c>
      <c r="T921" t="str">
        <v>Male</v>
      </c>
      <c r="U921">
        <v>45</v>
      </c>
      <c r="V921">
        <v>43505</v>
      </c>
      <c r="W921" t="str">
        <v>Part-Time</v>
      </c>
      <c r="X921">
        <v>80180.19</v>
      </c>
      <c r="Y921">
        <v>5</v>
      </c>
      <c r="Z921">
        <v>84.35</v>
      </c>
      <c r="AA921">
        <v>6</v>
      </c>
      <c r="AB921">
        <v>71</v>
      </c>
      <c r="AC921">
        <v>17</v>
      </c>
      <c r="AD921" t="str">
        <v>Carla Gray</v>
      </c>
      <c r="AE921" t="str">
        <v>Resigned</v>
      </c>
      <c r="AF921">
        <v>962162.28</v>
      </c>
    </row>
    <row r="922" spans="16:32" x14ac:dyDescent="0.25">
      <c r="P922" t="str">
        <v>EMP0919</v>
      </c>
      <c r="Q922" t="str">
        <v>Nancy Wilson</v>
      </c>
      <c r="R922" t="str">
        <v>Marketing</v>
      </c>
      <c r="S922" t="str">
        <v>Content Specialist</v>
      </c>
      <c r="T922" t="str">
        <v>Female</v>
      </c>
      <c r="U922">
        <v>48</v>
      </c>
      <c r="V922">
        <v>43464</v>
      </c>
      <c r="W922" t="str">
        <v>Part-Time</v>
      </c>
      <c r="X922">
        <v>101339.45</v>
      </c>
      <c r="Y922">
        <v>2</v>
      </c>
      <c r="Z922">
        <v>83.94</v>
      </c>
      <c r="AA922">
        <v>7</v>
      </c>
      <c r="AB922">
        <v>63</v>
      </c>
      <c r="AC922">
        <v>31</v>
      </c>
      <c r="AD922" t="str">
        <v>Noah Rhodes</v>
      </c>
      <c r="AE922" t="str">
        <v>Resigned</v>
      </c>
      <c r="AF922">
        <v>1216073.3999999999</v>
      </c>
    </row>
    <row r="923" spans="16:32" x14ac:dyDescent="0.25">
      <c r="P923" t="str">
        <v>EMP0920</v>
      </c>
      <c r="Q923" t="str">
        <v>Justin Anderson</v>
      </c>
      <c r="R923" t="str">
        <v>Customer Support</v>
      </c>
      <c r="S923" t="str">
        <v>Support Agent</v>
      </c>
      <c r="T923" t="str">
        <v>Male</v>
      </c>
      <c r="U923">
        <v>49</v>
      </c>
      <c r="V923">
        <v>42555</v>
      </c>
      <c r="W923" t="str">
        <v>Full-Time</v>
      </c>
      <c r="X923">
        <v>80143.070000000007</v>
      </c>
      <c r="Y923">
        <v>5</v>
      </c>
      <c r="Z923">
        <v>87.66</v>
      </c>
      <c r="AA923">
        <v>9</v>
      </c>
      <c r="AB923">
        <v>73</v>
      </c>
      <c r="AC923">
        <v>1</v>
      </c>
      <c r="AD923" t="str">
        <v>Ryan Munoz</v>
      </c>
      <c r="AE923" t="str">
        <v>Active</v>
      </c>
      <c r="AF923">
        <v>961716.84000000008</v>
      </c>
    </row>
    <row r="924" spans="16:32" x14ac:dyDescent="0.25">
      <c r="P924" t="str">
        <v>EMP0921</v>
      </c>
      <c r="Q924" t="str">
        <v>Abigail Owens</v>
      </c>
      <c r="R924" t="str">
        <v>Sales</v>
      </c>
      <c r="S924" t="str">
        <v>Sales Manager</v>
      </c>
      <c r="T924" t="str">
        <v>Female</v>
      </c>
      <c r="U924">
        <v>29</v>
      </c>
      <c r="V924">
        <v>45931</v>
      </c>
      <c r="W924" t="str">
        <v>Part-Time</v>
      </c>
      <c r="X924">
        <v>23700.82</v>
      </c>
      <c r="Y924">
        <v>5</v>
      </c>
      <c r="Z924">
        <v>98.36</v>
      </c>
      <c r="AA924">
        <v>0</v>
      </c>
      <c r="AB924">
        <v>5</v>
      </c>
      <c r="AC924">
        <v>21</v>
      </c>
      <c r="AD924" t="str">
        <v>Allison Hill</v>
      </c>
      <c r="AE924" t="str">
        <v>Active</v>
      </c>
      <c r="AF924">
        <v>284409.83999999997</v>
      </c>
    </row>
    <row r="925" spans="16:32" x14ac:dyDescent="0.25">
      <c r="P925" t="str">
        <v>EMP0922</v>
      </c>
      <c r="Q925" t="str">
        <v>Timothy Carlson</v>
      </c>
      <c r="R925" t="str">
        <v>Marketing</v>
      </c>
      <c r="S925" t="str">
        <v>Brand Manager</v>
      </c>
      <c r="T925" t="str">
        <v>Female</v>
      </c>
      <c r="U925">
        <v>38</v>
      </c>
      <c r="V925">
        <v>43264</v>
      </c>
      <c r="W925" t="str">
        <v>Part-Time</v>
      </c>
      <c r="X925">
        <v>95369.23</v>
      </c>
      <c r="Y925">
        <v>4</v>
      </c>
      <c r="Z925">
        <v>81.599999999999994</v>
      </c>
      <c r="AA925">
        <v>7</v>
      </c>
      <c r="AB925">
        <v>40</v>
      </c>
      <c r="AC925">
        <v>31</v>
      </c>
      <c r="AD925" t="str">
        <v>Carla Gray</v>
      </c>
      <c r="AE925" t="str">
        <v>Active</v>
      </c>
      <c r="AF925">
        <v>1144430.76</v>
      </c>
    </row>
    <row r="926" spans="16:32" x14ac:dyDescent="0.25">
      <c r="P926" t="str">
        <v>EMP0923</v>
      </c>
      <c r="Q926" t="str">
        <v>Kenneth Howard DDS</v>
      </c>
      <c r="R926" t="str">
        <v>Finance</v>
      </c>
      <c r="S926" t="str">
        <v>Finance Manager</v>
      </c>
      <c r="T926" t="str">
        <v>Female</v>
      </c>
      <c r="U926">
        <v>52</v>
      </c>
      <c r="V926">
        <v>44174</v>
      </c>
      <c r="W926" t="str">
        <v>Contract</v>
      </c>
      <c r="X926">
        <v>116715.25</v>
      </c>
      <c r="Y926">
        <v>1</v>
      </c>
      <c r="Z926">
        <v>96.86</v>
      </c>
      <c r="AA926">
        <v>5</v>
      </c>
      <c r="AB926">
        <v>79</v>
      </c>
      <c r="AC926">
        <v>6</v>
      </c>
      <c r="AD926" t="str">
        <v>Allison Hill</v>
      </c>
      <c r="AE926" t="str">
        <v>Active</v>
      </c>
      <c r="AF926">
        <v>1400583</v>
      </c>
    </row>
    <row r="927" spans="16:32" x14ac:dyDescent="0.25">
      <c r="P927" t="str">
        <v>EMP0924</v>
      </c>
      <c r="Q927" t="str">
        <v>Tina Meyer</v>
      </c>
      <c r="R927" t="str">
        <v>Sales</v>
      </c>
      <c r="S927" t="str">
        <v>Sales Rep</v>
      </c>
      <c r="T927" t="str">
        <v>Male</v>
      </c>
      <c r="U927">
        <v>41</v>
      </c>
      <c r="V927">
        <v>44278</v>
      </c>
      <c r="W927" t="str">
        <v>Contract</v>
      </c>
      <c r="X927">
        <v>92425.34</v>
      </c>
      <c r="Y927">
        <v>2</v>
      </c>
      <c r="Z927">
        <v>83.4</v>
      </c>
      <c r="AA927">
        <v>4</v>
      </c>
      <c r="AB927">
        <v>24</v>
      </c>
      <c r="AC927">
        <v>46</v>
      </c>
      <c r="AD927" t="str">
        <v>Jamie Arnold</v>
      </c>
      <c r="AE927" t="str">
        <v>Active</v>
      </c>
      <c r="AF927">
        <v>1109104.08</v>
      </c>
    </row>
    <row r="928" spans="16:32" x14ac:dyDescent="0.25">
      <c r="P928" t="str">
        <v>EMP0925</v>
      </c>
      <c r="Q928" t="str">
        <v>Joshua Powell</v>
      </c>
      <c r="R928" t="str">
        <v>Sales</v>
      </c>
      <c r="S928" t="str">
        <v>Account Executive</v>
      </c>
      <c r="T928" t="str">
        <v>Male</v>
      </c>
      <c r="U928">
        <v>37</v>
      </c>
      <c r="V928">
        <v>45441</v>
      </c>
      <c r="W928" t="str">
        <v>Full-Time</v>
      </c>
      <c r="X928">
        <v>31080.36</v>
      </c>
      <c r="Y928">
        <v>3</v>
      </c>
      <c r="Z928">
        <v>81.5</v>
      </c>
      <c r="AA928">
        <v>1</v>
      </c>
      <c r="AB928">
        <v>42</v>
      </c>
      <c r="AC928">
        <v>44</v>
      </c>
      <c r="AD928" t="str">
        <v>Carla Gray</v>
      </c>
      <c r="AE928" t="str">
        <v>Active</v>
      </c>
      <c r="AF928">
        <v>372964.32</v>
      </c>
    </row>
    <row r="929" spans="16:32" x14ac:dyDescent="0.25">
      <c r="P929" t="str">
        <v>EMP0926</v>
      </c>
      <c r="Q929" t="str">
        <v>Daniel Rivera</v>
      </c>
      <c r="R929" t="str">
        <v>Customer Support</v>
      </c>
      <c r="S929" t="str">
        <v>Team Lead</v>
      </c>
      <c r="T929" t="str">
        <v>Male</v>
      </c>
      <c r="U929">
        <v>29</v>
      </c>
      <c r="V929">
        <v>44474</v>
      </c>
      <c r="W929" t="str">
        <v>Contract</v>
      </c>
      <c r="X929">
        <v>66069.38</v>
      </c>
      <c r="Y929">
        <v>2</v>
      </c>
      <c r="Z929">
        <v>86.39</v>
      </c>
      <c r="AA929">
        <v>4</v>
      </c>
      <c r="AB929">
        <v>18</v>
      </c>
      <c r="AC929">
        <v>48</v>
      </c>
      <c r="AD929" t="str">
        <v>Lisa Jackson</v>
      </c>
      <c r="AE929" t="str">
        <v>Resigned</v>
      </c>
      <c r="AF929">
        <v>792832.56</v>
      </c>
    </row>
    <row r="930" spans="16:32" x14ac:dyDescent="0.25">
      <c r="P930" t="str">
        <v>EMP0927</v>
      </c>
      <c r="Q930" t="str">
        <v>Travis Montgomery</v>
      </c>
      <c r="R930" t="str">
        <v>Customer Support</v>
      </c>
      <c r="S930" t="str">
        <v>Team Lead</v>
      </c>
      <c r="T930" t="str">
        <v>Male</v>
      </c>
      <c r="U930">
        <v>54</v>
      </c>
      <c r="V930">
        <v>44544</v>
      </c>
      <c r="W930" t="str">
        <v>Contract</v>
      </c>
      <c r="X930">
        <v>44052.34</v>
      </c>
      <c r="Y930">
        <v>4</v>
      </c>
      <c r="Z930">
        <v>93.23</v>
      </c>
      <c r="AA930">
        <v>4</v>
      </c>
      <c r="AB930">
        <v>35</v>
      </c>
      <c r="AC930">
        <v>20</v>
      </c>
      <c r="AD930" t="str">
        <v>Brian Ramirez</v>
      </c>
      <c r="AE930" t="str">
        <v>Active</v>
      </c>
      <c r="AF930">
        <v>528628.07999999996</v>
      </c>
    </row>
    <row r="931" spans="16:32" x14ac:dyDescent="0.25">
      <c r="P931" t="str">
        <v>EMP0928</v>
      </c>
      <c r="Q931" t="str">
        <v>Samantha Zavala MD</v>
      </c>
      <c r="R931" t="str">
        <v>Finance</v>
      </c>
      <c r="S931" t="str">
        <v>Financial Analyst</v>
      </c>
      <c r="T931" t="str">
        <v>Male</v>
      </c>
      <c r="U931">
        <v>43</v>
      </c>
      <c r="V931">
        <v>45253</v>
      </c>
      <c r="W931" t="str">
        <v>Contract</v>
      </c>
      <c r="X931">
        <v>103554.21</v>
      </c>
      <c r="Y931">
        <v>2</v>
      </c>
      <c r="Z931">
        <v>93.19</v>
      </c>
      <c r="AA931">
        <v>2</v>
      </c>
      <c r="AB931">
        <v>26</v>
      </c>
      <c r="AC931">
        <v>44</v>
      </c>
      <c r="AD931" t="str">
        <v>Angie Henderson</v>
      </c>
      <c r="AE931" t="str">
        <v>Active</v>
      </c>
      <c r="AF931">
        <v>1242650.52</v>
      </c>
    </row>
    <row r="932" spans="16:32" x14ac:dyDescent="0.25">
      <c r="P932" t="str">
        <v>EMP0929</v>
      </c>
      <c r="Q932" t="str">
        <v>Tanner Austin</v>
      </c>
      <c r="R932" t="str">
        <v>R&amp;D</v>
      </c>
      <c r="S932" t="str">
        <v>Researcher</v>
      </c>
      <c r="T932" t="str">
        <v>Male</v>
      </c>
      <c r="U932">
        <v>21</v>
      </c>
      <c r="V932">
        <v>44453</v>
      </c>
      <c r="W932" t="str">
        <v>Contract</v>
      </c>
      <c r="X932">
        <v>41613.550000000003</v>
      </c>
      <c r="Y932">
        <v>4</v>
      </c>
      <c r="Z932">
        <v>83.76</v>
      </c>
      <c r="AA932">
        <v>4</v>
      </c>
      <c r="AB932">
        <v>13</v>
      </c>
      <c r="AC932">
        <v>21</v>
      </c>
      <c r="AD932" t="str">
        <v>Abigail Shaffer</v>
      </c>
      <c r="AE932" t="str">
        <v>Active</v>
      </c>
      <c r="AF932">
        <v>499362.60000000003</v>
      </c>
    </row>
    <row r="933" spans="16:32" x14ac:dyDescent="0.25">
      <c r="P933" t="str">
        <v>EMP0930</v>
      </c>
      <c r="Q933" t="str">
        <v>Melanie Flores</v>
      </c>
      <c r="R933" t="str">
        <v>Operations</v>
      </c>
      <c r="S933" t="str">
        <v>Operations Manager</v>
      </c>
      <c r="T933" t="str">
        <v>Female</v>
      </c>
      <c r="U933">
        <v>30</v>
      </c>
      <c r="V933">
        <v>43818</v>
      </c>
      <c r="W933" t="str">
        <v>Contract</v>
      </c>
      <c r="X933">
        <v>30566.05</v>
      </c>
      <c r="Y933">
        <v>2</v>
      </c>
      <c r="Z933">
        <v>84.38</v>
      </c>
      <c r="AA933">
        <v>6</v>
      </c>
      <c r="AB933">
        <v>46</v>
      </c>
      <c r="AC933">
        <v>24</v>
      </c>
      <c r="AD933" t="str">
        <v>Dylan Miller</v>
      </c>
      <c r="AE933" t="str">
        <v>Resigned</v>
      </c>
      <c r="AF933">
        <v>366792.6</v>
      </c>
    </row>
    <row r="934" spans="16:32" x14ac:dyDescent="0.25">
      <c r="P934" t="str">
        <v>EMP0931</v>
      </c>
      <c r="Q934" t="str">
        <v>Joshua Campbell</v>
      </c>
      <c r="R934" t="str">
        <v>IT</v>
      </c>
      <c r="S934" t="str">
        <v>Software Engineer</v>
      </c>
      <c r="T934" t="str">
        <v>Male</v>
      </c>
      <c r="U934">
        <v>25</v>
      </c>
      <c r="V934">
        <v>43007</v>
      </c>
      <c r="W934" t="str">
        <v>Part-Time</v>
      </c>
      <c r="X934">
        <v>62309.4</v>
      </c>
      <c r="Y934">
        <v>3</v>
      </c>
      <c r="Z934">
        <v>99.03</v>
      </c>
      <c r="AA934">
        <v>8</v>
      </c>
      <c r="AB934">
        <v>73</v>
      </c>
      <c r="AC934">
        <v>41</v>
      </c>
      <c r="AD934" t="str">
        <v>Daniel Wagner</v>
      </c>
      <c r="AE934" t="str">
        <v>Active</v>
      </c>
      <c r="AF934">
        <v>747712.8</v>
      </c>
    </row>
    <row r="935" spans="16:32" x14ac:dyDescent="0.25">
      <c r="P935" t="str">
        <v>EMP0932</v>
      </c>
      <c r="Q935" t="str">
        <v>Jaime Lang</v>
      </c>
      <c r="R935" t="str">
        <v>Marketing</v>
      </c>
      <c r="S935" t="str">
        <v>Content Specialist</v>
      </c>
      <c r="T935" t="str">
        <v>Male</v>
      </c>
      <c r="U935">
        <v>36</v>
      </c>
      <c r="V935">
        <v>45514</v>
      </c>
      <c r="W935" t="str">
        <v>Full-Time</v>
      </c>
      <c r="X935">
        <v>109409.81</v>
      </c>
      <c r="Y935">
        <v>2</v>
      </c>
      <c r="Z935">
        <v>85.34</v>
      </c>
      <c r="AA935">
        <v>1</v>
      </c>
      <c r="AB935">
        <v>60</v>
      </c>
      <c r="AC935">
        <v>42</v>
      </c>
      <c r="AD935" t="str">
        <v>Holly Wood</v>
      </c>
      <c r="AE935" t="str">
        <v>Active</v>
      </c>
      <c r="AF935">
        <v>1312917.72</v>
      </c>
    </row>
    <row r="936" spans="16:32" x14ac:dyDescent="0.25">
      <c r="P936" t="str">
        <v>EMP0933</v>
      </c>
      <c r="Q936" t="str">
        <v>Mr. Matthew Flores</v>
      </c>
      <c r="R936" t="str">
        <v>Finance</v>
      </c>
      <c r="S936" t="str">
        <v>Accountant</v>
      </c>
      <c r="T936" t="str">
        <v>Male</v>
      </c>
      <c r="U936">
        <v>43</v>
      </c>
      <c r="V936">
        <v>45071</v>
      </c>
      <c r="W936" t="str">
        <v>Part-Time</v>
      </c>
      <c r="X936">
        <v>41206.6</v>
      </c>
      <c r="Y936">
        <v>4</v>
      </c>
      <c r="Z936">
        <v>90.04</v>
      </c>
      <c r="AA936">
        <v>2</v>
      </c>
      <c r="AB936">
        <v>65</v>
      </c>
      <c r="AC936">
        <v>21</v>
      </c>
      <c r="AD936" t="str">
        <v>Noah Rhodes</v>
      </c>
      <c r="AE936" t="str">
        <v>Active</v>
      </c>
      <c r="AF936">
        <v>494479.19999999995</v>
      </c>
    </row>
    <row r="937" spans="16:32" x14ac:dyDescent="0.25">
      <c r="P937" t="str">
        <v>EMP0934</v>
      </c>
      <c r="Q937" t="str">
        <v>Carol Huber</v>
      </c>
      <c r="R937" t="str">
        <v>Operations</v>
      </c>
      <c r="S937" t="str">
        <v>Operations Associate</v>
      </c>
      <c r="T937" t="str">
        <v>Male</v>
      </c>
      <c r="U937">
        <v>45</v>
      </c>
      <c r="V937">
        <v>42814</v>
      </c>
      <c r="W937" t="str">
        <v>Contract</v>
      </c>
      <c r="X937">
        <v>112802</v>
      </c>
      <c r="Y937">
        <v>2</v>
      </c>
      <c r="Z937">
        <v>85.88</v>
      </c>
      <c r="AA937">
        <v>8</v>
      </c>
      <c r="AB937">
        <v>51</v>
      </c>
      <c r="AC937">
        <v>11</v>
      </c>
      <c r="AD937" t="str">
        <v>Carla Gray</v>
      </c>
      <c r="AE937" t="str">
        <v>Active</v>
      </c>
      <c r="AF937">
        <v>1353624</v>
      </c>
    </row>
    <row r="938" spans="16:32" x14ac:dyDescent="0.25">
      <c r="P938" t="str">
        <v>EMP0935</v>
      </c>
      <c r="Q938" t="str">
        <v>Lori Clark</v>
      </c>
      <c r="R938" t="str">
        <v>R&amp;D</v>
      </c>
      <c r="S938" t="str">
        <v>Product Developer</v>
      </c>
      <c r="T938" t="str">
        <v>Male</v>
      </c>
      <c r="U938">
        <v>24</v>
      </c>
      <c r="V938">
        <v>45645</v>
      </c>
      <c r="W938" t="str">
        <v>Contract</v>
      </c>
      <c r="X938">
        <v>44894.42</v>
      </c>
      <c r="Y938">
        <v>1</v>
      </c>
      <c r="Z938">
        <v>84.39</v>
      </c>
      <c r="AA938">
        <v>1</v>
      </c>
      <c r="AB938">
        <v>6</v>
      </c>
      <c r="AC938">
        <v>57</v>
      </c>
      <c r="AD938" t="str">
        <v>Noah Rhodes</v>
      </c>
      <c r="AE938" t="str">
        <v>Active</v>
      </c>
      <c r="AF938">
        <v>538733.04</v>
      </c>
    </row>
    <row r="939" spans="16:32" x14ac:dyDescent="0.25">
      <c r="P939" t="str">
        <v>EMP0936</v>
      </c>
      <c r="Q939" t="str">
        <v>Jessica Garcia</v>
      </c>
      <c r="R939" t="str">
        <v>IT</v>
      </c>
      <c r="S939" t="str">
        <v>IT Support</v>
      </c>
      <c r="T939" t="str">
        <v>Male</v>
      </c>
      <c r="U939">
        <v>38</v>
      </c>
      <c r="V939">
        <v>43627</v>
      </c>
      <c r="W939" t="str">
        <v>Full-Time</v>
      </c>
      <c r="X939">
        <v>108260.03</v>
      </c>
      <c r="Y939">
        <v>4</v>
      </c>
      <c r="Z939">
        <v>87.84</v>
      </c>
      <c r="AA939">
        <v>6</v>
      </c>
      <c r="AB939">
        <v>12</v>
      </c>
      <c r="AC939">
        <v>14</v>
      </c>
      <c r="AD939" t="str">
        <v>Gabrielle Davis</v>
      </c>
      <c r="AE939" t="str">
        <v>Active</v>
      </c>
      <c r="AF939">
        <v>1299120.3599999999</v>
      </c>
    </row>
    <row r="940" spans="16:32" x14ac:dyDescent="0.25">
      <c r="P940" t="str">
        <v>EMP0937</v>
      </c>
      <c r="Q940" t="str">
        <v>Sherry Figueroa</v>
      </c>
      <c r="R940" t="str">
        <v>HR</v>
      </c>
      <c r="S940" t="str">
        <v>HR Officer</v>
      </c>
      <c r="T940" t="str">
        <v>Female</v>
      </c>
      <c r="U940">
        <v>39</v>
      </c>
      <c r="V940">
        <v>45644</v>
      </c>
      <c r="W940" t="str">
        <v>Contract</v>
      </c>
      <c r="X940">
        <v>79631.34</v>
      </c>
      <c r="Y940">
        <v>1</v>
      </c>
      <c r="Z940">
        <v>81.88</v>
      </c>
      <c r="AA940">
        <v>1</v>
      </c>
      <c r="AB940">
        <v>64</v>
      </c>
      <c r="AC940">
        <v>58</v>
      </c>
      <c r="AD940" t="str">
        <v>Carla Gray</v>
      </c>
      <c r="AE940" t="str">
        <v>Active</v>
      </c>
      <c r="AF940">
        <v>955576.08</v>
      </c>
    </row>
    <row r="941" spans="16:32" x14ac:dyDescent="0.25">
      <c r="P941" t="str">
        <v>EMP0938</v>
      </c>
      <c r="Q941" t="str">
        <v>Teresa Burgess</v>
      </c>
      <c r="R941" t="str">
        <v>Finance</v>
      </c>
      <c r="S941" t="str">
        <v>Finance Manager</v>
      </c>
      <c r="T941" t="str">
        <v>Male</v>
      </c>
      <c r="U941">
        <v>31</v>
      </c>
      <c r="V941">
        <v>45007</v>
      </c>
      <c r="W941" t="str">
        <v>Part-Time</v>
      </c>
      <c r="X941">
        <v>88144.25</v>
      </c>
      <c r="Y941">
        <v>2</v>
      </c>
      <c r="Z941">
        <v>83.75</v>
      </c>
      <c r="AA941">
        <v>2</v>
      </c>
      <c r="AB941">
        <v>58</v>
      </c>
      <c r="AC941">
        <v>9</v>
      </c>
      <c r="AD941" t="str">
        <v>Allison Hill</v>
      </c>
      <c r="AE941" t="str">
        <v>Active</v>
      </c>
      <c r="AF941">
        <v>1057731</v>
      </c>
    </row>
    <row r="942" spans="16:32" x14ac:dyDescent="0.25">
      <c r="P942" t="str">
        <v>EMP0939</v>
      </c>
      <c r="Q942" t="str">
        <v>Mitchell Johnson</v>
      </c>
      <c r="R942" t="str">
        <v>Customer Support</v>
      </c>
      <c r="S942" t="str">
        <v>Team Lead</v>
      </c>
      <c r="T942" t="str">
        <v>Male</v>
      </c>
      <c r="U942">
        <v>32</v>
      </c>
      <c r="V942">
        <v>43258</v>
      </c>
      <c r="W942" t="str">
        <v>Part-Time</v>
      </c>
      <c r="X942">
        <v>108125.75</v>
      </c>
      <c r="Y942">
        <v>2</v>
      </c>
      <c r="Z942">
        <v>93.58</v>
      </c>
      <c r="AA942">
        <v>7</v>
      </c>
      <c r="AB942">
        <v>1</v>
      </c>
      <c r="AC942">
        <v>38</v>
      </c>
      <c r="AD942" t="str">
        <v>Jamie Arnold</v>
      </c>
      <c r="AE942" t="str">
        <v>Resigned</v>
      </c>
      <c r="AF942">
        <v>1297509</v>
      </c>
    </row>
    <row r="943" spans="16:32" x14ac:dyDescent="0.25">
      <c r="P943" t="str">
        <v>EMP0940</v>
      </c>
      <c r="Q943" t="str">
        <v>Robert Grant</v>
      </c>
      <c r="R943" t="str">
        <v>Sales</v>
      </c>
      <c r="S943" t="str">
        <v>Sales Manager</v>
      </c>
      <c r="T943" t="str">
        <v>Male</v>
      </c>
      <c r="U943">
        <v>51</v>
      </c>
      <c r="V943">
        <v>42758</v>
      </c>
      <c r="W943" t="str">
        <v>Full-Time</v>
      </c>
      <c r="X943">
        <v>24517.65</v>
      </c>
      <c r="Y943">
        <v>1</v>
      </c>
      <c r="Z943">
        <v>91.35</v>
      </c>
      <c r="AA943">
        <v>8</v>
      </c>
      <c r="AB943">
        <v>37</v>
      </c>
      <c r="AC943">
        <v>53</v>
      </c>
      <c r="AD943" t="str">
        <v>Gina Moore</v>
      </c>
      <c r="AE943" t="str">
        <v>Active</v>
      </c>
      <c r="AF943">
        <v>294211.80000000005</v>
      </c>
    </row>
    <row r="944" spans="16:32" x14ac:dyDescent="0.25">
      <c r="P944" t="str">
        <v>EMP0941</v>
      </c>
      <c r="Q944" t="str">
        <v>Susan Russell</v>
      </c>
      <c r="R944" t="str">
        <v>HR</v>
      </c>
      <c r="S944" t="str">
        <v>HR Officer</v>
      </c>
      <c r="T944" t="str">
        <v>Male</v>
      </c>
      <c r="U944">
        <v>27</v>
      </c>
      <c r="V944">
        <v>45875</v>
      </c>
      <c r="W944" t="str">
        <v>Part-Time</v>
      </c>
      <c r="X944">
        <v>100389.26</v>
      </c>
      <c r="Y944">
        <v>3</v>
      </c>
      <c r="Z944">
        <v>89.05</v>
      </c>
      <c r="AA944">
        <v>0</v>
      </c>
      <c r="AB944">
        <v>44</v>
      </c>
      <c r="AC944">
        <v>34</v>
      </c>
      <c r="AD944" t="str">
        <v>Gabrielle Davis</v>
      </c>
      <c r="AE944" t="str">
        <v>Active</v>
      </c>
      <c r="AF944">
        <v>1204671.1199999999</v>
      </c>
    </row>
    <row r="945" spans="16:32" x14ac:dyDescent="0.25">
      <c r="P945" t="str">
        <v>EMP0942</v>
      </c>
      <c r="Q945" t="str">
        <v>Jessica Smith</v>
      </c>
      <c r="R945" t="str">
        <v>Finance</v>
      </c>
      <c r="S945" t="str">
        <v>Financial Analyst</v>
      </c>
      <c r="T945" t="str">
        <v>Female</v>
      </c>
      <c r="U945">
        <v>21</v>
      </c>
      <c r="V945">
        <v>45106</v>
      </c>
      <c r="W945" t="str">
        <v>Part-Time</v>
      </c>
      <c r="X945">
        <v>50113.4</v>
      </c>
      <c r="Y945">
        <v>3</v>
      </c>
      <c r="Z945">
        <v>97.83</v>
      </c>
      <c r="AA945">
        <v>2</v>
      </c>
      <c r="AB945">
        <v>76</v>
      </c>
      <c r="AC945">
        <v>30</v>
      </c>
      <c r="AD945" t="str">
        <v>Daniel Wagner</v>
      </c>
      <c r="AE945" t="str">
        <v>Active</v>
      </c>
      <c r="AF945">
        <v>601360.80000000005</v>
      </c>
    </row>
    <row r="946" spans="16:32" x14ac:dyDescent="0.25">
      <c r="P946" t="str">
        <v>EMP0943</v>
      </c>
      <c r="Q946" t="str">
        <v>Margaret Montgomery</v>
      </c>
      <c r="R946" t="str">
        <v>Sales</v>
      </c>
      <c r="S946" t="str">
        <v>Sales Rep</v>
      </c>
      <c r="T946" t="str">
        <v>Female</v>
      </c>
      <c r="U946">
        <v>35</v>
      </c>
      <c r="V946">
        <v>43038</v>
      </c>
      <c r="W946" t="str">
        <v>Contract</v>
      </c>
      <c r="X946">
        <v>119408.71</v>
      </c>
      <c r="Y946">
        <v>3</v>
      </c>
      <c r="Z946">
        <v>89.96</v>
      </c>
      <c r="AA946">
        <v>8</v>
      </c>
      <c r="AB946">
        <v>31</v>
      </c>
      <c r="AC946">
        <v>36</v>
      </c>
      <c r="AD946" t="str">
        <v>Michele Williams</v>
      </c>
      <c r="AE946" t="str">
        <v>Active</v>
      </c>
      <c r="AF946">
        <v>1432904.52</v>
      </c>
    </row>
    <row r="947" spans="16:32" x14ac:dyDescent="0.25">
      <c r="P947" t="str">
        <v>EMP0944</v>
      </c>
      <c r="Q947" t="str">
        <v>Ryan Howard</v>
      </c>
      <c r="R947" t="str">
        <v>Marketing</v>
      </c>
      <c r="S947" t="str">
        <v>Marketing Analyst</v>
      </c>
      <c r="T947" t="str">
        <v>Female</v>
      </c>
      <c r="U947">
        <v>27</v>
      </c>
      <c r="V947">
        <v>45941</v>
      </c>
      <c r="W947" t="str">
        <v>Part-Time</v>
      </c>
      <c r="X947">
        <v>107714.4</v>
      </c>
      <c r="Y947">
        <v>5</v>
      </c>
      <c r="Z947">
        <v>97.98</v>
      </c>
      <c r="AA947">
        <v>0</v>
      </c>
      <c r="AB947">
        <v>57</v>
      </c>
      <c r="AC947">
        <v>56</v>
      </c>
      <c r="AD947" t="str">
        <v>Holly Wood</v>
      </c>
      <c r="AE947" t="str">
        <v>Active</v>
      </c>
      <c r="AF947">
        <v>1292572.7999999998</v>
      </c>
    </row>
    <row r="948" spans="16:32" x14ac:dyDescent="0.25">
      <c r="P948" t="str">
        <v>EMP0945</v>
      </c>
      <c r="Q948" t="str">
        <v>Richard Turner</v>
      </c>
      <c r="R948" t="str">
        <v>Operations</v>
      </c>
      <c r="S948" t="str">
        <v>Operations Manager</v>
      </c>
      <c r="T948" t="str">
        <v>Female</v>
      </c>
      <c r="U948">
        <v>58</v>
      </c>
      <c r="V948">
        <v>45427</v>
      </c>
      <c r="W948" t="str">
        <v>Part-Time</v>
      </c>
      <c r="X948">
        <v>114526.65</v>
      </c>
      <c r="Y948">
        <v>3</v>
      </c>
      <c r="Z948">
        <v>86.19</v>
      </c>
      <c r="AA948">
        <v>1</v>
      </c>
      <c r="AB948">
        <v>5</v>
      </c>
      <c r="AC948">
        <v>37</v>
      </c>
      <c r="AD948" t="str">
        <v>Holly Wood</v>
      </c>
      <c r="AE948" t="str">
        <v>Active</v>
      </c>
      <c r="AF948">
        <v>1374319.7999999998</v>
      </c>
    </row>
    <row r="949" spans="16:32" x14ac:dyDescent="0.25">
      <c r="P949" t="str">
        <v>EMP0946</v>
      </c>
      <c r="Q949" t="str">
        <v>Timothy James</v>
      </c>
      <c r="R949" t="str">
        <v>Marketing</v>
      </c>
      <c r="S949" t="str">
        <v>Brand Manager</v>
      </c>
      <c r="T949" t="str">
        <v>Female</v>
      </c>
      <c r="U949">
        <v>57</v>
      </c>
      <c r="V949">
        <v>42840</v>
      </c>
      <c r="W949" t="str">
        <v>Part-Time</v>
      </c>
      <c r="X949">
        <v>48840.85</v>
      </c>
      <c r="Y949">
        <v>1</v>
      </c>
      <c r="Z949">
        <v>89.98</v>
      </c>
      <c r="AA949">
        <v>8</v>
      </c>
      <c r="AB949">
        <v>18</v>
      </c>
      <c r="AC949">
        <v>29</v>
      </c>
      <c r="AD949" t="str">
        <v>Cristian Santos</v>
      </c>
      <c r="AE949" t="str">
        <v>Active</v>
      </c>
      <c r="AF949">
        <v>586090.19999999995</v>
      </c>
    </row>
    <row r="950" spans="16:32" x14ac:dyDescent="0.25">
      <c r="P950" t="str">
        <v>EMP0947</v>
      </c>
      <c r="Q950" t="str">
        <v>Joseph Taylor</v>
      </c>
      <c r="R950" t="str">
        <v>Finance</v>
      </c>
      <c r="S950" t="str">
        <v>Finance Manager</v>
      </c>
      <c r="T950" t="str">
        <v>Male</v>
      </c>
      <c r="U950">
        <v>40</v>
      </c>
      <c r="V950">
        <v>42494</v>
      </c>
      <c r="W950" t="str">
        <v>Part-Time</v>
      </c>
      <c r="X950">
        <v>48826</v>
      </c>
      <c r="Y950">
        <v>3</v>
      </c>
      <c r="Z950">
        <v>80.31</v>
      </c>
      <c r="AA950">
        <v>9</v>
      </c>
      <c r="AB950">
        <v>5</v>
      </c>
      <c r="AC950">
        <v>13</v>
      </c>
      <c r="AD950" t="str">
        <v>Ryan Munoz</v>
      </c>
      <c r="AE950" t="str">
        <v>Active</v>
      </c>
      <c r="AF950">
        <v>585912</v>
      </c>
    </row>
    <row r="951" spans="16:32" x14ac:dyDescent="0.25">
      <c r="P951" t="str">
        <v>EMP0948</v>
      </c>
      <c r="Q951" t="str">
        <v>Sarah Phillips</v>
      </c>
      <c r="R951" t="str">
        <v>Marketing</v>
      </c>
      <c r="S951" t="str">
        <v>Marketing Analyst</v>
      </c>
      <c r="T951" t="str">
        <v>Female</v>
      </c>
      <c r="U951">
        <v>40</v>
      </c>
      <c r="V951">
        <v>44732</v>
      </c>
      <c r="W951" t="str">
        <v>Full-Time</v>
      </c>
      <c r="X951">
        <v>63032.28</v>
      </c>
      <c r="Y951">
        <v>1</v>
      </c>
      <c r="Z951">
        <v>81</v>
      </c>
      <c r="AA951">
        <v>3</v>
      </c>
      <c r="AB951">
        <v>17</v>
      </c>
      <c r="AC951">
        <v>22</v>
      </c>
      <c r="AD951" t="str">
        <v>Ryan Munoz</v>
      </c>
      <c r="AE951" t="str">
        <v>Active</v>
      </c>
      <c r="AF951">
        <v>756387.36</v>
      </c>
    </row>
    <row r="952" spans="16:32" x14ac:dyDescent="0.25">
      <c r="P952" t="str">
        <v>EMP0949</v>
      </c>
      <c r="Q952" t="str">
        <v>Stephen Sanford</v>
      </c>
      <c r="R952" t="str">
        <v>HR</v>
      </c>
      <c r="S952" t="str">
        <v>HR Officer</v>
      </c>
      <c r="T952" t="str">
        <v>Female</v>
      </c>
      <c r="U952">
        <v>30</v>
      </c>
      <c r="V952">
        <v>43198</v>
      </c>
      <c r="W952" t="str">
        <v>Contract</v>
      </c>
      <c r="X952">
        <v>39672.74</v>
      </c>
      <c r="Y952">
        <v>5</v>
      </c>
      <c r="Z952">
        <v>98.37</v>
      </c>
      <c r="AA952">
        <v>7</v>
      </c>
      <c r="AB952">
        <v>37</v>
      </c>
      <c r="AC952">
        <v>14</v>
      </c>
      <c r="AD952" t="str">
        <v>Noah Rhodes</v>
      </c>
      <c r="AE952" t="str">
        <v>Active</v>
      </c>
      <c r="AF952">
        <v>476072.88</v>
      </c>
    </row>
    <row r="953" spans="16:32" x14ac:dyDescent="0.25">
      <c r="P953" t="str">
        <v>EMP0950</v>
      </c>
      <c r="Q953" t="str">
        <v>Alexandra Baxter</v>
      </c>
      <c r="R953" t="str">
        <v>Operations</v>
      </c>
      <c r="S953" t="str">
        <v>Operations Associate</v>
      </c>
      <c r="T953" t="str">
        <v>Female</v>
      </c>
      <c r="U953">
        <v>48</v>
      </c>
      <c r="V953">
        <v>44621</v>
      </c>
      <c r="W953" t="str">
        <v>Part-Time</v>
      </c>
      <c r="X953">
        <v>116690.68</v>
      </c>
      <c r="Y953">
        <v>1</v>
      </c>
      <c r="Z953">
        <v>97.86</v>
      </c>
      <c r="AA953">
        <v>3</v>
      </c>
      <c r="AB953">
        <v>38</v>
      </c>
      <c r="AC953">
        <v>38</v>
      </c>
      <c r="AD953" t="str">
        <v>Ryan Munoz</v>
      </c>
      <c r="AE953" t="str">
        <v>Active</v>
      </c>
      <c r="AF953">
        <v>1400288.16</v>
      </c>
    </row>
    <row r="954" spans="16:32" x14ac:dyDescent="0.25">
      <c r="P954" t="str">
        <v>EMP0951</v>
      </c>
      <c r="Q954" t="str">
        <v>Aaron Carlson</v>
      </c>
      <c r="R954" t="str">
        <v>Customer Support</v>
      </c>
      <c r="S954" t="str">
        <v>Team Lead</v>
      </c>
      <c r="T954" t="str">
        <v>Male</v>
      </c>
      <c r="U954">
        <v>33</v>
      </c>
      <c r="V954">
        <v>43181</v>
      </c>
      <c r="W954" t="str">
        <v>Part-Time</v>
      </c>
      <c r="X954">
        <v>33569.08</v>
      </c>
      <c r="Y954">
        <v>5</v>
      </c>
      <c r="Z954">
        <v>83.99</v>
      </c>
      <c r="AA954">
        <v>7</v>
      </c>
      <c r="AB954">
        <v>39</v>
      </c>
      <c r="AC954">
        <v>5</v>
      </c>
      <c r="AD954" t="str">
        <v>Ryan Munoz</v>
      </c>
      <c r="AE954" t="str">
        <v>Active</v>
      </c>
      <c r="AF954">
        <v>402828.96</v>
      </c>
    </row>
    <row r="955" spans="16:32" x14ac:dyDescent="0.25">
      <c r="P955" t="str">
        <v>EMP0952</v>
      </c>
      <c r="Q955" t="str">
        <v>Angela Clark</v>
      </c>
      <c r="R955" t="str">
        <v>R&amp;D</v>
      </c>
      <c r="S955" t="str">
        <v>Researcher</v>
      </c>
      <c r="T955" t="str">
        <v>Female</v>
      </c>
      <c r="U955">
        <v>48</v>
      </c>
      <c r="V955">
        <v>45640</v>
      </c>
      <c r="W955" t="str">
        <v>Full-Time</v>
      </c>
      <c r="X955">
        <v>33860.99</v>
      </c>
      <c r="Y955">
        <v>4</v>
      </c>
      <c r="Z955">
        <v>93.88</v>
      </c>
      <c r="AA955">
        <v>1</v>
      </c>
      <c r="AB955">
        <v>64</v>
      </c>
      <c r="AC955">
        <v>59</v>
      </c>
      <c r="AD955" t="str">
        <v>Jamie Arnold</v>
      </c>
      <c r="AE955" t="str">
        <v>Active</v>
      </c>
      <c r="AF955">
        <v>406331.88</v>
      </c>
    </row>
    <row r="956" spans="16:32" x14ac:dyDescent="0.25">
      <c r="P956" t="str">
        <v>EMP0953</v>
      </c>
      <c r="Q956" t="str">
        <v>Taylor York</v>
      </c>
      <c r="R956" t="str">
        <v>Customer Support</v>
      </c>
      <c r="S956" t="str">
        <v>Team Lead</v>
      </c>
      <c r="T956" t="str">
        <v>Female</v>
      </c>
      <c r="U956">
        <v>47</v>
      </c>
      <c r="V956">
        <v>44439</v>
      </c>
      <c r="W956" t="str">
        <v>Part-Time</v>
      </c>
      <c r="X956">
        <v>22767.29</v>
      </c>
      <c r="Y956">
        <v>5</v>
      </c>
      <c r="Z956">
        <v>80.53</v>
      </c>
      <c r="AA956">
        <v>4</v>
      </c>
      <c r="AB956">
        <v>53</v>
      </c>
      <c r="AC956">
        <v>5</v>
      </c>
      <c r="AD956" t="str">
        <v>Cristian Santos</v>
      </c>
      <c r="AE956" t="str">
        <v>Active</v>
      </c>
      <c r="AF956">
        <v>273207.48</v>
      </c>
    </row>
    <row r="957" spans="16:32" x14ac:dyDescent="0.25">
      <c r="P957" t="str">
        <v>EMP0954</v>
      </c>
      <c r="Q957" t="str">
        <v>Daniel Davenport</v>
      </c>
      <c r="R957" t="str">
        <v>Finance</v>
      </c>
      <c r="S957" t="str">
        <v>Accountant</v>
      </c>
      <c r="T957" t="str">
        <v>Female</v>
      </c>
      <c r="U957">
        <v>29</v>
      </c>
      <c r="V957">
        <v>43188</v>
      </c>
      <c r="W957" t="str">
        <v>Contract</v>
      </c>
      <c r="X957">
        <v>74326.960000000006</v>
      </c>
      <c r="Y957">
        <v>5</v>
      </c>
      <c r="Z957">
        <v>97.56</v>
      </c>
      <c r="AA957">
        <v>7</v>
      </c>
      <c r="AB957">
        <v>6</v>
      </c>
      <c r="AC957">
        <v>48</v>
      </c>
      <c r="AD957" t="str">
        <v>Lisa Hensley</v>
      </c>
      <c r="AE957" t="str">
        <v>Active</v>
      </c>
      <c r="AF957">
        <v>891923.52</v>
      </c>
    </row>
    <row r="958" spans="16:32" x14ac:dyDescent="0.25">
      <c r="P958" t="str">
        <v>EMP0955</v>
      </c>
      <c r="Q958" t="str">
        <v>Michael Bradley</v>
      </c>
      <c r="R958" t="str">
        <v>Sales</v>
      </c>
      <c r="S958" t="str">
        <v>Sales Manager</v>
      </c>
      <c r="T958" t="str">
        <v>Female</v>
      </c>
      <c r="U958">
        <v>24</v>
      </c>
      <c r="V958">
        <v>43510</v>
      </c>
      <c r="W958" t="str">
        <v>Full-Time</v>
      </c>
      <c r="X958">
        <v>25469.279999999999</v>
      </c>
      <c r="Y958">
        <v>1</v>
      </c>
      <c r="Z958">
        <v>86.67</v>
      </c>
      <c r="AA958">
        <v>6</v>
      </c>
      <c r="AB958">
        <v>12</v>
      </c>
      <c r="AC958">
        <v>52</v>
      </c>
      <c r="AD958" t="str">
        <v>Ryan Munoz</v>
      </c>
      <c r="AE958" t="str">
        <v>Active</v>
      </c>
      <c r="AF958">
        <v>305631.35999999999</v>
      </c>
    </row>
    <row r="959" spans="16:32" x14ac:dyDescent="0.25">
      <c r="P959" t="str">
        <v>EMP0956</v>
      </c>
      <c r="Q959" t="str">
        <v>Tara Gamble</v>
      </c>
      <c r="R959" t="str">
        <v>Operations</v>
      </c>
      <c r="S959" t="str">
        <v>Operations Associate</v>
      </c>
      <c r="T959" t="str">
        <v>Male</v>
      </c>
      <c r="U959">
        <v>58</v>
      </c>
      <c r="V959">
        <v>42640</v>
      </c>
      <c r="W959" t="str">
        <v>Contract</v>
      </c>
      <c r="X959">
        <v>71082.09</v>
      </c>
      <c r="Y959">
        <v>1</v>
      </c>
      <c r="Z959">
        <v>94.03</v>
      </c>
      <c r="AA959">
        <v>9</v>
      </c>
      <c r="AB959">
        <v>66</v>
      </c>
      <c r="AC959">
        <v>9</v>
      </c>
      <c r="AD959" t="str">
        <v>Derek Zuniga</v>
      </c>
      <c r="AE959" t="str">
        <v>Active</v>
      </c>
      <c r="AF959">
        <v>852985.08</v>
      </c>
    </row>
    <row r="960" spans="16:32" x14ac:dyDescent="0.25">
      <c r="P960" t="str">
        <v>EMP0957</v>
      </c>
      <c r="Q960" t="str">
        <v>Angel Powers</v>
      </c>
      <c r="R960" t="str">
        <v>R&amp;D</v>
      </c>
      <c r="S960" t="str">
        <v>Researcher</v>
      </c>
      <c r="T960" t="str">
        <v>Male</v>
      </c>
      <c r="U960">
        <v>30</v>
      </c>
      <c r="V960">
        <v>45169</v>
      </c>
      <c r="W960" t="str">
        <v>Part-Time</v>
      </c>
      <c r="X960">
        <v>82823.95</v>
      </c>
      <c r="Y960">
        <v>1</v>
      </c>
      <c r="Z960">
        <v>96.11</v>
      </c>
      <c r="AA960">
        <v>2</v>
      </c>
      <c r="AB960">
        <v>79</v>
      </c>
      <c r="AC960">
        <v>44</v>
      </c>
      <c r="AD960" t="str">
        <v>Abigail Shaffer</v>
      </c>
      <c r="AE960" t="str">
        <v>Active</v>
      </c>
      <c r="AF960">
        <v>993887.39999999991</v>
      </c>
    </row>
    <row r="961" spans="16:32" x14ac:dyDescent="0.25">
      <c r="P961" t="str">
        <v>EMP0958</v>
      </c>
      <c r="Q961" t="str">
        <v>Nicholas Freeman</v>
      </c>
      <c r="R961" t="str">
        <v>Sales</v>
      </c>
      <c r="S961" t="str">
        <v>Sales Rep</v>
      </c>
      <c r="T961" t="str">
        <v>Male</v>
      </c>
      <c r="U961">
        <v>54</v>
      </c>
      <c r="V961">
        <v>43860</v>
      </c>
      <c r="W961" t="str">
        <v>Full-Time</v>
      </c>
      <c r="X961">
        <v>44720.61</v>
      </c>
      <c r="Y961">
        <v>1</v>
      </c>
      <c r="Z961">
        <v>89.47</v>
      </c>
      <c r="AA961">
        <v>5</v>
      </c>
      <c r="AB961">
        <v>64</v>
      </c>
      <c r="AC961">
        <v>28</v>
      </c>
      <c r="AD961" t="str">
        <v>Lisa Hensley</v>
      </c>
      <c r="AE961" t="str">
        <v>Active</v>
      </c>
      <c r="AF961">
        <v>536647.32000000007</v>
      </c>
    </row>
    <row r="962" spans="16:32" x14ac:dyDescent="0.25">
      <c r="P962" t="str">
        <v>EMP0959</v>
      </c>
      <c r="Q962" t="str">
        <v>Michael Young</v>
      </c>
      <c r="R962" t="str">
        <v>Marketing</v>
      </c>
      <c r="S962" t="str">
        <v>Brand Manager</v>
      </c>
      <c r="T962" t="str">
        <v>Female</v>
      </c>
      <c r="U962">
        <v>51</v>
      </c>
      <c r="V962">
        <v>44358</v>
      </c>
      <c r="W962" t="str">
        <v>Full-Time</v>
      </c>
      <c r="X962">
        <v>102027.1</v>
      </c>
      <c r="Y962">
        <v>5</v>
      </c>
      <c r="Z962">
        <v>85.21</v>
      </c>
      <c r="AA962">
        <v>4</v>
      </c>
      <c r="AB962">
        <v>78</v>
      </c>
      <c r="AC962">
        <v>43</v>
      </c>
      <c r="AD962" t="str">
        <v>Dylan Miller</v>
      </c>
      <c r="AE962" t="str">
        <v>Resigned</v>
      </c>
      <c r="AF962">
        <v>1224325.2000000002</v>
      </c>
    </row>
    <row r="963" spans="16:32" x14ac:dyDescent="0.25">
      <c r="P963" t="str">
        <v>EMP0960</v>
      </c>
      <c r="Q963" t="str">
        <v>Stephanie Stewart</v>
      </c>
      <c r="R963" t="str">
        <v>Marketing</v>
      </c>
      <c r="S963" t="str">
        <v>Brand Manager</v>
      </c>
      <c r="T963" t="str">
        <v>Male</v>
      </c>
      <c r="U963">
        <v>22</v>
      </c>
      <c r="V963">
        <v>44074</v>
      </c>
      <c r="W963" t="str">
        <v>Full-Time</v>
      </c>
      <c r="X963">
        <v>34168.620000000003</v>
      </c>
      <c r="Y963">
        <v>2</v>
      </c>
      <c r="Z963">
        <v>83.42</v>
      </c>
      <c r="AA963">
        <v>5</v>
      </c>
      <c r="AB963">
        <v>69</v>
      </c>
      <c r="AC963">
        <v>12</v>
      </c>
      <c r="AD963" t="str">
        <v>Brian Ramirez</v>
      </c>
      <c r="AE963" t="str">
        <v>Active</v>
      </c>
      <c r="AF963">
        <v>410023.44000000006</v>
      </c>
    </row>
    <row r="964" spans="16:32" x14ac:dyDescent="0.25">
      <c r="P964" t="str">
        <v>EMP0961</v>
      </c>
      <c r="Q964" t="str">
        <v>Matthew Steele</v>
      </c>
      <c r="R964" t="str">
        <v>Finance</v>
      </c>
      <c r="S964" t="str">
        <v>Finance Manager</v>
      </c>
      <c r="T964" t="str">
        <v>Male</v>
      </c>
      <c r="U964">
        <v>58</v>
      </c>
      <c r="V964">
        <v>45103</v>
      </c>
      <c r="W964" t="str">
        <v>Part-Time</v>
      </c>
      <c r="X964">
        <v>56733.94</v>
      </c>
      <c r="Y964">
        <v>3</v>
      </c>
      <c r="Z964">
        <v>87.82</v>
      </c>
      <c r="AA964">
        <v>2</v>
      </c>
      <c r="AB964">
        <v>13</v>
      </c>
      <c r="AC964">
        <v>29</v>
      </c>
      <c r="AD964" t="str">
        <v>Michele Williams</v>
      </c>
      <c r="AE964" t="str">
        <v>Active</v>
      </c>
      <c r="AF964">
        <v>680807.28</v>
      </c>
    </row>
    <row r="965" spans="16:32" x14ac:dyDescent="0.25">
      <c r="P965" t="str">
        <v>EMP0962</v>
      </c>
      <c r="Q965" t="str">
        <v>Holly Stewart</v>
      </c>
      <c r="R965" t="str">
        <v>HR</v>
      </c>
      <c r="S965" t="str">
        <v>HR Officer</v>
      </c>
      <c r="T965" t="str">
        <v>Female</v>
      </c>
      <c r="U965">
        <v>50</v>
      </c>
      <c r="V965">
        <v>43249</v>
      </c>
      <c r="W965" t="str">
        <v>Full-Time</v>
      </c>
      <c r="X965">
        <v>76420.91</v>
      </c>
      <c r="Y965">
        <v>1</v>
      </c>
      <c r="Z965">
        <v>91.61</v>
      </c>
      <c r="AA965">
        <v>7</v>
      </c>
      <c r="AB965">
        <v>4</v>
      </c>
      <c r="AC965">
        <v>41</v>
      </c>
      <c r="AD965" t="str">
        <v>Carla Gray</v>
      </c>
      <c r="AE965" t="str">
        <v>Active</v>
      </c>
      <c r="AF965">
        <v>917050.92</v>
      </c>
    </row>
    <row r="966" spans="16:32" x14ac:dyDescent="0.25">
      <c r="P966" t="str">
        <v>EMP0963</v>
      </c>
      <c r="Q966" t="str">
        <v>Erik Floyd</v>
      </c>
      <c r="R966" t="str">
        <v>Operations</v>
      </c>
      <c r="S966" t="str">
        <v>Operations Associate</v>
      </c>
      <c r="T966" t="str">
        <v>Female</v>
      </c>
      <c r="U966">
        <v>50</v>
      </c>
      <c r="V966">
        <v>44964</v>
      </c>
      <c r="W966" t="str">
        <v>Part-Time</v>
      </c>
      <c r="X966">
        <v>20912.009999999998</v>
      </c>
      <c r="Y966">
        <v>2</v>
      </c>
      <c r="Z966">
        <v>87.15</v>
      </c>
      <c r="AA966">
        <v>2</v>
      </c>
      <c r="AB966">
        <v>64</v>
      </c>
      <c r="AC966">
        <v>13</v>
      </c>
      <c r="AD966" t="str">
        <v>Jamie Arnold</v>
      </c>
      <c r="AE966" t="str">
        <v>Resigned</v>
      </c>
      <c r="AF966">
        <v>250944.12</v>
      </c>
    </row>
    <row r="967" spans="16:32" x14ac:dyDescent="0.25">
      <c r="P967" t="str">
        <v>EMP0964</v>
      </c>
      <c r="Q967" t="str">
        <v>Ian Frazier</v>
      </c>
      <c r="R967" t="str">
        <v>Customer Support</v>
      </c>
      <c r="S967" t="str">
        <v>Support Agent</v>
      </c>
      <c r="T967" t="str">
        <v>Male</v>
      </c>
      <c r="U967">
        <v>30</v>
      </c>
      <c r="V967">
        <v>45012</v>
      </c>
      <c r="W967" t="str">
        <v>Part-Time</v>
      </c>
      <c r="X967">
        <v>85593.34</v>
      </c>
      <c r="Y967">
        <v>5</v>
      </c>
      <c r="Z967">
        <v>86.79</v>
      </c>
      <c r="AA967">
        <v>2</v>
      </c>
      <c r="AB967">
        <v>17</v>
      </c>
      <c r="AC967">
        <v>17</v>
      </c>
      <c r="AD967" t="str">
        <v>Ryan Munoz</v>
      </c>
      <c r="AE967" t="str">
        <v>Resigned</v>
      </c>
      <c r="AF967">
        <v>1027120.08</v>
      </c>
    </row>
    <row r="968" spans="16:32" x14ac:dyDescent="0.25">
      <c r="P968" t="str">
        <v>EMP0965</v>
      </c>
      <c r="Q968" t="str">
        <v>Julie Howard</v>
      </c>
      <c r="R968" t="str">
        <v>Marketing</v>
      </c>
      <c r="S968" t="str">
        <v>Content Specialist</v>
      </c>
      <c r="T968" t="str">
        <v>Female</v>
      </c>
      <c r="U968">
        <v>45</v>
      </c>
      <c r="V968">
        <v>44363</v>
      </c>
      <c r="W968" t="str">
        <v>Part-Time</v>
      </c>
      <c r="X968">
        <v>80584.179999999993</v>
      </c>
      <c r="Y968">
        <v>2</v>
      </c>
      <c r="Z968">
        <v>91.52</v>
      </c>
      <c r="AA968">
        <v>4</v>
      </c>
      <c r="AB968">
        <v>64</v>
      </c>
      <c r="AC968">
        <v>49</v>
      </c>
      <c r="AD968" t="str">
        <v>Holly Wood</v>
      </c>
      <c r="AE968" t="str">
        <v>Active</v>
      </c>
      <c r="AF968">
        <v>967010.15999999992</v>
      </c>
    </row>
    <row r="969" spans="16:32" x14ac:dyDescent="0.25">
      <c r="P969" t="str">
        <v>EMP0966</v>
      </c>
      <c r="Q969" t="str">
        <v>Mr. Matthew Miller</v>
      </c>
      <c r="R969" t="str">
        <v>Operations</v>
      </c>
      <c r="S969" t="str">
        <v>Operations Manager</v>
      </c>
      <c r="T969" t="str">
        <v>Female</v>
      </c>
      <c r="U969">
        <v>25</v>
      </c>
      <c r="V969">
        <v>44201</v>
      </c>
      <c r="W969" t="str">
        <v>Full-Time</v>
      </c>
      <c r="X969">
        <v>22952.18</v>
      </c>
      <c r="Y969">
        <v>2</v>
      </c>
      <c r="Z969">
        <v>84.63</v>
      </c>
      <c r="AA969">
        <v>4</v>
      </c>
      <c r="AB969">
        <v>13</v>
      </c>
      <c r="AC969">
        <v>31</v>
      </c>
      <c r="AD969" t="str">
        <v>Brian Ramirez</v>
      </c>
      <c r="AE969" t="str">
        <v>Active</v>
      </c>
      <c r="AF969">
        <v>275426.16000000003</v>
      </c>
    </row>
    <row r="970" spans="16:32" x14ac:dyDescent="0.25">
      <c r="P970" t="str">
        <v>EMP0967</v>
      </c>
      <c r="Q970" t="str">
        <v>Brenda Ryan</v>
      </c>
      <c r="R970" t="str">
        <v>IT</v>
      </c>
      <c r="S970" t="str">
        <v>Data Analyst</v>
      </c>
      <c r="T970" t="str">
        <v>Male</v>
      </c>
      <c r="U970">
        <v>27</v>
      </c>
      <c r="V970">
        <v>44046</v>
      </c>
      <c r="W970" t="str">
        <v>Full-Time</v>
      </c>
      <c r="X970">
        <v>92816.320000000007</v>
      </c>
      <c r="Y970">
        <v>4</v>
      </c>
      <c r="Z970">
        <v>95.12</v>
      </c>
      <c r="AA970">
        <v>5</v>
      </c>
      <c r="AB970">
        <v>53</v>
      </c>
      <c r="AC970">
        <v>59</v>
      </c>
      <c r="AD970" t="str">
        <v>Angie Henderson</v>
      </c>
      <c r="AE970" t="str">
        <v>Active</v>
      </c>
      <c r="AF970">
        <v>1113795.8400000001</v>
      </c>
    </row>
    <row r="971" spans="16:32" x14ac:dyDescent="0.25">
      <c r="P971" t="str">
        <v>EMP0968</v>
      </c>
      <c r="Q971" t="str">
        <v>Lori Luna</v>
      </c>
      <c r="R971" t="str">
        <v>Finance</v>
      </c>
      <c r="S971" t="str">
        <v>Accountant</v>
      </c>
      <c r="T971" t="str">
        <v>Male</v>
      </c>
      <c r="U971">
        <v>25</v>
      </c>
      <c r="V971">
        <v>43938</v>
      </c>
      <c r="W971" t="str">
        <v>Part-Time</v>
      </c>
      <c r="X971">
        <v>96335.19</v>
      </c>
      <c r="Y971">
        <v>5</v>
      </c>
      <c r="Z971">
        <v>92.63</v>
      </c>
      <c r="AA971">
        <v>5</v>
      </c>
      <c r="AB971">
        <v>3</v>
      </c>
      <c r="AC971">
        <v>59</v>
      </c>
      <c r="AD971" t="str">
        <v>Connie Lawrence</v>
      </c>
      <c r="AE971" t="str">
        <v>Active</v>
      </c>
      <c r="AF971">
        <v>1156022.28</v>
      </c>
    </row>
    <row r="972" spans="16:32" x14ac:dyDescent="0.25">
      <c r="P972" t="str">
        <v>EMP0969</v>
      </c>
      <c r="Q972" t="str">
        <v>Lynn Hess</v>
      </c>
      <c r="R972" t="str">
        <v>R&amp;D</v>
      </c>
      <c r="S972" t="str">
        <v>Product Developer</v>
      </c>
      <c r="T972" t="str">
        <v>Male</v>
      </c>
      <c r="U972">
        <v>57</v>
      </c>
      <c r="V972">
        <v>42418</v>
      </c>
      <c r="W972" t="str">
        <v>Contract</v>
      </c>
      <c r="X972">
        <v>39973.440000000002</v>
      </c>
      <c r="Y972">
        <v>3</v>
      </c>
      <c r="Z972">
        <v>89.82</v>
      </c>
      <c r="AA972">
        <v>9</v>
      </c>
      <c r="AB972">
        <v>36</v>
      </c>
      <c r="AC972">
        <v>14</v>
      </c>
      <c r="AD972" t="str">
        <v>Abigail Shaffer</v>
      </c>
      <c r="AE972" t="str">
        <v>Active</v>
      </c>
      <c r="AF972">
        <v>479681.28000000003</v>
      </c>
    </row>
    <row r="973" spans="16:32" x14ac:dyDescent="0.25">
      <c r="P973" t="str">
        <v>EMP0970</v>
      </c>
      <c r="Q973" t="str">
        <v>Kevin Escobar</v>
      </c>
      <c r="R973" t="str">
        <v>Customer Support</v>
      </c>
      <c r="S973" t="str">
        <v>Support Agent</v>
      </c>
      <c r="T973" t="str">
        <v>Male</v>
      </c>
      <c r="U973">
        <v>58</v>
      </c>
      <c r="V973">
        <v>45900</v>
      </c>
      <c r="W973" t="str">
        <v>Full-Time</v>
      </c>
      <c r="X973">
        <v>82911.570000000007</v>
      </c>
      <c r="Y973">
        <v>1</v>
      </c>
      <c r="Z973">
        <v>84.07</v>
      </c>
      <c r="AA973">
        <v>0</v>
      </c>
      <c r="AB973">
        <v>17</v>
      </c>
      <c r="AC973">
        <v>57</v>
      </c>
      <c r="AD973" t="str">
        <v>Allison Hill</v>
      </c>
      <c r="AE973" t="str">
        <v>Active</v>
      </c>
      <c r="AF973">
        <v>994938.84000000008</v>
      </c>
    </row>
    <row r="974" spans="16:32" x14ac:dyDescent="0.25">
      <c r="P974" t="str">
        <v>EMP0971</v>
      </c>
      <c r="Q974" t="str">
        <v>Steven Fernandez</v>
      </c>
      <c r="R974" t="str">
        <v>Customer Support</v>
      </c>
      <c r="S974" t="str">
        <v>Support Agent</v>
      </c>
      <c r="T974" t="str">
        <v>Female</v>
      </c>
      <c r="U974">
        <v>32</v>
      </c>
      <c r="V974">
        <v>45730</v>
      </c>
      <c r="W974" t="str">
        <v>Contract</v>
      </c>
      <c r="X974">
        <v>92997.71</v>
      </c>
      <c r="Y974">
        <v>5</v>
      </c>
      <c r="Z974">
        <v>89.92</v>
      </c>
      <c r="AA974">
        <v>0</v>
      </c>
      <c r="AB974">
        <v>26</v>
      </c>
      <c r="AC974">
        <v>36</v>
      </c>
      <c r="AD974" t="str">
        <v>Brian Ramirez</v>
      </c>
      <c r="AE974" t="str">
        <v>Active</v>
      </c>
      <c r="AF974">
        <v>1115972.52</v>
      </c>
    </row>
    <row r="975" spans="16:32" x14ac:dyDescent="0.25">
      <c r="P975" t="str">
        <v>EMP0972</v>
      </c>
      <c r="Q975" t="str">
        <v>Daniel Barton</v>
      </c>
      <c r="R975" t="str">
        <v>Operations</v>
      </c>
      <c r="S975" t="str">
        <v>Operations Associate</v>
      </c>
      <c r="T975" t="str">
        <v>Male</v>
      </c>
      <c r="U975">
        <v>49</v>
      </c>
      <c r="V975">
        <v>43226</v>
      </c>
      <c r="W975" t="str">
        <v>Part-Time</v>
      </c>
      <c r="X975">
        <v>82547.070000000007</v>
      </c>
      <c r="Y975">
        <v>1</v>
      </c>
      <c r="Z975">
        <v>91.38</v>
      </c>
      <c r="AA975">
        <v>7</v>
      </c>
      <c r="AB975">
        <v>16</v>
      </c>
      <c r="AC975">
        <v>50</v>
      </c>
      <c r="AD975" t="str">
        <v>Holly Wood</v>
      </c>
      <c r="AE975" t="str">
        <v>Active</v>
      </c>
      <c r="AF975">
        <v>990564.84000000008</v>
      </c>
    </row>
    <row r="976" spans="16:32" x14ac:dyDescent="0.25">
      <c r="P976" t="str">
        <v>EMP0973</v>
      </c>
      <c r="Q976" t="str">
        <v>Jonathan Davis</v>
      </c>
      <c r="R976" t="str">
        <v>Marketing</v>
      </c>
      <c r="S976" t="str">
        <v>Brand Manager</v>
      </c>
      <c r="T976" t="str">
        <v>Male</v>
      </c>
      <c r="U976">
        <v>24</v>
      </c>
      <c r="V976">
        <v>44111</v>
      </c>
      <c r="W976" t="str">
        <v>Contract</v>
      </c>
      <c r="X976">
        <v>74053.8</v>
      </c>
      <c r="Y976">
        <v>1</v>
      </c>
      <c r="Z976">
        <v>84.48</v>
      </c>
      <c r="AA976">
        <v>5</v>
      </c>
      <c r="AB976">
        <v>37</v>
      </c>
      <c r="AC976">
        <v>59</v>
      </c>
      <c r="AD976" t="str">
        <v>Gabrielle Davis</v>
      </c>
      <c r="AE976" t="str">
        <v>Active</v>
      </c>
      <c r="AF976">
        <v>888645.60000000009</v>
      </c>
    </row>
    <row r="977" spans="16:32" x14ac:dyDescent="0.25">
      <c r="P977" t="str">
        <v>EMP0974</v>
      </c>
      <c r="Q977" t="str">
        <v>Mary Charles</v>
      </c>
      <c r="R977" t="str">
        <v>Operations</v>
      </c>
      <c r="S977" t="str">
        <v>Operations Associate</v>
      </c>
      <c r="T977" t="str">
        <v>Male</v>
      </c>
      <c r="U977">
        <v>39</v>
      </c>
      <c r="V977">
        <v>44563</v>
      </c>
      <c r="W977" t="str">
        <v>Full-Time</v>
      </c>
      <c r="X977">
        <v>73442.38</v>
      </c>
      <c r="Y977">
        <v>2</v>
      </c>
      <c r="Z977">
        <v>97.06</v>
      </c>
      <c r="AA977">
        <v>3</v>
      </c>
      <c r="AB977">
        <v>78</v>
      </c>
      <c r="AC977">
        <v>32</v>
      </c>
      <c r="AD977" t="str">
        <v>Ryan Munoz</v>
      </c>
      <c r="AE977" t="str">
        <v>Active</v>
      </c>
      <c r="AF977">
        <v>881308.56</v>
      </c>
    </row>
    <row r="978" spans="16:32" x14ac:dyDescent="0.25">
      <c r="P978" t="str">
        <v>EMP0975</v>
      </c>
      <c r="Q978" t="str">
        <v>Brenda Moore</v>
      </c>
      <c r="R978" t="str">
        <v>Sales</v>
      </c>
      <c r="S978" t="str">
        <v>Account Executive</v>
      </c>
      <c r="T978" t="str">
        <v>Male</v>
      </c>
      <c r="U978">
        <v>58</v>
      </c>
      <c r="V978">
        <v>43333</v>
      </c>
      <c r="W978" t="str">
        <v>Part-Time</v>
      </c>
      <c r="X978">
        <v>113692.69</v>
      </c>
      <c r="Y978">
        <v>3</v>
      </c>
      <c r="Z978">
        <v>93.06</v>
      </c>
      <c r="AA978">
        <v>7</v>
      </c>
      <c r="AB978">
        <v>4</v>
      </c>
      <c r="AC978">
        <v>21</v>
      </c>
      <c r="AD978" t="str">
        <v>Michele Williams</v>
      </c>
      <c r="AE978" t="str">
        <v>Active</v>
      </c>
      <c r="AF978">
        <v>1364312.28</v>
      </c>
    </row>
    <row r="979" spans="16:32" x14ac:dyDescent="0.25">
      <c r="P979" t="str">
        <v>EMP0976</v>
      </c>
      <c r="Q979" t="str">
        <v>Mary Faulkner</v>
      </c>
      <c r="R979" t="str">
        <v>Operations</v>
      </c>
      <c r="S979" t="str">
        <v>Operations Associate</v>
      </c>
      <c r="T979" t="str">
        <v>Male</v>
      </c>
      <c r="U979">
        <v>34</v>
      </c>
      <c r="V979">
        <v>45822</v>
      </c>
      <c r="W979" t="str">
        <v>Contract</v>
      </c>
      <c r="X979">
        <v>101676.24</v>
      </c>
      <c r="Y979">
        <v>3</v>
      </c>
      <c r="Z979">
        <v>98.48</v>
      </c>
      <c r="AA979">
        <v>0</v>
      </c>
      <c r="AB979">
        <v>7</v>
      </c>
      <c r="AC979">
        <v>15</v>
      </c>
      <c r="AD979" t="str">
        <v>Brian Ramirez</v>
      </c>
      <c r="AE979" t="str">
        <v>Active</v>
      </c>
      <c r="AF979">
        <v>1220114.8800000001</v>
      </c>
    </row>
    <row r="980" spans="16:32" x14ac:dyDescent="0.25">
      <c r="P980" t="str">
        <v>EMP0977</v>
      </c>
      <c r="Q980" t="str">
        <v>Amanda Juarez</v>
      </c>
      <c r="R980" t="str">
        <v>Sales</v>
      </c>
      <c r="S980" t="str">
        <v>Sales Manager</v>
      </c>
      <c r="T980" t="str">
        <v>Male</v>
      </c>
      <c r="U980">
        <v>47</v>
      </c>
      <c r="V980">
        <v>45307</v>
      </c>
      <c r="W980" t="str">
        <v>Contract</v>
      </c>
      <c r="X980">
        <v>93928.94</v>
      </c>
      <c r="Y980">
        <v>1</v>
      </c>
      <c r="Z980">
        <v>97.75</v>
      </c>
      <c r="AA980">
        <v>1</v>
      </c>
      <c r="AB980">
        <v>61</v>
      </c>
      <c r="AC980">
        <v>60</v>
      </c>
      <c r="AD980" t="str">
        <v>Cristian Santos</v>
      </c>
      <c r="AE980" t="str">
        <v>Active</v>
      </c>
      <c r="AF980">
        <v>1127147.28</v>
      </c>
    </row>
    <row r="981" spans="16:32" x14ac:dyDescent="0.25">
      <c r="P981" t="str">
        <v>EMP0978</v>
      </c>
      <c r="Q981" t="str">
        <v>Jacob Williams</v>
      </c>
      <c r="R981" t="str">
        <v>Sales</v>
      </c>
      <c r="S981" t="str">
        <v>Sales Rep</v>
      </c>
      <c r="T981" t="str">
        <v>Male</v>
      </c>
      <c r="U981">
        <v>52</v>
      </c>
      <c r="V981">
        <v>43743</v>
      </c>
      <c r="W981" t="str">
        <v>Contract</v>
      </c>
      <c r="X981">
        <v>42524.5</v>
      </c>
      <c r="Y981">
        <v>3</v>
      </c>
      <c r="Z981">
        <v>88.63</v>
      </c>
      <c r="AA981">
        <v>6</v>
      </c>
      <c r="AB981">
        <v>38</v>
      </c>
      <c r="AC981">
        <v>50</v>
      </c>
      <c r="AD981" t="str">
        <v>Gina Moore</v>
      </c>
      <c r="AE981" t="str">
        <v>Active</v>
      </c>
      <c r="AF981">
        <v>510294</v>
      </c>
    </row>
    <row r="982" spans="16:32" x14ac:dyDescent="0.25">
      <c r="P982" t="str">
        <v>EMP0979</v>
      </c>
      <c r="Q982" t="str">
        <v>Rebecca Hughes</v>
      </c>
      <c r="R982" t="str">
        <v>Sales</v>
      </c>
      <c r="S982" t="str">
        <v>Sales Rep</v>
      </c>
      <c r="T982" t="str">
        <v>Male</v>
      </c>
      <c r="U982">
        <v>55</v>
      </c>
      <c r="V982">
        <v>43587</v>
      </c>
      <c r="W982" t="str">
        <v>Contract</v>
      </c>
      <c r="X982">
        <v>106029.45</v>
      </c>
      <c r="Y982">
        <v>1</v>
      </c>
      <c r="Z982">
        <v>91.05</v>
      </c>
      <c r="AA982">
        <v>6</v>
      </c>
      <c r="AB982">
        <v>6</v>
      </c>
      <c r="AC982">
        <v>24</v>
      </c>
      <c r="AD982" t="str">
        <v>Lisa Hensley</v>
      </c>
      <c r="AE982" t="str">
        <v>Active</v>
      </c>
      <c r="AF982">
        <v>1272353.3999999999</v>
      </c>
    </row>
    <row r="983" spans="16:32" x14ac:dyDescent="0.25">
      <c r="P983" t="str">
        <v>EMP0980</v>
      </c>
      <c r="Q983" t="str">
        <v>Amanda Wong</v>
      </c>
      <c r="R983" t="str">
        <v>Customer Support</v>
      </c>
      <c r="S983" t="str">
        <v>Team Lead</v>
      </c>
      <c r="T983" t="str">
        <v>Male</v>
      </c>
      <c r="U983">
        <v>28</v>
      </c>
      <c r="V983">
        <v>45128</v>
      </c>
      <c r="W983" t="str">
        <v>Part-Time</v>
      </c>
      <c r="X983">
        <v>31799.26</v>
      </c>
      <c r="Y983">
        <v>5</v>
      </c>
      <c r="Z983">
        <v>99.65</v>
      </c>
      <c r="AA983">
        <v>2</v>
      </c>
      <c r="AB983">
        <v>47</v>
      </c>
      <c r="AC983">
        <v>22</v>
      </c>
      <c r="AD983" t="str">
        <v>Abigail Shaffer</v>
      </c>
      <c r="AE983" t="str">
        <v>Active</v>
      </c>
      <c r="AF983">
        <v>381591.12</v>
      </c>
    </row>
    <row r="984" spans="16:32" x14ac:dyDescent="0.25">
      <c r="P984" t="str">
        <v>EMP0981</v>
      </c>
      <c r="Q984" t="str">
        <v>Kelly Gallegos</v>
      </c>
      <c r="R984" t="str">
        <v>Sales</v>
      </c>
      <c r="S984" t="str">
        <v>Sales Rep</v>
      </c>
      <c r="T984" t="str">
        <v>Male</v>
      </c>
      <c r="U984">
        <v>26</v>
      </c>
      <c r="V984">
        <v>42944</v>
      </c>
      <c r="W984" t="str">
        <v>Contract</v>
      </c>
      <c r="X984">
        <v>21004.97</v>
      </c>
      <c r="Y984">
        <v>4</v>
      </c>
      <c r="Z984">
        <v>94.95</v>
      </c>
      <c r="AA984">
        <v>8</v>
      </c>
      <c r="AB984">
        <v>68</v>
      </c>
      <c r="AC984">
        <v>36</v>
      </c>
      <c r="AD984" t="str">
        <v>Noah Rhodes</v>
      </c>
      <c r="AE984" t="str">
        <v>Resigned</v>
      </c>
      <c r="AF984">
        <v>252059.64</v>
      </c>
    </row>
    <row r="985" spans="16:32" x14ac:dyDescent="0.25">
      <c r="P985" t="str">
        <v>EMP0982</v>
      </c>
      <c r="Q985" t="str">
        <v>Laura Bennett</v>
      </c>
      <c r="R985" t="str">
        <v>Sales</v>
      </c>
      <c r="S985" t="str">
        <v>Account Executive</v>
      </c>
      <c r="T985" t="str">
        <v>Male</v>
      </c>
      <c r="U985">
        <v>24</v>
      </c>
      <c r="V985">
        <v>43939</v>
      </c>
      <c r="W985" t="str">
        <v>Full-Time</v>
      </c>
      <c r="X985">
        <v>25665.46</v>
      </c>
      <c r="Y985">
        <v>4</v>
      </c>
      <c r="Z985">
        <v>83.61</v>
      </c>
      <c r="AA985">
        <v>5</v>
      </c>
      <c r="AB985">
        <v>5</v>
      </c>
      <c r="AC985">
        <v>20</v>
      </c>
      <c r="AD985" t="str">
        <v>Jamie Arnold</v>
      </c>
      <c r="AE985" t="str">
        <v>Active</v>
      </c>
      <c r="AF985">
        <v>307985.52</v>
      </c>
    </row>
    <row r="986" spans="16:32" x14ac:dyDescent="0.25">
      <c r="P986" t="str">
        <v>EMP0983</v>
      </c>
      <c r="Q986" t="str">
        <v>Matthew Houston</v>
      </c>
      <c r="R986" t="str">
        <v>IT</v>
      </c>
      <c r="S986" t="str">
        <v>Software Engineer</v>
      </c>
      <c r="T986" t="str">
        <v>Male</v>
      </c>
      <c r="U986">
        <v>59</v>
      </c>
      <c r="V986">
        <v>44655</v>
      </c>
      <c r="W986" t="str">
        <v>Part-Time</v>
      </c>
      <c r="X986">
        <v>67870.14</v>
      </c>
      <c r="Y986">
        <v>1</v>
      </c>
      <c r="Z986">
        <v>93.13</v>
      </c>
      <c r="AA986">
        <v>3</v>
      </c>
      <c r="AB986">
        <v>9</v>
      </c>
      <c r="AC986">
        <v>16</v>
      </c>
      <c r="AD986" t="str">
        <v>Derek Zuniga</v>
      </c>
      <c r="AE986" t="str">
        <v>Active</v>
      </c>
      <c r="AF986">
        <v>814441.67999999993</v>
      </c>
    </row>
    <row r="987" spans="16:32" x14ac:dyDescent="0.25">
      <c r="P987" t="str">
        <v>EMP0984</v>
      </c>
      <c r="Q987" t="str">
        <v>William Walker</v>
      </c>
      <c r="R987" t="str">
        <v>Operations</v>
      </c>
      <c r="S987" t="str">
        <v>Operations Associate</v>
      </c>
      <c r="T987" t="str">
        <v>Female</v>
      </c>
      <c r="U987">
        <v>40</v>
      </c>
      <c r="V987">
        <v>45513</v>
      </c>
      <c r="W987" t="str">
        <v>Part-Time</v>
      </c>
      <c r="X987">
        <v>98020.84</v>
      </c>
      <c r="Y987">
        <v>3</v>
      </c>
      <c r="Z987">
        <v>97.38</v>
      </c>
      <c r="AA987">
        <v>1</v>
      </c>
      <c r="AB987">
        <v>31</v>
      </c>
      <c r="AC987">
        <v>33</v>
      </c>
      <c r="AD987" t="str">
        <v>Gabrielle Davis</v>
      </c>
      <c r="AE987" t="str">
        <v>Active</v>
      </c>
      <c r="AF987">
        <v>1176250.08</v>
      </c>
    </row>
    <row r="988" spans="16:32" x14ac:dyDescent="0.25">
      <c r="P988" t="str">
        <v>EMP0985</v>
      </c>
      <c r="Q988" t="str">
        <v>Sean Tucker</v>
      </c>
      <c r="R988" t="str">
        <v>Marketing</v>
      </c>
      <c r="S988" t="str">
        <v>Marketing Analyst</v>
      </c>
      <c r="T988" t="str">
        <v>Female</v>
      </c>
      <c r="U988">
        <v>47</v>
      </c>
      <c r="V988">
        <v>44824</v>
      </c>
      <c r="W988" t="str">
        <v>Contract</v>
      </c>
      <c r="X988">
        <v>115056.35</v>
      </c>
      <c r="Y988">
        <v>4</v>
      </c>
      <c r="Z988">
        <v>85.6</v>
      </c>
      <c r="AA988">
        <v>3</v>
      </c>
      <c r="AB988">
        <v>26</v>
      </c>
      <c r="AC988">
        <v>58</v>
      </c>
      <c r="AD988" t="str">
        <v>Cristian Santos</v>
      </c>
      <c r="AE988" t="str">
        <v>Active</v>
      </c>
      <c r="AF988">
        <v>1380676.2000000002</v>
      </c>
    </row>
    <row r="989" spans="16:32" x14ac:dyDescent="0.25">
      <c r="P989" t="str">
        <v>EMP0986</v>
      </c>
      <c r="Q989" t="str">
        <v>Adriana Macias</v>
      </c>
      <c r="R989" t="str">
        <v>IT</v>
      </c>
      <c r="S989" t="str">
        <v>Software Engineer</v>
      </c>
      <c r="T989" t="str">
        <v>Male</v>
      </c>
      <c r="U989">
        <v>28</v>
      </c>
      <c r="V989">
        <v>45298</v>
      </c>
      <c r="W989" t="str">
        <v>Part-Time</v>
      </c>
      <c r="X989">
        <v>92491.08</v>
      </c>
      <c r="Y989">
        <v>2</v>
      </c>
      <c r="Z989">
        <v>80.72</v>
      </c>
      <c r="AA989">
        <v>1</v>
      </c>
      <c r="AB989">
        <v>30</v>
      </c>
      <c r="AC989">
        <v>44</v>
      </c>
      <c r="AD989" t="str">
        <v>Dylan Miller</v>
      </c>
      <c r="AE989" t="str">
        <v>Active</v>
      </c>
      <c r="AF989">
        <v>1109892.96</v>
      </c>
    </row>
    <row r="990" spans="16:32" x14ac:dyDescent="0.25">
      <c r="P990" t="str">
        <v>EMP0987</v>
      </c>
      <c r="Q990" t="str">
        <v>Billy Schneider</v>
      </c>
      <c r="R990" t="str">
        <v>R&amp;D</v>
      </c>
      <c r="S990" t="str">
        <v>Researcher</v>
      </c>
      <c r="T990" t="str">
        <v>Male</v>
      </c>
      <c r="U990">
        <v>52</v>
      </c>
      <c r="V990">
        <v>45036</v>
      </c>
      <c r="W990" t="str">
        <v>Full-Time</v>
      </c>
      <c r="X990">
        <v>47029.86</v>
      </c>
      <c r="Y990">
        <v>5</v>
      </c>
      <c r="Z990">
        <v>87.68</v>
      </c>
      <c r="AA990">
        <v>2</v>
      </c>
      <c r="AB990">
        <v>10</v>
      </c>
      <c r="AC990">
        <v>3</v>
      </c>
      <c r="AD990" t="str">
        <v>Gabrielle Davis</v>
      </c>
      <c r="AE990" t="str">
        <v>Resigned</v>
      </c>
      <c r="AF990">
        <v>564358.32000000007</v>
      </c>
    </row>
    <row r="991" spans="16:32" x14ac:dyDescent="0.25">
      <c r="P991" t="str">
        <v>EMP0988</v>
      </c>
      <c r="Q991" t="str">
        <v>Christopher Guzman</v>
      </c>
      <c r="R991" t="str">
        <v>Customer Support</v>
      </c>
      <c r="S991" t="str">
        <v>Team Lead</v>
      </c>
      <c r="T991" t="str">
        <v>Male</v>
      </c>
      <c r="U991">
        <v>45</v>
      </c>
      <c r="V991">
        <v>43617</v>
      </c>
      <c r="W991" t="str">
        <v>Part-Time</v>
      </c>
      <c r="X991">
        <v>64401.97</v>
      </c>
      <c r="Y991">
        <v>2</v>
      </c>
      <c r="Z991">
        <v>84.11</v>
      </c>
      <c r="AA991">
        <v>6</v>
      </c>
      <c r="AB991">
        <v>23</v>
      </c>
      <c r="AC991">
        <v>42</v>
      </c>
      <c r="AD991" t="str">
        <v>Michele Williams</v>
      </c>
      <c r="AE991" t="str">
        <v>Active</v>
      </c>
      <c r="AF991">
        <v>772823.64</v>
      </c>
    </row>
    <row r="992" spans="16:32" x14ac:dyDescent="0.25">
      <c r="P992" t="str">
        <v>EMP0989</v>
      </c>
      <c r="Q992" t="str">
        <v>Jennifer Rivera</v>
      </c>
      <c r="R992" t="str">
        <v>Finance</v>
      </c>
      <c r="S992" t="str">
        <v>Accountant</v>
      </c>
      <c r="T992" t="str">
        <v>Female</v>
      </c>
      <c r="U992">
        <v>22</v>
      </c>
      <c r="V992">
        <v>43038</v>
      </c>
      <c r="W992" t="str">
        <v>Contract</v>
      </c>
      <c r="X992">
        <v>95447.81</v>
      </c>
      <c r="Y992">
        <v>3</v>
      </c>
      <c r="Z992">
        <v>98.45</v>
      </c>
      <c r="AA992">
        <v>8</v>
      </c>
      <c r="AB992">
        <v>33</v>
      </c>
      <c r="AC992">
        <v>51</v>
      </c>
      <c r="AD992" t="str">
        <v>Lisa Jackson</v>
      </c>
      <c r="AE992" t="str">
        <v>Active</v>
      </c>
      <c r="AF992">
        <v>1145373.72</v>
      </c>
    </row>
    <row r="993" spans="16:32" x14ac:dyDescent="0.25">
      <c r="P993" t="str">
        <v>EMP0990</v>
      </c>
      <c r="Q993" t="str">
        <v>Mr. Daniel Martin</v>
      </c>
      <c r="R993" t="str">
        <v>Sales</v>
      </c>
      <c r="S993" t="str">
        <v>Sales Manager</v>
      </c>
      <c r="T993" t="str">
        <v>Female</v>
      </c>
      <c r="U993">
        <v>48</v>
      </c>
      <c r="V993">
        <v>43007</v>
      </c>
      <c r="W993" t="str">
        <v>Contract</v>
      </c>
      <c r="X993">
        <v>112856.65</v>
      </c>
      <c r="Y993">
        <v>1</v>
      </c>
      <c r="Z993">
        <v>96.15</v>
      </c>
      <c r="AA993">
        <v>8</v>
      </c>
      <c r="AB993">
        <v>70</v>
      </c>
      <c r="AC993">
        <v>24</v>
      </c>
      <c r="AD993" t="str">
        <v>Ryan Munoz</v>
      </c>
      <c r="AE993" t="str">
        <v>Resigned</v>
      </c>
      <c r="AF993">
        <v>1354279.7999999998</v>
      </c>
    </row>
    <row r="994" spans="16:32" x14ac:dyDescent="0.25">
      <c r="P994" t="str">
        <v>EMP0991</v>
      </c>
      <c r="Q994" t="str">
        <v>Andrew Berry</v>
      </c>
      <c r="R994" t="str">
        <v>R&amp;D</v>
      </c>
      <c r="S994" t="str">
        <v>Product Developer</v>
      </c>
      <c r="T994" t="str">
        <v>Female</v>
      </c>
      <c r="U994">
        <v>31</v>
      </c>
      <c r="V994">
        <v>44856</v>
      </c>
      <c r="W994" t="str">
        <v>Part-Time</v>
      </c>
      <c r="X994">
        <v>66733.25</v>
      </c>
      <c r="Y994">
        <v>2</v>
      </c>
      <c r="Z994">
        <v>82.64</v>
      </c>
      <c r="AA994">
        <v>3</v>
      </c>
      <c r="AB994">
        <v>1</v>
      </c>
      <c r="AC994">
        <v>17</v>
      </c>
      <c r="AD994" t="str">
        <v>Gabrielle Davis</v>
      </c>
      <c r="AE994" t="str">
        <v>Active</v>
      </c>
      <c r="AF994">
        <v>800799</v>
      </c>
    </row>
    <row r="995" spans="16:32" x14ac:dyDescent="0.25">
      <c r="P995" t="str">
        <v>EMP0992</v>
      </c>
      <c r="Q995" t="str">
        <v>Jose Macdonald</v>
      </c>
      <c r="R995" t="str">
        <v>IT</v>
      </c>
      <c r="S995" t="str">
        <v>Data Analyst</v>
      </c>
      <c r="T995" t="str">
        <v>Female</v>
      </c>
      <c r="U995">
        <v>42</v>
      </c>
      <c r="V995">
        <v>43304</v>
      </c>
      <c r="W995" t="str">
        <v>Contract</v>
      </c>
      <c r="X995">
        <v>59460.12</v>
      </c>
      <c r="Y995">
        <v>5</v>
      </c>
      <c r="Z995">
        <v>85.49</v>
      </c>
      <c r="AA995">
        <v>7</v>
      </c>
      <c r="AB995">
        <v>34</v>
      </c>
      <c r="AC995">
        <v>42</v>
      </c>
      <c r="AD995" t="str">
        <v>Gabrielle Davis</v>
      </c>
      <c r="AE995" t="str">
        <v>Active</v>
      </c>
      <c r="AF995">
        <v>713521.44000000006</v>
      </c>
    </row>
    <row r="996" spans="16:32" x14ac:dyDescent="0.25">
      <c r="P996" t="str">
        <v>EMP0993</v>
      </c>
      <c r="Q996" t="str">
        <v>David White</v>
      </c>
      <c r="R996" t="str">
        <v>Sales</v>
      </c>
      <c r="S996" t="str">
        <v>Sales Rep</v>
      </c>
      <c r="T996" t="str">
        <v>Female</v>
      </c>
      <c r="U996">
        <v>57</v>
      </c>
      <c r="V996">
        <v>43215</v>
      </c>
      <c r="W996" t="str">
        <v>Contract</v>
      </c>
      <c r="X996">
        <v>52098.94</v>
      </c>
      <c r="Y996">
        <v>3</v>
      </c>
      <c r="Z996">
        <v>96.95</v>
      </c>
      <c r="AA996">
        <v>7</v>
      </c>
      <c r="AB996">
        <v>56</v>
      </c>
      <c r="AC996">
        <v>29</v>
      </c>
      <c r="AD996" t="str">
        <v>Allison Hill</v>
      </c>
      <c r="AE996" t="str">
        <v>Active</v>
      </c>
      <c r="AF996">
        <v>625187.28</v>
      </c>
    </row>
    <row r="997" spans="16:32" x14ac:dyDescent="0.25">
      <c r="P997" t="str">
        <v>EMP0994</v>
      </c>
      <c r="Q997" t="str">
        <v>Kristy Smith</v>
      </c>
      <c r="R997" t="str">
        <v>R&amp;D</v>
      </c>
      <c r="S997" t="str">
        <v>Researcher</v>
      </c>
      <c r="T997" t="str">
        <v>Female</v>
      </c>
      <c r="U997">
        <v>51</v>
      </c>
      <c r="V997">
        <v>44822</v>
      </c>
      <c r="W997" t="str">
        <v>Contract</v>
      </c>
      <c r="X997">
        <v>104432.53</v>
      </c>
      <c r="Y997">
        <v>2</v>
      </c>
      <c r="Z997">
        <v>88.17</v>
      </c>
      <c r="AA997">
        <v>3</v>
      </c>
      <c r="AB997">
        <v>74</v>
      </c>
      <c r="AC997">
        <v>60</v>
      </c>
      <c r="AD997" t="str">
        <v>Angie Henderson</v>
      </c>
      <c r="AE997" t="str">
        <v>Active</v>
      </c>
      <c r="AF997">
        <v>1253190.3599999999</v>
      </c>
    </row>
    <row r="998" spans="16:32" x14ac:dyDescent="0.25">
      <c r="P998" t="str">
        <v>EMP0995</v>
      </c>
      <c r="Q998" t="str">
        <v>Claire Obrien</v>
      </c>
      <c r="R998" t="str">
        <v>Operations</v>
      </c>
      <c r="S998" t="str">
        <v>Operations Associate</v>
      </c>
      <c r="T998" t="str">
        <v>Female</v>
      </c>
      <c r="U998">
        <v>32</v>
      </c>
      <c r="V998">
        <v>44064</v>
      </c>
      <c r="W998" t="str">
        <v>Part-Time</v>
      </c>
      <c r="X998">
        <v>96597.68</v>
      </c>
      <c r="Y998">
        <v>3</v>
      </c>
      <c r="Z998">
        <v>85.19</v>
      </c>
      <c r="AA998">
        <v>5</v>
      </c>
      <c r="AB998">
        <v>63</v>
      </c>
      <c r="AC998">
        <v>8</v>
      </c>
      <c r="AD998" t="str">
        <v>Gina Moore</v>
      </c>
      <c r="AE998" t="str">
        <v>Active</v>
      </c>
      <c r="AF998">
        <v>1159172.1599999999</v>
      </c>
    </row>
    <row r="999" spans="16:32" x14ac:dyDescent="0.25">
      <c r="P999" t="str">
        <v>EMP0996</v>
      </c>
      <c r="Q999" t="str">
        <v>Carolyn Greer</v>
      </c>
      <c r="R999" t="str">
        <v>HR</v>
      </c>
      <c r="S999" t="str">
        <v>HR Manager</v>
      </c>
      <c r="T999" t="str">
        <v>Male</v>
      </c>
      <c r="U999">
        <v>35</v>
      </c>
      <c r="V999">
        <v>45232</v>
      </c>
      <c r="W999" t="str">
        <v>Full-Time</v>
      </c>
      <c r="X999">
        <v>85460.08</v>
      </c>
      <c r="Y999">
        <v>2</v>
      </c>
      <c r="Z999">
        <v>93.69</v>
      </c>
      <c r="AA999">
        <v>2</v>
      </c>
      <c r="AB999">
        <v>56</v>
      </c>
      <c r="AC999">
        <v>37</v>
      </c>
      <c r="AD999" t="str">
        <v>Monica Herrera</v>
      </c>
      <c r="AE999" t="str">
        <v>Active</v>
      </c>
      <c r="AF999">
        <v>1025520.96</v>
      </c>
    </row>
    <row r="1000" spans="16:32" x14ac:dyDescent="0.25">
      <c r="P1000" t="str">
        <v>EMP0997</v>
      </c>
      <c r="Q1000" t="str">
        <v>Samantha White</v>
      </c>
      <c r="R1000" t="str">
        <v>IT</v>
      </c>
      <c r="S1000" t="str">
        <v>IT Support</v>
      </c>
      <c r="T1000" t="str">
        <v>Female</v>
      </c>
      <c r="U1000">
        <v>37</v>
      </c>
      <c r="V1000">
        <v>43189</v>
      </c>
      <c r="W1000" t="str">
        <v>Full-Time</v>
      </c>
      <c r="X1000">
        <v>87838.78</v>
      </c>
      <c r="Y1000">
        <v>3</v>
      </c>
      <c r="Z1000">
        <v>90.81</v>
      </c>
      <c r="AA1000">
        <v>7</v>
      </c>
      <c r="AB1000">
        <v>5</v>
      </c>
      <c r="AC1000">
        <v>38</v>
      </c>
      <c r="AD1000" t="str">
        <v>Gina Moore</v>
      </c>
      <c r="AE1000" t="str">
        <v>Active</v>
      </c>
      <c r="AF1000">
        <v>1054065.3599999999</v>
      </c>
    </row>
    <row r="1001" spans="16:32" x14ac:dyDescent="0.25">
      <c r="P1001" t="str">
        <v>EMP0998</v>
      </c>
      <c r="Q1001" t="str">
        <v>Nathaniel Cooper</v>
      </c>
      <c r="R1001" t="str">
        <v>Marketing</v>
      </c>
      <c r="S1001" t="str">
        <v>Content Specialist</v>
      </c>
      <c r="T1001" t="str">
        <v>Female</v>
      </c>
      <c r="U1001">
        <v>28</v>
      </c>
      <c r="V1001">
        <v>45477</v>
      </c>
      <c r="W1001" t="str">
        <v>Contract</v>
      </c>
      <c r="X1001">
        <v>27745.02</v>
      </c>
      <c r="Y1001">
        <v>2</v>
      </c>
      <c r="Z1001">
        <v>86.52</v>
      </c>
      <c r="AA1001">
        <v>1</v>
      </c>
      <c r="AB1001">
        <v>47</v>
      </c>
      <c r="AC1001">
        <v>53</v>
      </c>
      <c r="AD1001" t="str">
        <v>Michele Williams</v>
      </c>
      <c r="AE1001" t="str">
        <v>Active</v>
      </c>
      <c r="AF1001">
        <v>332940.24</v>
      </c>
    </row>
    <row r="1002" spans="16:32" x14ac:dyDescent="0.25">
      <c r="P1002" t="str">
        <v>EMP0999</v>
      </c>
      <c r="Q1002" t="str">
        <v>Andrea Gray</v>
      </c>
      <c r="R1002" t="str">
        <v>Customer Support</v>
      </c>
      <c r="S1002" t="str">
        <v>Team Lead</v>
      </c>
      <c r="T1002" t="str">
        <v>Male</v>
      </c>
      <c r="U1002">
        <v>22</v>
      </c>
      <c r="V1002">
        <v>45120</v>
      </c>
      <c r="W1002" t="str">
        <v>Part-Time</v>
      </c>
      <c r="X1002">
        <v>80696.67</v>
      </c>
      <c r="Y1002">
        <v>3</v>
      </c>
      <c r="Z1002">
        <v>86.7</v>
      </c>
      <c r="AA1002">
        <v>2</v>
      </c>
      <c r="AB1002">
        <v>52</v>
      </c>
      <c r="AC1002">
        <v>57</v>
      </c>
      <c r="AD1002" t="str">
        <v>Jamie Arnold</v>
      </c>
      <c r="AE1002" t="str">
        <v>Active</v>
      </c>
      <c r="AF1002">
        <v>968360.04</v>
      </c>
    </row>
    <row r="1003" spans="16:32" x14ac:dyDescent="0.25">
      <c r="P1003" t="str">
        <v>EMP1000</v>
      </c>
      <c r="Q1003" t="str">
        <v>Dale Heath</v>
      </c>
      <c r="R1003" t="str">
        <v>Finance</v>
      </c>
      <c r="S1003" t="str">
        <v>Finance Manager</v>
      </c>
      <c r="T1003" t="str">
        <v>Male</v>
      </c>
      <c r="U1003">
        <v>31</v>
      </c>
      <c r="V1003">
        <v>43124</v>
      </c>
      <c r="W1003" t="str">
        <v>Part-Time</v>
      </c>
      <c r="X1003">
        <v>24461.06</v>
      </c>
      <c r="Y1003">
        <v>2</v>
      </c>
      <c r="Z1003">
        <v>98.24</v>
      </c>
      <c r="AA1003">
        <v>7</v>
      </c>
      <c r="AB1003">
        <v>3</v>
      </c>
      <c r="AC1003">
        <v>6</v>
      </c>
      <c r="AD1003" t="str">
        <v>Carla Gray</v>
      </c>
      <c r="AE1003" t="str">
        <v>Active</v>
      </c>
      <c r="AF1003">
        <v>293532.72000000003</v>
      </c>
    </row>
  </sheetData>
  <mergeCells count="7">
    <mergeCell ref="A40:C40"/>
    <mergeCell ref="A1:B1"/>
    <mergeCell ref="A13:B13"/>
    <mergeCell ref="A14:B14"/>
    <mergeCell ref="N1:O2"/>
    <mergeCell ref="A16:B16"/>
    <mergeCell ref="A28:C28"/>
  </mergeCells>
  <pageMargins left="0.7" right="0.7" top="0.75" bottom="0.75" header="0.3" footer="0.3"/>
  <drawing r:id="rId5"/>
  <legacyDrawing r:id="rId6"/>
  <controls>
    <mc:AlternateContent xmlns:mc="http://schemas.openxmlformats.org/markup-compatibility/2006">
      <mc:Choice Requires="x14">
        <control shapeId="1025" r:id="rId7" name="TextBox1">
          <controlPr defaultSize="0" autoLine="0" linkedCell="P2" r:id="rId8">
            <anchor moveWithCells="1">
              <from>
                <xdr:col>15</xdr:col>
                <xdr:colOff>38100</xdr:colOff>
                <xdr:row>0</xdr:row>
                <xdr:rowOff>28575</xdr:rowOff>
              </from>
              <to>
                <xdr:col>16</xdr:col>
                <xdr:colOff>1666875</xdr:colOff>
                <xdr:row>1</xdr:row>
                <xdr:rowOff>123825</xdr:rowOff>
              </to>
            </anchor>
          </controlPr>
        </control>
      </mc:Choice>
      <mc:Fallback>
        <control shapeId="1025" r:id="rId7" name="TextBox1"/>
      </mc:Fallback>
    </mc:AlternateContent>
  </controls>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Employee 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Ian C</cp:lastModifiedBy>
  <dcterms:created xsi:type="dcterms:W3CDTF">2025-10-26T08:58:01Z</dcterms:created>
  <dcterms:modified xsi:type="dcterms:W3CDTF">2025-10-26T10:03:12Z</dcterms:modified>
</cp:coreProperties>
</file>