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24226"/>
  <mc:AlternateContent xmlns:mc="http://schemas.openxmlformats.org/markup-compatibility/2006">
    <mc:Choice Requires="x15">
      <x15ac:absPath xmlns:x15ac="http://schemas.microsoft.com/office/spreadsheetml/2010/11/ac" url="F:\Desktop Files\Data Analytics\Excel Projects\"/>
    </mc:Choice>
  </mc:AlternateContent>
  <xr:revisionPtr revIDLastSave="0" documentId="13_ncr:1_{83BADE01-9B3B-4FC7-BD00-FAA9A3893497}" xr6:coauthVersionLast="47" xr6:coauthVersionMax="47" xr10:uidLastSave="{00000000-0000-0000-0000-000000000000}"/>
  <bookViews>
    <workbookView xWindow="-120" yWindow="-120" windowWidth="29040" windowHeight="15720" activeTab="2" xr2:uid="{00000000-000D-0000-FFFF-FFFF00000000}"/>
  </bookViews>
  <sheets>
    <sheet name="Employee_Data" sheetId="1" r:id="rId1"/>
    <sheet name="Tables and Charts" sheetId="2" r:id="rId2"/>
    <sheet name="Forecasting" sheetId="5" r:id="rId3"/>
    <sheet name="Correlation" sheetId="4" r:id="rId4"/>
    <sheet name="Analysis" sheetId="3" r:id="rId5"/>
  </sheets>
  <definedNames>
    <definedName name="_xlnm._FilterDatabase" localSheetId="0" hidden="1">Employee_Data!$A$1:$K$1001</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4" l="1"/>
  <c r="D11" i="4"/>
  <c r="F13" i="4"/>
  <c r="B14" i="4"/>
  <c r="B2" i="4" a="1"/>
  <c r="B2" i="4" s="1"/>
  <c r="D2" i="4" a="1"/>
  <c r="D2" i="4" s="1"/>
  <c r="C2" i="4" a="1"/>
  <c r="C2" i="4" s="1"/>
  <c r="A3" i="4"/>
  <c r="A4" i="4"/>
  <c r="A5" i="4"/>
  <c r="A6" i="4"/>
  <c r="A7" i="4"/>
  <c r="A8" i="4"/>
  <c r="A9" i="4"/>
  <c r="A10" i="4"/>
  <c r="A2" i="4"/>
  <c r="E29" i="2"/>
  <c r="E20"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C11" i="5"/>
  <c r="C12" i="5"/>
  <c r="C13" i="5"/>
  <c r="C14" i="5"/>
  <c r="C15" i="5"/>
  <c r="C16" i="5"/>
  <c r="B13" i="4" l="1"/>
  <c r="E16" i="5"/>
  <c r="D16" i="5"/>
  <c r="E15" i="5"/>
  <c r="D15" i="5"/>
  <c r="E14" i="5"/>
  <c r="D14" i="5"/>
  <c r="D13" i="5"/>
  <c r="E12" i="5"/>
  <c r="D12" i="5"/>
  <c r="E11" i="5"/>
  <c r="D11" i="5"/>
  <c r="E13"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<sst xmlns="http://schemas.openxmlformats.org/spreadsheetml/2006/main" count="3129" uniqueCount="918">
  <si>
    <t>EmployeeID</t>
  </si>
  <si>
    <t>FirstName</t>
  </si>
  <si>
    <t>LastName</t>
  </si>
  <si>
    <t>Department</t>
  </si>
  <si>
    <t>HireDate</t>
  </si>
  <si>
    <t>PerformanceScore</t>
  </si>
  <si>
    <t>ProjectsCompleted</t>
  </si>
  <si>
    <t>MonthlySalary</t>
  </si>
  <si>
    <t>AnnualSalary</t>
  </si>
  <si>
    <t>Natalie</t>
  </si>
  <si>
    <t>Adam</t>
  </si>
  <si>
    <t>Helen</t>
  </si>
  <si>
    <t>Alexander</t>
  </si>
  <si>
    <t>Cynthia</t>
  </si>
  <si>
    <t>Sharon</t>
  </si>
  <si>
    <t>Elijah</t>
  </si>
  <si>
    <t>Mark</t>
  </si>
  <si>
    <t>Paul</t>
  </si>
  <si>
    <t>Michael</t>
  </si>
  <si>
    <t>Andrew</t>
  </si>
  <si>
    <t>Mary</t>
  </si>
  <si>
    <t>Michelle</t>
  </si>
  <si>
    <t>Brian</t>
  </si>
  <si>
    <t>Charles</t>
  </si>
  <si>
    <t>Daniel</t>
  </si>
  <si>
    <t>Joel</t>
  </si>
  <si>
    <t>Wesley</t>
  </si>
  <si>
    <t>Joshua</t>
  </si>
  <si>
    <t>Andrea</t>
  </si>
  <si>
    <t>Jacqueline</t>
  </si>
  <si>
    <t>Laura</t>
  </si>
  <si>
    <t>Alexandra</t>
  </si>
  <si>
    <t>Melissa</t>
  </si>
  <si>
    <t>Amy</t>
  </si>
  <si>
    <t>Shaun</t>
  </si>
  <si>
    <t>Kimberly</t>
  </si>
  <si>
    <t>Karen</t>
  </si>
  <si>
    <t>Jacob</t>
  </si>
  <si>
    <t>Jerry</t>
  </si>
  <si>
    <t>Maria</t>
  </si>
  <si>
    <t>Jesse</t>
  </si>
  <si>
    <t>Cameron</t>
  </si>
  <si>
    <t>Jessica</t>
  </si>
  <si>
    <t>Dawn</t>
  </si>
  <si>
    <t>Linda</t>
  </si>
  <si>
    <t>Jonathan</t>
  </si>
  <si>
    <t>Philip</t>
  </si>
  <si>
    <t>Heather</t>
  </si>
  <si>
    <t>Autumn</t>
  </si>
  <si>
    <t>Gary</t>
  </si>
  <si>
    <t>Kim</t>
  </si>
  <si>
    <t>Devin</t>
  </si>
  <si>
    <t>Luis</t>
  </si>
  <si>
    <t>Wanda</t>
  </si>
  <si>
    <t>Joseph</t>
  </si>
  <si>
    <t>Rodney</t>
  </si>
  <si>
    <t>Edward</t>
  </si>
  <si>
    <t>Amber</t>
  </si>
  <si>
    <t>Albert</t>
  </si>
  <si>
    <t>Amanda</t>
  </si>
  <si>
    <t>Emily</t>
  </si>
  <si>
    <t>Lauren</t>
  </si>
  <si>
    <t>Diana</t>
  </si>
  <si>
    <t>Derek</t>
  </si>
  <si>
    <t>Patrick</t>
  </si>
  <si>
    <t>Rebecca</t>
  </si>
  <si>
    <t>Breanna</t>
  </si>
  <si>
    <t>Benjamin</t>
  </si>
  <si>
    <t>Shane</t>
  </si>
  <si>
    <t>Anita</t>
  </si>
  <si>
    <t>Karina</t>
  </si>
  <si>
    <t>Shelly</t>
  </si>
  <si>
    <t>Leslie</t>
  </si>
  <si>
    <t>Elizabeth</t>
  </si>
  <si>
    <t>Kelly</t>
  </si>
  <si>
    <t>Jason</t>
  </si>
  <si>
    <t>Austin</t>
  </si>
  <si>
    <t>Allison</t>
  </si>
  <si>
    <t>Joanne</t>
  </si>
  <si>
    <t>Randy</t>
  </si>
  <si>
    <t>Monique</t>
  </si>
  <si>
    <t>Corey</t>
  </si>
  <si>
    <t>Gregory</t>
  </si>
  <si>
    <t>Candice</t>
  </si>
  <si>
    <t>Jack</t>
  </si>
  <si>
    <t>Richard</t>
  </si>
  <si>
    <t>Alan</t>
  </si>
  <si>
    <t>Kayla</t>
  </si>
  <si>
    <t>Molly</t>
  </si>
  <si>
    <t>Dalton</t>
  </si>
  <si>
    <t>James</t>
  </si>
  <si>
    <t>David</t>
  </si>
  <si>
    <t>Katie</t>
  </si>
  <si>
    <t>Margaret</t>
  </si>
  <si>
    <t>Jasmine</t>
  </si>
  <si>
    <t>Tanya</t>
  </si>
  <si>
    <t>Stephanie</t>
  </si>
  <si>
    <t>Curtis</t>
  </si>
  <si>
    <t>Robert</t>
  </si>
  <si>
    <t>Tracy</t>
  </si>
  <si>
    <t>Hannah</t>
  </si>
  <si>
    <t>Whitney</t>
  </si>
  <si>
    <t>Kyle</t>
  </si>
  <si>
    <t>Matthew</t>
  </si>
  <si>
    <t>Donna</t>
  </si>
  <si>
    <t>Barbara</t>
  </si>
  <si>
    <t>Lindsey</t>
  </si>
  <si>
    <t>Thomas</t>
  </si>
  <si>
    <t>Christopher</t>
  </si>
  <si>
    <t>Christian</t>
  </si>
  <si>
    <t>Brittany</t>
  </si>
  <si>
    <t>Pamela</t>
  </si>
  <si>
    <t>Debra</t>
  </si>
  <si>
    <t>Greg</t>
  </si>
  <si>
    <t>Carrie</t>
  </si>
  <si>
    <t>Courtney</t>
  </si>
  <si>
    <t>Antonio</t>
  </si>
  <si>
    <t>Tina</t>
  </si>
  <si>
    <t>Stephen</t>
  </si>
  <si>
    <t>Kevin</t>
  </si>
  <si>
    <t>Darryl</t>
  </si>
  <si>
    <t>Sandra</t>
  </si>
  <si>
    <t>Theresa</t>
  </si>
  <si>
    <t>Tamara</t>
  </si>
  <si>
    <t>Caroline</t>
  </si>
  <si>
    <t>Brenda</t>
  </si>
  <si>
    <t>John</t>
  </si>
  <si>
    <t>Bradley</t>
  </si>
  <si>
    <t>Jennifer</t>
  </si>
  <si>
    <t>Donald</t>
  </si>
  <si>
    <t>Keith</t>
  </si>
  <si>
    <t>Rachel</t>
  </si>
  <si>
    <t>Aimee</t>
  </si>
  <si>
    <t>William</t>
  </si>
  <si>
    <t>Samuel</t>
  </si>
  <si>
    <t>Christine</t>
  </si>
  <si>
    <t>Marcus</t>
  </si>
  <si>
    <t>April</t>
  </si>
  <si>
    <t>Deanna</t>
  </si>
  <si>
    <t>Traci</t>
  </si>
  <si>
    <t>Janet</t>
  </si>
  <si>
    <t>Cody</t>
  </si>
  <si>
    <t>Paige</t>
  </si>
  <si>
    <t>Angelica</t>
  </si>
  <si>
    <t>Kenneth</t>
  </si>
  <si>
    <t>Angela</t>
  </si>
  <si>
    <t>Lynn</t>
  </si>
  <si>
    <t>Tonya</t>
  </si>
  <si>
    <t>Veronica</t>
  </si>
  <si>
    <t>Ellen</t>
  </si>
  <si>
    <t>Anna</t>
  </si>
  <si>
    <t>Brett</t>
  </si>
  <si>
    <t>Micheal</t>
  </si>
  <si>
    <t>Reginald</t>
  </si>
  <si>
    <t>Cheryl</t>
  </si>
  <si>
    <t>Travis</t>
  </si>
  <si>
    <t>Erik</t>
  </si>
  <si>
    <t>Timothy</t>
  </si>
  <si>
    <t>Michele</t>
  </si>
  <si>
    <t>Patricia</t>
  </si>
  <si>
    <t>Alex</t>
  </si>
  <si>
    <t>Nicholas</t>
  </si>
  <si>
    <t>Stacey</t>
  </si>
  <si>
    <t>Adrian</t>
  </si>
  <si>
    <t>Samantha</t>
  </si>
  <si>
    <t>Clayton</t>
  </si>
  <si>
    <t>Erica</t>
  </si>
  <si>
    <t>Dale</t>
  </si>
  <si>
    <t>Tara</t>
  </si>
  <si>
    <t>Dana</t>
  </si>
  <si>
    <t>Susan</t>
  </si>
  <si>
    <t>Judith</t>
  </si>
  <si>
    <t>Sara</t>
  </si>
  <si>
    <t>Gabrielle</t>
  </si>
  <si>
    <t>Denise</t>
  </si>
  <si>
    <t>Abigail</t>
  </si>
  <si>
    <t>Cindy</t>
  </si>
  <si>
    <t>Natasha</t>
  </si>
  <si>
    <t>Scott</t>
  </si>
  <si>
    <t>Darlene</t>
  </si>
  <si>
    <t>Ronnie</t>
  </si>
  <si>
    <t>Alison</t>
  </si>
  <si>
    <t>Erin</t>
  </si>
  <si>
    <t>Jesus</t>
  </si>
  <si>
    <t>Anthony</t>
  </si>
  <si>
    <t>Virginia</t>
  </si>
  <si>
    <t>Sarah</t>
  </si>
  <si>
    <t>Wendy</t>
  </si>
  <si>
    <t>Nancy</t>
  </si>
  <si>
    <t>Steven</t>
  </si>
  <si>
    <t>Audrey</t>
  </si>
  <si>
    <t>Megan</t>
  </si>
  <si>
    <t>Caitlin</t>
  </si>
  <si>
    <t>Ashley</t>
  </si>
  <si>
    <t>Melinda</t>
  </si>
  <si>
    <t>George</t>
  </si>
  <si>
    <t>Alexandria</t>
  </si>
  <si>
    <t>Teresa</t>
  </si>
  <si>
    <t>Manuel</t>
  </si>
  <si>
    <t>Jo</t>
  </si>
  <si>
    <t>Shawn</t>
  </si>
  <si>
    <t>Kathleen</t>
  </si>
  <si>
    <t>Glenda</t>
  </si>
  <si>
    <t>Sylvia</t>
  </si>
  <si>
    <t>Zachary</t>
  </si>
  <si>
    <t>Brittney</t>
  </si>
  <si>
    <t>Dominique</t>
  </si>
  <si>
    <t>Mitchell</t>
  </si>
  <si>
    <t>Roger</t>
  </si>
  <si>
    <t>Gloria</t>
  </si>
  <si>
    <t>Lisa</t>
  </si>
  <si>
    <t>Sophia</t>
  </si>
  <si>
    <t>Tiffany</t>
  </si>
  <si>
    <t>Katherine</t>
  </si>
  <si>
    <t>Katelyn</t>
  </si>
  <si>
    <t>Hector</t>
  </si>
  <si>
    <t>Mackenzie</t>
  </si>
  <si>
    <t>Carl</t>
  </si>
  <si>
    <t>Dennis</t>
  </si>
  <si>
    <t>Ann</t>
  </si>
  <si>
    <t>Terri</t>
  </si>
  <si>
    <t>Carolyn</t>
  </si>
  <si>
    <t>Victor</t>
  </si>
  <si>
    <t>Gene</t>
  </si>
  <si>
    <t>Jeffrey</t>
  </si>
  <si>
    <t>Kathryn</t>
  </si>
  <si>
    <t>Martin</t>
  </si>
  <si>
    <t>Brandon</t>
  </si>
  <si>
    <t>Bonnie</t>
  </si>
  <si>
    <t>Sheila</t>
  </si>
  <si>
    <t>Douglas</t>
  </si>
  <si>
    <t>Christy</t>
  </si>
  <si>
    <t>Jade</t>
  </si>
  <si>
    <t>Frederick</t>
  </si>
  <si>
    <t>Makayla</t>
  </si>
  <si>
    <t>Meghan</t>
  </si>
  <si>
    <t>Carlos</t>
  </si>
  <si>
    <t>Ernest</t>
  </si>
  <si>
    <t>Judy</t>
  </si>
  <si>
    <t>Devon</t>
  </si>
  <si>
    <t>Todd</t>
  </si>
  <si>
    <t>Raymond</t>
  </si>
  <si>
    <t>Mathew</t>
  </si>
  <si>
    <t>Jim</t>
  </si>
  <si>
    <t>Stacy</t>
  </si>
  <si>
    <t>Deborah</t>
  </si>
  <si>
    <t>Shannon</t>
  </si>
  <si>
    <t>Nathaniel</t>
  </si>
  <si>
    <t>Brandi</t>
  </si>
  <si>
    <t>Wyatt</t>
  </si>
  <si>
    <t>Lorraine</t>
  </si>
  <si>
    <t>Heidi</t>
  </si>
  <si>
    <t>Angel</t>
  </si>
  <si>
    <t>Priscilla</t>
  </si>
  <si>
    <t>Alicia</t>
  </si>
  <si>
    <t>Evelyn</t>
  </si>
  <si>
    <t>Annette</t>
  </si>
  <si>
    <t>Darin</t>
  </si>
  <si>
    <t>Justin</t>
  </si>
  <si>
    <t>Taylor</t>
  </si>
  <si>
    <t>Larry</t>
  </si>
  <si>
    <t>Faith</t>
  </si>
  <si>
    <t>Jeremy</t>
  </si>
  <si>
    <t>Dorothy</t>
  </si>
  <si>
    <t>Mallory</t>
  </si>
  <si>
    <t>Crystal</t>
  </si>
  <si>
    <t>Jamie</t>
  </si>
  <si>
    <t>Roberto</t>
  </si>
  <si>
    <t>Randall</t>
  </si>
  <si>
    <t>Glenn</t>
  </si>
  <si>
    <t>Cassandra</t>
  </si>
  <si>
    <t>Dave</t>
  </si>
  <si>
    <t>Seth</t>
  </si>
  <si>
    <t>Victoria</t>
  </si>
  <si>
    <t>Bobby</t>
  </si>
  <si>
    <t>Robin</t>
  </si>
  <si>
    <t>Nicole</t>
  </si>
  <si>
    <t>Renee</t>
  </si>
  <si>
    <t>Hunter</t>
  </si>
  <si>
    <t>Kari</t>
  </si>
  <si>
    <t>Ronald</t>
  </si>
  <si>
    <t>Lee</t>
  </si>
  <si>
    <t>Alejandra</t>
  </si>
  <si>
    <t>Kristin</t>
  </si>
  <si>
    <t>Savannah</t>
  </si>
  <si>
    <t>Johnathan</t>
  </si>
  <si>
    <t>Alejandro</t>
  </si>
  <si>
    <t>Chris</t>
  </si>
  <si>
    <t>Miranda</t>
  </si>
  <si>
    <t>Ryan</t>
  </si>
  <si>
    <t>Julie</t>
  </si>
  <si>
    <t>Christina</t>
  </si>
  <si>
    <t>Jose</t>
  </si>
  <si>
    <t>Troy</t>
  </si>
  <si>
    <t>Kathy</t>
  </si>
  <si>
    <t>Tammy</t>
  </si>
  <si>
    <t>Garrett</t>
  </si>
  <si>
    <t>Sean</t>
  </si>
  <si>
    <t>Monica</t>
  </si>
  <si>
    <t>Regina</t>
  </si>
  <si>
    <t>Fernando</t>
  </si>
  <si>
    <t>Bryan</t>
  </si>
  <si>
    <t>Latasha</t>
  </si>
  <si>
    <t>Catherine</t>
  </si>
  <si>
    <t>Erika</t>
  </si>
  <si>
    <t>Melanie</t>
  </si>
  <si>
    <t>Tricia</t>
  </si>
  <si>
    <t>Brandy</t>
  </si>
  <si>
    <t>Briana</t>
  </si>
  <si>
    <t>Trevor</t>
  </si>
  <si>
    <t>Ashlee</t>
  </si>
  <si>
    <t>Krystal</t>
  </si>
  <si>
    <t>Nichole</t>
  </si>
  <si>
    <t>Beth</t>
  </si>
  <si>
    <t>Juan</t>
  </si>
  <si>
    <t>Ricky</t>
  </si>
  <si>
    <t>Joan</t>
  </si>
  <si>
    <t>Jeffery</t>
  </si>
  <si>
    <t>Cesar</t>
  </si>
  <si>
    <t>Kristen</t>
  </si>
  <si>
    <t>Henry</t>
  </si>
  <si>
    <t>Anne</t>
  </si>
  <si>
    <t>Tyler</t>
  </si>
  <si>
    <t>Gerald</t>
  </si>
  <si>
    <t>Ralph</t>
  </si>
  <si>
    <t>Kelsey</t>
  </si>
  <si>
    <t>Alyssa</t>
  </si>
  <si>
    <t>Marvin</t>
  </si>
  <si>
    <t>Nathan</t>
  </si>
  <si>
    <t>Rita</t>
  </si>
  <si>
    <t>Casey</t>
  </si>
  <si>
    <t>Gina</t>
  </si>
  <si>
    <t>Aaron</t>
  </si>
  <si>
    <t>Jillian</t>
  </si>
  <si>
    <t>Jill</t>
  </si>
  <si>
    <t>Danielle</t>
  </si>
  <si>
    <t>Blake</t>
  </si>
  <si>
    <t>Jared</t>
  </si>
  <si>
    <t>Chad</t>
  </si>
  <si>
    <t>Olivia</t>
  </si>
  <si>
    <t>Marie</t>
  </si>
  <si>
    <t>Jody</t>
  </si>
  <si>
    <t>Alisha</t>
  </si>
  <si>
    <t>Frank</t>
  </si>
  <si>
    <t>Sabrina</t>
  </si>
  <si>
    <t>Kaitlyn</t>
  </si>
  <si>
    <t>Spencer</t>
  </si>
  <si>
    <t>Julia</t>
  </si>
  <si>
    <t>Ethan</t>
  </si>
  <si>
    <t>Brianna</t>
  </si>
  <si>
    <t>Bill</t>
  </si>
  <si>
    <t>Destiny</t>
  </si>
  <si>
    <t>Morgan</t>
  </si>
  <si>
    <t>Joe</t>
  </si>
  <si>
    <t>Eric</t>
  </si>
  <si>
    <t>Kristi</t>
  </si>
  <si>
    <t>Leah</t>
  </si>
  <si>
    <t>Sally</t>
  </si>
  <si>
    <t>Tom</t>
  </si>
  <si>
    <t>Lori</t>
  </si>
  <si>
    <t>Darius</t>
  </si>
  <si>
    <t>Peter</t>
  </si>
  <si>
    <t>Jenny</t>
  </si>
  <si>
    <t>Wayne</t>
  </si>
  <si>
    <t>Sheryl</t>
  </si>
  <si>
    <t>Perez</t>
  </si>
  <si>
    <t>Johnson</t>
  </si>
  <si>
    <t>Kirby</t>
  </si>
  <si>
    <t>Edwards</t>
  </si>
  <si>
    <t>Lam</t>
  </si>
  <si>
    <t>Shepard</t>
  </si>
  <si>
    <t>Boyer</t>
  </si>
  <si>
    <t>Torres</t>
  </si>
  <si>
    <t>Clarke</t>
  </si>
  <si>
    <t>Dominguez</t>
  </si>
  <si>
    <t>Carroll</t>
  </si>
  <si>
    <t>Wheeler</t>
  </si>
  <si>
    <t>Dunn</t>
  </si>
  <si>
    <t>Dunlap</t>
  </si>
  <si>
    <t>King</t>
  </si>
  <si>
    <t>Sanders</t>
  </si>
  <si>
    <t>Mendoza</t>
  </si>
  <si>
    <t>Smith</t>
  </si>
  <si>
    <t>Werner</t>
  </si>
  <si>
    <t>Reed</t>
  </si>
  <si>
    <t>Ferguson</t>
  </si>
  <si>
    <t>Roberts</t>
  </si>
  <si>
    <t>Graham</t>
  </si>
  <si>
    <t>Lawson</t>
  </si>
  <si>
    <t>Gilmore</t>
  </si>
  <si>
    <t>Mcintyre</t>
  </si>
  <si>
    <t>Savage</t>
  </si>
  <si>
    <t>Crawford</t>
  </si>
  <si>
    <t>Fisher</t>
  </si>
  <si>
    <t>Walton</t>
  </si>
  <si>
    <t>Robinson</t>
  </si>
  <si>
    <t>Miller</t>
  </si>
  <si>
    <t>Hughes</t>
  </si>
  <si>
    <t>Higgins</t>
  </si>
  <si>
    <t>Jackson</t>
  </si>
  <si>
    <t>Fuller</t>
  </si>
  <si>
    <t>Daugherty</t>
  </si>
  <si>
    <t>Brown</t>
  </si>
  <si>
    <t>Foster</t>
  </si>
  <si>
    <t>Butler</t>
  </si>
  <si>
    <t>Gonzalez</t>
  </si>
  <si>
    <t>Lyons</t>
  </si>
  <si>
    <t>Moore</t>
  </si>
  <si>
    <t>Espinoza</t>
  </si>
  <si>
    <t>Davis</t>
  </si>
  <si>
    <t>Cisneros</t>
  </si>
  <si>
    <t>Patterson</t>
  </si>
  <si>
    <t>Andrews</t>
  </si>
  <si>
    <t>Reynolds</t>
  </si>
  <si>
    <t>Simmons</t>
  </si>
  <si>
    <t>Powers</t>
  </si>
  <si>
    <t>Martinez</t>
  </si>
  <si>
    <t>Hamilton</t>
  </si>
  <si>
    <t>Carson</t>
  </si>
  <si>
    <t>Jennings</t>
  </si>
  <si>
    <t>Barnes</t>
  </si>
  <si>
    <t>Steele</t>
  </si>
  <si>
    <t>Olson</t>
  </si>
  <si>
    <t>Ramirez</t>
  </si>
  <si>
    <t>Nguyen</t>
  </si>
  <si>
    <t>Howell</t>
  </si>
  <si>
    <t>Ross</t>
  </si>
  <si>
    <t>Brady</t>
  </si>
  <si>
    <t>Baker</t>
  </si>
  <si>
    <t>Hill</t>
  </si>
  <si>
    <t>Terry</t>
  </si>
  <si>
    <t>Rodriguez</t>
  </si>
  <si>
    <t>Harris</t>
  </si>
  <si>
    <t>Stanton</t>
  </si>
  <si>
    <t>Walker</t>
  </si>
  <si>
    <t>Cobb</t>
  </si>
  <si>
    <t>Stafford</t>
  </si>
  <si>
    <t>Rogers</t>
  </si>
  <si>
    <t>May</t>
  </si>
  <si>
    <t>Page</t>
  </si>
  <si>
    <t>Campbell</t>
  </si>
  <si>
    <t>Green</t>
  </si>
  <si>
    <t>Walsh</t>
  </si>
  <si>
    <t>Lewis</t>
  </si>
  <si>
    <t>Mcintosh</t>
  </si>
  <si>
    <t>Pugh</t>
  </si>
  <si>
    <t>Gates</t>
  </si>
  <si>
    <t>Wilson</t>
  </si>
  <si>
    <t>Gay</t>
  </si>
  <si>
    <t>Stout</t>
  </si>
  <si>
    <t>Santos</t>
  </si>
  <si>
    <t>Macdonald</t>
  </si>
  <si>
    <t>Fry</t>
  </si>
  <si>
    <t>Francis</t>
  </si>
  <si>
    <t>Bauer</t>
  </si>
  <si>
    <t>Hopkins</t>
  </si>
  <si>
    <t>Chapman</t>
  </si>
  <si>
    <t>Dickerson</t>
  </si>
  <si>
    <t>White</t>
  </si>
  <si>
    <t>Mosley</t>
  </si>
  <si>
    <t>Humphrey</t>
  </si>
  <si>
    <t>Wood</t>
  </si>
  <si>
    <t>Buck</t>
  </si>
  <si>
    <t>Doyle</t>
  </si>
  <si>
    <t>Hernandez</t>
  </si>
  <si>
    <t>Chambers</t>
  </si>
  <si>
    <t>Newton</t>
  </si>
  <si>
    <t>Kline</t>
  </si>
  <si>
    <t>Sellers</t>
  </si>
  <si>
    <t>Holmes</t>
  </si>
  <si>
    <t>Lambert</t>
  </si>
  <si>
    <t>Cruz</t>
  </si>
  <si>
    <t>Newman</t>
  </si>
  <si>
    <t>Adams</t>
  </si>
  <si>
    <t>Garza</t>
  </si>
  <si>
    <t>Compton</t>
  </si>
  <si>
    <t>Harvey</t>
  </si>
  <si>
    <t>Duran</t>
  </si>
  <si>
    <t>Price</t>
  </si>
  <si>
    <t>Gutierrez</t>
  </si>
  <si>
    <t>Roberson</t>
  </si>
  <si>
    <t>Brock</t>
  </si>
  <si>
    <t>Davenport</t>
  </si>
  <si>
    <t>Allen</t>
  </si>
  <si>
    <t>Stevens</t>
  </si>
  <si>
    <t>Beltran</t>
  </si>
  <si>
    <t>Phillips</t>
  </si>
  <si>
    <t>Burns</t>
  </si>
  <si>
    <t>Stanley</t>
  </si>
  <si>
    <t>Simpson</t>
  </si>
  <si>
    <t>Valencia</t>
  </si>
  <si>
    <t>Weeks</t>
  </si>
  <si>
    <t>Duncan</t>
  </si>
  <si>
    <t>Nichols</t>
  </si>
  <si>
    <t>Palmer</t>
  </si>
  <si>
    <t>Fields</t>
  </si>
  <si>
    <t>Armstrong</t>
  </si>
  <si>
    <t>Mercer</t>
  </si>
  <si>
    <t>Bennett</t>
  </si>
  <si>
    <t>Whitaker</t>
  </si>
  <si>
    <t>Roach</t>
  </si>
  <si>
    <t>Jacobs</t>
  </si>
  <si>
    <t>Watkins</t>
  </si>
  <si>
    <t>Carter</t>
  </si>
  <si>
    <t>Atkins</t>
  </si>
  <si>
    <t>Aguirre</t>
  </si>
  <si>
    <t>Orr</t>
  </si>
  <si>
    <t>Greene</t>
  </si>
  <si>
    <t>Gill</t>
  </si>
  <si>
    <t>Evans</t>
  </si>
  <si>
    <t>Zhang</t>
  </si>
  <si>
    <t>Serrano</t>
  </si>
  <si>
    <t>Barnett</t>
  </si>
  <si>
    <t>Trevino</t>
  </si>
  <si>
    <t>Lozano</t>
  </si>
  <si>
    <t>Sparks</t>
  </si>
  <si>
    <t>Lara</t>
  </si>
  <si>
    <t>Banks</t>
  </si>
  <si>
    <t>Ray</t>
  </si>
  <si>
    <t>Browning</t>
  </si>
  <si>
    <t>Copeland</t>
  </si>
  <si>
    <t>Diaz</t>
  </si>
  <si>
    <t>Jones</t>
  </si>
  <si>
    <t>Jimenez</t>
  </si>
  <si>
    <t>Mendez</t>
  </si>
  <si>
    <t>Cervantes</t>
  </si>
  <si>
    <t>Malone</t>
  </si>
  <si>
    <t>Anderson</t>
  </si>
  <si>
    <t>Rowland</t>
  </si>
  <si>
    <t>Rice</t>
  </si>
  <si>
    <t>Rivera</t>
  </si>
  <si>
    <t>Lopez</t>
  </si>
  <si>
    <t>Hartman</t>
  </si>
  <si>
    <t>Sharp</t>
  </si>
  <si>
    <t>Ward</t>
  </si>
  <si>
    <t>Mcdaniel</t>
  </si>
  <si>
    <t>Long</t>
  </si>
  <si>
    <t>Williams</t>
  </si>
  <si>
    <t>Morrison</t>
  </si>
  <si>
    <t>Ford</t>
  </si>
  <si>
    <t>Williamson</t>
  </si>
  <si>
    <t>Salazar</t>
  </si>
  <si>
    <t>Mccann</t>
  </si>
  <si>
    <t>Choi</t>
  </si>
  <si>
    <t>Fernandez</t>
  </si>
  <si>
    <t>Summers</t>
  </si>
  <si>
    <t>Frazier</t>
  </si>
  <si>
    <t>Lucas</t>
  </si>
  <si>
    <t>Young</t>
  </si>
  <si>
    <t>Stevenson</t>
  </si>
  <si>
    <t>Park</t>
  </si>
  <si>
    <t>Ellis</t>
  </si>
  <si>
    <t>Griffith</t>
  </si>
  <si>
    <t>Bryant</t>
  </si>
  <si>
    <t>Massey</t>
  </si>
  <si>
    <t>Moreno</t>
  </si>
  <si>
    <t>Hayes</t>
  </si>
  <si>
    <t>Wolf</t>
  </si>
  <si>
    <t>Noble</t>
  </si>
  <si>
    <t>Wells</t>
  </si>
  <si>
    <t>Tapia</t>
  </si>
  <si>
    <t>Dixon</t>
  </si>
  <si>
    <t>Ritter</t>
  </si>
  <si>
    <t>Quinn</t>
  </si>
  <si>
    <t>Chang</t>
  </si>
  <si>
    <t>Mays</t>
  </si>
  <si>
    <t>Hurst</t>
  </si>
  <si>
    <t>Bishop</t>
  </si>
  <si>
    <t>Bell</t>
  </si>
  <si>
    <t>Nicholson</t>
  </si>
  <si>
    <t>Peterson</t>
  </si>
  <si>
    <t>Coffey</t>
  </si>
  <si>
    <t>Schultz</t>
  </si>
  <si>
    <t>Soto</t>
  </si>
  <si>
    <t>Gonzales</t>
  </si>
  <si>
    <t>Li</t>
  </si>
  <si>
    <t>Mclaughlin</t>
  </si>
  <si>
    <t>Luna</t>
  </si>
  <si>
    <t>Mathis</t>
  </si>
  <si>
    <t>Porter</t>
  </si>
  <si>
    <t>Murray</t>
  </si>
  <si>
    <t>Forbes</t>
  </si>
  <si>
    <t>Vargas</t>
  </si>
  <si>
    <t>Schneider</t>
  </si>
  <si>
    <t>Ware</t>
  </si>
  <si>
    <t>Meyer</t>
  </si>
  <si>
    <t>Conway</t>
  </si>
  <si>
    <t>Drake</t>
  </si>
  <si>
    <t>Cohen</t>
  </si>
  <si>
    <t>Chaney</t>
  </si>
  <si>
    <t>Collins</t>
  </si>
  <si>
    <t>Barton</t>
  </si>
  <si>
    <t>Mccormick</t>
  </si>
  <si>
    <t>Mccoy</t>
  </si>
  <si>
    <t>Knight</t>
  </si>
  <si>
    <t>Jarvis</t>
  </si>
  <si>
    <t>Weaver</t>
  </si>
  <si>
    <t>Beasley</t>
  </si>
  <si>
    <t>Jenkins</t>
  </si>
  <si>
    <t>Fleming</t>
  </si>
  <si>
    <t>Marshall</t>
  </si>
  <si>
    <t>Gibson</t>
  </si>
  <si>
    <t>Livingston</t>
  </si>
  <si>
    <t>Castillo</t>
  </si>
  <si>
    <t>Tate</t>
  </si>
  <si>
    <t>Gross</t>
  </si>
  <si>
    <t>Leon</t>
  </si>
  <si>
    <t>Watson</t>
  </si>
  <si>
    <t>Clark</t>
  </si>
  <si>
    <t>Villanueva</t>
  </si>
  <si>
    <t>Washington</t>
  </si>
  <si>
    <t>Alvarez</t>
  </si>
  <si>
    <t>Norris</t>
  </si>
  <si>
    <t>Weiss</t>
  </si>
  <si>
    <t>Gallegos</t>
  </si>
  <si>
    <t>Matthews</t>
  </si>
  <si>
    <t>Mcdonald</t>
  </si>
  <si>
    <t>Woods</t>
  </si>
  <si>
    <t>Byrd</t>
  </si>
  <si>
    <t>Eaton</t>
  </si>
  <si>
    <t>Joyce</t>
  </si>
  <si>
    <t>Kemp</t>
  </si>
  <si>
    <t>Flores</t>
  </si>
  <si>
    <t>Fowler</t>
  </si>
  <si>
    <t>Morales</t>
  </si>
  <si>
    <t>Sullivan</t>
  </si>
  <si>
    <t>Little</t>
  </si>
  <si>
    <t>Hudson</t>
  </si>
  <si>
    <t>Dickson</t>
  </si>
  <si>
    <t>Glass</t>
  </si>
  <si>
    <t>Vasquez</t>
  </si>
  <si>
    <t>Reyes</t>
  </si>
  <si>
    <t>Barrett</t>
  </si>
  <si>
    <t>Brooks</t>
  </si>
  <si>
    <t>Flowers</t>
  </si>
  <si>
    <t>Gordon</t>
  </si>
  <si>
    <t>Bates</t>
  </si>
  <si>
    <t>Acevedo</t>
  </si>
  <si>
    <t>Gray</t>
  </si>
  <si>
    <t>Hardy</t>
  </si>
  <si>
    <t>Adkins</t>
  </si>
  <si>
    <t>Olsen</t>
  </si>
  <si>
    <t>Mason</t>
  </si>
  <si>
    <t>Richardson</t>
  </si>
  <si>
    <t>Nunez</t>
  </si>
  <si>
    <t>Stokes</t>
  </si>
  <si>
    <t>Grant</t>
  </si>
  <si>
    <t>Welch</t>
  </si>
  <si>
    <t>Vaughn</t>
  </si>
  <si>
    <t>Galvan</t>
  </si>
  <si>
    <t>Carlson</t>
  </si>
  <si>
    <t>Hardin</t>
  </si>
  <si>
    <t>Cannon</t>
  </si>
  <si>
    <t>Bonilla</t>
  </si>
  <si>
    <t>Villarreal</t>
  </si>
  <si>
    <t>Cordova</t>
  </si>
  <si>
    <t>Estes</t>
  </si>
  <si>
    <t>Bruce</t>
  </si>
  <si>
    <t>Peck</t>
  </si>
  <si>
    <t>Potter</t>
  </si>
  <si>
    <t>Burton</t>
  </si>
  <si>
    <t>Bowman</t>
  </si>
  <si>
    <t>Jordan</t>
  </si>
  <si>
    <t>Day</t>
  </si>
  <si>
    <t>Boyd</t>
  </si>
  <si>
    <t>Norman</t>
  </si>
  <si>
    <t>Valdez</t>
  </si>
  <si>
    <t>Russo</t>
  </si>
  <si>
    <t>Chen</t>
  </si>
  <si>
    <t>Townsend</t>
  </si>
  <si>
    <t>Turner</t>
  </si>
  <si>
    <t>Haley</t>
  </si>
  <si>
    <t>Zavala</t>
  </si>
  <si>
    <t>Levy</t>
  </si>
  <si>
    <t>Hart</t>
  </si>
  <si>
    <t>Shelton</t>
  </si>
  <si>
    <t>Keller</t>
  </si>
  <si>
    <t>Gomez</t>
  </si>
  <si>
    <t>Ibarra</t>
  </si>
  <si>
    <t>Russell</t>
  </si>
  <si>
    <t>Cunningham</t>
  </si>
  <si>
    <t>Rangel</t>
  </si>
  <si>
    <t>Hall</t>
  </si>
  <si>
    <t>Burke</t>
  </si>
  <si>
    <t>Thompson</t>
  </si>
  <si>
    <t>Medina</t>
  </si>
  <si>
    <t>Ayala</t>
  </si>
  <si>
    <t>Waters</t>
  </si>
  <si>
    <t>Henderson</t>
  </si>
  <si>
    <t>Stark</t>
  </si>
  <si>
    <t>Fritz</t>
  </si>
  <si>
    <t>Mooney</t>
  </si>
  <si>
    <t>Ingram</t>
  </si>
  <si>
    <t>Contreras</t>
  </si>
  <si>
    <t>Benson</t>
  </si>
  <si>
    <t>Weber</t>
  </si>
  <si>
    <t>Maddox</t>
  </si>
  <si>
    <t>Andersen</t>
  </si>
  <si>
    <t>Morris</t>
  </si>
  <si>
    <t>Lowe</t>
  </si>
  <si>
    <t>Walters</t>
  </si>
  <si>
    <t>Cummings</t>
  </si>
  <si>
    <t>Hicks</t>
  </si>
  <si>
    <t>Sanchez</t>
  </si>
  <si>
    <t>Berry</t>
  </si>
  <si>
    <t>Riley</t>
  </si>
  <si>
    <t>Shaffer</t>
  </si>
  <si>
    <t>Ortega</t>
  </si>
  <si>
    <t>Larson</t>
  </si>
  <si>
    <t>Schaefer</t>
  </si>
  <si>
    <t>Stephenson</t>
  </si>
  <si>
    <t>Kidd</t>
  </si>
  <si>
    <t>Mejia</t>
  </si>
  <si>
    <t>Burgess</t>
  </si>
  <si>
    <t>Hensley</t>
  </si>
  <si>
    <t>Sherman</t>
  </si>
  <si>
    <t>Rojas</t>
  </si>
  <si>
    <t>Reid</t>
  </si>
  <si>
    <t>Baird</t>
  </si>
  <si>
    <t>Kennedy</t>
  </si>
  <si>
    <t>Thornton</t>
  </si>
  <si>
    <t>Wallace</t>
  </si>
  <si>
    <t>Shaw</t>
  </si>
  <si>
    <t>Collier</t>
  </si>
  <si>
    <t>Kaufman</t>
  </si>
  <si>
    <t>Pope</t>
  </si>
  <si>
    <t>Cooper</t>
  </si>
  <si>
    <t>Swanson</t>
  </si>
  <si>
    <t>Blankenship</t>
  </si>
  <si>
    <t>Romero</t>
  </si>
  <si>
    <t>French</t>
  </si>
  <si>
    <t>Colon</t>
  </si>
  <si>
    <t>Bean</t>
  </si>
  <si>
    <t>Krueger</t>
  </si>
  <si>
    <t>Mercado</t>
  </si>
  <si>
    <t>Bowers</t>
  </si>
  <si>
    <t>Montgomery</t>
  </si>
  <si>
    <t>Avery</t>
  </si>
  <si>
    <t>Padilla</t>
  </si>
  <si>
    <t>Owens</t>
  </si>
  <si>
    <t>Best</t>
  </si>
  <si>
    <t>Bailey</t>
  </si>
  <si>
    <t>Elliott</t>
  </si>
  <si>
    <t>Beck</t>
  </si>
  <si>
    <t>Wilkerson</t>
  </si>
  <si>
    <t>Kelley</t>
  </si>
  <si>
    <t>Mcguire</t>
  </si>
  <si>
    <t>Campos</t>
  </si>
  <si>
    <t>Parsons</t>
  </si>
  <si>
    <t>Lin</t>
  </si>
  <si>
    <t>Hogan</t>
  </si>
  <si>
    <t>Black</t>
  </si>
  <si>
    <t>Huff</t>
  </si>
  <si>
    <t>Landry</t>
  </si>
  <si>
    <t>Gilbert</t>
  </si>
  <si>
    <t>Valenzuela</t>
  </si>
  <si>
    <t>Vincent</t>
  </si>
  <si>
    <t>Tanner</t>
  </si>
  <si>
    <t>Ramsey</t>
  </si>
  <si>
    <t>Stephens</t>
  </si>
  <si>
    <t>Sexton</t>
  </si>
  <si>
    <t>Munoz</t>
  </si>
  <si>
    <t>West</t>
  </si>
  <si>
    <t>Dean</t>
  </si>
  <si>
    <t>Ball</t>
  </si>
  <si>
    <t>Mcmahon</t>
  </si>
  <si>
    <t>Fischer</t>
  </si>
  <si>
    <t>Marsh</t>
  </si>
  <si>
    <t>Nelson</t>
  </si>
  <si>
    <t>Jacobson</t>
  </si>
  <si>
    <t>Singleton</t>
  </si>
  <si>
    <t>Walter</t>
  </si>
  <si>
    <t>Hester</t>
  </si>
  <si>
    <t>Mayo</t>
  </si>
  <si>
    <t>Neal</t>
  </si>
  <si>
    <t>Jensen</t>
  </si>
  <si>
    <t>Klein</t>
  </si>
  <si>
    <t>Parker</t>
  </si>
  <si>
    <t>Webb</t>
  </si>
  <si>
    <t>Herrera</t>
  </si>
  <si>
    <t>Castro</t>
  </si>
  <si>
    <t>Wu</t>
  </si>
  <si>
    <t>Small</t>
  </si>
  <si>
    <t>Lester</t>
  </si>
  <si>
    <t>Barber</t>
  </si>
  <si>
    <t>Aguilar</t>
  </si>
  <si>
    <t>Conner</t>
  </si>
  <si>
    <t>Carr</t>
  </si>
  <si>
    <t>Carrillo</t>
  </si>
  <si>
    <t>Mcgrath</t>
  </si>
  <si>
    <t>Randolph</t>
  </si>
  <si>
    <t>Franklin</t>
  </si>
  <si>
    <t>Delgado</t>
  </si>
  <si>
    <t>Merritt</t>
  </si>
  <si>
    <t>Vance</t>
  </si>
  <si>
    <t>Mueller</t>
  </si>
  <si>
    <t>Erickson</t>
  </si>
  <si>
    <t>Peters</t>
  </si>
  <si>
    <t>Maldonado</t>
  </si>
  <si>
    <t>Harper</t>
  </si>
  <si>
    <t>Benitez</t>
  </si>
  <si>
    <t>Guzman</t>
  </si>
  <si>
    <t>Holder</t>
  </si>
  <si>
    <t>Cook</t>
  </si>
  <si>
    <t>Ortiz</t>
  </si>
  <si>
    <t>Snyder</t>
  </si>
  <si>
    <t>Solomon</t>
  </si>
  <si>
    <t>Pace</t>
  </si>
  <si>
    <t>Mathews</t>
  </si>
  <si>
    <t>Chan</t>
  </si>
  <si>
    <t>Cain</t>
  </si>
  <si>
    <t>Frye</t>
  </si>
  <si>
    <t>Cowan</t>
  </si>
  <si>
    <t>Pratt</t>
  </si>
  <si>
    <t>Wade</t>
  </si>
  <si>
    <t>Mcdowell</t>
  </si>
  <si>
    <t>Zimmerman</t>
  </si>
  <si>
    <t>Farmer</t>
  </si>
  <si>
    <t>Morton</t>
  </si>
  <si>
    <t>Abbott</t>
  </si>
  <si>
    <t>Richards</t>
  </si>
  <si>
    <t>Riggs</t>
  </si>
  <si>
    <t>Horn</t>
  </si>
  <si>
    <t>Terrell</t>
  </si>
  <si>
    <t>Chase</t>
  </si>
  <si>
    <t>Yang</t>
  </si>
  <si>
    <t>IT</t>
  </si>
  <si>
    <t>Sales</t>
  </si>
  <si>
    <t>Operations</t>
  </si>
  <si>
    <t>HR</t>
  </si>
  <si>
    <t>Finance</t>
  </si>
  <si>
    <t>Grand Total</t>
  </si>
  <si>
    <t>Year</t>
  </si>
  <si>
    <t>Month</t>
  </si>
  <si>
    <t>Employee Count per Year</t>
  </si>
  <si>
    <t>Employee Count</t>
  </si>
  <si>
    <t>Employee Count per Department</t>
  </si>
  <si>
    <t>Average Monthly Salary</t>
  </si>
  <si>
    <t>Average Salary per Dept.</t>
  </si>
  <si>
    <t>Average Performance Score</t>
  </si>
  <si>
    <t>Average Performance Score per Dept.</t>
  </si>
  <si>
    <t>Total Average</t>
  </si>
  <si>
    <t>Yearly Performance Score</t>
  </si>
  <si>
    <t>Tables</t>
  </si>
  <si>
    <t>Projects Completed</t>
  </si>
  <si>
    <t>Charts</t>
  </si>
  <si>
    <t xml:space="preserve"> </t>
  </si>
  <si>
    <t>Overview</t>
  </si>
  <si>
    <t>Key Insights</t>
  </si>
  <si>
    <t>Projects per Year</t>
  </si>
  <si>
    <t>Recommendations</t>
  </si>
  <si>
    <r>
      <t xml:space="preserve">The dataset contains </t>
    </r>
    <r>
      <rPr>
        <b/>
        <sz val="11"/>
        <color theme="1"/>
        <rFont val="Calibri"/>
        <family val="2"/>
        <scheme val="minor"/>
      </rPr>
      <t>1,000 employee performance records</t>
    </r>
    <r>
      <rPr>
        <sz val="11"/>
        <color theme="1"/>
        <rFont val="Calibri"/>
        <family val="2"/>
        <scheme val="minor"/>
      </rPr>
      <t xml:space="preserve"> across the </t>
    </r>
    <r>
      <rPr>
        <b/>
        <sz val="11"/>
        <color theme="1"/>
        <rFont val="Calibri"/>
        <family val="2"/>
        <scheme val="minor"/>
      </rPr>
      <t>Finance, HR, IT, Operations, and Sales</t>
    </r>
    <r>
      <rPr>
        <sz val="11"/>
        <color theme="1"/>
        <rFont val="Calibri"/>
        <family val="2"/>
        <scheme val="minor"/>
      </rPr>
      <t xml:space="preserve"> departments from </t>
    </r>
    <r>
      <rPr>
        <b/>
        <sz val="11"/>
        <color theme="1"/>
        <rFont val="Calibri"/>
        <family val="2"/>
        <scheme val="minor"/>
      </rPr>
      <t>2016 to 2024</t>
    </r>
    <r>
      <rPr>
        <sz val="11"/>
        <color theme="1"/>
        <rFont val="Calibri"/>
        <family val="2"/>
        <scheme val="minor"/>
      </rPr>
      <t xml:space="preserve">, covering a total of </t>
    </r>
    <r>
      <rPr>
        <b/>
        <sz val="11"/>
        <color theme="1"/>
        <rFont val="Calibri"/>
        <family val="2"/>
        <scheme val="minor"/>
      </rPr>
      <t>24,989 projects</t>
    </r>
    <r>
      <rPr>
        <sz val="11"/>
        <color theme="1"/>
        <rFont val="Calibri"/>
        <family val="2"/>
        <scheme val="minor"/>
      </rPr>
      <t>.</t>
    </r>
  </si>
  <si>
    <r>
      <t xml:space="preserve">The data indicates a </t>
    </r>
    <r>
      <rPr>
        <b/>
        <sz val="11"/>
        <color theme="1"/>
        <rFont val="Calibri"/>
        <family val="2"/>
        <scheme val="minor"/>
      </rPr>
      <t>direct relationship between project volume and performance</t>
    </r>
    <r>
      <rPr>
        <sz val="11"/>
        <color theme="1"/>
        <rFont val="Calibri"/>
        <family val="2"/>
        <scheme val="minor"/>
      </rPr>
      <t xml:space="preserve"> — years with fewer completed projects generally show lower performance scores.</t>
    </r>
  </si>
  <si>
    <r>
      <t xml:space="preserve">The </t>
    </r>
    <r>
      <rPr>
        <b/>
        <sz val="11"/>
        <color theme="1"/>
        <rFont val="Calibri"/>
        <family val="2"/>
        <scheme val="minor"/>
      </rPr>
      <t>Finance Department</t>
    </r>
    <r>
      <rPr>
        <sz val="11"/>
        <color theme="1"/>
        <rFont val="Calibri"/>
        <family val="2"/>
        <scheme val="minor"/>
      </rPr>
      <t xml:space="preserve"> leads in productivity with </t>
    </r>
    <r>
      <rPr>
        <b/>
        <sz val="11"/>
        <color theme="1"/>
        <rFont val="Calibri"/>
        <family val="2"/>
        <scheme val="minor"/>
      </rPr>
      <t>5,415 projects completed</t>
    </r>
    <r>
      <rPr>
        <sz val="11"/>
        <color theme="1"/>
        <rFont val="Calibri"/>
        <family val="2"/>
        <scheme val="minor"/>
      </rPr>
      <t xml:space="preserve"> and also achieved the </t>
    </r>
    <r>
      <rPr>
        <b/>
        <sz val="11"/>
        <color theme="1"/>
        <rFont val="Calibri"/>
        <family val="2"/>
        <scheme val="minor"/>
      </rPr>
      <t>highest average performance score of 3.17 out of 5</t>
    </r>
    <r>
      <rPr>
        <sz val="11"/>
        <color theme="1"/>
        <rFont val="Calibri"/>
        <family val="2"/>
        <scheme val="minor"/>
      </rPr>
      <t>.</t>
    </r>
  </si>
  <si>
    <r>
      <t xml:space="preserve">Employee distribution across departments is relatively even, ranging from </t>
    </r>
    <r>
      <rPr>
        <b/>
        <sz val="11"/>
        <color theme="1"/>
        <rFont val="Calibri"/>
        <family val="2"/>
        <scheme val="minor"/>
      </rPr>
      <t>19% to 21%</t>
    </r>
    <r>
      <rPr>
        <sz val="11"/>
        <color theme="1"/>
        <rFont val="Calibri"/>
        <family val="2"/>
        <scheme val="minor"/>
      </rPr>
      <t xml:space="preserve">, with an </t>
    </r>
    <r>
      <rPr>
        <b/>
        <sz val="11"/>
        <color theme="1"/>
        <rFont val="Calibri"/>
        <family val="2"/>
        <scheme val="minor"/>
      </rPr>
      <t>overall average performance score of 3.02</t>
    </r>
    <r>
      <rPr>
        <sz val="11"/>
        <color theme="1"/>
        <rFont val="Calibri"/>
        <family val="2"/>
        <scheme val="minor"/>
      </rPr>
      <t>.</t>
    </r>
  </si>
  <si>
    <t>Overall, the organization demonstrated stable but moderate performance throughout the period. A decline in project numbers appears to correlate with lower overall employee performance.</t>
  </si>
  <si>
    <t>Performance Score Trends</t>
  </si>
  <si>
    <r>
      <t>2018</t>
    </r>
    <r>
      <rPr>
        <sz val="11"/>
        <color theme="1"/>
        <rFont val="Calibri"/>
        <family val="2"/>
        <scheme val="minor"/>
      </rPr>
      <t xml:space="preserve"> and </t>
    </r>
    <r>
      <rPr>
        <b/>
        <sz val="11"/>
        <color theme="1"/>
        <rFont val="Calibri"/>
        <family val="2"/>
        <scheme val="minor"/>
      </rPr>
      <t>2021</t>
    </r>
    <r>
      <rPr>
        <sz val="11"/>
        <color theme="1"/>
        <rFont val="Calibri"/>
        <family val="2"/>
        <scheme val="minor"/>
      </rPr>
      <t xml:space="preserve"> marked peak performance years across all departments, with the highest average scores recorded during these periods.</t>
    </r>
  </si>
  <si>
    <r>
      <t xml:space="preserve">These years also correspond to higher employee counts (120 and 129 employees), suggesting that </t>
    </r>
    <r>
      <rPr>
        <b/>
        <sz val="11"/>
        <color theme="1"/>
        <rFont val="Calibri"/>
        <family val="2"/>
        <scheme val="minor"/>
      </rPr>
      <t>greater workforce availability may enhance overall output and performance</t>
    </r>
    <r>
      <rPr>
        <sz val="11"/>
        <color theme="1"/>
        <rFont val="Calibri"/>
        <family val="2"/>
        <scheme val="minor"/>
      </rPr>
      <t>.</t>
    </r>
  </si>
  <si>
    <t>Overall Performance</t>
  </si>
  <si>
    <r>
      <t xml:space="preserve">The overall departmental performance averages </t>
    </r>
    <r>
      <rPr>
        <b/>
        <sz val="11"/>
        <color theme="1"/>
        <rFont val="Calibri"/>
        <family val="2"/>
        <scheme val="minor"/>
      </rPr>
      <t>3.02 out of 5</t>
    </r>
    <r>
      <rPr>
        <sz val="11"/>
        <color theme="1"/>
        <rFont val="Calibri"/>
        <family val="2"/>
        <scheme val="minor"/>
      </rPr>
      <t xml:space="preserve">, indicating consistent delivery but also </t>
    </r>
    <r>
      <rPr>
        <b/>
        <sz val="11"/>
        <color theme="1"/>
        <rFont val="Calibri"/>
        <family val="2"/>
        <scheme val="minor"/>
      </rPr>
      <t>significant room for improvement</t>
    </r>
    <r>
      <rPr>
        <sz val="11"/>
        <color theme="1"/>
        <rFont val="Calibri"/>
        <family val="2"/>
        <scheme val="minor"/>
      </rPr>
      <t xml:space="preserve"> in employee efficiency and engagement.</t>
    </r>
  </si>
  <si>
    <t>1. Increase Project Volume</t>
  </si>
  <si>
    <t>Encourage and facilitate more projects across departments to provide employees with greater opportunities to apply skills and achieve higher performance outcomes.</t>
  </si>
  <si>
    <t>Increasing workload variety can help sustain motivation and skill development.</t>
  </si>
  <si>
    <t>2. Training and Exposure</t>
  </si>
  <si>
    <r>
      <t xml:space="preserve">Invest in employee growth through </t>
    </r>
    <r>
      <rPr>
        <b/>
        <sz val="11"/>
        <color theme="1"/>
        <rFont val="Calibri"/>
        <family val="2"/>
        <scheme val="minor"/>
      </rPr>
      <t>training programs, seminars, and industry exposure</t>
    </r>
    <r>
      <rPr>
        <sz val="11"/>
        <color theme="1"/>
        <rFont val="Calibri"/>
        <family val="2"/>
        <scheme val="minor"/>
      </rPr>
      <t>.</t>
    </r>
  </si>
  <si>
    <t>Enhancing employee capability can directly influence future performance scores and project success rates.</t>
  </si>
  <si>
    <t>3. Investigate Peak Years (2018 &amp; 2021)</t>
  </si>
  <si>
    <r>
      <t xml:space="preserve">Conduct a focused analysis on </t>
    </r>
    <r>
      <rPr>
        <b/>
        <sz val="11"/>
        <color theme="1"/>
        <rFont val="Calibri"/>
        <family val="2"/>
        <scheme val="minor"/>
      </rPr>
      <t>what contributed to the exceptional performance</t>
    </r>
    <r>
      <rPr>
        <sz val="11"/>
        <color theme="1"/>
        <rFont val="Calibri"/>
        <family val="2"/>
        <scheme val="minor"/>
      </rPr>
      <t xml:space="preserve"> in 2018 and 2021.</t>
    </r>
  </si>
  <si>
    <r>
      <t xml:space="preserve">Understanding these success factors — such as management changes, training initiatives, or operational shifts — can help </t>
    </r>
    <r>
      <rPr>
        <b/>
        <sz val="11"/>
        <color theme="1"/>
        <rFont val="Calibri"/>
        <family val="2"/>
        <scheme val="minor"/>
      </rPr>
      <t>replicate similar results in future years</t>
    </r>
    <r>
      <rPr>
        <sz val="11"/>
        <color theme="1"/>
        <rFont val="Calibri"/>
        <family val="2"/>
        <scheme val="minor"/>
      </rPr>
      <t>.</t>
    </r>
  </si>
  <si>
    <t>Summary Table of Key Metrics</t>
  </si>
  <si>
    <t>Metric</t>
  </si>
  <si>
    <t>Value</t>
  </si>
  <si>
    <t>Observation</t>
  </si>
  <si>
    <t>Total Employees</t>
  </si>
  <si>
    <t>Evenly distributed (19–21% per department)</t>
  </si>
  <si>
    <t>Total Projects</t>
  </si>
  <si>
    <t>Stable workload over time</t>
  </si>
  <si>
    <t>Highest Department Score</t>
  </si>
  <si>
    <t>3.17 (Finance)</t>
  </si>
  <si>
    <t>Consistent top performer</t>
  </si>
  <si>
    <t>Overall Average Score</t>
  </si>
  <si>
    <t>3.02 / 5</t>
  </si>
  <si>
    <t>Moderate performance level</t>
  </si>
  <si>
    <t>Peak Years</t>
  </si>
  <si>
    <t>2018, 2021</t>
  </si>
  <si>
    <t>Highest performance and employee counts</t>
  </si>
  <si>
    <t>Projects</t>
  </si>
  <si>
    <t>Performance Score</t>
  </si>
  <si>
    <t>Correlation</t>
  </si>
  <si>
    <t>Project - Performance Score</t>
  </si>
  <si>
    <t>Correlation Coefficient (r)</t>
  </si>
  <si>
    <t>Interpretation</t>
  </si>
  <si>
    <t>+0.70 to +1.00</t>
  </si>
  <si>
    <t>Strong positive relationship</t>
  </si>
  <si>
    <t>+0.40 to +0.69</t>
  </si>
  <si>
    <t>Moderate positive</t>
  </si>
  <si>
    <t>+0.10 to +0.39</t>
  </si>
  <si>
    <t>Weak positive</t>
  </si>
  <si>
    <t>-0.10 to +0.10</t>
  </si>
  <si>
    <t>No significant correlation</t>
  </si>
  <si>
    <t>-0.40 to -0.69</t>
  </si>
  <si>
    <t>Moderate negative</t>
  </si>
  <si>
    <t>-0.70 to -1.00</t>
  </si>
  <si>
    <t>Strong negative</t>
  </si>
  <si>
    <t>Employee Count - Performance Score</t>
  </si>
  <si>
    <t>Weak Positive</t>
  </si>
  <si>
    <t>Strong Positive Relationship</t>
  </si>
  <si>
    <t>Predicted Performance Score</t>
  </si>
  <si>
    <t>Forecast(Performance Score)</t>
  </si>
  <si>
    <t>Lower Confidence Bound(Performance Score)</t>
  </si>
  <si>
    <t>Upper Confidence Bound(Performance Score)</t>
  </si>
  <si>
    <t>Overview:</t>
  </si>
  <si>
    <t>Based on the chart, performance score will tend to remain around 2.5 to 3 until year 2030.</t>
  </si>
  <si>
    <t>Meaning, performance is stagnant but no drastic increase or decrease</t>
  </si>
  <si>
    <t>Recommendations:</t>
  </si>
  <si>
    <t xml:space="preserve">Improve on trainings, workload and increase in employee count would help improve </t>
  </si>
  <si>
    <t>the performance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</si>
</sst>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3409]* #,##0.00_-;\-[$₱-3409]* #,##0.00_-;_-[$₱-3409]* &quot;-&quot;??_-;_-@_-"/>
    <numFmt numFmtId="165" formatCode="_-* #,##0_-;\-* #,##0_-;_-* &quot;-&quot;??_-;_-@_-"/>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8"/>
      <color theme="1"/>
      <name val="Calibri"/>
      <family val="2"/>
      <scheme val="minor"/>
    </font>
    <font>
      <b/>
      <sz val="24"/>
      <color theme="1"/>
      <name val="Calibri"/>
      <family val="2"/>
      <scheme val="minor"/>
    </font>
    <font>
      <b/>
      <sz val="26"/>
      <color theme="0"/>
      <name val="Calibri"/>
      <family val="2"/>
      <scheme val="minor"/>
    </font>
    <font>
      <b/>
      <sz val="13.5"/>
      <color theme="1"/>
      <name val="Calibri"/>
      <family val="2"/>
      <scheme val="minor"/>
    </font>
    <font>
      <sz val="11"/>
      <color rgb="FF006100"/>
      <name val="Calibri"/>
      <family val="2"/>
      <scheme val="minor"/>
    </font>
    <font>
      <sz val="11"/>
      <color rgb="FF9C5700"/>
      <name val="Calibri"/>
      <family val="2"/>
      <scheme val="minor"/>
    </font>
  </fonts>
  <fills count="9">
    <fill>
      <patternFill patternType="none"/>
    </fill>
    <fill>
      <patternFill patternType="gray125"/>
    </fill>
    <fill>
      <patternFill patternType="solid">
        <fgColor theme="5" tint="-0.249977111117893"/>
        <bgColor indexed="64"/>
      </patternFill>
    </fill>
    <fill>
      <patternFill patternType="solid">
        <fgColor theme="3"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rgb="FFC6EFCE"/>
      </patternFill>
    </fill>
    <fill>
      <patternFill patternType="solid">
        <fgColor rgb="FFFFEB9C"/>
      </patternFill>
    </fill>
  </fills>
  <borders count="8">
    <border>
      <left/>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right style="thin">
        <color indexed="64"/>
      </right>
      <top/>
      <bottom style="thin">
        <color auto="1"/>
      </bottom>
      <diagonal/>
    </border>
    <border>
      <left/>
      <right style="thin">
        <color indexed="64"/>
      </right>
      <top/>
      <bottom/>
      <diagonal/>
    </border>
    <border>
      <left style="thin">
        <color indexed="64"/>
      </left>
      <right/>
      <top/>
      <bottom/>
      <diagonal/>
    </border>
    <border>
      <left style="thin">
        <color indexed="64"/>
      </left>
      <right/>
      <top/>
      <bottom style="thin">
        <color auto="1"/>
      </bottom>
      <diagonal/>
    </border>
  </borders>
  <cellStyleXfs count="4">
    <xf numFmtId="0" fontId="0" fillId="0" borderId="0"/>
    <xf numFmtId="43" fontId="2" fillId="0" borderId="0" applyFont="0" applyFill="0" applyBorder="0" applyAlignment="0" applyProtection="0"/>
    <xf numFmtId="0" fontId="8" fillId="7" borderId="0" applyNumberFormat="0" applyBorder="0" applyAlignment="0" applyProtection="0"/>
    <xf numFmtId="0" fontId="9" fillId="8" borderId="0" applyNumberFormat="0" applyBorder="0" applyAlignment="0" applyProtection="0"/>
  </cellStyleXfs>
  <cellXfs count="47">
    <xf numFmtId="0" fontId="0" fillId="0" borderId="0" xfId="0"/>
    <xf numFmtId="164" fontId="0" fillId="0" borderId="0" xfId="0" applyNumberFormat="1"/>
    <xf numFmtId="2" fontId="0" fillId="0" borderId="0" xfId="0" applyNumberFormat="1"/>
    <xf numFmtId="165" fontId="0" fillId="0" borderId="0" xfId="1" applyNumberFormat="1" applyFont="1"/>
    <xf numFmtId="49" fontId="0" fillId="0" borderId="0" xfId="0" applyNumberFormat="1"/>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6" xfId="0" applyBorder="1"/>
    <xf numFmtId="0" fontId="0" fillId="0" borderId="6" xfId="0" pivotButton="1" applyBorder="1"/>
    <xf numFmtId="0" fontId="0" fillId="0" borderId="6" xfId="0" applyBorder="1" applyAlignment="1">
      <alignment horizontal="left"/>
    </xf>
    <xf numFmtId="0" fontId="3" fillId="3" borderId="6" xfId="0" applyFont="1" applyFill="1" applyBorder="1" applyAlignment="1">
      <alignment horizontal="left"/>
    </xf>
    <xf numFmtId="164" fontId="3" fillId="3" borderId="0" xfId="0" applyNumberFormat="1" applyFont="1" applyFill="1"/>
    <xf numFmtId="0" fontId="0" fillId="3" borderId="0" xfId="0" applyFill="1" applyAlignment="1">
      <alignment horizontal="left"/>
    </xf>
    <xf numFmtId="0" fontId="0" fillId="3" borderId="0" xfId="0" applyFill="1"/>
    <xf numFmtId="0" fontId="3" fillId="3" borderId="0" xfId="0" applyFont="1" applyFill="1" applyAlignment="1">
      <alignment horizontal="left"/>
    </xf>
    <xf numFmtId="2" fontId="3" fillId="3" borderId="0" xfId="0" applyNumberFormat="1" applyFont="1" applyFill="1"/>
    <xf numFmtId="0" fontId="1" fillId="5" borderId="2" xfId="0" applyFont="1" applyFill="1" applyBorder="1" applyAlignment="1">
      <alignment horizontal="center"/>
    </xf>
    <xf numFmtId="165" fontId="0" fillId="0" borderId="0" xfId="0" applyNumberFormat="1"/>
    <xf numFmtId="165" fontId="0" fillId="3" borderId="0" xfId="0" applyNumberFormat="1" applyFill="1"/>
    <xf numFmtId="0" fontId="1" fillId="4" borderId="2" xfId="0" applyFont="1" applyFill="1" applyBorder="1"/>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4" fillId="0" borderId="0" xfId="0" applyFont="1"/>
    <xf numFmtId="0" fontId="6" fillId="6" borderId="0" xfId="0" applyFont="1" applyFill="1" applyAlignment="1">
      <alignment horizontal="center"/>
    </xf>
    <xf numFmtId="0" fontId="6" fillId="6" borderId="5" xfId="0" applyFont="1" applyFill="1" applyBorder="1" applyAlignment="1">
      <alignment horizontal="center"/>
    </xf>
    <xf numFmtId="0" fontId="6" fillId="6" borderId="3" xfId="0" applyFont="1" applyFill="1" applyBorder="1" applyAlignment="1">
      <alignment horizontal="center"/>
    </xf>
    <xf numFmtId="0" fontId="6" fillId="6" borderId="4" xfId="0" applyFont="1" applyFill="1" applyBorder="1" applyAlignment="1">
      <alignment horizontal="center"/>
    </xf>
    <xf numFmtId="0" fontId="1" fillId="4" borderId="2" xfId="0" applyFont="1" applyFill="1" applyBorder="1" applyAlignment="1">
      <alignment horizontal="center"/>
    </xf>
    <xf numFmtId="0" fontId="1" fillId="4" borderId="0" xfId="0" applyFont="1" applyFill="1" applyAlignment="1">
      <alignment horizontal="center"/>
    </xf>
    <xf numFmtId="0" fontId="5" fillId="2" borderId="6" xfId="0" applyFont="1" applyFill="1" applyBorder="1" applyAlignment="1">
      <alignment horizontal="center"/>
    </xf>
    <xf numFmtId="0" fontId="5" fillId="2" borderId="0" xfId="0" applyFont="1" applyFill="1" applyAlignment="1">
      <alignment horizontal="center"/>
    </xf>
    <xf numFmtId="0" fontId="5" fillId="2" borderId="7" xfId="0" applyFont="1" applyFill="1" applyBorder="1" applyAlignment="1">
      <alignment horizontal="center"/>
    </xf>
    <xf numFmtId="0" fontId="5" fillId="2" borderId="3" xfId="0" applyFont="1" applyFill="1" applyBorder="1" applyAlignment="1">
      <alignment horizontal="center"/>
    </xf>
    <xf numFmtId="0" fontId="1" fillId="5" borderId="0" xfId="0" applyFont="1" applyFill="1" applyAlignment="1">
      <alignment horizontal="center"/>
    </xf>
    <xf numFmtId="0" fontId="4" fillId="0" borderId="0" xfId="0" applyFont="1" applyAlignment="1">
      <alignment horizontal="center" vertical="center"/>
    </xf>
    <xf numFmtId="0" fontId="1" fillId="0" borderId="0" xfId="0" applyFont="1"/>
    <xf numFmtId="2" fontId="1" fillId="0" borderId="0" xfId="0" applyNumberFormat="1" applyFont="1"/>
    <xf numFmtId="0" fontId="8" fillId="7" borderId="0" xfId="2"/>
    <xf numFmtId="0" fontId="9" fillId="8" borderId="0" xfId="3"/>
  </cellXfs>
  <cellStyles count="4">
    <cellStyle name="Comma" xfId="1" builtinId="3"/>
    <cellStyle name="Good" xfId="2" builtinId="26"/>
    <cellStyle name="Neutral" xfId="3" builtinId="28"/>
    <cellStyle name="Normal" xfId="0" builtinId="0"/>
  </cellStyles>
  <dxfs count="43">
    <dxf>
      <numFmt numFmtId="2" formatCode="0.00"/>
    </dxf>
    <dxf>
      <numFmt numFmtId="2" formatCode="0.00"/>
    </dxf>
    <dxf>
      <numFmt numFmtId="2" formatCode="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2" formatCode="0.00"/>
    </dxf>
    <dxf>
      <border>
        <left style="thin">
          <color indexed="64"/>
        </left>
      </border>
    </dxf>
    <dxf>
      <border>
        <left style="thin">
          <color indexed="64"/>
        </left>
      </border>
    </dxf>
    <dxf>
      <fill>
        <patternFill patternType="solid">
          <bgColor theme="3" tint="-0.249977111117893"/>
        </patternFill>
      </fill>
    </dxf>
    <dxf>
      <fill>
        <patternFill patternType="solid">
          <bgColor theme="3" tint="-0.249977111117893"/>
        </patternFill>
      </fill>
    </dxf>
    <dxf>
      <font>
        <b val="0"/>
      </font>
    </dxf>
    <dxf>
      <font>
        <b val="0"/>
      </font>
    </dxf>
    <dxf>
      <font>
        <b val="0"/>
      </font>
    </dxf>
    <dxf>
      <font>
        <b val="0"/>
      </font>
    </dxf>
    <dxf>
      <numFmt numFmtId="165" formatCode="_-* #,##0_-;\-* #,##0_-;_-* &quot;-&quot;??_-;_-@_-"/>
    </dxf>
    <dxf>
      <fill>
        <patternFill patternType="solid">
          <bgColor theme="3" tint="-0.249977111117893"/>
        </patternFill>
      </fill>
    </dxf>
    <dxf>
      <fill>
        <patternFill patternType="solid">
          <bgColor theme="3" tint="-0.249977111117893"/>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2" formatCode="0.00"/>
    </dxf>
    <dxf>
      <numFmt numFmtId="164" formatCode="_-[$₱-3409]* #,##0.00_-;\-[$₱-3409]* #,##0.00_-;_-[$₱-3409]* &quot;-&quot;??_-;_-@_-"/>
    </dxf>
    <dxf>
      <numFmt numFmtId="164" formatCode="_-[$₱-3409]* #,##0.00_-;\-[$₱-3409]* #,##0.00_-;_-[$₱-3409]* &quot;-&quot;??_-;_-@_-"/>
    </dxf>
    <dxf>
      <numFmt numFmtId="19" formatCode="m/d/yyyy"/>
    </dxf>
    <dxf>
      <numFmt numFmtId="0" formatCode="General"/>
    </dxf>
    <dxf>
      <numFmt numFmtId="0" formatCode="General"/>
    </dxf>
    <dxf>
      <numFmt numFmtId="30" formatCode="@"/>
    </dxf>
    <dxf>
      <numFmt numFmtId="30" formatCode="@"/>
    </dxf>
    <dxf>
      <numFmt numFmtId="30" formatCode="@"/>
    </dxf>
    <dxf>
      <font>
        <b val="0"/>
        <i val="0"/>
        <strike val="0"/>
        <condense val="0"/>
        <extend val="0"/>
        <outline val="0"/>
        <shadow val="0"/>
        <u val="none"/>
        <vertAlign val="baseline"/>
        <sz val="11"/>
        <color theme="1"/>
        <name val="Calibri"/>
        <family val="2"/>
        <scheme val="minor"/>
      </font>
      <numFmt numFmtId="165" formatCode="_-* #,##0_-;\-* #,##0_-;_-* &quot;-&quot;??_-;_-@_-"/>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[Employee_Performance_Analytics.xlsx]Tables and Charts!PivotTable2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3310626762159852E-2"/>
              <c:y val="-4.503541185443334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1472291951886069E-2"/>
              <c:y val="-4.8499674304774386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fld id="{E440CA4D-9776-4D28-8DEA-9C829938310D}" type="VALUE">
                  <a:rPr lang="en-US" b="1">
                    <a:solidFill>
                      <a:schemeClr val="tx1"/>
                    </a:solidFill>
                  </a:rPr>
                  <a:pPr>
                    <a:defRPr sz="1200" b="1">
                      <a:solidFill>
                        <a:schemeClr val="bg2"/>
                      </a:solidFill>
                    </a:defRPr>
                  </a:pPr>
                  <a:t>[VALUE]</a:t>
                </a:fld>
                <a:endParaRPr lang="en-PH"/>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PH"/>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9.6721018651716034E-2"/>
          <c:y val="0.15079934446334484"/>
          <c:w val="0.89039747103435274"/>
          <c:h val="0.70058925194844301"/>
        </c:manualLayout>
      </c:layout>
      <c:lineChart>
        <c:grouping val="standard"/>
        <c:varyColors val="0"/>
        <c:ser>
          <c:idx val="0"/>
          <c:order val="0"/>
          <c:tx>
            <c:strRef>
              <c:f>'Tables and Charts'!$B$5</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F432-4209-9725-4496BC88079E}"/>
              </c:ext>
            </c:extLst>
          </c:dPt>
          <c:dPt>
            <c:idx val="5"/>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F432-4209-9725-4496BC88079E}"/>
              </c:ext>
            </c:extLst>
          </c:dPt>
          <c:dLbls>
            <c:dLbl>
              <c:idx val="2"/>
              <c:layout>
                <c:manualLayout>
                  <c:x val="-3.1472291951886069E-2"/>
                  <c:y val="-4.8499674304774386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fld id="{E440CA4D-9776-4D28-8DEA-9C829938310D}" type="VALUE">
                      <a:rPr lang="en-US" b="1">
                        <a:solidFill>
                          <a:schemeClr val="tx1"/>
                        </a:solidFill>
                      </a:rPr>
                      <a:pPr>
                        <a:defRPr sz="1200" b="1">
                          <a:solidFill>
                            <a:schemeClr val="bg2"/>
                          </a:solidFill>
                        </a:defRPr>
                      </a:pPr>
                      <a:t>[VALUE]</a:t>
                    </a:fld>
                    <a:endParaRPr lang="en-PH"/>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PH"/>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432-4209-9725-4496BC88079E}"/>
                </c:ext>
              </c:extLst>
            </c:dLbl>
            <c:dLbl>
              <c:idx val="5"/>
              <c:layout>
                <c:manualLayout>
                  <c:x val="-3.3310626762159852E-2"/>
                  <c:y val="-4.503541185443334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32-4209-9725-4496BC88079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 and Charts'!$A$6:$A$15</c:f>
              <c:strCache>
                <c:ptCount val="9"/>
                <c:pt idx="0">
                  <c:v>2016</c:v>
                </c:pt>
                <c:pt idx="1">
                  <c:v>2017</c:v>
                </c:pt>
                <c:pt idx="2">
                  <c:v>2018</c:v>
                </c:pt>
                <c:pt idx="3">
                  <c:v>2019</c:v>
                </c:pt>
                <c:pt idx="4">
                  <c:v>2020</c:v>
                </c:pt>
                <c:pt idx="5">
                  <c:v>2021</c:v>
                </c:pt>
                <c:pt idx="6">
                  <c:v>2022</c:v>
                </c:pt>
                <c:pt idx="7">
                  <c:v>2023</c:v>
                </c:pt>
                <c:pt idx="8">
                  <c:v>2024</c:v>
                </c:pt>
              </c:strCache>
            </c:strRef>
          </c:cat>
          <c:val>
            <c:numRef>
              <c:f>'Tables and Charts'!$B$6:$B$15</c:f>
              <c:numCache>
                <c:formatCode>General</c:formatCode>
                <c:ptCount val="9"/>
                <c:pt idx="0">
                  <c:v>101</c:v>
                </c:pt>
                <c:pt idx="1">
                  <c:v>109</c:v>
                </c:pt>
                <c:pt idx="2">
                  <c:v>120</c:v>
                </c:pt>
                <c:pt idx="3">
                  <c:v>106</c:v>
                </c:pt>
                <c:pt idx="4">
                  <c:v>109</c:v>
                </c:pt>
                <c:pt idx="5">
                  <c:v>129</c:v>
                </c:pt>
                <c:pt idx="6">
                  <c:v>108</c:v>
                </c:pt>
                <c:pt idx="7">
                  <c:v>112</c:v>
                </c:pt>
                <c:pt idx="8">
                  <c:v>96</c:v>
                </c:pt>
              </c:numCache>
            </c:numRef>
          </c:val>
          <c:smooth val="0"/>
          <c:extLst>
            <c:ext xmlns:c16="http://schemas.microsoft.com/office/drawing/2014/chart" uri="{C3380CC4-5D6E-409C-BE32-E72D297353CC}">
              <c16:uniqueId val="{00000000-F432-4209-9725-4496BC88079E}"/>
            </c:ext>
          </c:extLst>
        </c:ser>
        <c:dLbls>
          <c:dLblPos val="ctr"/>
          <c:showLegendKey val="0"/>
          <c:showVal val="1"/>
          <c:showCatName val="0"/>
          <c:showSerName val="0"/>
          <c:showPercent val="0"/>
          <c:showBubbleSize val="0"/>
        </c:dLbls>
        <c:marker val="1"/>
        <c:smooth val="0"/>
        <c:axId val="664362464"/>
        <c:axId val="664360544"/>
      </c:lineChart>
      <c:catAx>
        <c:axId val="664362464"/>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PH" sz="1200"/>
                  <a:t>YEAR</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664360544"/>
        <c:crosses val="autoZero"/>
        <c:auto val="1"/>
        <c:lblAlgn val="ctr"/>
        <c:lblOffset val="100"/>
        <c:noMultiLvlLbl val="0"/>
      </c:catAx>
      <c:valAx>
        <c:axId val="6643605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PH"/>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66436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[Employee_Performance_Analytics.xlsx]Tables and Charts!PivotTable11</c:name>
    <c:fmtId val="6"/>
  </c:pivotSource>
  <c:chart>
    <c:title>
      <c:tx>
        <c:rich>
          <a:bodyPr rot="0" spcFirstLastPara="1" vertOverflow="ellipsis" vert="horz" wrap="square" anchor="ctr" anchorCtr="1"/>
          <a:lstStyle/>
          <a:p>
            <a:pPr>
              <a:defRPr b="1" i="0" u="none" strike="noStrike" kern="1200" baseline="0">
                <a:solidFill>
                  <a:schemeClr val="tx1"/>
                </a:solidFill>
                <a:effectLst/>
                <a:latin typeface="+mn-lt"/>
                <a:ea typeface="+mn-ea"/>
                <a:cs typeface="+mn-cs"/>
              </a:defRPr>
            </a:pPr>
            <a:r>
              <a:rPr lang="en-US" b="1">
                <a:solidFill>
                  <a:schemeClr val="tx1"/>
                </a:solidFill>
              </a:rPr>
              <a:t>Performance Score by Year</a:t>
            </a:r>
          </a:p>
        </c:rich>
      </c:tx>
      <c:overlay val="0"/>
      <c:spPr>
        <a:noFill/>
        <a:ln>
          <a:noFill/>
        </a:ln>
        <a:effectLst/>
      </c:spPr>
      <c:txPr>
        <a:bodyPr rot="0" spcFirstLastPara="1" vertOverflow="ellipsis" vert="horz" wrap="square" anchor="ctr" anchorCtr="1"/>
        <a:lstStyle/>
        <a:p>
          <a:pPr>
            <a:defRPr b="1" i="0" u="none" strike="noStrike" kern="1200" baseline="0">
              <a:solidFill>
                <a:schemeClr val="tx1"/>
              </a:solidFill>
              <a:effectLst/>
              <a:latin typeface="+mn-lt"/>
              <a:ea typeface="+mn-ea"/>
              <a:cs typeface="+mn-cs"/>
            </a:defRPr>
          </a:pPr>
          <a:endParaRPr lang="en-US"/>
        </a:p>
      </c:txPr>
    </c:title>
    <c:autoTitleDeleted val="0"/>
    <c:pivotFmts>
      <c:pivotFmt>
        <c:idx val="0"/>
        <c:spPr>
          <a:solidFill>
            <a:schemeClr val="accent1">
              <a:lumMod val="75000"/>
            </a:schemeClr>
          </a:solid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oftEdge rad="12700"/>
          </a:effectLst>
        </c:spPr>
      </c:pivotFmt>
      <c:pivotFmt>
        <c:idx val="2"/>
        <c:spPr>
          <a:solidFill>
            <a:schemeClr val="accent2">
              <a:lumMod val="75000"/>
            </a:schemeClr>
          </a:solidFill>
          <a:ln>
            <a:noFill/>
          </a:ln>
          <a:effectLst>
            <a:softEdge rad="12700"/>
          </a:effectLst>
        </c:spPr>
      </c:pivotFmt>
    </c:pivotFmts>
    <c:plotArea>
      <c:layout>
        <c:manualLayout>
          <c:layoutTarget val="inner"/>
          <c:xMode val="edge"/>
          <c:yMode val="edge"/>
          <c:x val="4.9522218379592906E-2"/>
          <c:y val="0.14341858450260106"/>
          <c:w val="0.91930194426615131"/>
          <c:h val="0.70100652983376843"/>
        </c:manualLayout>
      </c:layout>
      <c:barChart>
        <c:barDir val="col"/>
        <c:grouping val="clustered"/>
        <c:varyColors val="0"/>
        <c:ser>
          <c:idx val="0"/>
          <c:order val="0"/>
          <c:tx>
            <c:strRef>
              <c:f>'Tables and Charts'!$B$19</c:f>
              <c:strCache>
                <c:ptCount val="1"/>
                <c:pt idx="0">
                  <c:v>Total</c:v>
                </c:pt>
              </c:strCache>
            </c:strRef>
          </c:tx>
          <c:spPr>
            <a:solidFill>
              <a:schemeClr val="accent1">
                <a:lumMod val="75000"/>
              </a:schemeClr>
            </a:solidFill>
            <a:ln>
              <a:noFill/>
            </a:ln>
            <a:effectLst>
              <a:softEdge rad="12700"/>
            </a:effectLst>
          </c:spPr>
          <c:invertIfNegative val="0"/>
          <c:dPt>
            <c:idx val="2"/>
            <c:invertIfNegative val="0"/>
            <c:bubble3D val="0"/>
            <c:spPr>
              <a:solidFill>
                <a:schemeClr val="accent2">
                  <a:lumMod val="75000"/>
                </a:schemeClr>
              </a:solidFill>
              <a:ln>
                <a:noFill/>
              </a:ln>
              <a:effectLst>
                <a:softEdge rad="12700"/>
              </a:effectLst>
            </c:spPr>
            <c:extLst>
              <c:ext xmlns:c16="http://schemas.microsoft.com/office/drawing/2014/chart" uri="{C3380CC4-5D6E-409C-BE32-E72D297353CC}">
                <c16:uniqueId val="{00000003-B38F-4C36-89DE-68ECA6E6FDC0}"/>
              </c:ext>
            </c:extLst>
          </c:dPt>
          <c:dPt>
            <c:idx val="5"/>
            <c:invertIfNegative val="0"/>
            <c:bubble3D val="0"/>
            <c:spPr>
              <a:solidFill>
                <a:schemeClr val="accent2">
                  <a:lumMod val="75000"/>
                </a:schemeClr>
              </a:solidFill>
              <a:ln>
                <a:noFill/>
              </a:ln>
              <a:effectLst>
                <a:softEdge rad="12700"/>
              </a:effectLst>
            </c:spPr>
            <c:extLst>
              <c:ext xmlns:c16="http://schemas.microsoft.com/office/drawing/2014/chart" uri="{C3380CC4-5D6E-409C-BE32-E72D297353CC}">
                <c16:uniqueId val="{00000002-B38F-4C36-89DE-68ECA6E6FDC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 and Charts'!$A$20:$A$28</c:f>
              <c:strCache>
                <c:ptCount val="9"/>
                <c:pt idx="0">
                  <c:v>2016</c:v>
                </c:pt>
                <c:pt idx="1">
                  <c:v>2017</c:v>
                </c:pt>
                <c:pt idx="2">
                  <c:v>2018</c:v>
                </c:pt>
                <c:pt idx="3">
                  <c:v>2019</c:v>
                </c:pt>
                <c:pt idx="4">
                  <c:v>2020</c:v>
                </c:pt>
                <c:pt idx="5">
                  <c:v>2021</c:v>
                </c:pt>
                <c:pt idx="6">
                  <c:v>2022</c:v>
                </c:pt>
                <c:pt idx="7">
                  <c:v>2023</c:v>
                </c:pt>
                <c:pt idx="8">
                  <c:v>2024</c:v>
                </c:pt>
              </c:strCache>
            </c:strRef>
          </c:cat>
          <c:val>
            <c:numRef>
              <c:f>'Tables and Charts'!$B$20:$B$28</c:f>
              <c:numCache>
                <c:formatCode>0.00</c:formatCode>
                <c:ptCount val="9"/>
                <c:pt idx="0">
                  <c:v>3.0594059405940595</c:v>
                </c:pt>
                <c:pt idx="1">
                  <c:v>3.0183486238532109</c:v>
                </c:pt>
                <c:pt idx="2">
                  <c:v>3.125</c:v>
                </c:pt>
                <c:pt idx="3">
                  <c:v>3.0849056603773586</c:v>
                </c:pt>
                <c:pt idx="4">
                  <c:v>2.9541284403669725</c:v>
                </c:pt>
                <c:pt idx="5">
                  <c:v>3.2403100775193798</c:v>
                </c:pt>
                <c:pt idx="6">
                  <c:v>2.8148148148148149</c:v>
                </c:pt>
                <c:pt idx="7">
                  <c:v>2.9821428571428572</c:v>
                </c:pt>
                <c:pt idx="8">
                  <c:v>2.875</c:v>
                </c:pt>
              </c:numCache>
            </c:numRef>
          </c:val>
          <c:extLst>
            <c:ext xmlns:c16="http://schemas.microsoft.com/office/drawing/2014/chart" uri="{C3380CC4-5D6E-409C-BE32-E72D297353CC}">
              <c16:uniqueId val="{00000000-B38F-4C36-89DE-68ECA6E6FDC0}"/>
            </c:ext>
          </c:extLst>
        </c:ser>
        <c:dLbls>
          <c:dLblPos val="inEnd"/>
          <c:showLegendKey val="0"/>
          <c:showVal val="1"/>
          <c:showCatName val="0"/>
          <c:showSerName val="0"/>
          <c:showPercent val="0"/>
          <c:showBubbleSize val="0"/>
        </c:dLbls>
        <c:gapWidth val="31"/>
        <c:axId val="698250368"/>
        <c:axId val="698252288"/>
      </c:barChart>
      <c:catAx>
        <c:axId val="698250368"/>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PH" sz="1100"/>
                  <a:t>YEAR</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98252288"/>
        <c:crosses val="autoZero"/>
        <c:auto val="1"/>
        <c:lblAlgn val="ctr"/>
        <c:lblOffset val="100"/>
        <c:noMultiLvlLbl val="0"/>
      </c:catAx>
      <c:valAx>
        <c:axId val="698252288"/>
        <c:scaling>
          <c:orientation val="minMax"/>
        </c:scaling>
        <c:delete val="1"/>
        <c:axPos val="l"/>
        <c:numFmt formatCode="0.00" sourceLinked="1"/>
        <c:majorTickMark val="none"/>
        <c:minorTickMark val="none"/>
        <c:tickLblPos val="nextTo"/>
        <c:crossAx val="69825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[Employee_Performance_Analytics.xlsx]Tables and Charts!PivotTable1</c:name>
    <c:fmtId val="8"/>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Projects</a:t>
            </a:r>
            <a:r>
              <a:rPr lang="en-US" baseline="0">
                <a:solidFill>
                  <a:schemeClr val="tx1">
                    <a:lumMod val="95000"/>
                    <a:lumOff val="5000"/>
                  </a:schemeClr>
                </a:solidFill>
              </a:rPr>
              <a:t> per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lumMod val="60000"/>
              <a:lumOff val="40000"/>
              <a:alpha val="85000"/>
            </a:schemeClr>
          </a:solidFill>
          <a:ln w="9525" cap="flat" cmpd="sng" algn="ctr">
            <a:solidFill>
              <a:schemeClr val="lt1">
                <a:alpha val="50000"/>
              </a:schemeClr>
            </a:solidFill>
            <a:round/>
          </a:ln>
          <a:effectLst>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a:softEdge rad="31750"/>
          </a:effectLst>
        </c:spPr>
      </c:pivotFmt>
      <c:pivotFmt>
        <c:idx val="2"/>
        <c:spPr>
          <a:solidFill>
            <a:schemeClr val="accent4">
              <a:alpha val="85000"/>
            </a:schemeClr>
          </a:solidFill>
          <a:ln w="9525" cap="flat" cmpd="sng" algn="ctr">
            <a:solidFill>
              <a:schemeClr val="lt1">
                <a:alpha val="50000"/>
              </a:schemeClr>
            </a:solidFill>
            <a:round/>
          </a:ln>
          <a:effectLst>
            <a:softEdge rad="31750"/>
          </a:effectLst>
        </c:spPr>
      </c:pivotFmt>
      <c:pivotFmt>
        <c:idx val="3"/>
        <c:spPr>
          <a:solidFill>
            <a:schemeClr val="accent3">
              <a:alpha val="85000"/>
            </a:schemeClr>
          </a:solidFill>
          <a:ln w="9525" cap="flat" cmpd="sng" algn="ctr">
            <a:solidFill>
              <a:schemeClr val="lt1">
                <a:alpha val="50000"/>
              </a:schemeClr>
            </a:solidFill>
            <a:round/>
          </a:ln>
          <a:effectLst>
            <a:softEdge rad="31750"/>
          </a:effectLst>
        </c:spPr>
      </c:pivotFmt>
      <c:pivotFmt>
        <c:idx val="4"/>
        <c:spPr>
          <a:solidFill>
            <a:schemeClr val="accent2">
              <a:alpha val="85000"/>
            </a:schemeClr>
          </a:solidFill>
          <a:ln w="9525" cap="flat" cmpd="sng" algn="ctr">
            <a:solidFill>
              <a:schemeClr val="lt1">
                <a:alpha val="50000"/>
              </a:schemeClr>
            </a:solidFill>
            <a:round/>
          </a:ln>
          <a:effectLst>
            <a:softEdge rad="31750"/>
          </a:effectLst>
        </c:spPr>
      </c:pivotFmt>
      <c:pivotFmt>
        <c:idx val="5"/>
        <c:spPr>
          <a:solidFill>
            <a:schemeClr val="tx2">
              <a:alpha val="85000"/>
            </a:schemeClr>
          </a:solidFill>
          <a:ln w="9525" cap="flat" cmpd="sng" algn="ctr">
            <a:solidFill>
              <a:schemeClr val="lt1">
                <a:alpha val="50000"/>
              </a:schemeClr>
            </a:solidFill>
            <a:round/>
          </a:ln>
          <a:effectLst>
            <a:softEdge rad="31750"/>
          </a:effectLst>
        </c:spPr>
      </c:pivotFmt>
    </c:pivotFmts>
    <c:plotArea>
      <c:layout/>
      <c:barChart>
        <c:barDir val="bar"/>
        <c:grouping val="clustered"/>
        <c:varyColors val="0"/>
        <c:ser>
          <c:idx val="0"/>
          <c:order val="0"/>
          <c:tx>
            <c:strRef>
              <c:f>'Tables and Charts'!$E$32</c:f>
              <c:strCache>
                <c:ptCount val="1"/>
                <c:pt idx="0">
                  <c:v>Total</c:v>
                </c:pt>
              </c:strCache>
            </c:strRef>
          </c:tx>
          <c:spPr>
            <a:solidFill>
              <a:schemeClr val="accent6">
                <a:lumMod val="60000"/>
                <a:lumOff val="40000"/>
                <a:alpha val="85000"/>
              </a:schemeClr>
            </a:solidFill>
            <a:ln w="9525" cap="flat" cmpd="sng" algn="ctr">
              <a:solidFill>
                <a:schemeClr val="lt1">
                  <a:alpha val="50000"/>
                </a:schemeClr>
              </a:solidFill>
              <a:round/>
            </a:ln>
            <a:effectLst>
              <a:softEdge rad="3175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 and Charts'!$D$33:$D$42</c:f>
              <c:strCache>
                <c:ptCount val="9"/>
                <c:pt idx="0">
                  <c:v>2016</c:v>
                </c:pt>
                <c:pt idx="1">
                  <c:v>2017</c:v>
                </c:pt>
                <c:pt idx="2">
                  <c:v>2018</c:v>
                </c:pt>
                <c:pt idx="3">
                  <c:v>2019</c:v>
                </c:pt>
                <c:pt idx="4">
                  <c:v>2020</c:v>
                </c:pt>
                <c:pt idx="5">
                  <c:v>2021</c:v>
                </c:pt>
                <c:pt idx="6">
                  <c:v>2022</c:v>
                </c:pt>
                <c:pt idx="7">
                  <c:v>2023</c:v>
                </c:pt>
                <c:pt idx="8">
                  <c:v>2024</c:v>
                </c:pt>
              </c:strCache>
            </c:strRef>
          </c:cat>
          <c:val>
            <c:numRef>
              <c:f>'Tables and Charts'!$E$33:$E$42</c:f>
              <c:numCache>
                <c:formatCode>_-* #,##0_-;\-* #,##0_-;_-* "-"??_-;_-@_-</c:formatCode>
                <c:ptCount val="9"/>
                <c:pt idx="0">
                  <c:v>627</c:v>
                </c:pt>
                <c:pt idx="1">
                  <c:v>553</c:v>
                </c:pt>
                <c:pt idx="2">
                  <c:v>450</c:v>
                </c:pt>
                <c:pt idx="3">
                  <c:v>578</c:v>
                </c:pt>
                <c:pt idx="4">
                  <c:v>461</c:v>
                </c:pt>
                <c:pt idx="5">
                  <c:v>550</c:v>
                </c:pt>
                <c:pt idx="6">
                  <c:v>396</c:v>
                </c:pt>
                <c:pt idx="7">
                  <c:v>395</c:v>
                </c:pt>
                <c:pt idx="8">
                  <c:v>630</c:v>
                </c:pt>
              </c:numCache>
            </c:numRef>
          </c:val>
          <c:extLst>
            <c:ext xmlns:c16="http://schemas.microsoft.com/office/drawing/2014/chart" uri="{C3380CC4-5D6E-409C-BE32-E72D297353CC}">
              <c16:uniqueId val="{00000000-6FC5-41BF-8EA4-69A3D59285DF}"/>
            </c:ext>
          </c:extLst>
        </c:ser>
        <c:dLbls>
          <c:dLblPos val="inEnd"/>
          <c:showLegendKey val="0"/>
          <c:showVal val="1"/>
          <c:showCatName val="0"/>
          <c:showSerName val="0"/>
          <c:showPercent val="0"/>
          <c:showBubbleSize val="0"/>
        </c:dLbls>
        <c:gapWidth val="65"/>
        <c:axId val="738700256"/>
        <c:axId val="738698816"/>
      </c:barChart>
      <c:catAx>
        <c:axId val="738700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tx1">
                    <a:lumMod val="95000"/>
                    <a:lumOff val="5000"/>
                  </a:schemeClr>
                </a:solidFill>
                <a:latin typeface="+mn-lt"/>
                <a:ea typeface="+mn-ea"/>
                <a:cs typeface="+mn-cs"/>
              </a:defRPr>
            </a:pPr>
            <a:endParaRPr lang="en-US"/>
          </a:p>
        </c:txPr>
        <c:crossAx val="738698816"/>
        <c:crosses val="autoZero"/>
        <c:auto val="1"/>
        <c:lblAlgn val="ctr"/>
        <c:lblOffset val="100"/>
        <c:noMultiLvlLbl val="0"/>
      </c:catAx>
      <c:valAx>
        <c:axId val="7386988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PH" sz="1400" b="1">
                    <a:solidFill>
                      <a:schemeClr val="tx1"/>
                    </a:solidFill>
                  </a:rPr>
                  <a:t>Projects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73870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[Employee_Performance_Analytics.xlsx]Tables and Charts!PivotTable3</c:name>
    <c:fmtId val="1"/>
  </c:pivotSource>
  <c:chart>
    <c:title>
      <c:tx>
        <c:rich>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r>
              <a:rPr lang="en-US"/>
              <a:t>Employee Count per Department</a:t>
            </a:r>
          </a:p>
        </c:rich>
      </c:tx>
      <c:layout>
        <c:manualLayout>
          <c:xMode val="edge"/>
          <c:yMode val="edge"/>
          <c:x val="0.28562291405971985"/>
          <c:y val="2.1882026585800806E-2"/>
        </c:manualLayout>
      </c:layout>
      <c:overlay val="0"/>
      <c:spPr>
        <a:noFill/>
        <a:ln>
          <a:noFill/>
        </a:ln>
        <a:effectLst/>
      </c:spPr>
      <c:txPr>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949213460022529"/>
          <c:y val="0.20886652825279767"/>
          <c:w val="0.40046255888407667"/>
          <c:h val="0.75101642300656746"/>
        </c:manualLayout>
      </c:layout>
      <c:pieChart>
        <c:varyColors val="1"/>
        <c:ser>
          <c:idx val="0"/>
          <c:order val="0"/>
          <c:tx>
            <c:strRef>
              <c:f>'Tables and Charts'!$E$5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6D-4BBD-B363-E6EFE9674F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6D-4BBD-B363-E6EFE9674F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D6D-4BBD-B363-E6EFE9674FC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D6D-4BBD-B363-E6EFE9674FC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D6D-4BBD-B363-E6EFE9674F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 and Charts'!$D$6:$D$11</c:f>
              <c:strCache>
                <c:ptCount val="5"/>
                <c:pt idx="0">
                  <c:v>Finance</c:v>
                </c:pt>
                <c:pt idx="1">
                  <c:v>HR</c:v>
                </c:pt>
                <c:pt idx="2">
                  <c:v>IT</c:v>
                </c:pt>
                <c:pt idx="3">
                  <c:v>Operations</c:v>
                </c:pt>
                <c:pt idx="4">
                  <c:v>Sales</c:v>
                </c:pt>
              </c:strCache>
            </c:strRef>
          </c:cat>
          <c:val>
            <c:numRef>
              <c:f>'Tables and Charts'!$E$6:$E$11</c:f>
              <c:numCache>
                <c:formatCode>General</c:formatCode>
                <c:ptCount val="5"/>
                <c:pt idx="0">
                  <c:v>215</c:v>
                </c:pt>
                <c:pt idx="1">
                  <c:v>213</c:v>
                </c:pt>
                <c:pt idx="2">
                  <c:v>201</c:v>
                </c:pt>
                <c:pt idx="3">
                  <c:v>186</c:v>
                </c:pt>
                <c:pt idx="4">
                  <c:v>185</c:v>
                </c:pt>
              </c:numCache>
            </c:numRef>
          </c:val>
          <c:extLst>
            <c:ext xmlns:c16="http://schemas.microsoft.com/office/drawing/2014/chart" uri="{C3380CC4-5D6E-409C-BE32-E72D297353CC}">
              <c16:uniqueId val="{00000000-11E3-4E45-B89E-F41927BD71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32610095078145623"/>
          <c:y val="0.11661311026301507"/>
          <c:w val="0.39058112022304747"/>
          <c:h val="8.342565710692038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[Employee_Performance_Analytics.xlsx]Tables and Charts!PivotTable1</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PROJECTS PER dEPARTMENT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 and Charts'!$E$32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'Tables and Charts'!$D$33:$D$42</c:f>
              <c:strCache>
                <c:ptCount val="9"/>
                <c:pt idx="0">
                  <c:v>2016</c:v>
                </c:pt>
                <c:pt idx="1">
                  <c:v>2017</c:v>
                </c:pt>
                <c:pt idx="2">
                  <c:v>2018</c:v>
                </c:pt>
                <c:pt idx="3">
                  <c:v>2019</c:v>
                </c:pt>
                <c:pt idx="4">
                  <c:v>2020</c:v>
                </c:pt>
                <c:pt idx="5">
                  <c:v>2021</c:v>
                </c:pt>
                <c:pt idx="6">
                  <c:v>2022</c:v>
                </c:pt>
                <c:pt idx="7">
                  <c:v>2023</c:v>
                </c:pt>
                <c:pt idx="8">
                  <c:v>2024</c:v>
                </c:pt>
              </c:strCache>
            </c:strRef>
          </c:cat>
          <c:val>
            <c:numRef>
              <c:f>'Tables and Charts'!$E$33:$E$42</c:f>
              <c:numCache>
                <c:formatCode>_-* #,##0_-;\-* #,##0_-;_-* "-"??_-;_-@_-</c:formatCode>
                <c:ptCount val="9"/>
                <c:pt idx="0">
                  <c:v>627</c:v>
                </c:pt>
                <c:pt idx="1">
                  <c:v>553</c:v>
                </c:pt>
                <c:pt idx="2">
                  <c:v>450</c:v>
                </c:pt>
                <c:pt idx="3">
                  <c:v>578</c:v>
                </c:pt>
                <c:pt idx="4">
                  <c:v>461</c:v>
                </c:pt>
                <c:pt idx="5">
                  <c:v>550</c:v>
                </c:pt>
                <c:pt idx="6">
                  <c:v>396</c:v>
                </c:pt>
                <c:pt idx="7">
                  <c:v>395</c:v>
                </c:pt>
                <c:pt idx="8">
                  <c:v>630</c:v>
                </c:pt>
              </c:numCache>
            </c:numRef>
          </c:val>
          <c:smooth val="0"/>
          <c:extLst>
            <c:ext xmlns:c16="http://schemas.microsoft.com/office/drawing/2014/chart" uri="{C3380CC4-5D6E-409C-BE32-E72D297353CC}">
              <c16:uniqueId val="{00000000-3AD5-47AB-90F3-35C8219F1CC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56450880"/>
        <c:axId val="794633680"/>
      </c:lineChart>
      <c:catAx>
        <c:axId val="456450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PH"/>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spc="30" baseline="0">
                <a:solidFill>
                  <a:schemeClr val="lt1"/>
                </a:solidFill>
                <a:latin typeface="+mn-lt"/>
                <a:ea typeface="+mn-ea"/>
                <a:cs typeface="+mn-cs"/>
              </a:defRPr>
            </a:pPr>
            <a:endParaRPr lang="en-US"/>
          </a:p>
        </c:txPr>
        <c:crossAx val="794633680"/>
        <c:crosses val="autoZero"/>
        <c:auto val="1"/>
        <c:lblAlgn val="ctr"/>
        <c:lblOffset val="100"/>
        <c:noMultiLvlLbl val="0"/>
      </c:catAx>
      <c:valAx>
        <c:axId val="794633680"/>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lt1"/>
                    </a:solidFill>
                    <a:latin typeface="+mn-lt"/>
                    <a:ea typeface="+mn-ea"/>
                    <a:cs typeface="+mn-cs"/>
                  </a:defRPr>
                </a:pPr>
                <a:r>
                  <a:rPr lang="en-PH" sz="1100"/>
                  <a:t>PROJECTS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title>
        <c:numFmt formatCode="_-* #,##0_-;\-* #,##0_-;_-* &quot;-&quot;??_-;_-@_-" sourceLinked="1"/>
        <c:majorTickMark val="none"/>
        <c:minorTickMark val="none"/>
        <c:tickLblPos val="nextTo"/>
        <c:crossAx val="45645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Forecasting!$B$1</c:f>
              <c:strCache>
                <c:ptCount val="1"/>
                <c:pt idx="0">
                  <c:v>Performance Score</c:v>
                </c:pt>
              </c:strCache>
            </c:strRef>
          </c:tx>
          <c:spPr>
            <a:ln w="28575" cap="rnd">
              <a:solidFill>
                <a:schemeClr val="accent1"/>
              </a:solidFill>
              <a:round/>
            </a:ln>
            <a:effectLst/>
          </c:spPr>
          <c:marker>
            <c:symbol val="none"/>
          </c:marker>
          <c:val>
            <c:numRef>
              <c:f>Forecasting!$B$2:$B$16</c:f>
              <c:numCache>
                <c:formatCode>0.00</c:formatCode>
                <c:ptCount val="15"/>
                <c:pt idx="0">
                  <c:v>3.0594059405940595</c:v>
                </c:pt>
                <c:pt idx="1">
                  <c:v>3.0183486238532109</c:v>
                </c:pt>
                <c:pt idx="2">
                  <c:v>3.125</c:v>
                </c:pt>
                <c:pt idx="3">
                  <c:v>3.0849056603773586</c:v>
                </c:pt>
                <c:pt idx="4">
                  <c:v>2.9541284403669725</c:v>
                </c:pt>
                <c:pt idx="5">
                  <c:v>3.2403100775193798</c:v>
                </c:pt>
                <c:pt idx="6">
                  <c:v>2.8148148148148149</c:v>
                </c:pt>
                <c:pt idx="7">
                  <c:v>2.9821428571428572</c:v>
                </c:pt>
                <c:pt idx="8">
                  <c:v>2.875</c:v>
                </c:pt>
              </c:numCache>
            </c:numRef>
          </c:val>
          <c:smooth val="0"/>
          <c:extLst>
            <c:ext xmlns:c16="http://schemas.microsoft.com/office/drawing/2014/chart" uri="{C3380CC4-5D6E-409C-BE32-E72D297353CC}">
              <c16:uniqueId val="{00000000-3700-4CC9-AB21-C9492CD0C5D9}"/>
            </c:ext>
          </c:extLst>
        </c:ser>
        <c:ser>
          <c:idx val="1"/>
          <c:order val="1"/>
          <c:tx>
            <c:strRef>
              <c:f>Forecasting!$C$1</c:f>
              <c:strCache>
                <c:ptCount val="1"/>
                <c:pt idx="0">
                  <c:v>Forecast(Performance Score)</c:v>
                </c:pt>
              </c:strCache>
            </c:strRef>
          </c:tx>
          <c:spPr>
            <a:ln w="25400" cap="rnd">
              <a:solidFill>
                <a:schemeClr val="accent2"/>
              </a:solidFill>
              <a:round/>
            </a:ln>
            <a:effectLst/>
          </c:spPr>
          <c:marker>
            <c:symbol val="none"/>
          </c:marker>
          <c:cat>
            <c:numRef>
              <c:f>Forecasting!$A$2:$A$16</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Forecasting!$C$2:$C$16</c:f>
              <c:numCache>
                <c:formatCode>General</c:formatCode>
                <c:ptCount val="15"/>
                <c:pt idx="8" formatCode="0.00">
                  <c:v>2.875</c:v>
                </c:pt>
                <c:pt idx="9" formatCode="0.00">
                  <c:v>2.9289267544844324</c:v>
                </c:pt>
                <c:pt idx="10" formatCode="0.00">
                  <c:v>2.8363830937199146</c:v>
                </c:pt>
                <c:pt idx="11" formatCode="0.00">
                  <c:v>2.8857003604413238</c:v>
                </c:pt>
                <c:pt idx="12" formatCode="0.00">
                  <c:v>2.793156699676806</c:v>
                </c:pt>
                <c:pt idx="13" formatCode="0.00">
                  <c:v>2.8424739663982157</c:v>
                </c:pt>
                <c:pt idx="14" formatCode="0.00">
                  <c:v>2.7499303056336979</c:v>
                </c:pt>
              </c:numCache>
            </c:numRef>
          </c:val>
          <c:smooth val="0"/>
          <c:extLst>
            <c:ext xmlns:c16="http://schemas.microsoft.com/office/drawing/2014/chart" uri="{C3380CC4-5D6E-409C-BE32-E72D297353CC}">
              <c16:uniqueId val="{00000001-3700-4CC9-AB21-C9492CD0C5D9}"/>
            </c:ext>
          </c:extLst>
        </c:ser>
        <c:ser>
          <c:idx val="2"/>
          <c:order val="2"/>
          <c:tx>
            <c:strRef>
              <c:f>Forecasting!$D$1</c:f>
              <c:strCache>
                <c:ptCount val="1"/>
                <c:pt idx="0">
                  <c:v>Lower Confidence Bound(Performance Score)</c:v>
                </c:pt>
              </c:strCache>
            </c:strRef>
          </c:tx>
          <c:spPr>
            <a:ln w="12700" cap="rnd">
              <a:solidFill>
                <a:srgbClr val="C0504D"/>
              </a:solidFill>
              <a:prstDash val="solid"/>
              <a:round/>
            </a:ln>
            <a:effectLst/>
          </c:spPr>
          <c:marker>
            <c:symbol val="none"/>
          </c:marker>
          <c:cat>
            <c:numRef>
              <c:f>Forecasting!$A$2:$A$16</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Forecasting!$D$2:$D$16</c:f>
              <c:numCache>
                <c:formatCode>General</c:formatCode>
                <c:ptCount val="15"/>
                <c:pt idx="8" formatCode="0.00">
                  <c:v>2.875</c:v>
                </c:pt>
                <c:pt idx="9" formatCode="0.00">
                  <c:v>2.7194748165829252</c:v>
                </c:pt>
                <c:pt idx="10" formatCode="0.00">
                  <c:v>2.6269302132868075</c:v>
                </c:pt>
                <c:pt idx="11" formatCode="0.00">
                  <c:v>2.6745119334533922</c:v>
                </c:pt>
                <c:pt idx="12" formatCode="0.00">
                  <c:v>2.5819656760832497</c:v>
                </c:pt>
                <c:pt idx="13" formatCode="0.00">
                  <c:v>2.6295079985117087</c:v>
                </c:pt>
                <c:pt idx="14" formatCode="0.00">
                  <c:v>2.5369592909076628</c:v>
                </c:pt>
              </c:numCache>
            </c:numRef>
          </c:val>
          <c:smooth val="0"/>
          <c:extLst>
            <c:ext xmlns:c16="http://schemas.microsoft.com/office/drawing/2014/chart" uri="{C3380CC4-5D6E-409C-BE32-E72D297353CC}">
              <c16:uniqueId val="{00000002-3700-4CC9-AB21-C9492CD0C5D9}"/>
            </c:ext>
          </c:extLst>
        </c:ser>
        <c:ser>
          <c:idx val="3"/>
          <c:order val="3"/>
          <c:tx>
            <c:strRef>
              <c:f>Forecasting!$E$1</c:f>
              <c:strCache>
                <c:ptCount val="1"/>
                <c:pt idx="0">
                  <c:v>Upper Confidence Bound(Performance Score)</c:v>
                </c:pt>
              </c:strCache>
            </c:strRef>
          </c:tx>
          <c:spPr>
            <a:ln w="12700" cap="rnd">
              <a:solidFill>
                <a:srgbClr val="C0504D"/>
              </a:solidFill>
              <a:prstDash val="solid"/>
              <a:round/>
            </a:ln>
            <a:effectLst/>
          </c:spPr>
          <c:marker>
            <c:symbol val="none"/>
          </c:marker>
          <c:cat>
            <c:numRef>
              <c:f>Forecasting!$A$2:$A$16</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Forecasting!$E$2:$E$16</c:f>
              <c:numCache>
                <c:formatCode>General</c:formatCode>
                <c:ptCount val="15"/>
                <c:pt idx="8" formatCode="0.00">
                  <c:v>2.875</c:v>
                </c:pt>
                <c:pt idx="9" formatCode="0.00">
                  <c:v>3.1383786923859396</c:v>
                </c:pt>
                <c:pt idx="10" formatCode="0.00">
                  <c:v>3.0458359741530217</c:v>
                </c:pt>
                <c:pt idx="11" formatCode="0.00">
                  <c:v>3.0968887874292554</c:v>
                </c:pt>
                <c:pt idx="12" formatCode="0.00">
                  <c:v>3.0043477232703624</c:v>
                </c:pt>
                <c:pt idx="13" formatCode="0.00">
                  <c:v>3.0554399342847227</c:v>
                </c:pt>
                <c:pt idx="14" formatCode="0.00">
                  <c:v>2.962901320359733</c:v>
                </c:pt>
              </c:numCache>
            </c:numRef>
          </c:val>
          <c:smooth val="0"/>
          <c:extLst>
            <c:ext xmlns:c16="http://schemas.microsoft.com/office/drawing/2014/chart" uri="{C3380CC4-5D6E-409C-BE32-E72D297353CC}">
              <c16:uniqueId val="{00000003-3700-4CC9-AB21-C9492CD0C5D9}"/>
            </c:ext>
          </c:extLst>
        </c:ser>
        <c:dLbls>
          <c:showLegendKey val="0"/>
          <c:showVal val="0"/>
          <c:showCatName val="0"/>
          <c:showSerName val="0"/>
          <c:showPercent val="0"/>
          <c:showBubbleSize val="0"/>
        </c:dLbls>
        <c:smooth val="0"/>
        <c:axId val="1753028992"/>
        <c:axId val="1753021312"/>
      </c:lineChart>
      <c:catAx>
        <c:axId val="175302899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21312"/>
        <c:crosses val="autoZero"/>
        <c:auto val="1"/>
        <c:lblAlgn val="ctr"/>
        <c:lblOffset val="100"/>
        <c:noMultiLvlLbl val="0"/>
      </c:catAx>
      <c:valAx>
        <c:axId val="175302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28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PH" sz="1400" b="1" i="0" u="none" strike="noStrike" baseline="0">
                <a:solidFill>
                  <a:sysClr val="windowText" lastClr="000000"/>
                </a:solidFill>
                <a:effectLst/>
              </a:rPr>
              <a:t>Employee Count - Performance Score  (Positive Relationship)</a:t>
            </a:r>
            <a:endParaRPr lang="en-PH"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22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Correlation!$B$2:$B$10</c:f>
              <c:numCache>
                <c:formatCode>General</c:formatCode>
                <c:ptCount val="9"/>
                <c:pt idx="0">
                  <c:v>101</c:v>
                </c:pt>
                <c:pt idx="1">
                  <c:v>109</c:v>
                </c:pt>
                <c:pt idx="2">
                  <c:v>120</c:v>
                </c:pt>
                <c:pt idx="3">
                  <c:v>106</c:v>
                </c:pt>
                <c:pt idx="4">
                  <c:v>109</c:v>
                </c:pt>
                <c:pt idx="5">
                  <c:v>129</c:v>
                </c:pt>
                <c:pt idx="6">
                  <c:v>108</c:v>
                </c:pt>
                <c:pt idx="7">
                  <c:v>112</c:v>
                </c:pt>
                <c:pt idx="8">
                  <c:v>96</c:v>
                </c:pt>
              </c:numCache>
            </c:numRef>
          </c:xVal>
          <c:yVal>
            <c:numRef>
              <c:f>Correlation!$D$2:$D$10</c:f>
              <c:numCache>
                <c:formatCode>0.00</c:formatCode>
                <c:ptCount val="9"/>
                <c:pt idx="0">
                  <c:v>3.0594059405940595</c:v>
                </c:pt>
                <c:pt idx="1">
                  <c:v>3.0183486238532109</c:v>
                </c:pt>
                <c:pt idx="2">
                  <c:v>3.125</c:v>
                </c:pt>
                <c:pt idx="3">
                  <c:v>3.0849056603773586</c:v>
                </c:pt>
                <c:pt idx="4">
                  <c:v>2.9541284403669725</c:v>
                </c:pt>
                <c:pt idx="5">
                  <c:v>3.2403100775193798</c:v>
                </c:pt>
                <c:pt idx="6">
                  <c:v>2.8148148148148149</c:v>
                </c:pt>
                <c:pt idx="7">
                  <c:v>2.9821428571428572</c:v>
                </c:pt>
                <c:pt idx="8">
                  <c:v>2.875</c:v>
                </c:pt>
              </c:numCache>
            </c:numRef>
          </c:yVal>
          <c:smooth val="0"/>
          <c:extLst>
            <c:ext xmlns:c16="http://schemas.microsoft.com/office/drawing/2014/chart" uri="{C3380CC4-5D6E-409C-BE32-E72D297353CC}">
              <c16:uniqueId val="{00000000-3312-4070-BC2E-FC932DE835D3}"/>
            </c:ext>
          </c:extLst>
        </c:ser>
        <c:dLbls>
          <c:showLegendKey val="0"/>
          <c:showVal val="0"/>
          <c:showCatName val="0"/>
          <c:showSerName val="0"/>
          <c:showPercent val="0"/>
          <c:showBubbleSize val="0"/>
        </c:dLbls>
        <c:axId val="1753028992"/>
        <c:axId val="1753019392"/>
      </c:scatterChart>
      <c:valAx>
        <c:axId val="175302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sz="1100"/>
                  <a:t>Employee</a:t>
                </a:r>
                <a:r>
                  <a:rPr lang="en-PH" sz="1100" baseline="0"/>
                  <a:t> Count</a:t>
                </a:r>
                <a:endParaRPr lang="en-PH" sz="11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19392"/>
        <c:crosses val="autoZero"/>
        <c:crossBetween val="midCat"/>
      </c:valAx>
      <c:valAx>
        <c:axId val="1753019392"/>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PH" sz="1100"/>
                  <a:t>Score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28992"/>
        <c:crosses val="autoZero"/>
        <c:crossBetween val="midCat"/>
      </c:valAx>
      <c:spPr>
        <a:noFill/>
        <a:ln>
          <a:noFill/>
        </a:ln>
        <a:effectLst/>
      </c:spPr>
    </c:plotArea>
    <c:plotVisOnly val="1"/>
    <c:dispBlanksAs val="gap"/>
    <c:showDLblsOverMax val="0"/>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PH" sz="1400" b="1" i="0" u="none" strike="noStrike" baseline="0">
                <a:solidFill>
                  <a:sysClr val="windowText" lastClr="000000"/>
                </a:solidFill>
                <a:effectLst/>
              </a:rPr>
              <a:t>Project - Performance Score  (Weak Positive)</a:t>
            </a:r>
            <a:endParaRPr lang="en-PH"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2225" cmpd="sng">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Correlation!$C$2:$C$10</c:f>
              <c:numCache>
                <c:formatCode>General</c:formatCode>
                <c:ptCount val="9"/>
                <c:pt idx="0">
                  <c:v>627</c:v>
                </c:pt>
                <c:pt idx="1">
                  <c:v>553</c:v>
                </c:pt>
                <c:pt idx="2">
                  <c:v>450</c:v>
                </c:pt>
                <c:pt idx="3">
                  <c:v>578</c:v>
                </c:pt>
                <c:pt idx="4">
                  <c:v>461</c:v>
                </c:pt>
                <c:pt idx="5">
                  <c:v>550</c:v>
                </c:pt>
                <c:pt idx="6">
                  <c:v>396</c:v>
                </c:pt>
                <c:pt idx="7">
                  <c:v>395</c:v>
                </c:pt>
                <c:pt idx="8">
                  <c:v>630</c:v>
                </c:pt>
              </c:numCache>
            </c:numRef>
          </c:xVal>
          <c:yVal>
            <c:numRef>
              <c:f>Correlation!$D$2:$D$10</c:f>
              <c:numCache>
                <c:formatCode>0.00</c:formatCode>
                <c:ptCount val="9"/>
                <c:pt idx="0">
                  <c:v>3.0594059405940595</c:v>
                </c:pt>
                <c:pt idx="1">
                  <c:v>3.0183486238532109</c:v>
                </c:pt>
                <c:pt idx="2">
                  <c:v>3.125</c:v>
                </c:pt>
                <c:pt idx="3">
                  <c:v>3.0849056603773586</c:v>
                </c:pt>
                <c:pt idx="4">
                  <c:v>2.9541284403669725</c:v>
                </c:pt>
                <c:pt idx="5">
                  <c:v>3.2403100775193798</c:v>
                </c:pt>
                <c:pt idx="6">
                  <c:v>2.8148148148148149</c:v>
                </c:pt>
                <c:pt idx="7">
                  <c:v>2.9821428571428572</c:v>
                </c:pt>
                <c:pt idx="8">
                  <c:v>2.875</c:v>
                </c:pt>
              </c:numCache>
            </c:numRef>
          </c:yVal>
          <c:smooth val="0"/>
          <c:extLst>
            <c:ext xmlns:c16="http://schemas.microsoft.com/office/drawing/2014/chart" uri="{C3380CC4-5D6E-409C-BE32-E72D297353CC}">
              <c16:uniqueId val="{00000000-1B57-4F3A-B192-6B3FDC171874}"/>
            </c:ext>
          </c:extLst>
        </c:ser>
        <c:dLbls>
          <c:showLegendKey val="0"/>
          <c:showVal val="0"/>
          <c:showCatName val="0"/>
          <c:showSerName val="0"/>
          <c:showPercent val="0"/>
          <c:showBubbleSize val="0"/>
        </c:dLbls>
        <c:axId val="1753029472"/>
        <c:axId val="1753027072"/>
      </c:scatterChart>
      <c:valAx>
        <c:axId val="175302947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PH" sz="1100"/>
                  <a:t>Projects</a:t>
                </a:r>
              </a:p>
            </c:rich>
          </c:tx>
          <c:layout>
            <c:manualLayout>
              <c:xMode val="edge"/>
              <c:yMode val="edge"/>
              <c:x val="0.48972656688215438"/>
              <c:y val="0.8960953347162393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27072"/>
        <c:crosses val="autoZero"/>
        <c:crossBetween val="midCat"/>
      </c:valAx>
      <c:valAx>
        <c:axId val="1753027072"/>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PH" sz="1100"/>
                  <a:t>Score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29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235324</xdr:colOff>
      <xdr:row>3</xdr:row>
      <xdr:rowOff>1121</xdr:rowOff>
    </xdr:from>
    <xdr:to>
      <xdr:col>13</xdr:col>
      <xdr:colOff>228600</xdr:colOff>
      <xdr:row>22</xdr:row>
      <xdr:rowOff>47625</xdr:rowOff>
    </xdr:to>
    <xdr:graphicFrame macro="">
      <xdr:nvGraphicFramePr>
        <xdr:cNvPr id="3" name="Chart 2">
          <a:extLst>
            <a:ext uri="{FF2B5EF4-FFF2-40B4-BE49-F238E27FC236}">
              <a16:creationId xmlns:a16="http://schemas.microsoft.com/office/drawing/2014/main" id="{09B8BD72-0EF5-39D7-4363-F01284E7A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235324</xdr:colOff>
      <xdr:row>23</xdr:row>
      <xdr:rowOff>23531</xdr:rowOff>
    </xdr:from>
    <xdr:to>
      <xdr:col>13</xdr:col>
      <xdr:colOff>257735</xdr:colOff>
      <xdr:row>41</xdr:row>
      <xdr:rowOff>56028</xdr:rowOff>
    </xdr:to>
    <xdr:graphicFrame macro="">
      <xdr:nvGraphicFramePr>
        <xdr:cNvPr id="4" name="Chart 3">
          <a:extLst>
            <a:ext uri="{FF2B5EF4-FFF2-40B4-BE49-F238E27FC236}">
              <a16:creationId xmlns:a16="http://schemas.microsoft.com/office/drawing/2014/main" id="{208E2C94-EB14-7572-CB07-76F751B81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593910</xdr:colOff>
      <xdr:row>3</xdr:row>
      <xdr:rowOff>23532</xdr:rowOff>
    </xdr:from>
    <xdr:to>
      <xdr:col>24</xdr:col>
      <xdr:colOff>414617</xdr:colOff>
      <xdr:row>22</xdr:row>
      <xdr:rowOff>56029</xdr:rowOff>
    </xdr:to>
    <xdr:graphicFrame macro="">
      <xdr:nvGraphicFramePr>
        <xdr:cNvPr id="6" name="Chart 5">
          <a:extLst>
            <a:ext uri="{FF2B5EF4-FFF2-40B4-BE49-F238E27FC236}">
              <a16:creationId xmlns:a16="http://schemas.microsoft.com/office/drawing/2014/main" id="{9B6AA334-3F42-FE93-5A51-92DBBAB17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551490</xdr:colOff>
      <xdr:row>22</xdr:row>
      <xdr:rowOff>148397</xdr:rowOff>
    </xdr:from>
    <xdr:to>
      <xdr:col>24</xdr:col>
      <xdr:colOff>425824</xdr:colOff>
      <xdr:row>41</xdr:row>
      <xdr:rowOff>11207</xdr:rowOff>
    </xdr:to>
    <xdr:graphicFrame macro="">
      <xdr:nvGraphicFramePr>
        <xdr:cNvPr id="7" name="Chart 6">
          <a:extLst>
            <a:ext uri="{FF2B5EF4-FFF2-40B4-BE49-F238E27FC236}">
              <a16:creationId xmlns:a16="http://schemas.microsoft.com/office/drawing/2014/main" id="{043D6AC6-F4C4-9F4A-15EC-78DE6F944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268941</xdr:colOff>
      <xdr:row>42</xdr:row>
      <xdr:rowOff>124384</xdr:rowOff>
    </xdr:from>
    <xdr:to>
      <xdr:col>15</xdr:col>
      <xdr:colOff>33618</xdr:colOff>
      <xdr:row>65</xdr:row>
      <xdr:rowOff>123265</xdr:rowOff>
    </xdr:to>
    <xdr:graphicFrame macro="">
      <xdr:nvGraphicFramePr>
        <xdr:cNvPr id="10" name="Chart 9">
          <a:extLst>
            <a:ext uri="{FF2B5EF4-FFF2-40B4-BE49-F238E27FC236}">
              <a16:creationId xmlns:a16="http://schemas.microsoft.com/office/drawing/2014/main" id="{E26E0F75-1ECE-36DB-33E9-91AD906ED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107578</xdr:colOff>
      <xdr:row>42</xdr:row>
      <xdr:rowOff>165848</xdr:rowOff>
    </xdr:from>
    <xdr:to>
      <xdr:col>17</xdr:col>
      <xdr:colOff>313765</xdr:colOff>
      <xdr:row>52</xdr:row>
      <xdr:rowOff>33618</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C18A433E-81E8-0FD0-83C7-3F3BF1527A6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177614" y="8166848"/>
              <a:ext cx="1430830" cy="177277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100012</xdr:colOff>
      <xdr:row>16</xdr:row>
      <xdr:rowOff>185737</xdr:rowOff>
    </xdr:from>
    <xdr:to>
      <xdr:col>4</xdr:col>
      <xdr:colOff>2228850</xdr:colOff>
      <xdr:row>36</xdr:row>
      <xdr:rowOff>123825</xdr:rowOff>
    </xdr:to>
    <xdr:graphicFrame macro="">
      <xdr:nvGraphicFramePr>
        <xdr:cNvPr id="2" name="Chart 1">
          <a:extLst>
            <a:ext uri="{FF2B5EF4-FFF2-40B4-BE49-F238E27FC236}">
              <a16:creationId xmlns:a16="http://schemas.microsoft.com/office/drawing/2014/main" id="{21ECD91B-1ECB-36E5-A3A9-C4548F251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14</xdr:row>
      <xdr:rowOff>157162</xdr:rowOff>
    </xdr:from>
    <xdr:to>
      <xdr:col>2</xdr:col>
      <xdr:colOff>1657350</xdr:colOff>
      <xdr:row>32</xdr:row>
      <xdr:rowOff>104775</xdr:rowOff>
    </xdr:to>
    <xdr:graphicFrame macro="">
      <xdr:nvGraphicFramePr>
        <xdr:cNvPr id="5" name="Chart 4">
          <a:extLst>
            <a:ext uri="{FF2B5EF4-FFF2-40B4-BE49-F238E27FC236}">
              <a16:creationId xmlns:a16="http://schemas.microsoft.com/office/drawing/2014/main" id="{3984251C-7A39-E06C-14FB-C669A76CE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166686</xdr:colOff>
      <xdr:row>14</xdr:row>
      <xdr:rowOff>157161</xdr:rowOff>
    </xdr:from>
    <xdr:to>
      <xdr:col>7</xdr:col>
      <xdr:colOff>1247775</xdr:colOff>
      <xdr:row>32</xdr:row>
      <xdr:rowOff>104774</xdr:rowOff>
    </xdr:to>
    <xdr:graphicFrame macro="">
      <xdr:nvGraphicFramePr>
        <xdr:cNvPr id="7" name="Chart 6">
          <a:extLst>
            <a:ext uri="{FF2B5EF4-FFF2-40B4-BE49-F238E27FC236}">
              <a16:creationId xmlns:a16="http://schemas.microsoft.com/office/drawing/2014/main" id="{3E752BB9-51FD-4A50-C3D4-CAF8847C8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refreshedDate="45964.604362268517" createdVersion="8" refreshedVersion="8" minRefreshableVersion="3" recordCount="1000" xr:uid="{23F8E88D-C989-4FF1-9281-276457898E0A}">
  <cacheSource type="worksheet">
    <worksheetSource name="Employee_Data"/>
  </cacheSource>
  <cacheFields count="11">
    <cacheField name="EmployeeID" numFmtId="165">
      <sharedItems containsSemiMixedTypes="0" containsString="0" containsNumber="1" containsInteger="1" minValue="1" maxValue="1000"/>
    </cacheField>
    <cacheField name="FirstName" numFmtId="49">
      <sharedItems/>
    </cacheField>
    <cacheField name="LastName" numFmtId="49">
      <sharedItems/>
    </cacheField>
    <cacheField name="Department" numFmtId="49">
      <sharedItems count="5">
        <s v="IT"/>
        <s v="Sales"/>
        <s v="Operations"/>
        <s v="HR"/>
        <s v="Finance"/>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15" maxValue="2024" count="10">
        <n v="2021"/>
        <n v="2016"/>
        <n v="2018"/>
        <n v="2023"/>
        <n v="2024"/>
        <n v="2020"/>
        <n v="2022"/>
        <n v="2017"/>
        <n v="2019"/>
        <n v="2015"/>
      </sharedItems>
    </cacheField>
    <cacheField name="HireDate" numFmtId="14">
      <sharedItems containsSemiMixedTypes="0" containsNonDate="0" containsDate="1" containsString="0" minDate="2015-10-31T00:00:00" maxDate="2024-10-29T00:00:00"/>
    </cacheField>
    <cacheField name="PerformanceScore" numFmtId="0">
      <sharedItems containsSemiMixedTypes="0" containsString="0" containsNumber="1" containsInteger="1" minValue="1" maxValue="5" count="5">
        <n v="2"/>
        <n v="3"/>
        <n v="1"/>
        <n v="4"/>
        <n v="5"/>
      </sharedItems>
    </cacheField>
    <cacheField name="ProjectsCompleted" numFmtId="0">
      <sharedItems containsSemiMixedTypes="0" containsString="0" containsNumber="1" containsInteger="1" minValue="1" maxValue="49"/>
    </cacheField>
    <cacheField name="MonthlySalary" numFmtId="164">
      <sharedItems containsSemiMixedTypes="0" containsString="0" containsNumber="1" containsInteger="1" minValue="20150" maxValue="119999"/>
    </cacheField>
    <cacheField name="AnnualSalary" numFmtId="164">
      <sharedItems containsSemiMixedTypes="0" containsString="0" containsNumber="1" containsInteger="1" minValue="241800" maxValue="1439988"/>
    </cacheField>
  </cacheFields>
  <extLst>
    <ext xmlns:x14="http://schemas.microsoft.com/office/spreadsheetml/2009/9/main" uri="{725AE2AE-9491-48be-B2B4-4EB974FC3084}">
      <x14:pivotCacheDefinition pivotCacheId="1566719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Natalie"/>
    <s v="Perez"/>
    <x v="0"/>
    <n v="7"/>
    <x v="0"/>
    <d v="2021-07-06T00:00:00"/>
    <x v="0"/>
    <n v="1"/>
    <n v="59277"/>
    <n v="711324"/>
  </r>
  <r>
    <n v="2"/>
    <s v="Adam"/>
    <s v="Johnson"/>
    <x v="0"/>
    <n v="11"/>
    <x v="1"/>
    <d v="2016-11-07T00:00:00"/>
    <x v="1"/>
    <n v="8"/>
    <n v="26945"/>
    <n v="323340"/>
  </r>
  <r>
    <n v="3"/>
    <s v="Helen"/>
    <s v="Kirby"/>
    <x v="1"/>
    <n v="8"/>
    <x v="2"/>
    <d v="2018-08-14T00:00:00"/>
    <x v="1"/>
    <n v="40"/>
    <n v="81345"/>
    <n v="976140"/>
  </r>
  <r>
    <n v="4"/>
    <s v="Alexander"/>
    <s v="Edwards"/>
    <x v="2"/>
    <n v="5"/>
    <x v="3"/>
    <d v="2023-05-14T00:00:00"/>
    <x v="2"/>
    <n v="27"/>
    <n v="72483"/>
    <n v="869796"/>
  </r>
  <r>
    <n v="5"/>
    <s v="Cynthia"/>
    <s v="Lam"/>
    <x v="1"/>
    <n v="6"/>
    <x v="0"/>
    <d v="2021-06-19T00:00:00"/>
    <x v="3"/>
    <n v="45"/>
    <n v="84889"/>
    <n v="1018668"/>
  </r>
  <r>
    <n v="6"/>
    <s v="Sharon"/>
    <s v="Shepard"/>
    <x v="2"/>
    <n v="2"/>
    <x v="4"/>
    <d v="2024-02-25T00:00:00"/>
    <x v="4"/>
    <n v="43"/>
    <n v="80892"/>
    <n v="970704"/>
  </r>
  <r>
    <n v="7"/>
    <s v="Elijah"/>
    <s v="Boyer"/>
    <x v="0"/>
    <n v="4"/>
    <x v="4"/>
    <d v="2024-04-26T00:00:00"/>
    <x v="0"/>
    <n v="45"/>
    <n v="42575"/>
    <n v="510900"/>
  </r>
  <r>
    <n v="8"/>
    <s v="Mark"/>
    <s v="Torres"/>
    <x v="3"/>
    <n v="2"/>
    <x v="5"/>
    <d v="2020-02-23T00:00:00"/>
    <x v="0"/>
    <n v="49"/>
    <n v="72753"/>
    <n v="873036"/>
  </r>
  <r>
    <n v="9"/>
    <s v="Paul"/>
    <s v="Johnson"/>
    <x v="1"/>
    <n v="2"/>
    <x v="3"/>
    <d v="2023-02-25T00:00:00"/>
    <x v="3"/>
    <n v="34"/>
    <n v="81170"/>
    <n v="974040"/>
  </r>
  <r>
    <n v="10"/>
    <s v="Michael"/>
    <s v="Clarke"/>
    <x v="3"/>
    <n v="8"/>
    <x v="1"/>
    <d v="2016-08-30T00:00:00"/>
    <x v="4"/>
    <n v="2"/>
    <n v="78501"/>
    <n v="942012"/>
  </r>
  <r>
    <n v="11"/>
    <s v="Andrew"/>
    <s v="Dominguez"/>
    <x v="3"/>
    <n v="7"/>
    <x v="4"/>
    <d v="2024-07-12T00:00:00"/>
    <x v="2"/>
    <n v="19"/>
    <n v="58271"/>
    <n v="699252"/>
  </r>
  <r>
    <n v="12"/>
    <s v="Mary"/>
    <s v="Carroll"/>
    <x v="1"/>
    <n v="6"/>
    <x v="2"/>
    <d v="2018-06-20T00:00:00"/>
    <x v="4"/>
    <n v="31"/>
    <n v="50807"/>
    <n v="609684"/>
  </r>
  <r>
    <n v="13"/>
    <s v="Michelle"/>
    <s v="Spencer"/>
    <x v="4"/>
    <n v="6"/>
    <x v="2"/>
    <d v="2018-06-06T00:00:00"/>
    <x v="0"/>
    <n v="41"/>
    <n v="119478"/>
    <n v="1433736"/>
  </r>
  <r>
    <n v="14"/>
    <s v="Brian"/>
    <s v="Wheeler"/>
    <x v="4"/>
    <n v="6"/>
    <x v="0"/>
    <d v="2021-06-07T00:00:00"/>
    <x v="4"/>
    <n v="38"/>
    <n v="21411"/>
    <n v="256932"/>
  </r>
  <r>
    <n v="15"/>
    <s v="Charles"/>
    <s v="Dunn"/>
    <x v="4"/>
    <n v="9"/>
    <x v="0"/>
    <d v="2021-09-19T00:00:00"/>
    <x v="0"/>
    <n v="27"/>
    <n v="63681"/>
    <n v="764172"/>
  </r>
  <r>
    <n v="16"/>
    <s v="Daniel"/>
    <s v="Dunlap"/>
    <x v="2"/>
    <n v="6"/>
    <x v="1"/>
    <d v="2016-06-23T00:00:00"/>
    <x v="1"/>
    <n v="8"/>
    <n v="43552"/>
    <n v="522624"/>
  </r>
  <r>
    <n v="17"/>
    <s v="Joel"/>
    <s v="King"/>
    <x v="4"/>
    <n v="6"/>
    <x v="5"/>
    <d v="2020-06-30T00:00:00"/>
    <x v="2"/>
    <n v="30"/>
    <n v="93913"/>
    <n v="1126956"/>
  </r>
  <r>
    <n v="18"/>
    <s v="Wesley"/>
    <s v="Sanders"/>
    <x v="0"/>
    <n v="2"/>
    <x v="0"/>
    <d v="2021-02-01T00:00:00"/>
    <x v="3"/>
    <n v="17"/>
    <n v="103114"/>
    <n v="1237368"/>
  </r>
  <r>
    <n v="19"/>
    <s v="Michael"/>
    <s v="Mendoza"/>
    <x v="1"/>
    <n v="3"/>
    <x v="6"/>
    <d v="2022-03-01T00:00:00"/>
    <x v="1"/>
    <n v="49"/>
    <n v="23470"/>
    <n v="281640"/>
  </r>
  <r>
    <n v="20"/>
    <s v="Joshua"/>
    <s v="Smith"/>
    <x v="3"/>
    <n v="8"/>
    <x v="1"/>
    <d v="2016-08-06T00:00:00"/>
    <x v="2"/>
    <n v="27"/>
    <n v="111309"/>
    <n v="1335708"/>
  </r>
  <r>
    <n v="21"/>
    <s v="Andrea"/>
    <s v="Werner"/>
    <x v="2"/>
    <n v="6"/>
    <x v="4"/>
    <d v="2024-06-26T00:00:00"/>
    <x v="4"/>
    <n v="5"/>
    <n v="76457"/>
    <n v="917484"/>
  </r>
  <r>
    <n v="22"/>
    <s v="Jacqueline"/>
    <s v="Reed"/>
    <x v="4"/>
    <n v="4"/>
    <x v="3"/>
    <d v="2023-04-22T00:00:00"/>
    <x v="0"/>
    <n v="45"/>
    <n v="44405"/>
    <n v="532860"/>
  </r>
  <r>
    <n v="23"/>
    <s v="Laura"/>
    <s v="Ferguson"/>
    <x v="3"/>
    <n v="3"/>
    <x v="2"/>
    <d v="2018-03-12T00:00:00"/>
    <x v="3"/>
    <n v="30"/>
    <n v="79881"/>
    <n v="958572"/>
  </r>
  <r>
    <n v="24"/>
    <s v="Michael"/>
    <s v="Roberts"/>
    <x v="4"/>
    <n v="8"/>
    <x v="5"/>
    <d v="2020-08-11T00:00:00"/>
    <x v="4"/>
    <n v="45"/>
    <n v="108766"/>
    <n v="1305192"/>
  </r>
  <r>
    <n v="25"/>
    <s v="Alexandra"/>
    <s v="Graham"/>
    <x v="0"/>
    <n v="12"/>
    <x v="3"/>
    <d v="2023-12-24T00:00:00"/>
    <x v="1"/>
    <n v="3"/>
    <n v="40474"/>
    <n v="485688"/>
  </r>
  <r>
    <n v="26"/>
    <s v="Melissa"/>
    <s v="Lawson"/>
    <x v="4"/>
    <n v="4"/>
    <x v="6"/>
    <d v="2022-04-24T00:00:00"/>
    <x v="3"/>
    <n v="24"/>
    <n v="42009"/>
    <n v="504108"/>
  </r>
  <r>
    <n v="27"/>
    <s v="Amy"/>
    <s v="Gilmore"/>
    <x v="0"/>
    <n v="10"/>
    <x v="0"/>
    <d v="2021-10-03T00:00:00"/>
    <x v="1"/>
    <n v="46"/>
    <n v="50259"/>
    <n v="603108"/>
  </r>
  <r>
    <n v="28"/>
    <s v="Shaun"/>
    <s v="Mcintyre"/>
    <x v="2"/>
    <n v="10"/>
    <x v="4"/>
    <d v="2024-10-22T00:00:00"/>
    <x v="3"/>
    <n v="32"/>
    <n v="82980"/>
    <n v="995760"/>
  </r>
  <r>
    <n v="29"/>
    <s v="Kimberly"/>
    <s v="Savage"/>
    <x v="3"/>
    <n v="3"/>
    <x v="7"/>
    <d v="2017-03-16T00:00:00"/>
    <x v="0"/>
    <n v="9"/>
    <n v="57133"/>
    <n v="685596"/>
  </r>
  <r>
    <n v="30"/>
    <s v="Karen"/>
    <s v="Crawford"/>
    <x v="4"/>
    <n v="3"/>
    <x v="8"/>
    <d v="2019-03-10T00:00:00"/>
    <x v="3"/>
    <n v="29"/>
    <n v="68118"/>
    <n v="817416"/>
  </r>
  <r>
    <n v="31"/>
    <s v="Jacob"/>
    <s v="Fisher"/>
    <x v="3"/>
    <n v="9"/>
    <x v="7"/>
    <d v="2017-09-16T00:00:00"/>
    <x v="4"/>
    <n v="43"/>
    <n v="76858"/>
    <n v="922296"/>
  </r>
  <r>
    <n v="32"/>
    <s v="Jerry"/>
    <s v="Walton"/>
    <x v="0"/>
    <n v="6"/>
    <x v="8"/>
    <d v="2019-06-13T00:00:00"/>
    <x v="4"/>
    <n v="21"/>
    <n v="105427"/>
    <n v="1265124"/>
  </r>
  <r>
    <n v="33"/>
    <s v="Maria"/>
    <s v="Robinson"/>
    <x v="3"/>
    <n v="5"/>
    <x v="2"/>
    <d v="2018-05-04T00:00:00"/>
    <x v="4"/>
    <n v="8"/>
    <n v="62708"/>
    <n v="752496"/>
  </r>
  <r>
    <n v="34"/>
    <s v="Jesse"/>
    <s v="Miller"/>
    <x v="0"/>
    <n v="3"/>
    <x v="3"/>
    <d v="2023-03-17T00:00:00"/>
    <x v="4"/>
    <n v="4"/>
    <n v="95725"/>
    <n v="1148700"/>
  </r>
  <r>
    <n v="35"/>
    <s v="Cameron"/>
    <s v="Hughes"/>
    <x v="0"/>
    <n v="9"/>
    <x v="6"/>
    <d v="2022-09-03T00:00:00"/>
    <x v="3"/>
    <n v="18"/>
    <n v="24752"/>
    <n v="297024"/>
  </r>
  <r>
    <n v="36"/>
    <s v="Amy"/>
    <s v="Higgins"/>
    <x v="3"/>
    <n v="1"/>
    <x v="0"/>
    <d v="2021-01-23T00:00:00"/>
    <x v="1"/>
    <n v="31"/>
    <n v="56799"/>
    <n v="681588"/>
  </r>
  <r>
    <n v="37"/>
    <s v="Jessica"/>
    <s v="Lee"/>
    <x v="3"/>
    <n v="5"/>
    <x v="5"/>
    <d v="2020-05-11T00:00:00"/>
    <x v="1"/>
    <n v="34"/>
    <n v="59541"/>
    <n v="714492"/>
  </r>
  <r>
    <n v="38"/>
    <s v="Dawn"/>
    <s v="Jackson"/>
    <x v="0"/>
    <n v="8"/>
    <x v="4"/>
    <d v="2024-08-18T00:00:00"/>
    <x v="4"/>
    <n v="18"/>
    <n v="99277"/>
    <n v="1191324"/>
  </r>
  <r>
    <n v="39"/>
    <s v="Linda"/>
    <s v="Fuller"/>
    <x v="3"/>
    <n v="6"/>
    <x v="4"/>
    <d v="2024-06-14T00:00:00"/>
    <x v="3"/>
    <n v="12"/>
    <n v="43331"/>
    <n v="519972"/>
  </r>
  <r>
    <n v="40"/>
    <s v="Michael"/>
    <s v="Daugherty"/>
    <x v="2"/>
    <n v="12"/>
    <x v="0"/>
    <d v="2021-12-10T00:00:00"/>
    <x v="1"/>
    <n v="22"/>
    <n v="49743"/>
    <n v="596916"/>
  </r>
  <r>
    <n v="41"/>
    <s v="Jonathan"/>
    <s v="Brown"/>
    <x v="3"/>
    <n v="9"/>
    <x v="0"/>
    <d v="2021-09-14T00:00:00"/>
    <x v="3"/>
    <n v="42"/>
    <n v="108283"/>
    <n v="1299396"/>
  </r>
  <r>
    <n v="42"/>
    <s v="Philip"/>
    <s v="Foster"/>
    <x v="3"/>
    <n v="12"/>
    <x v="8"/>
    <d v="2019-12-19T00:00:00"/>
    <x v="3"/>
    <n v="2"/>
    <n v="32295"/>
    <n v="387540"/>
  </r>
  <r>
    <n v="43"/>
    <s v="Heather"/>
    <s v="Butler"/>
    <x v="4"/>
    <n v="9"/>
    <x v="4"/>
    <d v="2024-09-17T00:00:00"/>
    <x v="2"/>
    <n v="40"/>
    <n v="107956"/>
    <n v="1295472"/>
  </r>
  <r>
    <n v="44"/>
    <s v="Autumn"/>
    <s v="Gonzalez"/>
    <x v="3"/>
    <n v="12"/>
    <x v="1"/>
    <d v="2016-12-19T00:00:00"/>
    <x v="4"/>
    <n v="2"/>
    <n v="89673"/>
    <n v="1076076"/>
  </r>
  <r>
    <n v="45"/>
    <s v="Gary"/>
    <s v="Smith"/>
    <x v="4"/>
    <n v="9"/>
    <x v="7"/>
    <d v="2017-09-11T00:00:00"/>
    <x v="2"/>
    <n v="14"/>
    <n v="30390"/>
    <n v="364680"/>
  </r>
  <r>
    <n v="46"/>
    <s v="Kim"/>
    <s v="Lyons"/>
    <x v="3"/>
    <n v="9"/>
    <x v="4"/>
    <d v="2024-09-27T00:00:00"/>
    <x v="1"/>
    <n v="48"/>
    <n v="87634"/>
    <n v="1051608"/>
  </r>
  <r>
    <n v="47"/>
    <s v="Devin"/>
    <s v="Moore"/>
    <x v="3"/>
    <n v="12"/>
    <x v="8"/>
    <d v="2019-12-28T00:00:00"/>
    <x v="4"/>
    <n v="2"/>
    <n v="109597"/>
    <n v="1315164"/>
  </r>
  <r>
    <n v="48"/>
    <s v="Luis"/>
    <s v="Espinoza"/>
    <x v="3"/>
    <n v="7"/>
    <x v="3"/>
    <d v="2023-07-07T00:00:00"/>
    <x v="2"/>
    <n v="32"/>
    <n v="85013"/>
    <n v="1020156"/>
  </r>
  <r>
    <n v="49"/>
    <s v="Wanda"/>
    <s v="Davis"/>
    <x v="1"/>
    <n v="10"/>
    <x v="0"/>
    <d v="2021-10-25T00:00:00"/>
    <x v="0"/>
    <n v="44"/>
    <n v="61603"/>
    <n v="739236"/>
  </r>
  <r>
    <n v="50"/>
    <s v="Joseph"/>
    <s v="Robinson"/>
    <x v="1"/>
    <n v="8"/>
    <x v="2"/>
    <d v="2018-08-11T00:00:00"/>
    <x v="3"/>
    <n v="15"/>
    <n v="76250"/>
    <n v="915000"/>
  </r>
  <r>
    <n v="51"/>
    <s v="Kimberly"/>
    <s v="Cisneros"/>
    <x v="1"/>
    <n v="6"/>
    <x v="5"/>
    <d v="2020-06-11T00:00:00"/>
    <x v="2"/>
    <n v="7"/>
    <n v="116083"/>
    <n v="1392996"/>
  </r>
  <r>
    <n v="52"/>
    <s v="Joshua"/>
    <s v="Patterson"/>
    <x v="0"/>
    <n v="2"/>
    <x v="5"/>
    <d v="2020-02-13T00:00:00"/>
    <x v="1"/>
    <n v="21"/>
    <n v="76698"/>
    <n v="920376"/>
  </r>
  <r>
    <n v="53"/>
    <s v="Rodney"/>
    <s v="Perez"/>
    <x v="3"/>
    <n v="11"/>
    <x v="6"/>
    <d v="2022-11-06T00:00:00"/>
    <x v="1"/>
    <n v="30"/>
    <n v="96506"/>
    <n v="1158072"/>
  </r>
  <r>
    <n v="54"/>
    <s v="Edward"/>
    <s v="Andrews"/>
    <x v="2"/>
    <n v="11"/>
    <x v="9"/>
    <d v="2015-11-27T00:00:00"/>
    <x v="0"/>
    <n v="19"/>
    <n v="69929"/>
    <n v="839148"/>
  </r>
  <r>
    <n v="55"/>
    <s v="Amber"/>
    <s v="Reynolds"/>
    <x v="4"/>
    <n v="9"/>
    <x v="3"/>
    <d v="2023-09-26T00:00:00"/>
    <x v="3"/>
    <n v="28"/>
    <n v="100208"/>
    <n v="1202496"/>
  </r>
  <r>
    <n v="56"/>
    <s v="Albert"/>
    <s v="Simmons"/>
    <x v="0"/>
    <n v="11"/>
    <x v="3"/>
    <d v="2023-11-23T00:00:00"/>
    <x v="4"/>
    <n v="25"/>
    <n v="38354"/>
    <n v="460248"/>
  </r>
  <r>
    <n v="57"/>
    <s v="Michael"/>
    <s v="Powers"/>
    <x v="2"/>
    <n v="6"/>
    <x v="7"/>
    <d v="2017-06-03T00:00:00"/>
    <x v="2"/>
    <n v="10"/>
    <n v="112656"/>
    <n v="1351872"/>
  </r>
  <r>
    <n v="58"/>
    <s v="Amanda"/>
    <s v="Martinez"/>
    <x v="1"/>
    <n v="8"/>
    <x v="3"/>
    <d v="2023-08-23T00:00:00"/>
    <x v="1"/>
    <n v="11"/>
    <n v="103542"/>
    <n v="1242504"/>
  </r>
  <r>
    <n v="59"/>
    <s v="Emily"/>
    <s v="Hamilton"/>
    <x v="2"/>
    <n v="8"/>
    <x v="4"/>
    <d v="2024-08-13T00:00:00"/>
    <x v="1"/>
    <n v="47"/>
    <n v="118953"/>
    <n v="1427436"/>
  </r>
  <r>
    <n v="60"/>
    <s v="Lauren"/>
    <s v="Carson"/>
    <x v="0"/>
    <n v="6"/>
    <x v="0"/>
    <d v="2021-06-13T00:00:00"/>
    <x v="2"/>
    <n v="4"/>
    <n v="52254"/>
    <n v="627048"/>
  </r>
  <r>
    <n v="61"/>
    <s v="Karen"/>
    <s v="Jennings"/>
    <x v="4"/>
    <n v="6"/>
    <x v="7"/>
    <d v="2017-06-08T00:00:00"/>
    <x v="3"/>
    <n v="34"/>
    <n v="51501"/>
    <n v="618012"/>
  </r>
  <r>
    <n v="62"/>
    <s v="Diana"/>
    <s v="Barnes"/>
    <x v="3"/>
    <n v="4"/>
    <x v="2"/>
    <d v="2018-04-06T00:00:00"/>
    <x v="4"/>
    <n v="24"/>
    <n v="98222"/>
    <n v="1178664"/>
  </r>
  <r>
    <n v="63"/>
    <s v="Derek"/>
    <s v="Steele"/>
    <x v="4"/>
    <n v="8"/>
    <x v="1"/>
    <d v="2016-08-13T00:00:00"/>
    <x v="0"/>
    <n v="48"/>
    <n v="87310"/>
    <n v="1047720"/>
  </r>
  <r>
    <n v="64"/>
    <s v="Patrick"/>
    <s v="Fisher"/>
    <x v="1"/>
    <n v="8"/>
    <x v="1"/>
    <d v="2016-08-26T00:00:00"/>
    <x v="3"/>
    <n v="28"/>
    <n v="81536"/>
    <n v="978432"/>
  </r>
  <r>
    <n v="65"/>
    <s v="Rebecca"/>
    <s v="Olson"/>
    <x v="1"/>
    <n v="7"/>
    <x v="4"/>
    <d v="2024-07-09T00:00:00"/>
    <x v="4"/>
    <n v="10"/>
    <n v="53482"/>
    <n v="641784"/>
  </r>
  <r>
    <n v="66"/>
    <s v="Breanna"/>
    <s v="Ramirez"/>
    <x v="1"/>
    <n v="5"/>
    <x v="8"/>
    <d v="2019-05-31T00:00:00"/>
    <x v="4"/>
    <n v="36"/>
    <n v="46722"/>
    <n v="560664"/>
  </r>
  <r>
    <n v="67"/>
    <s v="Benjamin"/>
    <s v="Nguyen"/>
    <x v="1"/>
    <n v="1"/>
    <x v="3"/>
    <d v="2023-01-23T00:00:00"/>
    <x v="0"/>
    <n v="44"/>
    <n v="68367"/>
    <n v="820404"/>
  </r>
  <r>
    <n v="68"/>
    <s v="Shane"/>
    <s v="Howell"/>
    <x v="0"/>
    <n v="1"/>
    <x v="7"/>
    <d v="2017-01-08T00:00:00"/>
    <x v="3"/>
    <n v="7"/>
    <n v="59368"/>
    <n v="712416"/>
  </r>
  <r>
    <n v="69"/>
    <s v="Anita"/>
    <s v="Ross"/>
    <x v="0"/>
    <n v="10"/>
    <x v="2"/>
    <d v="2018-10-05T00:00:00"/>
    <x v="0"/>
    <n v="42"/>
    <n v="75697"/>
    <n v="908364"/>
  </r>
  <r>
    <n v="70"/>
    <s v="Karina"/>
    <s v="Brady"/>
    <x v="0"/>
    <n v="6"/>
    <x v="1"/>
    <d v="2016-06-19T00:00:00"/>
    <x v="2"/>
    <n v="48"/>
    <n v="44404"/>
    <n v="532848"/>
  </r>
  <r>
    <n v="71"/>
    <s v="Shelly"/>
    <s v="Baker"/>
    <x v="1"/>
    <n v="6"/>
    <x v="8"/>
    <d v="2019-06-19T00:00:00"/>
    <x v="1"/>
    <n v="13"/>
    <n v="77700"/>
    <n v="932400"/>
  </r>
  <r>
    <n v="72"/>
    <s v="Leslie"/>
    <s v="Hill"/>
    <x v="0"/>
    <n v="11"/>
    <x v="2"/>
    <d v="2018-11-23T00:00:00"/>
    <x v="1"/>
    <n v="5"/>
    <n v="103369"/>
    <n v="1240428"/>
  </r>
  <r>
    <n v="73"/>
    <s v="Elizabeth"/>
    <s v="Smith"/>
    <x v="1"/>
    <n v="5"/>
    <x v="6"/>
    <d v="2022-05-11T00:00:00"/>
    <x v="1"/>
    <n v="27"/>
    <n v="80099"/>
    <n v="961188"/>
  </r>
  <r>
    <n v="74"/>
    <s v="Rodney"/>
    <s v="Fuller"/>
    <x v="0"/>
    <n v="2"/>
    <x v="7"/>
    <d v="2017-02-15T00:00:00"/>
    <x v="0"/>
    <n v="40"/>
    <n v="84520"/>
    <n v="1014240"/>
  </r>
  <r>
    <n v="75"/>
    <s v="Kelly"/>
    <s v="Terry"/>
    <x v="2"/>
    <n v="4"/>
    <x v="1"/>
    <d v="2016-04-22T00:00:00"/>
    <x v="1"/>
    <n v="21"/>
    <n v="32985"/>
    <n v="395820"/>
  </r>
  <r>
    <n v="76"/>
    <s v="Jason"/>
    <s v="Smith"/>
    <x v="4"/>
    <n v="10"/>
    <x v="4"/>
    <d v="2024-10-21T00:00:00"/>
    <x v="0"/>
    <n v="26"/>
    <n v="65545"/>
    <n v="786540"/>
  </r>
  <r>
    <n v="77"/>
    <s v="Austin"/>
    <s v="Rodriguez"/>
    <x v="0"/>
    <n v="12"/>
    <x v="2"/>
    <d v="2018-12-16T00:00:00"/>
    <x v="1"/>
    <n v="20"/>
    <n v="34731"/>
    <n v="416772"/>
  </r>
  <r>
    <n v="78"/>
    <s v="Allison"/>
    <s v="Harris"/>
    <x v="1"/>
    <n v="8"/>
    <x v="2"/>
    <d v="2018-08-06T00:00:00"/>
    <x v="2"/>
    <n v="49"/>
    <n v="88803"/>
    <n v="1065636"/>
  </r>
  <r>
    <n v="79"/>
    <s v="Joanne"/>
    <s v="Stanton"/>
    <x v="1"/>
    <n v="11"/>
    <x v="5"/>
    <d v="2020-11-27T00:00:00"/>
    <x v="1"/>
    <n v="44"/>
    <n v="24648"/>
    <n v="295776"/>
  </r>
  <r>
    <n v="80"/>
    <s v="Michael"/>
    <s v="Moore"/>
    <x v="2"/>
    <n v="6"/>
    <x v="7"/>
    <d v="2017-06-21T00:00:00"/>
    <x v="1"/>
    <n v="6"/>
    <n v="40257"/>
    <n v="483084"/>
  </r>
  <r>
    <n v="81"/>
    <s v="Alexander"/>
    <s v="Walker"/>
    <x v="3"/>
    <n v="8"/>
    <x v="6"/>
    <d v="2022-08-14T00:00:00"/>
    <x v="2"/>
    <n v="22"/>
    <n v="102802"/>
    <n v="1233624"/>
  </r>
  <r>
    <n v="82"/>
    <s v="Randy"/>
    <s v="Scott"/>
    <x v="3"/>
    <n v="9"/>
    <x v="0"/>
    <d v="2021-09-13T00:00:00"/>
    <x v="0"/>
    <n v="22"/>
    <n v="64905"/>
    <n v="778860"/>
  </r>
  <r>
    <n v="83"/>
    <s v="Monique"/>
    <s v="Jackson"/>
    <x v="4"/>
    <n v="10"/>
    <x v="4"/>
    <d v="2024-10-05T00:00:00"/>
    <x v="3"/>
    <n v="24"/>
    <n v="88002"/>
    <n v="1056024"/>
  </r>
  <r>
    <n v="84"/>
    <s v="Corey"/>
    <s v="Cobb"/>
    <x v="2"/>
    <n v="6"/>
    <x v="1"/>
    <d v="2016-06-07T00:00:00"/>
    <x v="2"/>
    <n v="48"/>
    <n v="69246"/>
    <n v="830952"/>
  </r>
  <r>
    <n v="85"/>
    <s v="Gregory"/>
    <s v="Roberts"/>
    <x v="1"/>
    <n v="8"/>
    <x v="4"/>
    <d v="2024-08-19T00:00:00"/>
    <x v="2"/>
    <n v="32"/>
    <n v="48483"/>
    <n v="581796"/>
  </r>
  <r>
    <n v="86"/>
    <s v="Candice"/>
    <s v="Stafford"/>
    <x v="2"/>
    <n v="2"/>
    <x v="1"/>
    <d v="2016-02-22T00:00:00"/>
    <x v="0"/>
    <n v="32"/>
    <n v="27277"/>
    <n v="327324"/>
  </r>
  <r>
    <n v="87"/>
    <s v="Jack"/>
    <s v="Rogers"/>
    <x v="4"/>
    <n v="1"/>
    <x v="7"/>
    <d v="2017-01-06T00:00:00"/>
    <x v="0"/>
    <n v="9"/>
    <n v="69073"/>
    <n v="828876"/>
  </r>
  <r>
    <n v="88"/>
    <s v="Richard"/>
    <s v="May"/>
    <x v="2"/>
    <n v="12"/>
    <x v="7"/>
    <d v="2017-12-05T00:00:00"/>
    <x v="1"/>
    <n v="13"/>
    <n v="89024"/>
    <n v="1068288"/>
  </r>
  <r>
    <n v="89"/>
    <s v="Alan"/>
    <s v="Page"/>
    <x v="2"/>
    <n v="3"/>
    <x v="5"/>
    <d v="2020-03-26T00:00:00"/>
    <x v="0"/>
    <n v="42"/>
    <n v="38956"/>
    <n v="467472"/>
  </r>
  <r>
    <n v="90"/>
    <s v="Kayla"/>
    <s v="Perez"/>
    <x v="4"/>
    <n v="6"/>
    <x v="7"/>
    <d v="2017-06-09T00:00:00"/>
    <x v="0"/>
    <n v="28"/>
    <n v="66808"/>
    <n v="801696"/>
  </r>
  <r>
    <n v="91"/>
    <s v="Heather"/>
    <s v="Campbell"/>
    <x v="4"/>
    <n v="6"/>
    <x v="2"/>
    <d v="2018-06-27T00:00:00"/>
    <x v="3"/>
    <n v="6"/>
    <n v="34136"/>
    <n v="409632"/>
  </r>
  <r>
    <n v="92"/>
    <s v="Molly"/>
    <s v="Green"/>
    <x v="4"/>
    <n v="4"/>
    <x v="1"/>
    <d v="2016-04-01T00:00:00"/>
    <x v="0"/>
    <n v="25"/>
    <n v="54701"/>
    <n v="656412"/>
  </r>
  <r>
    <n v="93"/>
    <s v="Dalton"/>
    <s v="Green"/>
    <x v="0"/>
    <n v="2"/>
    <x v="5"/>
    <d v="2020-02-17T00:00:00"/>
    <x v="4"/>
    <n v="34"/>
    <n v="64233"/>
    <n v="770796"/>
  </r>
  <r>
    <n v="94"/>
    <s v="Lauren"/>
    <s v="Perez"/>
    <x v="4"/>
    <n v="10"/>
    <x v="3"/>
    <d v="2023-10-08T00:00:00"/>
    <x v="3"/>
    <n v="24"/>
    <n v="95696"/>
    <n v="1148352"/>
  </r>
  <r>
    <n v="95"/>
    <s v="James"/>
    <s v="Smith"/>
    <x v="1"/>
    <n v="7"/>
    <x v="4"/>
    <d v="2024-07-22T00:00:00"/>
    <x v="3"/>
    <n v="22"/>
    <n v="96933"/>
    <n v="1163196"/>
  </r>
  <r>
    <n v="96"/>
    <s v="David"/>
    <s v="Walsh"/>
    <x v="2"/>
    <n v="10"/>
    <x v="1"/>
    <d v="2016-10-15T00:00:00"/>
    <x v="3"/>
    <n v="46"/>
    <n v="115384"/>
    <n v="1384608"/>
  </r>
  <r>
    <n v="97"/>
    <s v="Katie"/>
    <s v="Lewis"/>
    <x v="1"/>
    <n v="1"/>
    <x v="5"/>
    <d v="2020-01-26T00:00:00"/>
    <x v="1"/>
    <n v="6"/>
    <n v="99799"/>
    <n v="1197588"/>
  </r>
  <r>
    <n v="98"/>
    <s v="Margaret"/>
    <s v="Rodriguez"/>
    <x v="2"/>
    <n v="10"/>
    <x v="8"/>
    <d v="2019-10-24T00:00:00"/>
    <x v="2"/>
    <n v="36"/>
    <n v="108595"/>
    <n v="1303140"/>
  </r>
  <r>
    <n v="99"/>
    <s v="Jasmine"/>
    <s v="Mcintosh"/>
    <x v="3"/>
    <n v="9"/>
    <x v="6"/>
    <d v="2022-09-07T00:00:00"/>
    <x v="4"/>
    <n v="16"/>
    <n v="77307"/>
    <n v="927684"/>
  </r>
  <r>
    <n v="100"/>
    <s v="Tanya"/>
    <s v="Pugh"/>
    <x v="2"/>
    <n v="3"/>
    <x v="6"/>
    <d v="2022-03-28T00:00:00"/>
    <x v="2"/>
    <n v="15"/>
    <n v="86039"/>
    <n v="1032468"/>
  </r>
  <r>
    <n v="101"/>
    <s v="James"/>
    <s v="Gates"/>
    <x v="3"/>
    <n v="4"/>
    <x v="6"/>
    <d v="2022-04-19T00:00:00"/>
    <x v="3"/>
    <n v="20"/>
    <n v="96373"/>
    <n v="1156476"/>
  </r>
  <r>
    <n v="102"/>
    <s v="Stephanie"/>
    <s v="Olson"/>
    <x v="0"/>
    <n v="5"/>
    <x v="2"/>
    <d v="2018-05-25T00:00:00"/>
    <x v="2"/>
    <n v="32"/>
    <n v="66533"/>
    <n v="798396"/>
  </r>
  <r>
    <n v="103"/>
    <s v="Curtis"/>
    <s v="Wilson"/>
    <x v="0"/>
    <n v="9"/>
    <x v="2"/>
    <d v="2018-09-14T00:00:00"/>
    <x v="0"/>
    <n v="30"/>
    <n v="85343"/>
    <n v="1024116"/>
  </r>
  <r>
    <n v="104"/>
    <s v="Robert"/>
    <s v="Gay"/>
    <x v="3"/>
    <n v="12"/>
    <x v="7"/>
    <d v="2017-12-17T00:00:00"/>
    <x v="1"/>
    <n v="7"/>
    <n v="57507"/>
    <n v="690084"/>
  </r>
  <r>
    <n v="105"/>
    <s v="Tracy"/>
    <s v="Brown"/>
    <x v="4"/>
    <n v="7"/>
    <x v="6"/>
    <d v="2022-07-20T00:00:00"/>
    <x v="1"/>
    <n v="40"/>
    <n v="93238"/>
    <n v="1118856"/>
  </r>
  <r>
    <n v="106"/>
    <s v="Hannah"/>
    <s v="Stout"/>
    <x v="3"/>
    <n v="10"/>
    <x v="7"/>
    <d v="2017-10-14T00:00:00"/>
    <x v="4"/>
    <n v="23"/>
    <n v="22318"/>
    <n v="267816"/>
  </r>
  <r>
    <n v="107"/>
    <s v="Whitney"/>
    <s v="Santos"/>
    <x v="2"/>
    <n v="4"/>
    <x v="1"/>
    <d v="2016-04-27T00:00:00"/>
    <x v="1"/>
    <n v="15"/>
    <n v="72396"/>
    <n v="868752"/>
  </r>
  <r>
    <n v="108"/>
    <s v="Kyle"/>
    <s v="Macdonald"/>
    <x v="1"/>
    <n v="6"/>
    <x v="1"/>
    <d v="2016-06-10T00:00:00"/>
    <x v="0"/>
    <n v="37"/>
    <n v="37558"/>
    <n v="450696"/>
  </r>
  <r>
    <n v="109"/>
    <s v="Matthew"/>
    <s v="Fry"/>
    <x v="1"/>
    <n v="9"/>
    <x v="6"/>
    <d v="2022-09-30T00:00:00"/>
    <x v="2"/>
    <n v="48"/>
    <n v="45957"/>
    <n v="551484"/>
  </r>
  <r>
    <n v="110"/>
    <s v="Donna"/>
    <s v="Francis"/>
    <x v="3"/>
    <n v="1"/>
    <x v="6"/>
    <d v="2022-01-14T00:00:00"/>
    <x v="3"/>
    <n v="27"/>
    <n v="58944"/>
    <n v="707328"/>
  </r>
  <r>
    <n v="111"/>
    <s v="Barbara"/>
    <s v="Bauer"/>
    <x v="2"/>
    <n v="9"/>
    <x v="7"/>
    <d v="2017-09-23T00:00:00"/>
    <x v="4"/>
    <n v="28"/>
    <n v="91709"/>
    <n v="1100508"/>
  </r>
  <r>
    <n v="112"/>
    <s v="Rebecca"/>
    <s v="Hopkins"/>
    <x v="3"/>
    <n v="12"/>
    <x v="0"/>
    <d v="2021-12-20T00:00:00"/>
    <x v="3"/>
    <n v="45"/>
    <n v="102794"/>
    <n v="1233528"/>
  </r>
  <r>
    <n v="113"/>
    <s v="Lindsey"/>
    <s v="Chapman"/>
    <x v="0"/>
    <n v="9"/>
    <x v="5"/>
    <d v="2020-09-08T00:00:00"/>
    <x v="2"/>
    <n v="28"/>
    <n v="43351"/>
    <n v="520212"/>
  </r>
  <r>
    <n v="114"/>
    <s v="Thomas"/>
    <s v="Gonzalez"/>
    <x v="2"/>
    <n v="1"/>
    <x v="3"/>
    <d v="2023-01-09T00:00:00"/>
    <x v="1"/>
    <n v="25"/>
    <n v="23434"/>
    <n v="281208"/>
  </r>
  <r>
    <n v="115"/>
    <s v="Leslie"/>
    <s v="Scott"/>
    <x v="0"/>
    <n v="4"/>
    <x v="2"/>
    <d v="2018-04-21T00:00:00"/>
    <x v="1"/>
    <n v="19"/>
    <n v="118802"/>
    <n v="1425624"/>
  </r>
  <r>
    <n v="116"/>
    <s v="Christopher"/>
    <s v="Shannon"/>
    <x v="2"/>
    <n v="2"/>
    <x v="8"/>
    <d v="2019-02-16T00:00:00"/>
    <x v="2"/>
    <n v="4"/>
    <n v="108355"/>
    <n v="1300260"/>
  </r>
  <r>
    <n v="117"/>
    <s v="Jessica"/>
    <s v="Dickerson"/>
    <x v="2"/>
    <n v="6"/>
    <x v="4"/>
    <d v="2024-06-25T00:00:00"/>
    <x v="4"/>
    <n v="37"/>
    <n v="32629"/>
    <n v="391548"/>
  </r>
  <r>
    <n v="118"/>
    <s v="Christian"/>
    <s v="White"/>
    <x v="2"/>
    <n v="4"/>
    <x v="4"/>
    <d v="2024-04-19T00:00:00"/>
    <x v="4"/>
    <n v="13"/>
    <n v="45967"/>
    <n v="551604"/>
  </r>
  <r>
    <n v="119"/>
    <s v="Brittany"/>
    <s v="Mosley"/>
    <x v="1"/>
    <n v="8"/>
    <x v="6"/>
    <d v="2022-08-03T00:00:00"/>
    <x v="4"/>
    <n v="20"/>
    <n v="31304"/>
    <n v="375648"/>
  </r>
  <r>
    <n v="120"/>
    <s v="Melissa"/>
    <s v="Martinez"/>
    <x v="2"/>
    <n v="4"/>
    <x v="4"/>
    <d v="2024-04-15T00:00:00"/>
    <x v="0"/>
    <n v="28"/>
    <n v="40935"/>
    <n v="491220"/>
  </r>
  <r>
    <n v="121"/>
    <s v="Pamela"/>
    <s v="Humphrey"/>
    <x v="2"/>
    <n v="4"/>
    <x v="6"/>
    <d v="2022-04-03T00:00:00"/>
    <x v="2"/>
    <n v="14"/>
    <n v="58727"/>
    <n v="704724"/>
  </r>
  <r>
    <n v="122"/>
    <s v="Debra"/>
    <s v="Perez"/>
    <x v="4"/>
    <n v="4"/>
    <x v="2"/>
    <d v="2018-04-11T00:00:00"/>
    <x v="1"/>
    <n v="17"/>
    <n v="76976"/>
    <n v="923712"/>
  </r>
  <r>
    <n v="123"/>
    <s v="Greg"/>
    <s v="Wood"/>
    <x v="1"/>
    <n v="1"/>
    <x v="7"/>
    <d v="2017-01-19T00:00:00"/>
    <x v="0"/>
    <n v="1"/>
    <n v="70490"/>
    <n v="845880"/>
  </r>
  <r>
    <n v="124"/>
    <s v="Carrie"/>
    <s v="Buck"/>
    <x v="0"/>
    <n v="11"/>
    <x v="2"/>
    <d v="2018-11-20T00:00:00"/>
    <x v="4"/>
    <n v="42"/>
    <n v="76121"/>
    <n v="913452"/>
  </r>
  <r>
    <n v="125"/>
    <s v="David"/>
    <s v="Doyle"/>
    <x v="0"/>
    <n v="8"/>
    <x v="3"/>
    <d v="2023-08-09T00:00:00"/>
    <x v="1"/>
    <n v="5"/>
    <n v="21615"/>
    <n v="259380"/>
  </r>
  <r>
    <n v="126"/>
    <s v="Christopher"/>
    <s v="Hernandez"/>
    <x v="4"/>
    <n v="2"/>
    <x v="1"/>
    <d v="2016-02-21T00:00:00"/>
    <x v="0"/>
    <n v="2"/>
    <n v="69985"/>
    <n v="839820"/>
  </r>
  <r>
    <n v="127"/>
    <s v="Courtney"/>
    <s v="Chambers"/>
    <x v="2"/>
    <n v="3"/>
    <x v="2"/>
    <d v="2018-03-16T00:00:00"/>
    <x v="4"/>
    <n v="49"/>
    <n v="53963"/>
    <n v="647556"/>
  </r>
  <r>
    <n v="128"/>
    <s v="Antonio"/>
    <s v="Newton"/>
    <x v="1"/>
    <n v="1"/>
    <x v="0"/>
    <d v="2021-01-02T00:00:00"/>
    <x v="1"/>
    <n v="3"/>
    <n v="21605"/>
    <n v="259260"/>
  </r>
  <r>
    <n v="129"/>
    <s v="Tina"/>
    <s v="Kline"/>
    <x v="0"/>
    <n v="8"/>
    <x v="5"/>
    <d v="2020-08-04T00:00:00"/>
    <x v="0"/>
    <n v="5"/>
    <n v="44178"/>
    <n v="530136"/>
  </r>
  <r>
    <n v="130"/>
    <s v="Barbara"/>
    <s v="White"/>
    <x v="2"/>
    <n v="3"/>
    <x v="0"/>
    <d v="2021-03-23T00:00:00"/>
    <x v="4"/>
    <n v="20"/>
    <n v="53858"/>
    <n v="646296"/>
  </r>
  <r>
    <n v="131"/>
    <s v="Stephen"/>
    <s v="Miller"/>
    <x v="1"/>
    <n v="5"/>
    <x v="6"/>
    <d v="2022-05-30T00:00:00"/>
    <x v="0"/>
    <n v="13"/>
    <n v="75634"/>
    <n v="907608"/>
  </r>
  <r>
    <n v="132"/>
    <s v="Kevin"/>
    <s v="Miller"/>
    <x v="1"/>
    <n v="10"/>
    <x v="1"/>
    <d v="2016-10-24T00:00:00"/>
    <x v="3"/>
    <n v="28"/>
    <n v="43391"/>
    <n v="520692"/>
  </r>
  <r>
    <n v="133"/>
    <s v="Darryl"/>
    <s v="Sellers"/>
    <x v="2"/>
    <n v="4"/>
    <x v="7"/>
    <d v="2017-04-22T00:00:00"/>
    <x v="0"/>
    <n v="23"/>
    <n v="20150"/>
    <n v="241800"/>
  </r>
  <r>
    <n v="134"/>
    <s v="Sandra"/>
    <s v="Holmes"/>
    <x v="1"/>
    <n v="3"/>
    <x v="2"/>
    <d v="2018-03-21T00:00:00"/>
    <x v="0"/>
    <n v="24"/>
    <n v="28773"/>
    <n v="345276"/>
  </r>
  <r>
    <n v="135"/>
    <s v="Kayla"/>
    <s v="Lambert"/>
    <x v="3"/>
    <n v="8"/>
    <x v="6"/>
    <d v="2022-08-30T00:00:00"/>
    <x v="3"/>
    <n v="3"/>
    <n v="72959"/>
    <n v="875508"/>
  </r>
  <r>
    <n v="136"/>
    <s v="Theresa"/>
    <s v="Cruz"/>
    <x v="3"/>
    <n v="11"/>
    <x v="7"/>
    <d v="2017-11-29T00:00:00"/>
    <x v="0"/>
    <n v="20"/>
    <n v="102878"/>
    <n v="1234536"/>
  </r>
  <r>
    <n v="137"/>
    <s v="Tamara"/>
    <s v="Smith"/>
    <x v="4"/>
    <n v="12"/>
    <x v="7"/>
    <d v="2017-12-24T00:00:00"/>
    <x v="1"/>
    <n v="1"/>
    <n v="61368"/>
    <n v="736416"/>
  </r>
  <r>
    <n v="138"/>
    <s v="Daniel"/>
    <s v="Newman"/>
    <x v="0"/>
    <n v="10"/>
    <x v="8"/>
    <d v="2019-10-21T00:00:00"/>
    <x v="0"/>
    <n v="15"/>
    <n v="53624"/>
    <n v="643488"/>
  </r>
  <r>
    <n v="139"/>
    <s v="Paul"/>
    <s v="Adams"/>
    <x v="4"/>
    <n v="1"/>
    <x v="3"/>
    <d v="2023-01-03T00:00:00"/>
    <x v="3"/>
    <n v="28"/>
    <n v="78973"/>
    <n v="947676"/>
  </r>
  <r>
    <n v="140"/>
    <s v="Caroline"/>
    <s v="Rogers"/>
    <x v="3"/>
    <n v="5"/>
    <x v="5"/>
    <d v="2020-05-15T00:00:00"/>
    <x v="0"/>
    <n v="34"/>
    <n v="100387"/>
    <n v="1204644"/>
  </r>
  <r>
    <n v="141"/>
    <s v="Richard"/>
    <s v="Garza"/>
    <x v="3"/>
    <n v="12"/>
    <x v="0"/>
    <d v="2021-12-20T00:00:00"/>
    <x v="1"/>
    <n v="39"/>
    <n v="113486"/>
    <n v="1361832"/>
  </r>
  <r>
    <n v="142"/>
    <s v="Brenda"/>
    <s v="Campbell"/>
    <x v="3"/>
    <n v="5"/>
    <x v="1"/>
    <d v="2016-05-18T00:00:00"/>
    <x v="1"/>
    <n v="30"/>
    <n v="110525"/>
    <n v="1326300"/>
  </r>
  <r>
    <n v="143"/>
    <s v="Adam"/>
    <s v="Compton"/>
    <x v="1"/>
    <n v="10"/>
    <x v="2"/>
    <d v="2018-10-21T00:00:00"/>
    <x v="0"/>
    <n v="27"/>
    <n v="32900"/>
    <n v="394800"/>
  </r>
  <r>
    <n v="144"/>
    <s v="John"/>
    <s v="Harvey"/>
    <x v="0"/>
    <n v="6"/>
    <x v="0"/>
    <d v="2021-06-26T00:00:00"/>
    <x v="4"/>
    <n v="44"/>
    <n v="61042"/>
    <n v="732504"/>
  </r>
  <r>
    <n v="145"/>
    <s v="Emily"/>
    <s v="Brown"/>
    <x v="1"/>
    <n v="12"/>
    <x v="3"/>
    <d v="2023-12-04T00:00:00"/>
    <x v="4"/>
    <n v="38"/>
    <n v="44490"/>
    <n v="533880"/>
  </r>
  <r>
    <n v="146"/>
    <s v="Bradley"/>
    <s v="Miller"/>
    <x v="3"/>
    <n v="8"/>
    <x v="5"/>
    <d v="2020-08-23T00:00:00"/>
    <x v="2"/>
    <n v="11"/>
    <n v="103153"/>
    <n v="1237836"/>
  </r>
  <r>
    <n v="147"/>
    <s v="Jennifer"/>
    <s v="Duran"/>
    <x v="1"/>
    <n v="4"/>
    <x v="3"/>
    <d v="2023-04-18T00:00:00"/>
    <x v="0"/>
    <n v="15"/>
    <n v="45216"/>
    <n v="542592"/>
  </r>
  <r>
    <n v="148"/>
    <s v="Jessica"/>
    <s v="Price"/>
    <x v="4"/>
    <n v="7"/>
    <x v="8"/>
    <d v="2019-07-07T00:00:00"/>
    <x v="4"/>
    <n v="24"/>
    <n v="94513"/>
    <n v="1134156"/>
  </r>
  <r>
    <n v="149"/>
    <s v="Mark"/>
    <s v="Gutierrez"/>
    <x v="1"/>
    <n v="2"/>
    <x v="3"/>
    <d v="2023-02-05T00:00:00"/>
    <x v="1"/>
    <n v="17"/>
    <n v="68589"/>
    <n v="823068"/>
  </r>
  <r>
    <n v="150"/>
    <s v="Allison"/>
    <s v="Roberson"/>
    <x v="1"/>
    <n v="11"/>
    <x v="0"/>
    <d v="2021-11-01T00:00:00"/>
    <x v="3"/>
    <n v="31"/>
    <n v="82817"/>
    <n v="993804"/>
  </r>
  <r>
    <n v="151"/>
    <s v="Donald"/>
    <s v="Taylor"/>
    <x v="2"/>
    <n v="12"/>
    <x v="0"/>
    <d v="2021-12-13T00:00:00"/>
    <x v="1"/>
    <n v="38"/>
    <n v="30340"/>
    <n v="364080"/>
  </r>
  <r>
    <n v="152"/>
    <s v="Keith"/>
    <s v="Graham"/>
    <x v="1"/>
    <n v="2"/>
    <x v="4"/>
    <d v="2024-02-06T00:00:00"/>
    <x v="3"/>
    <n v="15"/>
    <n v="36349"/>
    <n v="436188"/>
  </r>
  <r>
    <n v="153"/>
    <s v="Rachel"/>
    <s v="Smith"/>
    <x v="3"/>
    <n v="11"/>
    <x v="8"/>
    <d v="2019-11-16T00:00:00"/>
    <x v="2"/>
    <n v="29"/>
    <n v="60901"/>
    <n v="730812"/>
  </r>
  <r>
    <n v="154"/>
    <s v="Aimee"/>
    <s v="Blake"/>
    <x v="1"/>
    <n v="12"/>
    <x v="0"/>
    <d v="2021-12-08T00:00:00"/>
    <x v="1"/>
    <n v="26"/>
    <n v="53150"/>
    <n v="637800"/>
  </r>
  <r>
    <n v="155"/>
    <s v="William"/>
    <s v="Brock"/>
    <x v="3"/>
    <n v="11"/>
    <x v="1"/>
    <d v="2016-11-03T00:00:00"/>
    <x v="2"/>
    <n v="31"/>
    <n v="59460"/>
    <n v="713520"/>
  </r>
  <r>
    <n v="156"/>
    <s v="Michelle"/>
    <s v="Green"/>
    <x v="4"/>
    <n v="5"/>
    <x v="2"/>
    <d v="2018-05-10T00:00:00"/>
    <x v="1"/>
    <n v="24"/>
    <n v="70246"/>
    <n v="842952"/>
  </r>
  <r>
    <n v="157"/>
    <s v="Whitney"/>
    <s v="Davenport"/>
    <x v="0"/>
    <n v="4"/>
    <x v="0"/>
    <d v="2021-04-08T00:00:00"/>
    <x v="0"/>
    <n v="20"/>
    <n v="63206"/>
    <n v="758472"/>
  </r>
  <r>
    <n v="158"/>
    <s v="Robert"/>
    <s v="Torres"/>
    <x v="1"/>
    <n v="5"/>
    <x v="6"/>
    <d v="2022-05-22T00:00:00"/>
    <x v="2"/>
    <n v="8"/>
    <n v="39396"/>
    <n v="472752"/>
  </r>
  <r>
    <n v="159"/>
    <s v="Samuel"/>
    <s v="Allen"/>
    <x v="0"/>
    <n v="5"/>
    <x v="4"/>
    <d v="2024-05-29T00:00:00"/>
    <x v="1"/>
    <n v="31"/>
    <n v="48021"/>
    <n v="576252"/>
  </r>
  <r>
    <n v="160"/>
    <s v="Christine"/>
    <s v="Stevens"/>
    <x v="2"/>
    <n v="7"/>
    <x v="6"/>
    <d v="2022-07-04T00:00:00"/>
    <x v="1"/>
    <n v="48"/>
    <n v="21408"/>
    <n v="256896"/>
  </r>
  <r>
    <n v="161"/>
    <s v="Kelly"/>
    <s v="Reynolds"/>
    <x v="1"/>
    <n v="7"/>
    <x v="3"/>
    <d v="2023-07-11T00:00:00"/>
    <x v="4"/>
    <n v="30"/>
    <n v="119345"/>
    <n v="1432140"/>
  </r>
  <r>
    <n v="162"/>
    <s v="Marcus"/>
    <s v="Beltran"/>
    <x v="4"/>
    <n v="5"/>
    <x v="4"/>
    <d v="2024-05-02T00:00:00"/>
    <x v="1"/>
    <n v="22"/>
    <n v="105866"/>
    <n v="1270392"/>
  </r>
  <r>
    <n v="163"/>
    <s v="Kevin"/>
    <s v="Richard"/>
    <x v="3"/>
    <n v="1"/>
    <x v="0"/>
    <d v="2021-01-07T00:00:00"/>
    <x v="4"/>
    <n v="6"/>
    <n v="75676"/>
    <n v="908112"/>
  </r>
  <r>
    <n v="164"/>
    <s v="April"/>
    <s v="Phillips"/>
    <x v="1"/>
    <n v="8"/>
    <x v="2"/>
    <d v="2018-08-06T00:00:00"/>
    <x v="3"/>
    <n v="34"/>
    <n v="84530"/>
    <n v="1014360"/>
  </r>
  <r>
    <n v="165"/>
    <s v="Courtney"/>
    <s v="James"/>
    <x v="1"/>
    <n v="11"/>
    <x v="5"/>
    <d v="2020-11-16T00:00:00"/>
    <x v="0"/>
    <n v="49"/>
    <n v="59788"/>
    <n v="717456"/>
  </r>
  <r>
    <n v="166"/>
    <s v="Deanna"/>
    <s v="Burns"/>
    <x v="4"/>
    <n v="8"/>
    <x v="7"/>
    <d v="2017-08-05T00:00:00"/>
    <x v="1"/>
    <n v="19"/>
    <n v="91476"/>
    <n v="1097712"/>
  </r>
  <r>
    <n v="167"/>
    <s v="Traci"/>
    <s v="Stanley"/>
    <x v="4"/>
    <n v="9"/>
    <x v="2"/>
    <d v="2018-09-07T00:00:00"/>
    <x v="0"/>
    <n v="29"/>
    <n v="107166"/>
    <n v="1285992"/>
  </r>
  <r>
    <n v="168"/>
    <s v="Brian"/>
    <s v="Simpson"/>
    <x v="0"/>
    <n v="10"/>
    <x v="8"/>
    <d v="2019-10-13T00:00:00"/>
    <x v="3"/>
    <n v="34"/>
    <n v="96967"/>
    <n v="1163604"/>
  </r>
  <r>
    <n v="169"/>
    <s v="Wanda"/>
    <s v="Harris"/>
    <x v="3"/>
    <n v="12"/>
    <x v="0"/>
    <d v="2021-12-19T00:00:00"/>
    <x v="2"/>
    <n v="24"/>
    <n v="66724"/>
    <n v="800688"/>
  </r>
  <r>
    <n v="170"/>
    <s v="Janet"/>
    <s v="Valencia"/>
    <x v="3"/>
    <n v="11"/>
    <x v="1"/>
    <d v="2016-11-01T00:00:00"/>
    <x v="3"/>
    <n v="11"/>
    <n v="65590"/>
    <n v="787080"/>
  </r>
  <r>
    <n v="171"/>
    <s v="Kyle"/>
    <s v="Smith"/>
    <x v="3"/>
    <n v="1"/>
    <x v="4"/>
    <d v="2024-01-01T00:00:00"/>
    <x v="1"/>
    <n v="35"/>
    <n v="42740"/>
    <n v="512880"/>
  </r>
  <r>
    <n v="172"/>
    <s v="Mark"/>
    <s v="Brown"/>
    <x v="0"/>
    <n v="4"/>
    <x v="6"/>
    <d v="2022-04-09T00:00:00"/>
    <x v="4"/>
    <n v="15"/>
    <n v="60292"/>
    <n v="723504"/>
  </r>
  <r>
    <n v="173"/>
    <s v="Daniel"/>
    <s v="Weeks"/>
    <x v="4"/>
    <n v="5"/>
    <x v="6"/>
    <d v="2022-05-26T00:00:00"/>
    <x v="1"/>
    <n v="7"/>
    <n v="46327"/>
    <n v="555924"/>
  </r>
  <r>
    <n v="174"/>
    <s v="Cody"/>
    <s v="Johnson"/>
    <x v="2"/>
    <n v="10"/>
    <x v="1"/>
    <d v="2016-10-04T00:00:00"/>
    <x v="4"/>
    <n v="32"/>
    <n v="44897"/>
    <n v="538764"/>
  </r>
  <r>
    <n v="175"/>
    <s v="Paige"/>
    <s v="Duncan"/>
    <x v="0"/>
    <n v="7"/>
    <x v="2"/>
    <d v="2018-07-25T00:00:00"/>
    <x v="4"/>
    <n v="24"/>
    <n v="55828"/>
    <n v="669936"/>
  </r>
  <r>
    <n v="176"/>
    <s v="Angelica"/>
    <s v="George"/>
    <x v="2"/>
    <n v="10"/>
    <x v="5"/>
    <d v="2020-10-11T00:00:00"/>
    <x v="0"/>
    <n v="13"/>
    <n v="88187"/>
    <n v="1058244"/>
  </r>
  <r>
    <n v="177"/>
    <s v="Kenneth"/>
    <s v="Green"/>
    <x v="0"/>
    <n v="3"/>
    <x v="8"/>
    <d v="2019-03-13T00:00:00"/>
    <x v="2"/>
    <n v="1"/>
    <n v="68057"/>
    <n v="816684"/>
  </r>
  <r>
    <n v="178"/>
    <s v="Kelly"/>
    <s v="Nichols"/>
    <x v="4"/>
    <n v="1"/>
    <x v="0"/>
    <d v="2021-01-05T00:00:00"/>
    <x v="4"/>
    <n v="44"/>
    <n v="49215"/>
    <n v="590580"/>
  </r>
  <r>
    <n v="179"/>
    <s v="David"/>
    <s v="Palmer"/>
    <x v="0"/>
    <n v="8"/>
    <x v="3"/>
    <d v="2023-08-10T00:00:00"/>
    <x v="4"/>
    <n v="13"/>
    <n v="117155"/>
    <n v="1405860"/>
  </r>
  <r>
    <n v="180"/>
    <s v="Jerry"/>
    <s v="Fields"/>
    <x v="3"/>
    <n v="8"/>
    <x v="1"/>
    <d v="2016-08-23T00:00:00"/>
    <x v="3"/>
    <n v="36"/>
    <n v="100228"/>
    <n v="1202736"/>
  </r>
  <r>
    <n v="181"/>
    <s v="William"/>
    <s v="Armstrong"/>
    <x v="1"/>
    <n v="9"/>
    <x v="1"/>
    <d v="2016-09-15T00:00:00"/>
    <x v="2"/>
    <n v="3"/>
    <n v="104749"/>
    <n v="1256988"/>
  </r>
  <r>
    <n v="182"/>
    <s v="Angela"/>
    <s v="Smith"/>
    <x v="1"/>
    <n v="3"/>
    <x v="0"/>
    <d v="2021-03-04T00:00:00"/>
    <x v="2"/>
    <n v="14"/>
    <n v="96386"/>
    <n v="1156632"/>
  </r>
  <r>
    <n v="183"/>
    <s v="Lynn"/>
    <s v="Mercer"/>
    <x v="3"/>
    <n v="5"/>
    <x v="0"/>
    <d v="2021-05-17T00:00:00"/>
    <x v="2"/>
    <n v="14"/>
    <n v="80181"/>
    <n v="962172"/>
  </r>
  <r>
    <n v="184"/>
    <s v="Antonio"/>
    <s v="Bennett"/>
    <x v="1"/>
    <n v="10"/>
    <x v="3"/>
    <d v="2023-10-02T00:00:00"/>
    <x v="3"/>
    <n v="10"/>
    <n v="105774"/>
    <n v="1269288"/>
  </r>
  <r>
    <n v="185"/>
    <s v="Brian"/>
    <s v="Whitaker"/>
    <x v="2"/>
    <n v="9"/>
    <x v="7"/>
    <d v="2017-09-03T00:00:00"/>
    <x v="4"/>
    <n v="21"/>
    <n v="53387"/>
    <n v="640644"/>
  </r>
  <r>
    <n v="186"/>
    <s v="Elizabeth"/>
    <s v="Roach"/>
    <x v="3"/>
    <n v="7"/>
    <x v="5"/>
    <d v="2020-07-08T00:00:00"/>
    <x v="0"/>
    <n v="26"/>
    <n v="90641"/>
    <n v="1087692"/>
  </r>
  <r>
    <n v="187"/>
    <s v="Kimberly"/>
    <s v="Jacobs"/>
    <x v="3"/>
    <n v="3"/>
    <x v="7"/>
    <d v="2017-03-08T00:00:00"/>
    <x v="3"/>
    <n v="17"/>
    <n v="116567"/>
    <n v="1398804"/>
  </r>
  <r>
    <n v="188"/>
    <s v="Molly"/>
    <s v="Watkins"/>
    <x v="4"/>
    <n v="1"/>
    <x v="4"/>
    <d v="2024-01-01T00:00:00"/>
    <x v="3"/>
    <n v="41"/>
    <n v="49392"/>
    <n v="592704"/>
  </r>
  <r>
    <n v="189"/>
    <s v="Tonya"/>
    <s v="Carter"/>
    <x v="1"/>
    <n v="6"/>
    <x v="3"/>
    <d v="2023-06-08T00:00:00"/>
    <x v="2"/>
    <n v="1"/>
    <n v="55993"/>
    <n v="671916"/>
  </r>
  <r>
    <n v="190"/>
    <s v="Donald"/>
    <s v="Mendoza"/>
    <x v="0"/>
    <n v="3"/>
    <x v="6"/>
    <d v="2022-03-30T00:00:00"/>
    <x v="1"/>
    <n v="20"/>
    <n v="73611"/>
    <n v="883332"/>
  </r>
  <r>
    <n v="191"/>
    <s v="Barbara"/>
    <s v="Atkins"/>
    <x v="2"/>
    <n v="1"/>
    <x v="5"/>
    <d v="2020-01-08T00:00:00"/>
    <x v="2"/>
    <n v="9"/>
    <n v="85154"/>
    <n v="1021848"/>
  </r>
  <r>
    <n v="192"/>
    <s v="Mary"/>
    <s v="Smith"/>
    <x v="0"/>
    <n v="6"/>
    <x v="7"/>
    <d v="2017-06-07T00:00:00"/>
    <x v="1"/>
    <n v="2"/>
    <n v="52914"/>
    <n v="634968"/>
  </r>
  <r>
    <n v="193"/>
    <s v="David"/>
    <s v="Aguirre"/>
    <x v="4"/>
    <n v="8"/>
    <x v="4"/>
    <d v="2024-08-14T00:00:00"/>
    <x v="3"/>
    <n v="7"/>
    <n v="69389"/>
    <n v="832668"/>
  </r>
  <r>
    <n v="194"/>
    <s v="Angela"/>
    <s v="Orr"/>
    <x v="3"/>
    <n v="10"/>
    <x v="3"/>
    <d v="2023-10-11T00:00:00"/>
    <x v="1"/>
    <n v="20"/>
    <n v="98554"/>
    <n v="1182648"/>
  </r>
  <r>
    <n v="195"/>
    <s v="Veronica"/>
    <s v="Scott"/>
    <x v="2"/>
    <n v="4"/>
    <x v="3"/>
    <d v="2023-04-17T00:00:00"/>
    <x v="2"/>
    <n v="45"/>
    <n v="117220"/>
    <n v="1406640"/>
  </r>
  <r>
    <n v="196"/>
    <s v="Linda"/>
    <s v="Greene"/>
    <x v="3"/>
    <n v="12"/>
    <x v="5"/>
    <d v="2020-12-04T00:00:00"/>
    <x v="4"/>
    <n v="31"/>
    <n v="83539"/>
    <n v="1002468"/>
  </r>
  <r>
    <n v="197"/>
    <s v="Andrew"/>
    <s v="Ross"/>
    <x v="4"/>
    <n v="2"/>
    <x v="2"/>
    <d v="2018-02-18T00:00:00"/>
    <x v="3"/>
    <n v="32"/>
    <n v="74738"/>
    <n v="896856"/>
  </r>
  <r>
    <n v="198"/>
    <s v="Edward"/>
    <s v="Gill"/>
    <x v="0"/>
    <n v="12"/>
    <x v="2"/>
    <d v="2018-12-06T00:00:00"/>
    <x v="0"/>
    <n v="44"/>
    <n v="80103"/>
    <n v="961236"/>
  </r>
  <r>
    <n v="199"/>
    <s v="Robert"/>
    <s v="Lee"/>
    <x v="3"/>
    <n v="4"/>
    <x v="7"/>
    <d v="2017-04-05T00:00:00"/>
    <x v="3"/>
    <n v="42"/>
    <n v="89637"/>
    <n v="1075644"/>
  </r>
  <r>
    <n v="200"/>
    <s v="Benjamin"/>
    <s v="Evans"/>
    <x v="2"/>
    <n v="8"/>
    <x v="5"/>
    <d v="2020-08-26T00:00:00"/>
    <x v="0"/>
    <n v="3"/>
    <n v="109648"/>
    <n v="1315776"/>
  </r>
  <r>
    <n v="201"/>
    <s v="Ellen"/>
    <s v="Zhang"/>
    <x v="1"/>
    <n v="8"/>
    <x v="3"/>
    <d v="2023-08-24T00:00:00"/>
    <x v="4"/>
    <n v="15"/>
    <n v="89592"/>
    <n v="1075104"/>
  </r>
  <r>
    <n v="202"/>
    <s v="Amy"/>
    <s v="Serrano"/>
    <x v="1"/>
    <n v="10"/>
    <x v="4"/>
    <d v="2024-10-05T00:00:00"/>
    <x v="3"/>
    <n v="45"/>
    <n v="64178"/>
    <n v="770136"/>
  </r>
  <r>
    <n v="203"/>
    <s v="Anna"/>
    <s v="Thomas"/>
    <x v="2"/>
    <n v="10"/>
    <x v="3"/>
    <d v="2023-10-03T00:00:00"/>
    <x v="4"/>
    <n v="33"/>
    <n v="58513"/>
    <n v="702156"/>
  </r>
  <r>
    <n v="204"/>
    <s v="Brett"/>
    <s v="Barnett"/>
    <x v="1"/>
    <n v="5"/>
    <x v="7"/>
    <d v="2017-05-29T00:00:00"/>
    <x v="4"/>
    <n v="20"/>
    <n v="59693"/>
    <n v="716316"/>
  </r>
  <r>
    <n v="205"/>
    <s v="Brenda"/>
    <s v="Blake"/>
    <x v="2"/>
    <n v="10"/>
    <x v="5"/>
    <d v="2020-10-24T00:00:00"/>
    <x v="2"/>
    <n v="28"/>
    <n v="55709"/>
    <n v="668508"/>
  </r>
  <r>
    <n v="206"/>
    <s v="Micheal"/>
    <s v="Trevino"/>
    <x v="4"/>
    <n v="12"/>
    <x v="2"/>
    <d v="2018-12-06T00:00:00"/>
    <x v="4"/>
    <n v="28"/>
    <n v="54989"/>
    <n v="659868"/>
  </r>
  <r>
    <n v="207"/>
    <s v="Reginald"/>
    <s v="Lozano"/>
    <x v="0"/>
    <n v="10"/>
    <x v="5"/>
    <d v="2020-10-20T00:00:00"/>
    <x v="0"/>
    <n v="43"/>
    <n v="70233"/>
    <n v="842796"/>
  </r>
  <r>
    <n v="208"/>
    <s v="Cheryl"/>
    <s v="Crawford"/>
    <x v="0"/>
    <n v="11"/>
    <x v="7"/>
    <d v="2017-11-01T00:00:00"/>
    <x v="4"/>
    <n v="45"/>
    <n v="88509"/>
    <n v="1062108"/>
  </r>
  <r>
    <n v="209"/>
    <s v="Marcus"/>
    <s v="Sparks"/>
    <x v="3"/>
    <n v="11"/>
    <x v="0"/>
    <d v="2021-11-15T00:00:00"/>
    <x v="1"/>
    <n v="42"/>
    <n v="100879"/>
    <n v="1210548"/>
  </r>
  <r>
    <n v="210"/>
    <s v="Travis"/>
    <s v="Lara"/>
    <x v="1"/>
    <n v="11"/>
    <x v="6"/>
    <d v="2022-11-20T00:00:00"/>
    <x v="2"/>
    <n v="33"/>
    <n v="118437"/>
    <n v="1421244"/>
  </r>
  <r>
    <n v="211"/>
    <s v="Maria"/>
    <s v="Banks"/>
    <x v="0"/>
    <n v="2"/>
    <x v="1"/>
    <d v="2016-02-09T00:00:00"/>
    <x v="1"/>
    <n v="48"/>
    <n v="87565"/>
    <n v="1050780"/>
  </r>
  <r>
    <n v="212"/>
    <s v="Brenda"/>
    <s v="Ray"/>
    <x v="4"/>
    <n v="12"/>
    <x v="3"/>
    <d v="2023-12-18T00:00:00"/>
    <x v="2"/>
    <n v="6"/>
    <n v="104354"/>
    <n v="1252248"/>
  </r>
  <r>
    <n v="213"/>
    <s v="Erik"/>
    <s v="Browning"/>
    <x v="1"/>
    <n v="10"/>
    <x v="5"/>
    <d v="2020-10-02T00:00:00"/>
    <x v="1"/>
    <n v="48"/>
    <n v="32209"/>
    <n v="386508"/>
  </r>
  <r>
    <n v="214"/>
    <s v="Karen"/>
    <s v="Copeland"/>
    <x v="3"/>
    <n v="6"/>
    <x v="7"/>
    <d v="2017-06-19T00:00:00"/>
    <x v="0"/>
    <n v="15"/>
    <n v="55599"/>
    <n v="667188"/>
  </r>
  <r>
    <n v="215"/>
    <s v="Timothy"/>
    <s v="Alexander"/>
    <x v="2"/>
    <n v="8"/>
    <x v="6"/>
    <d v="2022-08-31T00:00:00"/>
    <x v="3"/>
    <n v="11"/>
    <n v="90532"/>
    <n v="1086384"/>
  </r>
  <r>
    <n v="216"/>
    <s v="Michele"/>
    <s v="Ramirez"/>
    <x v="3"/>
    <n v="10"/>
    <x v="7"/>
    <d v="2017-10-07T00:00:00"/>
    <x v="4"/>
    <n v="16"/>
    <n v="116147"/>
    <n v="1393764"/>
  </r>
  <r>
    <n v="217"/>
    <s v="Patricia"/>
    <s v="Diaz"/>
    <x v="3"/>
    <n v="4"/>
    <x v="1"/>
    <d v="2016-04-11T00:00:00"/>
    <x v="2"/>
    <n v="26"/>
    <n v="63154"/>
    <n v="757848"/>
  </r>
  <r>
    <n v="218"/>
    <s v="Alex"/>
    <s v="Jones"/>
    <x v="3"/>
    <n v="2"/>
    <x v="3"/>
    <d v="2023-02-26T00:00:00"/>
    <x v="3"/>
    <n v="45"/>
    <n v="78715"/>
    <n v="944580"/>
  </r>
  <r>
    <n v="219"/>
    <s v="Joshua"/>
    <s v="Jimenez"/>
    <x v="1"/>
    <n v="5"/>
    <x v="1"/>
    <d v="2016-05-18T00:00:00"/>
    <x v="0"/>
    <n v="43"/>
    <n v="75362"/>
    <n v="904344"/>
  </r>
  <r>
    <n v="220"/>
    <s v="Nicholas"/>
    <s v="Miller"/>
    <x v="4"/>
    <n v="12"/>
    <x v="2"/>
    <d v="2018-12-29T00:00:00"/>
    <x v="1"/>
    <n v="37"/>
    <n v="48880"/>
    <n v="586560"/>
  </r>
  <r>
    <n v="221"/>
    <s v="Gary"/>
    <s v="Mendez"/>
    <x v="2"/>
    <n v="11"/>
    <x v="6"/>
    <d v="2022-11-21T00:00:00"/>
    <x v="0"/>
    <n v="1"/>
    <n v="47866"/>
    <n v="574392"/>
  </r>
  <r>
    <n v="222"/>
    <s v="Amanda"/>
    <s v="Graham"/>
    <x v="0"/>
    <n v="3"/>
    <x v="3"/>
    <d v="2023-03-05T00:00:00"/>
    <x v="0"/>
    <n v="20"/>
    <n v="92588"/>
    <n v="1111056"/>
  </r>
  <r>
    <n v="223"/>
    <s v="Sandra"/>
    <s v="Davis"/>
    <x v="3"/>
    <n v="12"/>
    <x v="9"/>
    <d v="2015-12-08T00:00:00"/>
    <x v="4"/>
    <n v="18"/>
    <n v="59656"/>
    <n v="715872"/>
  </r>
  <r>
    <n v="224"/>
    <s v="Stacey"/>
    <s v="Simpson"/>
    <x v="3"/>
    <n v="2"/>
    <x v="4"/>
    <d v="2024-02-08T00:00:00"/>
    <x v="4"/>
    <n v="15"/>
    <n v="66897"/>
    <n v="802764"/>
  </r>
  <r>
    <n v="225"/>
    <s v="Adrian"/>
    <s v="Cervantes"/>
    <x v="0"/>
    <n v="11"/>
    <x v="6"/>
    <d v="2022-11-22T00:00:00"/>
    <x v="0"/>
    <n v="40"/>
    <n v="98069"/>
    <n v="1176828"/>
  </r>
  <r>
    <n v="226"/>
    <s v="Michael"/>
    <s v="Smith"/>
    <x v="2"/>
    <n v="7"/>
    <x v="1"/>
    <d v="2016-07-09T00:00:00"/>
    <x v="3"/>
    <n v="13"/>
    <n v="56163"/>
    <n v="673956"/>
  </r>
  <r>
    <n v="227"/>
    <s v="Kimberly"/>
    <s v="Simmons"/>
    <x v="1"/>
    <n v="8"/>
    <x v="6"/>
    <d v="2022-08-01T00:00:00"/>
    <x v="3"/>
    <n v="17"/>
    <n v="72532"/>
    <n v="870384"/>
  </r>
  <r>
    <n v="228"/>
    <s v="Brett"/>
    <s v="Martin"/>
    <x v="4"/>
    <n v="11"/>
    <x v="7"/>
    <d v="2017-11-21T00:00:00"/>
    <x v="4"/>
    <n v="2"/>
    <n v="64045"/>
    <n v="768540"/>
  </r>
  <r>
    <n v="229"/>
    <s v="Jessica"/>
    <s v="Mendoza"/>
    <x v="2"/>
    <n v="4"/>
    <x v="7"/>
    <d v="2017-04-18T00:00:00"/>
    <x v="3"/>
    <n v="28"/>
    <n v="50184"/>
    <n v="602208"/>
  </r>
  <r>
    <n v="230"/>
    <s v="Samantha"/>
    <s v="Perez"/>
    <x v="4"/>
    <n v="5"/>
    <x v="1"/>
    <d v="2016-05-07T00:00:00"/>
    <x v="2"/>
    <n v="4"/>
    <n v="22347"/>
    <n v="268164"/>
  </r>
  <r>
    <n v="231"/>
    <s v="Clayton"/>
    <s v="Malone"/>
    <x v="1"/>
    <n v="7"/>
    <x v="7"/>
    <d v="2017-07-14T00:00:00"/>
    <x v="1"/>
    <n v="17"/>
    <n v="24115"/>
    <n v="289380"/>
  </r>
  <r>
    <n v="232"/>
    <s v="David"/>
    <s v="Anderson"/>
    <x v="0"/>
    <n v="2"/>
    <x v="4"/>
    <d v="2024-02-18T00:00:00"/>
    <x v="2"/>
    <n v="31"/>
    <n v="86417"/>
    <n v="1037004"/>
  </r>
  <r>
    <n v="233"/>
    <s v="Erica"/>
    <s v="Wood"/>
    <x v="3"/>
    <n v="10"/>
    <x v="7"/>
    <d v="2017-10-10T00:00:00"/>
    <x v="1"/>
    <n v="10"/>
    <n v="112033"/>
    <n v="1344396"/>
  </r>
  <r>
    <n v="234"/>
    <s v="Dale"/>
    <s v="Rowland"/>
    <x v="4"/>
    <n v="4"/>
    <x v="4"/>
    <d v="2024-04-18T00:00:00"/>
    <x v="1"/>
    <n v="22"/>
    <n v="72321"/>
    <n v="867852"/>
  </r>
  <r>
    <n v="235"/>
    <s v="Tara"/>
    <s v="Rice"/>
    <x v="1"/>
    <n v="4"/>
    <x v="0"/>
    <d v="2021-04-23T00:00:00"/>
    <x v="2"/>
    <n v="6"/>
    <n v="110900"/>
    <n v="1330800"/>
  </r>
  <r>
    <n v="236"/>
    <s v="Dana"/>
    <s v="Rivera"/>
    <x v="4"/>
    <n v="12"/>
    <x v="6"/>
    <d v="2022-12-09T00:00:00"/>
    <x v="4"/>
    <n v="20"/>
    <n v="64776"/>
    <n v="777312"/>
  </r>
  <r>
    <n v="237"/>
    <s v="Timothy"/>
    <s v="Scott"/>
    <x v="0"/>
    <n v="2"/>
    <x v="0"/>
    <d v="2021-02-03T00:00:00"/>
    <x v="2"/>
    <n v="14"/>
    <n v="70530"/>
    <n v="846360"/>
  </r>
  <r>
    <n v="238"/>
    <s v="Brian"/>
    <s v="Johnson"/>
    <x v="2"/>
    <n v="9"/>
    <x v="7"/>
    <d v="2017-09-06T00:00:00"/>
    <x v="4"/>
    <n v="29"/>
    <n v="63184"/>
    <n v="758208"/>
  </r>
  <r>
    <n v="239"/>
    <s v="William"/>
    <s v="Lopez"/>
    <x v="0"/>
    <n v="5"/>
    <x v="2"/>
    <d v="2018-05-19T00:00:00"/>
    <x v="0"/>
    <n v="28"/>
    <n v="61570"/>
    <n v="738840"/>
  </r>
  <r>
    <n v="240"/>
    <s v="Stephanie"/>
    <s v="Hartman"/>
    <x v="2"/>
    <n v="7"/>
    <x v="8"/>
    <d v="2019-07-23T00:00:00"/>
    <x v="3"/>
    <n v="29"/>
    <n v="24005"/>
    <n v="288060"/>
  </r>
  <r>
    <n v="241"/>
    <s v="Mary"/>
    <s v="Sharp"/>
    <x v="1"/>
    <n v="10"/>
    <x v="8"/>
    <d v="2019-10-26T00:00:00"/>
    <x v="4"/>
    <n v="4"/>
    <n v="51722"/>
    <n v="620664"/>
  </r>
  <r>
    <n v="242"/>
    <s v="Kimberly"/>
    <s v="Ward"/>
    <x v="2"/>
    <n v="3"/>
    <x v="4"/>
    <d v="2024-03-11T00:00:00"/>
    <x v="0"/>
    <n v="29"/>
    <n v="22307"/>
    <n v="267684"/>
  </r>
  <r>
    <n v="243"/>
    <s v="Susan"/>
    <s v="Mcdaniel"/>
    <x v="1"/>
    <n v="8"/>
    <x v="8"/>
    <d v="2019-08-09T00:00:00"/>
    <x v="0"/>
    <n v="36"/>
    <n v="40133"/>
    <n v="481596"/>
  </r>
  <r>
    <n v="244"/>
    <s v="Judith"/>
    <s v="Long"/>
    <x v="0"/>
    <n v="12"/>
    <x v="3"/>
    <d v="2023-12-08T00:00:00"/>
    <x v="4"/>
    <n v="40"/>
    <n v="99507"/>
    <n v="1194084"/>
  </r>
  <r>
    <n v="245"/>
    <s v="Adam"/>
    <s v="Williams"/>
    <x v="2"/>
    <n v="5"/>
    <x v="5"/>
    <d v="2020-05-19T00:00:00"/>
    <x v="1"/>
    <n v="45"/>
    <n v="110590"/>
    <n v="1327080"/>
  </r>
  <r>
    <n v="246"/>
    <s v="Theresa"/>
    <s v="Morrison"/>
    <x v="1"/>
    <n v="1"/>
    <x v="0"/>
    <d v="2021-01-02T00:00:00"/>
    <x v="4"/>
    <n v="46"/>
    <n v="63493"/>
    <n v="761916"/>
  </r>
  <r>
    <n v="247"/>
    <s v="Sara"/>
    <s v="Ford"/>
    <x v="1"/>
    <n v="12"/>
    <x v="0"/>
    <d v="2021-12-30T00:00:00"/>
    <x v="1"/>
    <n v="10"/>
    <n v="64700"/>
    <n v="776400"/>
  </r>
  <r>
    <n v="248"/>
    <s v="Emily"/>
    <s v="Lewis"/>
    <x v="1"/>
    <n v="5"/>
    <x v="3"/>
    <d v="2023-05-14T00:00:00"/>
    <x v="3"/>
    <n v="4"/>
    <n v="34410"/>
    <n v="412920"/>
  </r>
  <r>
    <n v="249"/>
    <s v="William"/>
    <s v="Williamson"/>
    <x v="0"/>
    <n v="1"/>
    <x v="3"/>
    <d v="2023-01-01T00:00:00"/>
    <x v="2"/>
    <n v="37"/>
    <n v="55042"/>
    <n v="660504"/>
  </r>
  <r>
    <n v="250"/>
    <s v="Michael"/>
    <s v="Salazar"/>
    <x v="3"/>
    <n v="8"/>
    <x v="5"/>
    <d v="2020-08-12T00:00:00"/>
    <x v="1"/>
    <n v="9"/>
    <n v="52262"/>
    <n v="627144"/>
  </r>
  <r>
    <n v="251"/>
    <s v="Gabrielle"/>
    <s v="Mccann"/>
    <x v="3"/>
    <n v="11"/>
    <x v="8"/>
    <d v="2019-11-03T00:00:00"/>
    <x v="0"/>
    <n v="19"/>
    <n v="45181"/>
    <n v="542172"/>
  </r>
  <r>
    <n v="252"/>
    <s v="Michael"/>
    <s v="Choi"/>
    <x v="0"/>
    <n v="5"/>
    <x v="7"/>
    <d v="2017-05-18T00:00:00"/>
    <x v="2"/>
    <n v="17"/>
    <n v="108101"/>
    <n v="1297212"/>
  </r>
  <r>
    <n v="253"/>
    <s v="Denise"/>
    <s v="Fernandez"/>
    <x v="2"/>
    <n v="7"/>
    <x v="5"/>
    <d v="2020-07-31T00:00:00"/>
    <x v="2"/>
    <n v="22"/>
    <n v="70527"/>
    <n v="846324"/>
  </r>
  <r>
    <n v="254"/>
    <s v="Abigail"/>
    <s v="Summers"/>
    <x v="2"/>
    <n v="4"/>
    <x v="8"/>
    <d v="2019-04-23T00:00:00"/>
    <x v="1"/>
    <n v="44"/>
    <n v="49296"/>
    <n v="591552"/>
  </r>
  <r>
    <n v="255"/>
    <s v="Jacqueline"/>
    <s v="Frazier"/>
    <x v="1"/>
    <n v="7"/>
    <x v="1"/>
    <d v="2016-07-17T00:00:00"/>
    <x v="4"/>
    <n v="41"/>
    <n v="42845"/>
    <n v="514140"/>
  </r>
  <r>
    <n v="256"/>
    <s v="David"/>
    <s v="Simpson"/>
    <x v="4"/>
    <n v="4"/>
    <x v="6"/>
    <d v="2022-04-04T00:00:00"/>
    <x v="3"/>
    <n v="1"/>
    <n v="118579"/>
    <n v="1422948"/>
  </r>
  <r>
    <n v="257"/>
    <s v="Robert"/>
    <s v="Mendez"/>
    <x v="3"/>
    <n v="5"/>
    <x v="6"/>
    <d v="2022-05-11T00:00:00"/>
    <x v="2"/>
    <n v="6"/>
    <n v="51902"/>
    <n v="622824"/>
  </r>
  <r>
    <n v="258"/>
    <s v="Kayla"/>
    <s v="Lucas"/>
    <x v="4"/>
    <n v="9"/>
    <x v="8"/>
    <d v="2019-09-08T00:00:00"/>
    <x v="3"/>
    <n v="48"/>
    <n v="35175"/>
    <n v="422100"/>
  </r>
  <r>
    <n v="259"/>
    <s v="Cindy"/>
    <s v="Young"/>
    <x v="2"/>
    <n v="8"/>
    <x v="2"/>
    <d v="2018-08-01T00:00:00"/>
    <x v="3"/>
    <n v="46"/>
    <n v="111288"/>
    <n v="1335456"/>
  </r>
  <r>
    <n v="260"/>
    <s v="Patrick"/>
    <s v="Stevenson"/>
    <x v="1"/>
    <n v="10"/>
    <x v="0"/>
    <d v="2021-10-30T00:00:00"/>
    <x v="2"/>
    <n v="42"/>
    <n v="55583"/>
    <n v="666996"/>
  </r>
  <r>
    <n v="261"/>
    <s v="Natasha"/>
    <s v="Park"/>
    <x v="0"/>
    <n v="5"/>
    <x v="3"/>
    <d v="2023-05-25T00:00:00"/>
    <x v="2"/>
    <n v="27"/>
    <n v="71607"/>
    <n v="859284"/>
  </r>
  <r>
    <n v="262"/>
    <s v="Kenneth"/>
    <s v="Jones"/>
    <x v="3"/>
    <n v="11"/>
    <x v="1"/>
    <d v="2016-11-13T00:00:00"/>
    <x v="2"/>
    <n v="29"/>
    <n v="50824"/>
    <n v="609888"/>
  </r>
  <r>
    <n v="263"/>
    <s v="Curtis"/>
    <s v="Morrison"/>
    <x v="4"/>
    <n v="3"/>
    <x v="3"/>
    <d v="2023-03-07T00:00:00"/>
    <x v="0"/>
    <n v="38"/>
    <n v="56186"/>
    <n v="674232"/>
  </r>
  <r>
    <n v="264"/>
    <s v="Scott"/>
    <s v="Ellis"/>
    <x v="3"/>
    <n v="7"/>
    <x v="7"/>
    <d v="2017-07-07T00:00:00"/>
    <x v="4"/>
    <n v="21"/>
    <n v="53566"/>
    <n v="642792"/>
  </r>
  <r>
    <n v="265"/>
    <s v="Darlene"/>
    <s v="Griffith"/>
    <x v="4"/>
    <n v="2"/>
    <x v="1"/>
    <d v="2016-02-11T00:00:00"/>
    <x v="2"/>
    <n v="5"/>
    <n v="52483"/>
    <n v="629796"/>
  </r>
  <r>
    <n v="266"/>
    <s v="Ronnie"/>
    <s v="Thomas"/>
    <x v="4"/>
    <n v="12"/>
    <x v="3"/>
    <d v="2023-12-17T00:00:00"/>
    <x v="4"/>
    <n v="48"/>
    <n v="22603"/>
    <n v="271236"/>
  </r>
  <r>
    <n v="267"/>
    <s v="Stephanie"/>
    <s v="Martin"/>
    <x v="4"/>
    <n v="4"/>
    <x v="0"/>
    <d v="2021-04-24T00:00:00"/>
    <x v="4"/>
    <n v="8"/>
    <n v="81255"/>
    <n v="975060"/>
  </r>
  <r>
    <n v="268"/>
    <s v="Jason"/>
    <s v="Jones"/>
    <x v="4"/>
    <n v="3"/>
    <x v="5"/>
    <d v="2020-03-22T00:00:00"/>
    <x v="4"/>
    <n v="47"/>
    <n v="118183"/>
    <n v="1418196"/>
  </r>
  <r>
    <n v="269"/>
    <s v="Alison"/>
    <s v="Bryant"/>
    <x v="0"/>
    <n v="2"/>
    <x v="5"/>
    <d v="2020-02-13T00:00:00"/>
    <x v="4"/>
    <n v="44"/>
    <n v="57895"/>
    <n v="694740"/>
  </r>
  <r>
    <n v="270"/>
    <s v="Erin"/>
    <s v="Massey"/>
    <x v="0"/>
    <n v="4"/>
    <x v="4"/>
    <d v="2024-04-30T00:00:00"/>
    <x v="4"/>
    <n v="31"/>
    <n v="112710"/>
    <n v="1352520"/>
  </r>
  <r>
    <n v="271"/>
    <s v="Jacob"/>
    <s v="Kelly"/>
    <x v="3"/>
    <n v="9"/>
    <x v="5"/>
    <d v="2020-09-14T00:00:00"/>
    <x v="4"/>
    <n v="46"/>
    <n v="40657"/>
    <n v="487884"/>
  </r>
  <r>
    <n v="272"/>
    <s v="Jesus"/>
    <s v="Smith"/>
    <x v="3"/>
    <n v="1"/>
    <x v="5"/>
    <d v="2020-01-14T00:00:00"/>
    <x v="2"/>
    <n v="11"/>
    <n v="91372"/>
    <n v="1096464"/>
  </r>
  <r>
    <n v="273"/>
    <s v="Robert"/>
    <s v="Moreno"/>
    <x v="0"/>
    <n v="11"/>
    <x v="5"/>
    <d v="2020-11-10T00:00:00"/>
    <x v="4"/>
    <n v="48"/>
    <n v="38353"/>
    <n v="460236"/>
  </r>
  <r>
    <n v="274"/>
    <s v="Tina"/>
    <s v="Kline"/>
    <x v="0"/>
    <n v="6"/>
    <x v="0"/>
    <d v="2021-06-20T00:00:00"/>
    <x v="3"/>
    <n v="37"/>
    <n v="20553"/>
    <n v="246636"/>
  </r>
  <r>
    <n v="275"/>
    <s v="Amanda"/>
    <s v="Ross"/>
    <x v="4"/>
    <n v="1"/>
    <x v="3"/>
    <d v="2023-01-27T00:00:00"/>
    <x v="0"/>
    <n v="7"/>
    <n v="21044"/>
    <n v="252528"/>
  </r>
  <r>
    <n v="276"/>
    <s v="Joseph"/>
    <s v="Hayes"/>
    <x v="0"/>
    <n v="1"/>
    <x v="1"/>
    <d v="2016-01-03T00:00:00"/>
    <x v="1"/>
    <n v="32"/>
    <n v="77012"/>
    <n v="924144"/>
  </r>
  <r>
    <n v="277"/>
    <s v="Joshua"/>
    <s v="White"/>
    <x v="1"/>
    <n v="8"/>
    <x v="7"/>
    <d v="2017-08-08T00:00:00"/>
    <x v="3"/>
    <n v="20"/>
    <n v="80713"/>
    <n v="968556"/>
  </r>
  <r>
    <n v="278"/>
    <s v="Jessica"/>
    <s v="Wolf"/>
    <x v="4"/>
    <n v="1"/>
    <x v="0"/>
    <d v="2021-01-24T00:00:00"/>
    <x v="3"/>
    <n v="17"/>
    <n v="64127"/>
    <n v="769524"/>
  </r>
  <r>
    <n v="279"/>
    <s v="Stephanie"/>
    <s v="Davis"/>
    <x v="4"/>
    <n v="10"/>
    <x v="1"/>
    <d v="2016-10-02T00:00:00"/>
    <x v="4"/>
    <n v="22"/>
    <n v="85206"/>
    <n v="1022472"/>
  </r>
  <r>
    <n v="280"/>
    <s v="Erik"/>
    <s v="Noble"/>
    <x v="1"/>
    <n v="5"/>
    <x v="5"/>
    <d v="2020-05-27T00:00:00"/>
    <x v="4"/>
    <n v="39"/>
    <n v="34605"/>
    <n v="415260"/>
  </r>
  <r>
    <n v="281"/>
    <s v="Anthony"/>
    <s v="Lopez"/>
    <x v="4"/>
    <n v="4"/>
    <x v="3"/>
    <d v="2023-04-24T00:00:00"/>
    <x v="4"/>
    <n v="1"/>
    <n v="112829"/>
    <n v="1353948"/>
  </r>
  <r>
    <n v="282"/>
    <s v="Kevin"/>
    <s v="Martin"/>
    <x v="2"/>
    <n v="5"/>
    <x v="4"/>
    <d v="2024-05-22T00:00:00"/>
    <x v="0"/>
    <n v="29"/>
    <n v="119273"/>
    <n v="1431276"/>
  </r>
  <r>
    <n v="283"/>
    <s v="Samantha"/>
    <s v="Lewis"/>
    <x v="1"/>
    <n v="5"/>
    <x v="0"/>
    <d v="2021-05-28T00:00:00"/>
    <x v="0"/>
    <n v="32"/>
    <n v="60339"/>
    <n v="724068"/>
  </r>
  <r>
    <n v="284"/>
    <s v="Michael"/>
    <s v="Smith"/>
    <x v="1"/>
    <n v="6"/>
    <x v="1"/>
    <d v="2016-06-12T00:00:00"/>
    <x v="4"/>
    <n v="41"/>
    <n v="38471"/>
    <n v="461652"/>
  </r>
  <r>
    <n v="285"/>
    <s v="Virginia"/>
    <s v="Wells"/>
    <x v="1"/>
    <n v="8"/>
    <x v="5"/>
    <d v="2020-08-01T00:00:00"/>
    <x v="2"/>
    <n v="21"/>
    <n v="53213"/>
    <n v="638556"/>
  </r>
  <r>
    <n v="286"/>
    <s v="Pamela"/>
    <s v="Curtis"/>
    <x v="0"/>
    <n v="5"/>
    <x v="0"/>
    <d v="2021-05-02T00:00:00"/>
    <x v="2"/>
    <n v="36"/>
    <n v="102140"/>
    <n v="1225680"/>
  </r>
  <r>
    <n v="287"/>
    <s v="David"/>
    <s v="Tapia"/>
    <x v="2"/>
    <n v="5"/>
    <x v="0"/>
    <d v="2021-05-30T00:00:00"/>
    <x v="4"/>
    <n v="38"/>
    <n v="32127"/>
    <n v="385524"/>
  </r>
  <r>
    <n v="288"/>
    <s v="Dana"/>
    <s v="Lee"/>
    <x v="4"/>
    <n v="10"/>
    <x v="1"/>
    <d v="2016-10-19T00:00:00"/>
    <x v="4"/>
    <n v="44"/>
    <n v="47480"/>
    <n v="569760"/>
  </r>
  <r>
    <n v="289"/>
    <s v="Michael"/>
    <s v="Stanley"/>
    <x v="3"/>
    <n v="1"/>
    <x v="4"/>
    <d v="2024-01-07T00:00:00"/>
    <x v="2"/>
    <n v="22"/>
    <n v="108206"/>
    <n v="1298472"/>
  </r>
  <r>
    <n v="290"/>
    <s v="John"/>
    <s v="Dixon"/>
    <x v="2"/>
    <n v="6"/>
    <x v="4"/>
    <d v="2024-06-14T00:00:00"/>
    <x v="0"/>
    <n v="10"/>
    <n v="89244"/>
    <n v="1070928"/>
  </r>
  <r>
    <n v="291"/>
    <s v="Sarah"/>
    <s v="Gonzalez"/>
    <x v="0"/>
    <n v="4"/>
    <x v="2"/>
    <d v="2018-04-04T00:00:00"/>
    <x v="4"/>
    <n v="22"/>
    <n v="48758"/>
    <n v="585096"/>
  </r>
  <r>
    <n v="292"/>
    <s v="Wendy"/>
    <s v="Lopez"/>
    <x v="4"/>
    <n v="5"/>
    <x v="7"/>
    <d v="2017-05-01T00:00:00"/>
    <x v="2"/>
    <n v="17"/>
    <n v="27981"/>
    <n v="335772"/>
  </r>
  <r>
    <n v="293"/>
    <s v="Nancy"/>
    <s v="Kirby"/>
    <x v="1"/>
    <n v="5"/>
    <x v="8"/>
    <d v="2019-05-04T00:00:00"/>
    <x v="4"/>
    <n v="32"/>
    <n v="96850"/>
    <n v="1162200"/>
  </r>
  <r>
    <n v="294"/>
    <s v="Rodney"/>
    <s v="Martinez"/>
    <x v="4"/>
    <n v="4"/>
    <x v="5"/>
    <d v="2020-04-04T00:00:00"/>
    <x v="0"/>
    <n v="6"/>
    <n v="37891"/>
    <n v="454692"/>
  </r>
  <r>
    <n v="295"/>
    <s v="Angela"/>
    <s v="Jennings"/>
    <x v="1"/>
    <n v="10"/>
    <x v="2"/>
    <d v="2018-10-05T00:00:00"/>
    <x v="0"/>
    <n v="9"/>
    <n v="92649"/>
    <n v="1111788"/>
  </r>
  <r>
    <n v="296"/>
    <s v="Andrew"/>
    <s v="Barnes"/>
    <x v="3"/>
    <n v="4"/>
    <x v="5"/>
    <d v="2020-04-01T00:00:00"/>
    <x v="1"/>
    <n v="37"/>
    <n v="100340"/>
    <n v="1204080"/>
  </r>
  <r>
    <n v="297"/>
    <s v="Robert"/>
    <s v="Davis"/>
    <x v="3"/>
    <n v="2"/>
    <x v="0"/>
    <d v="2021-02-26T00:00:00"/>
    <x v="3"/>
    <n v="37"/>
    <n v="33362"/>
    <n v="400344"/>
  </r>
  <r>
    <n v="298"/>
    <s v="Joseph"/>
    <s v="Ritter"/>
    <x v="2"/>
    <n v="7"/>
    <x v="0"/>
    <d v="2021-07-15T00:00:00"/>
    <x v="4"/>
    <n v="21"/>
    <n v="47221"/>
    <n v="566652"/>
  </r>
  <r>
    <n v="299"/>
    <s v="Steven"/>
    <s v="Baker"/>
    <x v="4"/>
    <n v="7"/>
    <x v="5"/>
    <d v="2020-07-17T00:00:00"/>
    <x v="3"/>
    <n v="49"/>
    <n v="26028"/>
    <n v="312336"/>
  </r>
  <r>
    <n v="300"/>
    <s v="Sandra"/>
    <s v="Quinn"/>
    <x v="0"/>
    <n v="4"/>
    <x v="4"/>
    <d v="2024-04-29T00:00:00"/>
    <x v="2"/>
    <n v="25"/>
    <n v="49880"/>
    <n v="598560"/>
  </r>
  <r>
    <n v="301"/>
    <s v="Audrey"/>
    <s v="Chang"/>
    <x v="3"/>
    <n v="11"/>
    <x v="3"/>
    <d v="2023-11-01T00:00:00"/>
    <x v="0"/>
    <n v="47"/>
    <n v="91637"/>
    <n v="1099644"/>
  </r>
  <r>
    <n v="302"/>
    <s v="Megan"/>
    <s v="Lee"/>
    <x v="3"/>
    <n v="8"/>
    <x v="1"/>
    <d v="2016-08-18T00:00:00"/>
    <x v="0"/>
    <n v="45"/>
    <n v="26749"/>
    <n v="320988"/>
  </r>
  <r>
    <n v="303"/>
    <s v="Robert"/>
    <s v="Mays"/>
    <x v="0"/>
    <n v="12"/>
    <x v="5"/>
    <d v="2020-12-25T00:00:00"/>
    <x v="4"/>
    <n v="34"/>
    <n v="33002"/>
    <n v="396024"/>
  </r>
  <r>
    <n v="304"/>
    <s v="Caitlin"/>
    <s v="Hurst"/>
    <x v="3"/>
    <n v="6"/>
    <x v="7"/>
    <d v="2017-06-30T00:00:00"/>
    <x v="2"/>
    <n v="18"/>
    <n v="63133"/>
    <n v="757596"/>
  </r>
  <r>
    <n v="305"/>
    <s v="Joseph"/>
    <s v="Foster"/>
    <x v="1"/>
    <n v="3"/>
    <x v="8"/>
    <d v="2019-03-29T00:00:00"/>
    <x v="4"/>
    <n v="37"/>
    <n v="93376"/>
    <n v="1120512"/>
  </r>
  <r>
    <n v="306"/>
    <s v="Ashley"/>
    <s v="Bishop"/>
    <x v="1"/>
    <n v="2"/>
    <x v="6"/>
    <d v="2022-02-27T00:00:00"/>
    <x v="0"/>
    <n v="28"/>
    <n v="84437"/>
    <n v="1013244"/>
  </r>
  <r>
    <n v="307"/>
    <s v="Anna"/>
    <s v="Johnson"/>
    <x v="0"/>
    <n v="10"/>
    <x v="2"/>
    <d v="2018-10-03T00:00:00"/>
    <x v="0"/>
    <n v="29"/>
    <n v="25671"/>
    <n v="308052"/>
  </r>
  <r>
    <n v="308"/>
    <s v="Melinda"/>
    <s v="Anderson"/>
    <x v="3"/>
    <n v="1"/>
    <x v="8"/>
    <d v="2019-01-26T00:00:00"/>
    <x v="4"/>
    <n v="5"/>
    <n v="27451"/>
    <n v="329412"/>
  </r>
  <r>
    <n v="309"/>
    <s v="Tracy"/>
    <s v="Reynolds"/>
    <x v="2"/>
    <n v="8"/>
    <x v="1"/>
    <d v="2016-08-30T00:00:00"/>
    <x v="4"/>
    <n v="10"/>
    <n v="75659"/>
    <n v="907908"/>
  </r>
  <r>
    <n v="310"/>
    <s v="Amanda"/>
    <s v="Barnes"/>
    <x v="4"/>
    <n v="11"/>
    <x v="3"/>
    <d v="2023-11-18T00:00:00"/>
    <x v="3"/>
    <n v="14"/>
    <n v="113371"/>
    <n v="1360452"/>
  </r>
  <r>
    <n v="311"/>
    <s v="Thomas"/>
    <s v="Clarke"/>
    <x v="0"/>
    <n v="4"/>
    <x v="2"/>
    <d v="2018-04-09T00:00:00"/>
    <x v="1"/>
    <n v="38"/>
    <n v="117464"/>
    <n v="1409568"/>
  </r>
  <r>
    <n v="312"/>
    <s v="George"/>
    <s v="Ellis"/>
    <x v="1"/>
    <n v="6"/>
    <x v="6"/>
    <d v="2022-06-18T00:00:00"/>
    <x v="0"/>
    <n v="22"/>
    <n v="24645"/>
    <n v="295740"/>
  </r>
  <r>
    <n v="313"/>
    <s v="Alexandria"/>
    <s v="Bell"/>
    <x v="3"/>
    <n v="6"/>
    <x v="8"/>
    <d v="2019-06-07T00:00:00"/>
    <x v="1"/>
    <n v="7"/>
    <n v="110837"/>
    <n v="1330044"/>
  </r>
  <r>
    <n v="314"/>
    <s v="Teresa"/>
    <s v="Jackson"/>
    <x v="4"/>
    <n v="6"/>
    <x v="4"/>
    <d v="2024-06-10T00:00:00"/>
    <x v="2"/>
    <n v="12"/>
    <n v="81209"/>
    <n v="974508"/>
  </r>
  <r>
    <n v="315"/>
    <s v="Manuel"/>
    <s v="Nicholson"/>
    <x v="1"/>
    <n v="12"/>
    <x v="3"/>
    <d v="2023-12-01T00:00:00"/>
    <x v="3"/>
    <n v="35"/>
    <n v="117206"/>
    <n v="1406472"/>
  </r>
  <r>
    <n v="316"/>
    <s v="Jennifer"/>
    <s v="Peterson"/>
    <x v="2"/>
    <n v="1"/>
    <x v="3"/>
    <d v="2023-01-29T00:00:00"/>
    <x v="2"/>
    <n v="34"/>
    <n v="94851"/>
    <n v="1138212"/>
  </r>
  <r>
    <n v="317"/>
    <s v="Jo"/>
    <s v="Miller"/>
    <x v="1"/>
    <n v="9"/>
    <x v="5"/>
    <d v="2020-09-17T00:00:00"/>
    <x v="1"/>
    <n v="10"/>
    <n v="114457"/>
    <n v="1373484"/>
  </r>
  <r>
    <n v="318"/>
    <s v="Shawn"/>
    <s v="Bennett"/>
    <x v="0"/>
    <n v="4"/>
    <x v="8"/>
    <d v="2019-04-02T00:00:00"/>
    <x v="2"/>
    <n v="42"/>
    <n v="76659"/>
    <n v="919908"/>
  </r>
  <r>
    <n v="319"/>
    <s v="Timothy"/>
    <s v="Young"/>
    <x v="2"/>
    <n v="11"/>
    <x v="8"/>
    <d v="2019-11-06T00:00:00"/>
    <x v="3"/>
    <n v="23"/>
    <n v="104326"/>
    <n v="1251912"/>
  </r>
  <r>
    <n v="320"/>
    <s v="James"/>
    <s v="Hill"/>
    <x v="2"/>
    <n v="11"/>
    <x v="8"/>
    <d v="2019-11-30T00:00:00"/>
    <x v="4"/>
    <n v="30"/>
    <n v="94825"/>
    <n v="1137900"/>
  </r>
  <r>
    <n v="321"/>
    <s v="Kathleen"/>
    <s v="Stafford"/>
    <x v="0"/>
    <n v="2"/>
    <x v="0"/>
    <d v="2021-02-23T00:00:00"/>
    <x v="2"/>
    <n v="37"/>
    <n v="48520"/>
    <n v="582240"/>
  </r>
  <r>
    <n v="322"/>
    <s v="Glenda"/>
    <s v="Davis"/>
    <x v="0"/>
    <n v="10"/>
    <x v="1"/>
    <d v="2016-10-30T00:00:00"/>
    <x v="4"/>
    <n v="36"/>
    <n v="90259"/>
    <n v="1083108"/>
  </r>
  <r>
    <n v="323"/>
    <s v="Sylvia"/>
    <s v="Coffey"/>
    <x v="2"/>
    <n v="10"/>
    <x v="5"/>
    <d v="2020-10-20T00:00:00"/>
    <x v="0"/>
    <n v="38"/>
    <n v="68489"/>
    <n v="821868"/>
  </r>
  <r>
    <n v="324"/>
    <s v="Steven"/>
    <s v="Schultz"/>
    <x v="4"/>
    <n v="3"/>
    <x v="6"/>
    <d v="2022-03-06T00:00:00"/>
    <x v="0"/>
    <n v="48"/>
    <n v="41334"/>
    <n v="496008"/>
  </r>
  <r>
    <n v="325"/>
    <s v="Zachary"/>
    <s v="Summers"/>
    <x v="3"/>
    <n v="8"/>
    <x v="2"/>
    <d v="2018-08-26T00:00:00"/>
    <x v="4"/>
    <n v="10"/>
    <n v="96554"/>
    <n v="1158648"/>
  </r>
  <r>
    <n v="326"/>
    <s v="Jasmine"/>
    <s v="Harris"/>
    <x v="2"/>
    <n v="6"/>
    <x v="8"/>
    <d v="2019-06-09T00:00:00"/>
    <x v="4"/>
    <n v="7"/>
    <n v="76635"/>
    <n v="919620"/>
  </r>
  <r>
    <n v="327"/>
    <s v="Brittney"/>
    <s v="Soto"/>
    <x v="1"/>
    <n v="12"/>
    <x v="7"/>
    <d v="2017-12-15T00:00:00"/>
    <x v="0"/>
    <n v="33"/>
    <n v="71211"/>
    <n v="854532"/>
  </r>
  <r>
    <n v="328"/>
    <s v="Dominique"/>
    <s v="Gonzales"/>
    <x v="0"/>
    <n v="3"/>
    <x v="3"/>
    <d v="2023-03-13T00:00:00"/>
    <x v="3"/>
    <n v="21"/>
    <n v="118025"/>
    <n v="1416300"/>
  </r>
  <r>
    <n v="329"/>
    <s v="Mitchell"/>
    <s v="Li"/>
    <x v="2"/>
    <n v="10"/>
    <x v="1"/>
    <d v="2016-10-21T00:00:00"/>
    <x v="4"/>
    <n v="29"/>
    <n v="106432"/>
    <n v="1277184"/>
  </r>
  <r>
    <n v="330"/>
    <s v="James"/>
    <s v="Baker"/>
    <x v="2"/>
    <n v="9"/>
    <x v="2"/>
    <d v="2018-09-09T00:00:00"/>
    <x v="4"/>
    <n v="39"/>
    <n v="50797"/>
    <n v="609564"/>
  </r>
  <r>
    <n v="331"/>
    <s v="Roger"/>
    <s v="Green"/>
    <x v="3"/>
    <n v="1"/>
    <x v="1"/>
    <d v="2016-01-01T00:00:00"/>
    <x v="4"/>
    <n v="43"/>
    <n v="79736"/>
    <n v="956832"/>
  </r>
  <r>
    <n v="332"/>
    <s v="Megan"/>
    <s v="Reed"/>
    <x v="0"/>
    <n v="9"/>
    <x v="3"/>
    <d v="2023-09-12T00:00:00"/>
    <x v="0"/>
    <n v="18"/>
    <n v="59581"/>
    <n v="714972"/>
  </r>
  <r>
    <n v="333"/>
    <s v="Gloria"/>
    <s v="Mclaughlin"/>
    <x v="3"/>
    <n v="10"/>
    <x v="0"/>
    <d v="2021-10-13T00:00:00"/>
    <x v="4"/>
    <n v="45"/>
    <n v="50642"/>
    <n v="607704"/>
  </r>
  <r>
    <n v="334"/>
    <s v="Lisa"/>
    <s v="Johnson"/>
    <x v="4"/>
    <n v="3"/>
    <x v="3"/>
    <d v="2023-03-19T00:00:00"/>
    <x v="2"/>
    <n v="6"/>
    <n v="79196"/>
    <n v="950352"/>
  </r>
  <r>
    <n v="335"/>
    <s v="Sophia"/>
    <s v="Gonzalez"/>
    <x v="0"/>
    <n v="7"/>
    <x v="3"/>
    <d v="2023-07-19T00:00:00"/>
    <x v="2"/>
    <n v="45"/>
    <n v="119614"/>
    <n v="1435368"/>
  </r>
  <r>
    <n v="336"/>
    <s v="Gregory"/>
    <s v="Hayes"/>
    <x v="2"/>
    <n v="11"/>
    <x v="2"/>
    <d v="2018-11-07T00:00:00"/>
    <x v="4"/>
    <n v="1"/>
    <n v="75034"/>
    <n v="900408"/>
  </r>
  <r>
    <n v="337"/>
    <s v="Michael"/>
    <s v="James"/>
    <x v="2"/>
    <n v="2"/>
    <x v="5"/>
    <d v="2020-02-17T00:00:00"/>
    <x v="2"/>
    <n v="25"/>
    <n v="107284"/>
    <n v="1287408"/>
  </r>
  <r>
    <n v="338"/>
    <s v="Amanda"/>
    <s v="Luna"/>
    <x v="3"/>
    <n v="7"/>
    <x v="2"/>
    <d v="2018-07-21T00:00:00"/>
    <x v="0"/>
    <n v="24"/>
    <n v="53705"/>
    <n v="644460"/>
  </r>
  <r>
    <n v="339"/>
    <s v="Jessica"/>
    <s v="Mathis"/>
    <x v="0"/>
    <n v="10"/>
    <x v="4"/>
    <d v="2024-10-26T00:00:00"/>
    <x v="2"/>
    <n v="37"/>
    <n v="82411"/>
    <n v="988932"/>
  </r>
  <r>
    <n v="340"/>
    <s v="Mary"/>
    <s v="Porter"/>
    <x v="3"/>
    <n v="4"/>
    <x v="5"/>
    <d v="2020-04-08T00:00:00"/>
    <x v="1"/>
    <n v="34"/>
    <n v="108861"/>
    <n v="1306332"/>
  </r>
  <r>
    <n v="341"/>
    <s v="Tiffany"/>
    <s v="Murray"/>
    <x v="1"/>
    <n v="5"/>
    <x v="2"/>
    <d v="2018-05-05T00:00:00"/>
    <x v="1"/>
    <n v="31"/>
    <n v="92254"/>
    <n v="1107048"/>
  </r>
  <r>
    <n v="342"/>
    <s v="Katherine"/>
    <s v="Mitchell"/>
    <x v="3"/>
    <n v="1"/>
    <x v="8"/>
    <d v="2019-01-21T00:00:00"/>
    <x v="4"/>
    <n v="19"/>
    <n v="97570"/>
    <n v="1170840"/>
  </r>
  <r>
    <n v="343"/>
    <s v="Stephanie"/>
    <s v="Dickerson"/>
    <x v="4"/>
    <n v="5"/>
    <x v="1"/>
    <d v="2016-05-15T00:00:00"/>
    <x v="2"/>
    <n v="41"/>
    <n v="33718"/>
    <n v="404616"/>
  </r>
  <r>
    <n v="344"/>
    <s v="Gregory"/>
    <s v="Bell"/>
    <x v="0"/>
    <n v="1"/>
    <x v="5"/>
    <d v="2020-01-16T00:00:00"/>
    <x v="4"/>
    <n v="28"/>
    <n v="61556"/>
    <n v="738672"/>
  </r>
  <r>
    <n v="345"/>
    <s v="Barbara"/>
    <s v="Forbes"/>
    <x v="2"/>
    <n v="1"/>
    <x v="7"/>
    <d v="2017-01-23T00:00:00"/>
    <x v="3"/>
    <n v="35"/>
    <n v="119707"/>
    <n v="1436484"/>
  </r>
  <r>
    <n v="346"/>
    <s v="Stephanie"/>
    <s v="Vargas"/>
    <x v="4"/>
    <n v="9"/>
    <x v="5"/>
    <d v="2020-09-18T00:00:00"/>
    <x v="2"/>
    <n v="44"/>
    <n v="110535"/>
    <n v="1326420"/>
  </r>
  <r>
    <n v="347"/>
    <s v="Stephanie"/>
    <s v="Schneider"/>
    <x v="1"/>
    <n v="8"/>
    <x v="7"/>
    <d v="2017-08-01T00:00:00"/>
    <x v="2"/>
    <n v="24"/>
    <n v="45409"/>
    <n v="544908"/>
  </r>
  <r>
    <n v="348"/>
    <s v="Kimberly"/>
    <s v="Ware"/>
    <x v="2"/>
    <n v="6"/>
    <x v="8"/>
    <d v="2019-06-24T00:00:00"/>
    <x v="3"/>
    <n v="27"/>
    <n v="37403"/>
    <n v="448836"/>
  </r>
  <r>
    <n v="349"/>
    <s v="James"/>
    <s v="Meyer"/>
    <x v="1"/>
    <n v="8"/>
    <x v="6"/>
    <d v="2022-08-04T00:00:00"/>
    <x v="0"/>
    <n v="12"/>
    <n v="89168"/>
    <n v="1070016"/>
  </r>
  <r>
    <n v="350"/>
    <s v="Alan"/>
    <s v="Johnson"/>
    <x v="2"/>
    <n v="5"/>
    <x v="1"/>
    <d v="2016-05-30T00:00:00"/>
    <x v="2"/>
    <n v="44"/>
    <n v="91467"/>
    <n v="1097604"/>
  </r>
  <r>
    <n v="351"/>
    <s v="Jessica"/>
    <s v="Conway"/>
    <x v="0"/>
    <n v="6"/>
    <x v="2"/>
    <d v="2018-06-30T00:00:00"/>
    <x v="2"/>
    <n v="28"/>
    <n v="114759"/>
    <n v="1377108"/>
  </r>
  <r>
    <n v="352"/>
    <s v="Katelyn"/>
    <s v="Drake"/>
    <x v="1"/>
    <n v="1"/>
    <x v="2"/>
    <d v="2018-01-15T00:00:00"/>
    <x v="4"/>
    <n v="46"/>
    <n v="75798"/>
    <n v="909576"/>
  </r>
  <r>
    <n v="353"/>
    <s v="Jonathan"/>
    <s v="Jimenez"/>
    <x v="0"/>
    <n v="8"/>
    <x v="0"/>
    <d v="2021-08-02T00:00:00"/>
    <x v="0"/>
    <n v="7"/>
    <n v="88090"/>
    <n v="1057080"/>
  </r>
  <r>
    <n v="354"/>
    <s v="Alexander"/>
    <s v="Ashley"/>
    <x v="0"/>
    <n v="7"/>
    <x v="8"/>
    <d v="2019-07-29T00:00:00"/>
    <x v="3"/>
    <n v="1"/>
    <n v="40178"/>
    <n v="482136"/>
  </r>
  <r>
    <n v="355"/>
    <s v="Luis"/>
    <s v="Cohen"/>
    <x v="0"/>
    <n v="8"/>
    <x v="5"/>
    <d v="2020-08-04T00:00:00"/>
    <x v="1"/>
    <n v="30"/>
    <n v="53012"/>
    <n v="636144"/>
  </r>
  <r>
    <n v="356"/>
    <s v="Hector"/>
    <s v="Chaney"/>
    <x v="2"/>
    <n v="3"/>
    <x v="0"/>
    <d v="2021-03-05T00:00:00"/>
    <x v="4"/>
    <n v="10"/>
    <n v="94724"/>
    <n v="1136688"/>
  </r>
  <r>
    <n v="357"/>
    <s v="Mackenzie"/>
    <s v="Collins"/>
    <x v="1"/>
    <n v="9"/>
    <x v="4"/>
    <d v="2024-09-02T00:00:00"/>
    <x v="1"/>
    <n v="37"/>
    <n v="29145"/>
    <n v="349740"/>
  </r>
  <r>
    <n v="358"/>
    <s v="Carl"/>
    <s v="Robinson"/>
    <x v="0"/>
    <n v="3"/>
    <x v="3"/>
    <d v="2023-03-24T00:00:00"/>
    <x v="3"/>
    <n v="11"/>
    <n v="86131"/>
    <n v="1033572"/>
  </r>
  <r>
    <n v="359"/>
    <s v="James"/>
    <s v="Jones"/>
    <x v="4"/>
    <n v="10"/>
    <x v="0"/>
    <d v="2021-10-31T00:00:00"/>
    <x v="4"/>
    <n v="47"/>
    <n v="61022"/>
    <n v="732264"/>
  </r>
  <r>
    <n v="360"/>
    <s v="Dennis"/>
    <s v="Barton"/>
    <x v="3"/>
    <n v="2"/>
    <x v="8"/>
    <d v="2019-02-14T00:00:00"/>
    <x v="3"/>
    <n v="35"/>
    <n v="38666"/>
    <n v="463992"/>
  </r>
  <r>
    <n v="361"/>
    <s v="Ann"/>
    <s v="Mccormick"/>
    <x v="0"/>
    <n v="5"/>
    <x v="4"/>
    <d v="2024-05-25T00:00:00"/>
    <x v="4"/>
    <n v="49"/>
    <n v="41245"/>
    <n v="494940"/>
  </r>
  <r>
    <n v="362"/>
    <s v="Terri"/>
    <s v="Greene"/>
    <x v="3"/>
    <n v="10"/>
    <x v="0"/>
    <d v="2021-10-24T00:00:00"/>
    <x v="0"/>
    <n v="39"/>
    <n v="51321"/>
    <n v="615852"/>
  </r>
  <r>
    <n v="363"/>
    <s v="Carolyn"/>
    <s v="Mendoza"/>
    <x v="1"/>
    <n v="8"/>
    <x v="0"/>
    <d v="2021-08-23T00:00:00"/>
    <x v="2"/>
    <n v="42"/>
    <n v="47582"/>
    <n v="570984"/>
  </r>
  <r>
    <n v="364"/>
    <s v="Angela"/>
    <s v="Mccoy"/>
    <x v="4"/>
    <n v="3"/>
    <x v="7"/>
    <d v="2017-03-16T00:00:00"/>
    <x v="4"/>
    <n v="30"/>
    <n v="81231"/>
    <n v="974772"/>
  </r>
  <r>
    <n v="365"/>
    <s v="Michael"/>
    <s v="Page"/>
    <x v="4"/>
    <n v="11"/>
    <x v="2"/>
    <d v="2018-11-18T00:00:00"/>
    <x v="4"/>
    <n v="18"/>
    <n v="79678"/>
    <n v="956136"/>
  </r>
  <r>
    <n v="366"/>
    <s v="Sarah"/>
    <s v="Martinez"/>
    <x v="2"/>
    <n v="8"/>
    <x v="4"/>
    <d v="2024-08-17T00:00:00"/>
    <x v="1"/>
    <n v="5"/>
    <n v="87510"/>
    <n v="1050120"/>
  </r>
  <r>
    <n v="367"/>
    <s v="Victor"/>
    <s v="Soto"/>
    <x v="4"/>
    <n v="8"/>
    <x v="8"/>
    <d v="2019-08-05T00:00:00"/>
    <x v="0"/>
    <n v="45"/>
    <n v="113168"/>
    <n v="1358016"/>
  </r>
  <r>
    <n v="368"/>
    <s v="Christopher"/>
    <s v="Knight"/>
    <x v="2"/>
    <n v="4"/>
    <x v="2"/>
    <d v="2018-04-19T00:00:00"/>
    <x v="1"/>
    <n v="3"/>
    <n v="34695"/>
    <n v="416340"/>
  </r>
  <r>
    <n v="369"/>
    <s v="Gene"/>
    <s v="Jarvis"/>
    <x v="4"/>
    <n v="9"/>
    <x v="0"/>
    <d v="2021-09-19T00:00:00"/>
    <x v="0"/>
    <n v="18"/>
    <n v="23497"/>
    <n v="281964"/>
  </r>
  <r>
    <n v="370"/>
    <s v="Megan"/>
    <s v="Weaver"/>
    <x v="4"/>
    <n v="4"/>
    <x v="2"/>
    <d v="2018-04-19T00:00:00"/>
    <x v="1"/>
    <n v="13"/>
    <n v="47756"/>
    <n v="573072"/>
  </r>
  <r>
    <n v="371"/>
    <s v="Jeffrey"/>
    <s v="Williams"/>
    <x v="1"/>
    <n v="9"/>
    <x v="3"/>
    <d v="2023-09-25T00:00:00"/>
    <x v="3"/>
    <n v="1"/>
    <n v="110495"/>
    <n v="1325940"/>
  </r>
  <r>
    <n v="372"/>
    <s v="Kathryn"/>
    <s v="Hernandez"/>
    <x v="2"/>
    <n v="8"/>
    <x v="8"/>
    <d v="2019-08-27T00:00:00"/>
    <x v="3"/>
    <n v="47"/>
    <n v="45601"/>
    <n v="547212"/>
  </r>
  <r>
    <n v="373"/>
    <s v="Martin"/>
    <s v="Beasley"/>
    <x v="1"/>
    <n v="5"/>
    <x v="0"/>
    <d v="2021-05-15T00:00:00"/>
    <x v="3"/>
    <n v="27"/>
    <n v="62076"/>
    <n v="744912"/>
  </r>
  <r>
    <n v="374"/>
    <s v="Joseph"/>
    <s v="Ross"/>
    <x v="3"/>
    <n v="11"/>
    <x v="8"/>
    <d v="2019-11-20T00:00:00"/>
    <x v="0"/>
    <n v="47"/>
    <n v="96336"/>
    <n v="1156032"/>
  </r>
  <r>
    <n v="375"/>
    <s v="Elizabeth"/>
    <s v="Gutierrez"/>
    <x v="3"/>
    <n v="5"/>
    <x v="6"/>
    <d v="2022-05-10T00:00:00"/>
    <x v="1"/>
    <n v="31"/>
    <n v="56738"/>
    <n v="680856"/>
  </r>
  <r>
    <n v="376"/>
    <s v="Brandon"/>
    <s v="Reed"/>
    <x v="1"/>
    <n v="9"/>
    <x v="5"/>
    <d v="2020-09-01T00:00:00"/>
    <x v="1"/>
    <n v="16"/>
    <n v="84165"/>
    <n v="1009980"/>
  </r>
  <r>
    <n v="377"/>
    <s v="Jacqueline"/>
    <s v="Allison"/>
    <x v="4"/>
    <n v="9"/>
    <x v="3"/>
    <d v="2023-09-30T00:00:00"/>
    <x v="3"/>
    <n v="28"/>
    <n v="80929"/>
    <n v="971148"/>
  </r>
  <r>
    <n v="378"/>
    <s v="Bonnie"/>
    <s v="Jenkins"/>
    <x v="0"/>
    <n v="4"/>
    <x v="2"/>
    <d v="2018-04-24T00:00:00"/>
    <x v="3"/>
    <n v="43"/>
    <n v="40747"/>
    <n v="488964"/>
  </r>
  <r>
    <n v="379"/>
    <s v="Maria"/>
    <s v="Fleming"/>
    <x v="4"/>
    <n v="9"/>
    <x v="3"/>
    <d v="2023-09-16T00:00:00"/>
    <x v="1"/>
    <n v="49"/>
    <n v="30960"/>
    <n v="371520"/>
  </r>
  <r>
    <n v="380"/>
    <s v="Jessica"/>
    <s v="Marshall"/>
    <x v="1"/>
    <n v="11"/>
    <x v="7"/>
    <d v="2017-11-12T00:00:00"/>
    <x v="3"/>
    <n v="1"/>
    <n v="80151"/>
    <n v="961812"/>
  </r>
  <r>
    <n v="381"/>
    <s v="Tiffany"/>
    <s v="Johnson"/>
    <x v="3"/>
    <n v="5"/>
    <x v="2"/>
    <d v="2018-05-26T00:00:00"/>
    <x v="4"/>
    <n v="39"/>
    <n v="117523"/>
    <n v="1410276"/>
  </r>
  <r>
    <n v="382"/>
    <s v="Denise"/>
    <s v="Allen"/>
    <x v="4"/>
    <n v="3"/>
    <x v="8"/>
    <d v="2019-03-02T00:00:00"/>
    <x v="1"/>
    <n v="3"/>
    <n v="101393"/>
    <n v="1216716"/>
  </r>
  <r>
    <n v="383"/>
    <s v="Michael"/>
    <s v="Gibson"/>
    <x v="0"/>
    <n v="8"/>
    <x v="7"/>
    <d v="2017-08-24T00:00:00"/>
    <x v="3"/>
    <n v="41"/>
    <n v="67684"/>
    <n v="812208"/>
  </r>
  <r>
    <n v="384"/>
    <s v="Sheila"/>
    <s v="Cervantes"/>
    <x v="2"/>
    <n v="5"/>
    <x v="1"/>
    <d v="2016-05-21T00:00:00"/>
    <x v="3"/>
    <n v="18"/>
    <n v="22454"/>
    <n v="269448"/>
  </r>
  <r>
    <n v="385"/>
    <s v="Cheryl"/>
    <s v="Perez"/>
    <x v="0"/>
    <n v="12"/>
    <x v="8"/>
    <d v="2019-12-05T00:00:00"/>
    <x v="3"/>
    <n v="24"/>
    <n v="60790"/>
    <n v="729480"/>
  </r>
  <r>
    <n v="386"/>
    <s v="Rebecca"/>
    <s v="Todd"/>
    <x v="0"/>
    <n v="12"/>
    <x v="0"/>
    <d v="2021-12-16T00:00:00"/>
    <x v="4"/>
    <n v="20"/>
    <n v="89391"/>
    <n v="1072692"/>
  </r>
  <r>
    <n v="387"/>
    <s v="Douglas"/>
    <s v="Savage"/>
    <x v="4"/>
    <n v="7"/>
    <x v="0"/>
    <d v="2021-07-02T00:00:00"/>
    <x v="3"/>
    <n v="28"/>
    <n v="40467"/>
    <n v="485604"/>
  </r>
  <r>
    <n v="388"/>
    <s v="Christy"/>
    <s v="Livingston"/>
    <x v="1"/>
    <n v="8"/>
    <x v="8"/>
    <d v="2019-08-22T00:00:00"/>
    <x v="1"/>
    <n v="35"/>
    <n v="26149"/>
    <n v="313788"/>
  </r>
  <r>
    <n v="389"/>
    <s v="Jade"/>
    <s v="Martinez"/>
    <x v="2"/>
    <n v="6"/>
    <x v="0"/>
    <d v="2021-06-24T00:00:00"/>
    <x v="3"/>
    <n v="25"/>
    <n v="99526"/>
    <n v="1194312"/>
  </r>
  <r>
    <n v="390"/>
    <s v="Frederick"/>
    <s v="Castillo"/>
    <x v="1"/>
    <n v="4"/>
    <x v="5"/>
    <d v="2020-04-11T00:00:00"/>
    <x v="0"/>
    <n v="35"/>
    <n v="25251"/>
    <n v="303012"/>
  </r>
  <r>
    <n v="391"/>
    <s v="April"/>
    <s v="Tate"/>
    <x v="1"/>
    <n v="3"/>
    <x v="3"/>
    <d v="2023-03-15T00:00:00"/>
    <x v="0"/>
    <n v="29"/>
    <n v="52079"/>
    <n v="624948"/>
  </r>
  <r>
    <n v="392"/>
    <s v="Christine"/>
    <s v="Robinson"/>
    <x v="2"/>
    <n v="2"/>
    <x v="4"/>
    <d v="2024-02-25T00:00:00"/>
    <x v="3"/>
    <n v="49"/>
    <n v="53603"/>
    <n v="643236"/>
  </r>
  <r>
    <n v="393"/>
    <s v="Angela"/>
    <s v="Gross"/>
    <x v="3"/>
    <n v="11"/>
    <x v="7"/>
    <d v="2017-11-19T00:00:00"/>
    <x v="1"/>
    <n v="40"/>
    <n v="49241"/>
    <n v="590892"/>
  </r>
  <r>
    <n v="394"/>
    <s v="Christopher"/>
    <s v="Leon"/>
    <x v="4"/>
    <n v="10"/>
    <x v="1"/>
    <d v="2016-10-15T00:00:00"/>
    <x v="4"/>
    <n v="30"/>
    <n v="41296"/>
    <n v="495552"/>
  </r>
  <r>
    <n v="395"/>
    <s v="Ashley"/>
    <s v="Harris"/>
    <x v="3"/>
    <n v="5"/>
    <x v="7"/>
    <d v="2017-05-14T00:00:00"/>
    <x v="3"/>
    <n v="10"/>
    <n v="77364"/>
    <n v="928368"/>
  </r>
  <r>
    <n v="396"/>
    <s v="Tracy"/>
    <s v="Bell"/>
    <x v="0"/>
    <n v="1"/>
    <x v="8"/>
    <d v="2019-01-30T00:00:00"/>
    <x v="3"/>
    <n v="40"/>
    <n v="67257"/>
    <n v="807084"/>
  </r>
  <r>
    <n v="397"/>
    <s v="Steven"/>
    <s v="Lucas"/>
    <x v="4"/>
    <n v="8"/>
    <x v="8"/>
    <d v="2019-08-31T00:00:00"/>
    <x v="2"/>
    <n v="23"/>
    <n v="22188"/>
    <n v="266256"/>
  </r>
  <r>
    <n v="398"/>
    <s v="David"/>
    <s v="Watson"/>
    <x v="2"/>
    <n v="6"/>
    <x v="7"/>
    <d v="2017-06-26T00:00:00"/>
    <x v="0"/>
    <n v="43"/>
    <n v="46775"/>
    <n v="561300"/>
  </r>
  <r>
    <n v="399"/>
    <s v="David"/>
    <s v="Weaver"/>
    <x v="0"/>
    <n v="3"/>
    <x v="0"/>
    <d v="2021-03-26T00:00:00"/>
    <x v="4"/>
    <n v="32"/>
    <n v="21968"/>
    <n v="263616"/>
  </r>
  <r>
    <n v="400"/>
    <s v="Amanda"/>
    <s v="Clark"/>
    <x v="4"/>
    <n v="11"/>
    <x v="6"/>
    <d v="2022-11-03T00:00:00"/>
    <x v="3"/>
    <n v="16"/>
    <n v="103354"/>
    <n v="1240248"/>
  </r>
  <r>
    <n v="401"/>
    <s v="Robert"/>
    <s v="Stevens"/>
    <x v="0"/>
    <n v="7"/>
    <x v="2"/>
    <d v="2018-07-20T00:00:00"/>
    <x v="1"/>
    <n v="3"/>
    <n v="106449"/>
    <n v="1277388"/>
  </r>
  <r>
    <n v="402"/>
    <s v="Daniel"/>
    <s v="Villanueva"/>
    <x v="1"/>
    <n v="3"/>
    <x v="8"/>
    <d v="2019-03-04T00:00:00"/>
    <x v="0"/>
    <n v="36"/>
    <n v="49105"/>
    <n v="589260"/>
  </r>
  <r>
    <n v="403"/>
    <s v="Sandra"/>
    <s v="Washington"/>
    <x v="0"/>
    <n v="8"/>
    <x v="6"/>
    <d v="2022-08-01T00:00:00"/>
    <x v="2"/>
    <n v="22"/>
    <n v="74385"/>
    <n v="892620"/>
  </r>
  <r>
    <n v="404"/>
    <s v="Robert"/>
    <s v="Alvarez"/>
    <x v="1"/>
    <n v="9"/>
    <x v="3"/>
    <d v="2023-09-01T00:00:00"/>
    <x v="4"/>
    <n v="14"/>
    <n v="22366"/>
    <n v="268392"/>
  </r>
  <r>
    <n v="405"/>
    <s v="James"/>
    <s v="Lee"/>
    <x v="4"/>
    <n v="4"/>
    <x v="1"/>
    <d v="2016-04-02T00:00:00"/>
    <x v="3"/>
    <n v="28"/>
    <n v="103142"/>
    <n v="1237704"/>
  </r>
  <r>
    <n v="406"/>
    <s v="Makayla"/>
    <s v="Norris"/>
    <x v="0"/>
    <n v="9"/>
    <x v="7"/>
    <d v="2017-09-19T00:00:00"/>
    <x v="0"/>
    <n v="24"/>
    <n v="108705"/>
    <n v="1304460"/>
  </r>
  <r>
    <n v="407"/>
    <s v="Paul"/>
    <s v="Weiss"/>
    <x v="0"/>
    <n v="1"/>
    <x v="5"/>
    <d v="2020-01-28T00:00:00"/>
    <x v="4"/>
    <n v="46"/>
    <n v="29505"/>
    <n v="354060"/>
  </r>
  <r>
    <n v="408"/>
    <s v="Meghan"/>
    <s v="Smith"/>
    <x v="0"/>
    <n v="1"/>
    <x v="0"/>
    <d v="2021-01-27T00:00:00"/>
    <x v="3"/>
    <n v="18"/>
    <n v="32183"/>
    <n v="386196"/>
  </r>
  <r>
    <n v="409"/>
    <s v="Mark"/>
    <s v="Jones"/>
    <x v="4"/>
    <n v="1"/>
    <x v="3"/>
    <d v="2023-01-20T00:00:00"/>
    <x v="4"/>
    <n v="9"/>
    <n v="26945"/>
    <n v="323340"/>
  </r>
  <r>
    <n v="410"/>
    <s v="Tracy"/>
    <s v="Smith"/>
    <x v="3"/>
    <n v="9"/>
    <x v="7"/>
    <d v="2017-09-10T00:00:00"/>
    <x v="1"/>
    <n v="28"/>
    <n v="47186"/>
    <n v="566232"/>
  </r>
  <r>
    <n v="411"/>
    <s v="Christopher"/>
    <s v="Gallegos"/>
    <x v="2"/>
    <n v="6"/>
    <x v="2"/>
    <d v="2018-06-16T00:00:00"/>
    <x v="3"/>
    <n v="9"/>
    <n v="81033"/>
    <n v="972396"/>
  </r>
  <r>
    <n v="412"/>
    <s v="Anthony"/>
    <s v="Williams"/>
    <x v="2"/>
    <n v="8"/>
    <x v="3"/>
    <d v="2023-08-10T00:00:00"/>
    <x v="2"/>
    <n v="37"/>
    <n v="99364"/>
    <n v="1192368"/>
  </r>
  <r>
    <n v="413"/>
    <s v="Jesse"/>
    <s v="Glenn"/>
    <x v="1"/>
    <n v="2"/>
    <x v="2"/>
    <d v="2018-02-08T00:00:00"/>
    <x v="3"/>
    <n v="37"/>
    <n v="39416"/>
    <n v="472992"/>
  </r>
  <r>
    <n v="414"/>
    <s v="Tiffany"/>
    <s v="Matthews"/>
    <x v="2"/>
    <n v="7"/>
    <x v="8"/>
    <d v="2019-07-23T00:00:00"/>
    <x v="2"/>
    <n v="36"/>
    <n v="51423"/>
    <n v="617076"/>
  </r>
  <r>
    <n v="415"/>
    <s v="Carlos"/>
    <s v="Carter"/>
    <x v="2"/>
    <n v="4"/>
    <x v="6"/>
    <d v="2022-04-24T00:00:00"/>
    <x v="2"/>
    <n v="27"/>
    <n v="93018"/>
    <n v="1116216"/>
  </r>
  <r>
    <n v="416"/>
    <s v="Courtney"/>
    <s v="Mcdonald"/>
    <x v="4"/>
    <n v="9"/>
    <x v="0"/>
    <d v="2021-09-17T00:00:00"/>
    <x v="4"/>
    <n v="1"/>
    <n v="82830"/>
    <n v="993960"/>
  </r>
  <r>
    <n v="417"/>
    <s v="Ernest"/>
    <s v="Woods"/>
    <x v="2"/>
    <n v="1"/>
    <x v="1"/>
    <d v="2016-01-30T00:00:00"/>
    <x v="1"/>
    <n v="35"/>
    <n v="20961"/>
    <n v="251532"/>
  </r>
  <r>
    <n v="418"/>
    <s v="Samantha"/>
    <s v="Wood"/>
    <x v="2"/>
    <n v="8"/>
    <x v="5"/>
    <d v="2020-08-07T00:00:00"/>
    <x v="3"/>
    <n v="46"/>
    <n v="92684"/>
    <n v="1112208"/>
  </r>
  <r>
    <n v="419"/>
    <s v="Judy"/>
    <s v="Byrd"/>
    <x v="4"/>
    <n v="6"/>
    <x v="6"/>
    <d v="2022-06-25T00:00:00"/>
    <x v="0"/>
    <n v="2"/>
    <n v="84379"/>
    <n v="1012548"/>
  </r>
  <r>
    <n v="420"/>
    <s v="Scott"/>
    <s v="Eaton"/>
    <x v="3"/>
    <n v="12"/>
    <x v="3"/>
    <d v="2023-12-18T00:00:00"/>
    <x v="2"/>
    <n v="32"/>
    <n v="106193"/>
    <n v="1274316"/>
  </r>
  <r>
    <n v="421"/>
    <s v="Devon"/>
    <s v="Murray"/>
    <x v="4"/>
    <n v="2"/>
    <x v="5"/>
    <d v="2020-02-18T00:00:00"/>
    <x v="3"/>
    <n v="13"/>
    <n v="70326"/>
    <n v="843912"/>
  </r>
  <r>
    <n v="422"/>
    <s v="Elizabeth"/>
    <s v="Joyce"/>
    <x v="0"/>
    <n v="4"/>
    <x v="1"/>
    <d v="2016-04-30T00:00:00"/>
    <x v="4"/>
    <n v="1"/>
    <n v="90670"/>
    <n v="1088040"/>
  </r>
  <r>
    <n v="423"/>
    <s v="Carolyn"/>
    <s v="Kemp"/>
    <x v="3"/>
    <n v="6"/>
    <x v="3"/>
    <d v="2023-06-26T00:00:00"/>
    <x v="2"/>
    <n v="18"/>
    <n v="70705"/>
    <n v="848460"/>
  </r>
  <r>
    <n v="424"/>
    <s v="Susan"/>
    <s v="Martin"/>
    <x v="4"/>
    <n v="12"/>
    <x v="8"/>
    <d v="2019-12-20T00:00:00"/>
    <x v="1"/>
    <n v="7"/>
    <n v="114427"/>
    <n v="1373124"/>
  </r>
  <r>
    <n v="425"/>
    <s v="Rebecca"/>
    <s v="Flores"/>
    <x v="4"/>
    <n v="10"/>
    <x v="2"/>
    <d v="2018-10-11T00:00:00"/>
    <x v="0"/>
    <n v="18"/>
    <n v="96260"/>
    <n v="1155120"/>
  </r>
  <r>
    <n v="426"/>
    <s v="Todd"/>
    <s v="Lam"/>
    <x v="0"/>
    <n v="1"/>
    <x v="4"/>
    <d v="2024-01-30T00:00:00"/>
    <x v="4"/>
    <n v="7"/>
    <n v="45446"/>
    <n v="545352"/>
  </r>
  <r>
    <n v="427"/>
    <s v="James"/>
    <s v="Fowler"/>
    <x v="0"/>
    <n v="3"/>
    <x v="4"/>
    <d v="2024-03-06T00:00:00"/>
    <x v="4"/>
    <n v="31"/>
    <n v="90338"/>
    <n v="1084056"/>
  </r>
  <r>
    <n v="428"/>
    <s v="Alexander"/>
    <s v="Gallegos"/>
    <x v="1"/>
    <n v="12"/>
    <x v="2"/>
    <d v="2018-12-31T00:00:00"/>
    <x v="0"/>
    <n v="11"/>
    <n v="93025"/>
    <n v="1116300"/>
  </r>
  <r>
    <n v="429"/>
    <s v="Raymond"/>
    <s v="Young"/>
    <x v="3"/>
    <n v="1"/>
    <x v="0"/>
    <d v="2021-01-27T00:00:00"/>
    <x v="0"/>
    <n v="30"/>
    <n v="75788"/>
    <n v="909456"/>
  </r>
  <r>
    <n v="430"/>
    <s v="Paul"/>
    <s v="Moore"/>
    <x v="4"/>
    <n v="3"/>
    <x v="3"/>
    <d v="2023-03-10T00:00:00"/>
    <x v="2"/>
    <n v="1"/>
    <n v="71905"/>
    <n v="862860"/>
  </r>
  <r>
    <n v="431"/>
    <s v="Karen"/>
    <s v="Morales"/>
    <x v="2"/>
    <n v="4"/>
    <x v="5"/>
    <d v="2020-04-30T00:00:00"/>
    <x v="1"/>
    <n v="1"/>
    <n v="118007"/>
    <n v="1416084"/>
  </r>
  <r>
    <n v="432"/>
    <s v="Robert"/>
    <s v="Davis"/>
    <x v="3"/>
    <n v="7"/>
    <x v="5"/>
    <d v="2020-07-25T00:00:00"/>
    <x v="0"/>
    <n v="33"/>
    <n v="113908"/>
    <n v="1366896"/>
  </r>
  <r>
    <n v="433"/>
    <s v="Mathew"/>
    <s v="Taylor"/>
    <x v="4"/>
    <n v="10"/>
    <x v="3"/>
    <d v="2023-10-01T00:00:00"/>
    <x v="1"/>
    <n v="48"/>
    <n v="101276"/>
    <n v="1215312"/>
  </r>
  <r>
    <n v="434"/>
    <s v="Jim"/>
    <s v="Sullivan"/>
    <x v="3"/>
    <n v="12"/>
    <x v="1"/>
    <d v="2016-12-23T00:00:00"/>
    <x v="1"/>
    <n v="2"/>
    <n v="64914"/>
    <n v="778968"/>
  </r>
  <r>
    <n v="435"/>
    <s v="Edward"/>
    <s v="Lawson"/>
    <x v="1"/>
    <n v="6"/>
    <x v="1"/>
    <d v="2016-06-12T00:00:00"/>
    <x v="2"/>
    <n v="5"/>
    <n v="57746"/>
    <n v="692952"/>
  </r>
  <r>
    <n v="436"/>
    <s v="Lisa"/>
    <s v="Price"/>
    <x v="4"/>
    <n v="4"/>
    <x v="0"/>
    <d v="2021-04-18T00:00:00"/>
    <x v="4"/>
    <n v="36"/>
    <n v="99614"/>
    <n v="1195368"/>
  </r>
  <r>
    <n v="437"/>
    <s v="Katherine"/>
    <s v="Little"/>
    <x v="2"/>
    <n v="7"/>
    <x v="1"/>
    <d v="2016-07-09T00:00:00"/>
    <x v="3"/>
    <n v="43"/>
    <n v="110279"/>
    <n v="1323348"/>
  </r>
  <r>
    <n v="438"/>
    <s v="William"/>
    <s v="Hudson"/>
    <x v="3"/>
    <n v="8"/>
    <x v="8"/>
    <d v="2019-08-22T00:00:00"/>
    <x v="0"/>
    <n v="41"/>
    <n v="39258"/>
    <n v="471096"/>
  </r>
  <r>
    <n v="439"/>
    <s v="Jeffrey"/>
    <s v="Brown"/>
    <x v="2"/>
    <n v="11"/>
    <x v="3"/>
    <d v="2023-11-29T00:00:00"/>
    <x v="1"/>
    <n v="2"/>
    <n v="54886"/>
    <n v="658632"/>
  </r>
  <r>
    <n v="440"/>
    <s v="Stacy"/>
    <s v="Douglas"/>
    <x v="4"/>
    <n v="8"/>
    <x v="6"/>
    <d v="2022-08-13T00:00:00"/>
    <x v="2"/>
    <n v="29"/>
    <n v="100666"/>
    <n v="1207992"/>
  </r>
  <r>
    <n v="441"/>
    <s v="William"/>
    <s v="Rodriguez"/>
    <x v="4"/>
    <n v="4"/>
    <x v="0"/>
    <d v="2021-04-23T00:00:00"/>
    <x v="3"/>
    <n v="5"/>
    <n v="105351"/>
    <n v="1264212"/>
  </r>
  <r>
    <n v="442"/>
    <s v="Deborah"/>
    <s v="Foster"/>
    <x v="0"/>
    <n v="9"/>
    <x v="2"/>
    <d v="2018-09-28T00:00:00"/>
    <x v="3"/>
    <n v="31"/>
    <n v="20737"/>
    <n v="248844"/>
  </r>
  <r>
    <n v="443"/>
    <s v="Shannon"/>
    <s v="Gallegos"/>
    <x v="0"/>
    <n v="7"/>
    <x v="3"/>
    <d v="2023-07-04T00:00:00"/>
    <x v="3"/>
    <n v="12"/>
    <n v="39617"/>
    <n v="475404"/>
  </r>
  <r>
    <n v="444"/>
    <s v="Anna"/>
    <s v="Long"/>
    <x v="0"/>
    <n v="3"/>
    <x v="2"/>
    <d v="2018-03-16T00:00:00"/>
    <x v="4"/>
    <n v="32"/>
    <n v="86561"/>
    <n v="1038732"/>
  </r>
  <r>
    <n v="445"/>
    <s v="Nathaniel"/>
    <s v="Holmes"/>
    <x v="2"/>
    <n v="3"/>
    <x v="5"/>
    <d v="2020-03-15T00:00:00"/>
    <x v="2"/>
    <n v="27"/>
    <n v="58470"/>
    <n v="701640"/>
  </r>
  <r>
    <n v="446"/>
    <s v="Jonathan"/>
    <s v="Dickson"/>
    <x v="1"/>
    <n v="1"/>
    <x v="0"/>
    <d v="2021-01-07T00:00:00"/>
    <x v="3"/>
    <n v="17"/>
    <n v="114542"/>
    <n v="1374504"/>
  </r>
  <r>
    <n v="447"/>
    <s v="Brandi"/>
    <s v="Moore"/>
    <x v="2"/>
    <n v="10"/>
    <x v="4"/>
    <d v="2024-10-13T00:00:00"/>
    <x v="0"/>
    <n v="5"/>
    <n v="87957"/>
    <n v="1055484"/>
  </r>
  <r>
    <n v="448"/>
    <s v="Marcus"/>
    <s v="Glass"/>
    <x v="2"/>
    <n v="3"/>
    <x v="7"/>
    <d v="2017-03-15T00:00:00"/>
    <x v="4"/>
    <n v="46"/>
    <n v="114760"/>
    <n v="1377120"/>
  </r>
  <r>
    <n v="449"/>
    <s v="Wyatt"/>
    <s v="Vasquez"/>
    <x v="2"/>
    <n v="8"/>
    <x v="2"/>
    <d v="2018-08-22T00:00:00"/>
    <x v="3"/>
    <n v="17"/>
    <n v="91153"/>
    <n v="1093836"/>
  </r>
  <r>
    <n v="450"/>
    <s v="Mary"/>
    <s v="Reyes"/>
    <x v="0"/>
    <n v="5"/>
    <x v="7"/>
    <d v="2017-05-24T00:00:00"/>
    <x v="2"/>
    <n v="6"/>
    <n v="31191"/>
    <n v="374292"/>
  </r>
  <r>
    <n v="451"/>
    <s v="Deanna"/>
    <s v="Barrett"/>
    <x v="3"/>
    <n v="4"/>
    <x v="4"/>
    <d v="2024-04-05T00:00:00"/>
    <x v="4"/>
    <n v="12"/>
    <n v="107108"/>
    <n v="1285296"/>
  </r>
  <r>
    <n v="452"/>
    <s v="Lorraine"/>
    <s v="Jimenez"/>
    <x v="4"/>
    <n v="3"/>
    <x v="5"/>
    <d v="2020-03-12T00:00:00"/>
    <x v="3"/>
    <n v="40"/>
    <n v="33076"/>
    <n v="396912"/>
  </r>
  <r>
    <n v="453"/>
    <s v="Heidi"/>
    <s v="Brooks"/>
    <x v="0"/>
    <n v="12"/>
    <x v="0"/>
    <d v="2021-12-30T00:00:00"/>
    <x v="4"/>
    <n v="34"/>
    <n v="63228"/>
    <n v="758736"/>
  </r>
  <r>
    <n v="454"/>
    <s v="Angel"/>
    <s v="Flowers"/>
    <x v="3"/>
    <n v="1"/>
    <x v="3"/>
    <d v="2023-01-30T00:00:00"/>
    <x v="1"/>
    <n v="12"/>
    <n v="75753"/>
    <n v="909036"/>
  </r>
  <r>
    <n v="455"/>
    <s v="Joshua"/>
    <s v="Gordon"/>
    <x v="4"/>
    <n v="8"/>
    <x v="6"/>
    <d v="2022-08-27T00:00:00"/>
    <x v="0"/>
    <n v="21"/>
    <n v="30735"/>
    <n v="368820"/>
  </r>
  <r>
    <n v="456"/>
    <s v="Priscilla"/>
    <s v="Torres"/>
    <x v="2"/>
    <n v="2"/>
    <x v="7"/>
    <d v="2017-02-17T00:00:00"/>
    <x v="2"/>
    <n v="46"/>
    <n v="86315"/>
    <n v="1035780"/>
  </r>
  <r>
    <n v="457"/>
    <s v="Gabrielle"/>
    <s v="Bates"/>
    <x v="2"/>
    <n v="3"/>
    <x v="3"/>
    <d v="2023-03-09T00:00:00"/>
    <x v="0"/>
    <n v="34"/>
    <n v="66362"/>
    <n v="796344"/>
  </r>
  <r>
    <n v="458"/>
    <s v="Sharon"/>
    <s v="Gonzales"/>
    <x v="1"/>
    <n v="2"/>
    <x v="4"/>
    <d v="2024-02-03T00:00:00"/>
    <x v="2"/>
    <n v="46"/>
    <n v="46087"/>
    <n v="553044"/>
  </r>
  <r>
    <n v="459"/>
    <s v="Robert"/>
    <s v="Acevedo"/>
    <x v="3"/>
    <n v="7"/>
    <x v="2"/>
    <d v="2018-07-23T00:00:00"/>
    <x v="2"/>
    <n v="37"/>
    <n v="68314"/>
    <n v="819768"/>
  </r>
  <r>
    <n v="460"/>
    <s v="Samuel"/>
    <s v="Salazar"/>
    <x v="2"/>
    <n v="3"/>
    <x v="0"/>
    <d v="2021-03-08T00:00:00"/>
    <x v="3"/>
    <n v="9"/>
    <n v="87925"/>
    <n v="1055100"/>
  </r>
  <r>
    <n v="461"/>
    <s v="Alicia"/>
    <s v="Lee"/>
    <x v="2"/>
    <n v="7"/>
    <x v="2"/>
    <d v="2018-07-28T00:00:00"/>
    <x v="0"/>
    <n v="34"/>
    <n v="66931"/>
    <n v="803172"/>
  </r>
  <r>
    <n v="462"/>
    <s v="Richard"/>
    <s v="Reynolds"/>
    <x v="3"/>
    <n v="12"/>
    <x v="7"/>
    <d v="2017-12-06T00:00:00"/>
    <x v="0"/>
    <n v="28"/>
    <n v="40689"/>
    <n v="488268"/>
  </r>
  <r>
    <n v="463"/>
    <s v="Erin"/>
    <s v="Gray"/>
    <x v="1"/>
    <n v="9"/>
    <x v="8"/>
    <d v="2019-09-28T00:00:00"/>
    <x v="0"/>
    <n v="29"/>
    <n v="50279"/>
    <n v="603348"/>
  </r>
  <r>
    <n v="464"/>
    <s v="Evelyn"/>
    <s v="Hardy"/>
    <x v="4"/>
    <n v="3"/>
    <x v="7"/>
    <d v="2017-03-29T00:00:00"/>
    <x v="4"/>
    <n v="28"/>
    <n v="119933"/>
    <n v="1439196"/>
  </r>
  <r>
    <n v="465"/>
    <s v="Annette"/>
    <s v="Peterson"/>
    <x v="3"/>
    <n v="5"/>
    <x v="6"/>
    <d v="2022-05-31T00:00:00"/>
    <x v="4"/>
    <n v="43"/>
    <n v="72289"/>
    <n v="867468"/>
  </r>
  <r>
    <n v="466"/>
    <s v="Darin"/>
    <s v="Paul"/>
    <x v="2"/>
    <n v="5"/>
    <x v="8"/>
    <d v="2019-05-19T00:00:00"/>
    <x v="3"/>
    <n v="33"/>
    <n v="22076"/>
    <n v="264912"/>
  </r>
  <r>
    <n v="467"/>
    <s v="David"/>
    <s v="Adkins"/>
    <x v="3"/>
    <n v="1"/>
    <x v="1"/>
    <d v="2016-01-22T00:00:00"/>
    <x v="2"/>
    <n v="33"/>
    <n v="57733"/>
    <n v="692796"/>
  </r>
  <r>
    <n v="468"/>
    <s v="Elizabeth"/>
    <s v="Collins"/>
    <x v="1"/>
    <n v="11"/>
    <x v="8"/>
    <d v="2019-11-23T00:00:00"/>
    <x v="3"/>
    <n v="9"/>
    <n v="80972"/>
    <n v="971664"/>
  </r>
  <r>
    <n v="469"/>
    <s v="Kathleen"/>
    <s v="Davis"/>
    <x v="0"/>
    <n v="4"/>
    <x v="4"/>
    <d v="2024-04-19T00:00:00"/>
    <x v="0"/>
    <n v="47"/>
    <n v="46322"/>
    <n v="555864"/>
  </r>
  <r>
    <n v="470"/>
    <s v="Justin"/>
    <s v="Olsen"/>
    <x v="4"/>
    <n v="7"/>
    <x v="8"/>
    <d v="2019-07-29T00:00:00"/>
    <x v="0"/>
    <n v="31"/>
    <n v="62582"/>
    <n v="750984"/>
  </r>
  <r>
    <n v="471"/>
    <s v="Wendy"/>
    <s v="Mason"/>
    <x v="4"/>
    <n v="7"/>
    <x v="6"/>
    <d v="2022-07-08T00:00:00"/>
    <x v="1"/>
    <n v="34"/>
    <n v="38707"/>
    <n v="464484"/>
  </r>
  <r>
    <n v="472"/>
    <s v="Taylor"/>
    <s v="Gutierrez"/>
    <x v="4"/>
    <n v="9"/>
    <x v="2"/>
    <d v="2018-09-01T00:00:00"/>
    <x v="4"/>
    <n v="26"/>
    <n v="80343"/>
    <n v="964116"/>
  </r>
  <r>
    <n v="473"/>
    <s v="Melissa"/>
    <s v="Jackson"/>
    <x v="3"/>
    <n v="8"/>
    <x v="8"/>
    <d v="2019-08-13T00:00:00"/>
    <x v="1"/>
    <n v="39"/>
    <n v="81572"/>
    <n v="978864"/>
  </r>
  <r>
    <n v="474"/>
    <s v="Michelle"/>
    <s v="Richardson"/>
    <x v="3"/>
    <n v="11"/>
    <x v="3"/>
    <d v="2023-11-29T00:00:00"/>
    <x v="4"/>
    <n v="17"/>
    <n v="109537"/>
    <n v="1314444"/>
  </r>
  <r>
    <n v="475"/>
    <s v="Larry"/>
    <s v="Nunez"/>
    <x v="2"/>
    <n v="4"/>
    <x v="6"/>
    <d v="2022-04-16T00:00:00"/>
    <x v="3"/>
    <n v="14"/>
    <n v="32630"/>
    <n v="391560"/>
  </r>
  <r>
    <n v="476"/>
    <s v="Laura"/>
    <s v="Stokes"/>
    <x v="0"/>
    <n v="4"/>
    <x v="0"/>
    <d v="2021-04-24T00:00:00"/>
    <x v="4"/>
    <n v="8"/>
    <n v="49244"/>
    <n v="590928"/>
  </r>
  <r>
    <n v="477"/>
    <s v="Faith"/>
    <s v="Grant"/>
    <x v="3"/>
    <n v="7"/>
    <x v="2"/>
    <d v="2018-07-29T00:00:00"/>
    <x v="4"/>
    <n v="6"/>
    <n v="25376"/>
    <n v="304512"/>
  </r>
  <r>
    <n v="478"/>
    <s v="Stephen"/>
    <s v="Fisher"/>
    <x v="3"/>
    <n v="5"/>
    <x v="3"/>
    <d v="2023-05-12T00:00:00"/>
    <x v="0"/>
    <n v="10"/>
    <n v="94653"/>
    <n v="1135836"/>
  </r>
  <r>
    <n v="479"/>
    <s v="Jeremy"/>
    <s v="Mason"/>
    <x v="4"/>
    <n v="7"/>
    <x v="8"/>
    <d v="2019-07-13T00:00:00"/>
    <x v="4"/>
    <n v="27"/>
    <n v="116624"/>
    <n v="1399488"/>
  </r>
  <r>
    <n v="480"/>
    <s v="Dorothy"/>
    <s v="Lee"/>
    <x v="0"/>
    <n v="5"/>
    <x v="2"/>
    <d v="2018-05-19T00:00:00"/>
    <x v="4"/>
    <n v="8"/>
    <n v="27006"/>
    <n v="324072"/>
  </r>
  <r>
    <n v="481"/>
    <s v="Taylor"/>
    <s v="Welch"/>
    <x v="0"/>
    <n v="1"/>
    <x v="4"/>
    <d v="2024-01-02T00:00:00"/>
    <x v="4"/>
    <n v="16"/>
    <n v="41141"/>
    <n v="493692"/>
  </r>
  <r>
    <n v="482"/>
    <s v="Paul"/>
    <s v="Davis"/>
    <x v="2"/>
    <n v="7"/>
    <x v="4"/>
    <d v="2024-07-06T00:00:00"/>
    <x v="1"/>
    <n v="27"/>
    <n v="52597"/>
    <n v="631164"/>
  </r>
  <r>
    <n v="483"/>
    <s v="Mallory"/>
    <s v="Espinoza"/>
    <x v="4"/>
    <n v="4"/>
    <x v="1"/>
    <d v="2016-04-01T00:00:00"/>
    <x v="2"/>
    <n v="42"/>
    <n v="67020"/>
    <n v="804240"/>
  </r>
  <r>
    <n v="484"/>
    <s v="Matthew"/>
    <s v="Flores"/>
    <x v="3"/>
    <n v="8"/>
    <x v="1"/>
    <d v="2016-08-28T00:00:00"/>
    <x v="4"/>
    <n v="39"/>
    <n v="110227"/>
    <n v="1322724"/>
  </r>
  <r>
    <n v="485"/>
    <s v="Crystal"/>
    <s v="Vaughn"/>
    <x v="2"/>
    <n v="6"/>
    <x v="0"/>
    <d v="2021-06-11T00:00:00"/>
    <x v="3"/>
    <n v="46"/>
    <n v="85784"/>
    <n v="1029408"/>
  </r>
  <r>
    <n v="486"/>
    <s v="Michael"/>
    <s v="Smith"/>
    <x v="4"/>
    <n v="10"/>
    <x v="8"/>
    <d v="2019-10-05T00:00:00"/>
    <x v="0"/>
    <n v="48"/>
    <n v="80878"/>
    <n v="970536"/>
  </r>
  <r>
    <n v="487"/>
    <s v="Kelly"/>
    <s v="Galvan"/>
    <x v="0"/>
    <n v="5"/>
    <x v="5"/>
    <d v="2020-05-17T00:00:00"/>
    <x v="1"/>
    <n v="16"/>
    <n v="84656"/>
    <n v="1015872"/>
  </r>
  <r>
    <n v="488"/>
    <s v="Patrick"/>
    <s v="Carlson"/>
    <x v="2"/>
    <n v="7"/>
    <x v="8"/>
    <d v="2019-07-05T00:00:00"/>
    <x v="3"/>
    <n v="20"/>
    <n v="55601"/>
    <n v="667212"/>
  </r>
  <r>
    <n v="489"/>
    <s v="John"/>
    <s v="Williams"/>
    <x v="0"/>
    <n v="1"/>
    <x v="6"/>
    <d v="2022-01-15T00:00:00"/>
    <x v="1"/>
    <n v="32"/>
    <n v="78684"/>
    <n v="944208"/>
  </r>
  <r>
    <n v="490"/>
    <s v="Jamie"/>
    <s v="Rodriguez"/>
    <x v="0"/>
    <n v="10"/>
    <x v="0"/>
    <d v="2021-10-08T00:00:00"/>
    <x v="3"/>
    <n v="46"/>
    <n v="116790"/>
    <n v="1401480"/>
  </r>
  <r>
    <n v="491"/>
    <s v="Mary"/>
    <s v="Jenkins"/>
    <x v="2"/>
    <n v="11"/>
    <x v="1"/>
    <d v="2016-11-06T00:00:00"/>
    <x v="2"/>
    <n v="19"/>
    <n v="23826"/>
    <n v="285912"/>
  </r>
  <r>
    <n v="492"/>
    <s v="Amy"/>
    <s v="Hardin"/>
    <x v="0"/>
    <n v="12"/>
    <x v="8"/>
    <d v="2019-12-01T00:00:00"/>
    <x v="2"/>
    <n v="26"/>
    <n v="28962"/>
    <n v="347544"/>
  </r>
  <r>
    <n v="493"/>
    <s v="Roberto"/>
    <s v="Cannon"/>
    <x v="4"/>
    <n v="5"/>
    <x v="7"/>
    <d v="2017-05-25T00:00:00"/>
    <x v="0"/>
    <n v="24"/>
    <n v="115702"/>
    <n v="1388424"/>
  </r>
  <r>
    <n v="494"/>
    <s v="Randall"/>
    <s v="Hernandez"/>
    <x v="1"/>
    <n v="8"/>
    <x v="4"/>
    <d v="2024-08-15T00:00:00"/>
    <x v="2"/>
    <n v="32"/>
    <n v="78279"/>
    <n v="939348"/>
  </r>
  <r>
    <n v="495"/>
    <s v="Glenn"/>
    <s v="Adkins"/>
    <x v="3"/>
    <n v="3"/>
    <x v="2"/>
    <d v="2018-03-01T00:00:00"/>
    <x v="1"/>
    <n v="39"/>
    <n v="22672"/>
    <n v="272064"/>
  </r>
  <r>
    <n v="496"/>
    <s v="Kimberly"/>
    <s v="Bonilla"/>
    <x v="1"/>
    <n v="3"/>
    <x v="1"/>
    <d v="2016-03-29T00:00:00"/>
    <x v="4"/>
    <n v="6"/>
    <n v="101028"/>
    <n v="1212336"/>
  </r>
  <r>
    <n v="497"/>
    <s v="Tracy"/>
    <s v="Henry"/>
    <x v="3"/>
    <n v="10"/>
    <x v="7"/>
    <d v="2017-10-27T00:00:00"/>
    <x v="4"/>
    <n v="2"/>
    <n v="91773"/>
    <n v="1101276"/>
  </r>
  <r>
    <n v="498"/>
    <s v="Jasmine"/>
    <s v="Gonzalez"/>
    <x v="2"/>
    <n v="6"/>
    <x v="2"/>
    <d v="2018-06-06T00:00:00"/>
    <x v="0"/>
    <n v="47"/>
    <n v="61651"/>
    <n v="739812"/>
  </r>
  <r>
    <n v="499"/>
    <s v="Cassandra"/>
    <s v="Clarke"/>
    <x v="3"/>
    <n v="11"/>
    <x v="2"/>
    <d v="2018-11-25T00:00:00"/>
    <x v="1"/>
    <n v="43"/>
    <n v="108577"/>
    <n v="1302924"/>
  </r>
  <r>
    <n v="500"/>
    <s v="Jonathan"/>
    <s v="Hayes"/>
    <x v="4"/>
    <n v="1"/>
    <x v="2"/>
    <d v="2018-01-04T00:00:00"/>
    <x v="4"/>
    <n v="13"/>
    <n v="81764"/>
    <n v="981168"/>
  </r>
  <r>
    <n v="501"/>
    <s v="Dave"/>
    <s v="Thomas"/>
    <x v="0"/>
    <n v="3"/>
    <x v="2"/>
    <d v="2018-03-04T00:00:00"/>
    <x v="3"/>
    <n v="12"/>
    <n v="68714"/>
    <n v="824568"/>
  </r>
  <r>
    <n v="502"/>
    <s v="Deborah"/>
    <s v="Villarreal"/>
    <x v="3"/>
    <n v="11"/>
    <x v="3"/>
    <d v="2023-11-13T00:00:00"/>
    <x v="1"/>
    <n v="24"/>
    <n v="92465"/>
    <n v="1109580"/>
  </r>
  <r>
    <n v="503"/>
    <s v="Jessica"/>
    <s v="Flowers"/>
    <x v="3"/>
    <n v="11"/>
    <x v="8"/>
    <d v="2019-11-16T00:00:00"/>
    <x v="3"/>
    <n v="19"/>
    <n v="31229"/>
    <n v="374748"/>
  </r>
  <r>
    <n v="504"/>
    <s v="Seth"/>
    <s v="Cordova"/>
    <x v="4"/>
    <n v="2"/>
    <x v="5"/>
    <d v="2020-02-07T00:00:00"/>
    <x v="2"/>
    <n v="35"/>
    <n v="112600"/>
    <n v="1351200"/>
  </r>
  <r>
    <n v="505"/>
    <s v="Diana"/>
    <s v="Lewis"/>
    <x v="1"/>
    <n v="8"/>
    <x v="0"/>
    <d v="2021-08-06T00:00:00"/>
    <x v="3"/>
    <n v="20"/>
    <n v="71401"/>
    <n v="856812"/>
  </r>
  <r>
    <n v="506"/>
    <s v="David"/>
    <s v="Estes"/>
    <x v="3"/>
    <n v="5"/>
    <x v="7"/>
    <d v="2017-05-31T00:00:00"/>
    <x v="3"/>
    <n v="33"/>
    <n v="76423"/>
    <n v="917076"/>
  </r>
  <r>
    <n v="507"/>
    <s v="Laura"/>
    <s v="Brady"/>
    <x v="0"/>
    <n v="8"/>
    <x v="2"/>
    <d v="2018-08-22T00:00:00"/>
    <x v="1"/>
    <n v="7"/>
    <n v="40943"/>
    <n v="491316"/>
  </r>
  <r>
    <n v="508"/>
    <s v="Crystal"/>
    <s v="Allen"/>
    <x v="3"/>
    <n v="5"/>
    <x v="0"/>
    <d v="2021-05-22T00:00:00"/>
    <x v="2"/>
    <n v="6"/>
    <n v="114160"/>
    <n v="1369920"/>
  </r>
  <r>
    <n v="509"/>
    <s v="April"/>
    <s v="Meyer"/>
    <x v="1"/>
    <n v="11"/>
    <x v="3"/>
    <d v="2023-11-02T00:00:00"/>
    <x v="2"/>
    <n v="2"/>
    <n v="71823"/>
    <n v="861876"/>
  </r>
  <r>
    <n v="510"/>
    <s v="Jennifer"/>
    <s v="Bruce"/>
    <x v="1"/>
    <n v="12"/>
    <x v="6"/>
    <d v="2022-12-25T00:00:00"/>
    <x v="3"/>
    <n v="12"/>
    <n v="70719"/>
    <n v="848628"/>
  </r>
  <r>
    <n v="511"/>
    <s v="Sandra"/>
    <s v="Peck"/>
    <x v="3"/>
    <n v="8"/>
    <x v="4"/>
    <d v="2024-08-26T00:00:00"/>
    <x v="1"/>
    <n v="1"/>
    <n v="26172"/>
    <n v="314064"/>
  </r>
  <r>
    <n v="512"/>
    <s v="Heather"/>
    <s v="Potter"/>
    <x v="3"/>
    <n v="9"/>
    <x v="1"/>
    <d v="2016-09-14T00:00:00"/>
    <x v="2"/>
    <n v="23"/>
    <n v="89489"/>
    <n v="1073868"/>
  </r>
  <r>
    <n v="513"/>
    <s v="Stephanie"/>
    <s v="Jackson"/>
    <x v="3"/>
    <n v="6"/>
    <x v="6"/>
    <d v="2022-06-02T00:00:00"/>
    <x v="1"/>
    <n v="7"/>
    <n v="110850"/>
    <n v="1330200"/>
  </r>
  <r>
    <n v="514"/>
    <s v="Michael"/>
    <s v="David"/>
    <x v="0"/>
    <n v="1"/>
    <x v="1"/>
    <d v="2016-01-26T00:00:00"/>
    <x v="2"/>
    <n v="44"/>
    <n v="102234"/>
    <n v="1226808"/>
  </r>
  <r>
    <n v="515"/>
    <s v="Robert"/>
    <s v="Burton"/>
    <x v="4"/>
    <n v="11"/>
    <x v="5"/>
    <d v="2020-11-13T00:00:00"/>
    <x v="4"/>
    <n v="18"/>
    <n v="116062"/>
    <n v="1392744"/>
  </r>
  <r>
    <n v="516"/>
    <s v="Manuel"/>
    <s v="Smith"/>
    <x v="3"/>
    <n v="5"/>
    <x v="7"/>
    <d v="2017-05-06T00:00:00"/>
    <x v="0"/>
    <n v="43"/>
    <n v="69960"/>
    <n v="839520"/>
  </r>
  <r>
    <n v="517"/>
    <s v="Traci"/>
    <s v="Johnson"/>
    <x v="4"/>
    <n v="5"/>
    <x v="4"/>
    <d v="2024-05-27T00:00:00"/>
    <x v="0"/>
    <n v="8"/>
    <n v="67241"/>
    <n v="806892"/>
  </r>
  <r>
    <n v="518"/>
    <s v="Victoria"/>
    <s v="Fields"/>
    <x v="0"/>
    <n v="12"/>
    <x v="1"/>
    <d v="2016-12-15T00:00:00"/>
    <x v="1"/>
    <n v="18"/>
    <n v="44269"/>
    <n v="531228"/>
  </r>
  <r>
    <n v="519"/>
    <s v="Bobby"/>
    <s v="Johnson"/>
    <x v="3"/>
    <n v="11"/>
    <x v="6"/>
    <d v="2022-11-02T00:00:00"/>
    <x v="2"/>
    <n v="45"/>
    <n v="27757"/>
    <n v="333084"/>
  </r>
  <r>
    <n v="520"/>
    <s v="Brenda"/>
    <s v="Bowman"/>
    <x v="2"/>
    <n v="12"/>
    <x v="6"/>
    <d v="2022-12-15T00:00:00"/>
    <x v="2"/>
    <n v="32"/>
    <n v="32648"/>
    <n v="391776"/>
  </r>
  <r>
    <n v="521"/>
    <s v="Robin"/>
    <s v="Mitchell"/>
    <x v="1"/>
    <n v="6"/>
    <x v="3"/>
    <d v="2023-06-11T00:00:00"/>
    <x v="3"/>
    <n v="30"/>
    <n v="28806"/>
    <n v="345672"/>
  </r>
  <r>
    <n v="522"/>
    <s v="Daniel"/>
    <s v="Rodriguez"/>
    <x v="4"/>
    <n v="9"/>
    <x v="3"/>
    <d v="2023-09-21T00:00:00"/>
    <x v="3"/>
    <n v="46"/>
    <n v="113069"/>
    <n v="1356828"/>
  </r>
  <r>
    <n v="523"/>
    <s v="Patricia"/>
    <s v="Jordan"/>
    <x v="1"/>
    <n v="4"/>
    <x v="4"/>
    <d v="2024-04-30T00:00:00"/>
    <x v="2"/>
    <n v="18"/>
    <n v="44239"/>
    <n v="530868"/>
  </r>
  <r>
    <n v="524"/>
    <s v="Karen"/>
    <s v="Rice"/>
    <x v="3"/>
    <n v="9"/>
    <x v="3"/>
    <d v="2023-09-09T00:00:00"/>
    <x v="2"/>
    <n v="23"/>
    <n v="105151"/>
    <n v="1261812"/>
  </r>
  <r>
    <n v="525"/>
    <s v="Adam"/>
    <s v="Porter"/>
    <x v="1"/>
    <n v="12"/>
    <x v="6"/>
    <d v="2022-12-23T00:00:00"/>
    <x v="1"/>
    <n v="33"/>
    <n v="63756"/>
    <n v="765072"/>
  </r>
  <r>
    <n v="526"/>
    <s v="Paul"/>
    <s v="Day"/>
    <x v="1"/>
    <n v="3"/>
    <x v="7"/>
    <d v="2017-03-27T00:00:00"/>
    <x v="3"/>
    <n v="32"/>
    <n v="78991"/>
    <n v="947892"/>
  </r>
  <r>
    <n v="527"/>
    <s v="Kathleen"/>
    <s v="Boyd"/>
    <x v="1"/>
    <n v="1"/>
    <x v="0"/>
    <d v="2021-01-25T00:00:00"/>
    <x v="2"/>
    <n v="1"/>
    <n v="27449"/>
    <n v="329388"/>
  </r>
  <r>
    <n v="528"/>
    <s v="Rachel"/>
    <s v="Spencer"/>
    <x v="1"/>
    <n v="6"/>
    <x v="1"/>
    <d v="2016-06-05T00:00:00"/>
    <x v="1"/>
    <n v="21"/>
    <n v="34667"/>
    <n v="416004"/>
  </r>
  <r>
    <n v="529"/>
    <s v="Natasha"/>
    <s v="Norman"/>
    <x v="0"/>
    <n v="11"/>
    <x v="9"/>
    <d v="2015-11-07T00:00:00"/>
    <x v="4"/>
    <n v="28"/>
    <n v="103923"/>
    <n v="1247076"/>
  </r>
  <r>
    <n v="530"/>
    <s v="Nicole"/>
    <s v="Richardson"/>
    <x v="0"/>
    <n v="4"/>
    <x v="1"/>
    <d v="2016-04-01T00:00:00"/>
    <x v="1"/>
    <n v="42"/>
    <n v="78529"/>
    <n v="942348"/>
  </r>
  <r>
    <n v="531"/>
    <s v="Anita"/>
    <s v="Martin"/>
    <x v="2"/>
    <n v="7"/>
    <x v="0"/>
    <d v="2021-07-06T00:00:00"/>
    <x v="4"/>
    <n v="48"/>
    <n v="60698"/>
    <n v="728376"/>
  </r>
  <r>
    <n v="532"/>
    <s v="Kimberly"/>
    <s v="Murray"/>
    <x v="4"/>
    <n v="3"/>
    <x v="0"/>
    <d v="2021-03-04T00:00:00"/>
    <x v="4"/>
    <n v="2"/>
    <n v="117422"/>
    <n v="1409064"/>
  </r>
  <r>
    <n v="533"/>
    <s v="Renee"/>
    <s v="Valdez"/>
    <x v="2"/>
    <n v="12"/>
    <x v="6"/>
    <d v="2022-12-10T00:00:00"/>
    <x v="0"/>
    <n v="17"/>
    <n v="119678"/>
    <n v="1436136"/>
  </r>
  <r>
    <n v="534"/>
    <s v="Caitlin"/>
    <s v="Russo"/>
    <x v="3"/>
    <n v="1"/>
    <x v="3"/>
    <d v="2023-01-03T00:00:00"/>
    <x v="3"/>
    <n v="11"/>
    <n v="26188"/>
    <n v="314256"/>
  </r>
  <r>
    <n v="535"/>
    <s v="Virginia"/>
    <s v="Burns"/>
    <x v="4"/>
    <n v="6"/>
    <x v="1"/>
    <d v="2016-06-28T00:00:00"/>
    <x v="0"/>
    <n v="12"/>
    <n v="119134"/>
    <n v="1429608"/>
  </r>
  <r>
    <n v="536"/>
    <s v="Hunter"/>
    <s v="Boyer"/>
    <x v="4"/>
    <n v="12"/>
    <x v="1"/>
    <d v="2016-12-14T00:00:00"/>
    <x v="4"/>
    <n v="38"/>
    <n v="26734"/>
    <n v="320808"/>
  </r>
  <r>
    <n v="537"/>
    <s v="Kari"/>
    <s v="Smith"/>
    <x v="4"/>
    <n v="8"/>
    <x v="0"/>
    <d v="2021-08-28T00:00:00"/>
    <x v="4"/>
    <n v="43"/>
    <n v="44550"/>
    <n v="534600"/>
  </r>
  <r>
    <n v="538"/>
    <s v="Roger"/>
    <s v="Taylor"/>
    <x v="0"/>
    <n v="2"/>
    <x v="1"/>
    <d v="2016-02-28T00:00:00"/>
    <x v="2"/>
    <n v="33"/>
    <n v="96552"/>
    <n v="1158624"/>
  </r>
  <r>
    <n v="539"/>
    <s v="Adam"/>
    <s v="Chen"/>
    <x v="2"/>
    <n v="8"/>
    <x v="5"/>
    <d v="2020-08-01T00:00:00"/>
    <x v="1"/>
    <n v="23"/>
    <n v="26157"/>
    <n v="313884"/>
  </r>
  <r>
    <n v="540"/>
    <s v="Ronald"/>
    <s v="Soto"/>
    <x v="4"/>
    <n v="10"/>
    <x v="0"/>
    <d v="2021-10-16T00:00:00"/>
    <x v="0"/>
    <n v="9"/>
    <n v="101462"/>
    <n v="1217544"/>
  </r>
  <r>
    <n v="541"/>
    <s v="James"/>
    <s v="Townsend"/>
    <x v="4"/>
    <n v="9"/>
    <x v="7"/>
    <d v="2017-09-01T00:00:00"/>
    <x v="3"/>
    <n v="39"/>
    <n v="68934"/>
    <n v="827208"/>
  </r>
  <r>
    <n v="542"/>
    <s v="Michelle"/>
    <s v="Turner"/>
    <x v="3"/>
    <n v="6"/>
    <x v="8"/>
    <d v="2019-06-10T00:00:00"/>
    <x v="2"/>
    <n v="26"/>
    <n v="60932"/>
    <n v="731184"/>
  </r>
  <r>
    <n v="543"/>
    <s v="Laura"/>
    <s v="Miller"/>
    <x v="4"/>
    <n v="2"/>
    <x v="5"/>
    <d v="2020-02-08T00:00:00"/>
    <x v="2"/>
    <n v="5"/>
    <n v="105799"/>
    <n v="1269588"/>
  </r>
  <r>
    <n v="544"/>
    <s v="Keith"/>
    <s v="Cordova"/>
    <x v="1"/>
    <n v="12"/>
    <x v="0"/>
    <d v="2021-12-11T00:00:00"/>
    <x v="0"/>
    <n v="24"/>
    <n v="32753"/>
    <n v="393036"/>
  </r>
  <r>
    <n v="545"/>
    <s v="Justin"/>
    <s v="Smith"/>
    <x v="4"/>
    <n v="11"/>
    <x v="6"/>
    <d v="2022-11-25T00:00:00"/>
    <x v="3"/>
    <n v="40"/>
    <n v="43042"/>
    <n v="516504"/>
  </r>
  <r>
    <n v="546"/>
    <s v="Barbara"/>
    <s v="Haley"/>
    <x v="1"/>
    <n v="8"/>
    <x v="4"/>
    <d v="2024-08-25T00:00:00"/>
    <x v="3"/>
    <n v="14"/>
    <n v="100280"/>
    <n v="1203360"/>
  </r>
  <r>
    <n v="547"/>
    <s v="Jennifer"/>
    <s v="Terry"/>
    <x v="3"/>
    <n v="4"/>
    <x v="7"/>
    <d v="2017-04-28T00:00:00"/>
    <x v="3"/>
    <n v="32"/>
    <n v="56582"/>
    <n v="678984"/>
  </r>
  <r>
    <n v="548"/>
    <s v="Brittany"/>
    <s v="Smith"/>
    <x v="2"/>
    <n v="12"/>
    <x v="3"/>
    <d v="2023-12-18T00:00:00"/>
    <x v="1"/>
    <n v="36"/>
    <n v="65783"/>
    <n v="789396"/>
  </r>
  <r>
    <n v="549"/>
    <s v="Lee"/>
    <s v="Zavala"/>
    <x v="2"/>
    <n v="5"/>
    <x v="1"/>
    <d v="2016-05-31T00:00:00"/>
    <x v="4"/>
    <n v="36"/>
    <n v="48089"/>
    <n v="577068"/>
  </r>
  <r>
    <n v="550"/>
    <s v="Ashley"/>
    <s v="Chapman"/>
    <x v="3"/>
    <n v="4"/>
    <x v="3"/>
    <d v="2023-04-03T00:00:00"/>
    <x v="1"/>
    <n v="11"/>
    <n v="102472"/>
    <n v="1229664"/>
  </r>
  <r>
    <n v="551"/>
    <s v="Alejandra"/>
    <s v="Levy"/>
    <x v="3"/>
    <n v="1"/>
    <x v="8"/>
    <d v="2019-01-31T00:00:00"/>
    <x v="2"/>
    <n v="43"/>
    <n v="38215"/>
    <n v="458580"/>
  </r>
  <r>
    <n v="552"/>
    <s v="Kristin"/>
    <s v="Jackson"/>
    <x v="4"/>
    <n v="12"/>
    <x v="1"/>
    <d v="2016-12-27T00:00:00"/>
    <x v="3"/>
    <n v="5"/>
    <n v="41370"/>
    <n v="496440"/>
  </r>
  <r>
    <n v="553"/>
    <s v="Joseph"/>
    <s v="Clark"/>
    <x v="4"/>
    <n v="7"/>
    <x v="7"/>
    <d v="2017-07-02T00:00:00"/>
    <x v="2"/>
    <n v="18"/>
    <n v="41205"/>
    <n v="494460"/>
  </r>
  <r>
    <n v="554"/>
    <s v="John"/>
    <s v="Martin"/>
    <x v="2"/>
    <n v="5"/>
    <x v="8"/>
    <d v="2019-05-11T00:00:00"/>
    <x v="2"/>
    <n v="36"/>
    <n v="72232"/>
    <n v="866784"/>
  </r>
  <r>
    <n v="555"/>
    <s v="Savannah"/>
    <s v="Hart"/>
    <x v="0"/>
    <n v="9"/>
    <x v="2"/>
    <d v="2018-09-17T00:00:00"/>
    <x v="2"/>
    <n v="40"/>
    <n v="67561"/>
    <n v="810732"/>
  </r>
  <r>
    <n v="556"/>
    <s v="Shawn"/>
    <s v="Joseph"/>
    <x v="4"/>
    <n v="2"/>
    <x v="6"/>
    <d v="2022-02-28T00:00:00"/>
    <x v="3"/>
    <n v="36"/>
    <n v="118687"/>
    <n v="1424244"/>
  </r>
  <r>
    <n v="557"/>
    <s v="Christine"/>
    <s v="Cobb"/>
    <x v="4"/>
    <n v="12"/>
    <x v="6"/>
    <d v="2022-12-31T00:00:00"/>
    <x v="2"/>
    <n v="22"/>
    <n v="113688"/>
    <n v="1364256"/>
  </r>
  <r>
    <n v="558"/>
    <s v="David"/>
    <s v="Smith"/>
    <x v="0"/>
    <n v="5"/>
    <x v="3"/>
    <d v="2023-05-07T00:00:00"/>
    <x v="1"/>
    <n v="44"/>
    <n v="109080"/>
    <n v="1308960"/>
  </r>
  <r>
    <n v="559"/>
    <s v="Sarah"/>
    <s v="Gordon"/>
    <x v="3"/>
    <n v="4"/>
    <x v="5"/>
    <d v="2020-04-29T00:00:00"/>
    <x v="4"/>
    <n v="23"/>
    <n v="117583"/>
    <n v="1410996"/>
  </r>
  <r>
    <n v="560"/>
    <s v="Jesse"/>
    <s v="Shelton"/>
    <x v="3"/>
    <n v="9"/>
    <x v="4"/>
    <d v="2024-09-06T00:00:00"/>
    <x v="1"/>
    <n v="41"/>
    <n v="84851"/>
    <n v="1018212"/>
  </r>
  <r>
    <n v="561"/>
    <s v="William"/>
    <s v="Keller"/>
    <x v="2"/>
    <n v="6"/>
    <x v="6"/>
    <d v="2022-06-19T00:00:00"/>
    <x v="2"/>
    <n v="23"/>
    <n v="56355"/>
    <n v="676260"/>
  </r>
  <r>
    <n v="562"/>
    <s v="Katie"/>
    <s v="Walker"/>
    <x v="2"/>
    <n v="8"/>
    <x v="1"/>
    <d v="2016-08-09T00:00:00"/>
    <x v="0"/>
    <n v="8"/>
    <n v="62388"/>
    <n v="748656"/>
  </r>
  <r>
    <n v="563"/>
    <s v="Sharon"/>
    <s v="Gonzales"/>
    <x v="0"/>
    <n v="7"/>
    <x v="7"/>
    <d v="2017-07-20T00:00:00"/>
    <x v="2"/>
    <n v="39"/>
    <n v="64471"/>
    <n v="773652"/>
  </r>
  <r>
    <n v="564"/>
    <s v="Michael"/>
    <s v="Williams"/>
    <x v="0"/>
    <n v="10"/>
    <x v="0"/>
    <d v="2021-10-05T00:00:00"/>
    <x v="2"/>
    <n v="47"/>
    <n v="88877"/>
    <n v="1066524"/>
  </r>
  <r>
    <n v="565"/>
    <s v="Sara"/>
    <s v="Gomez"/>
    <x v="2"/>
    <n v="6"/>
    <x v="3"/>
    <d v="2023-06-07T00:00:00"/>
    <x v="4"/>
    <n v="2"/>
    <n v="107131"/>
    <n v="1285572"/>
  </r>
  <r>
    <n v="566"/>
    <s v="Richard"/>
    <s v="Williams"/>
    <x v="4"/>
    <n v="3"/>
    <x v="0"/>
    <d v="2021-03-06T00:00:00"/>
    <x v="1"/>
    <n v="25"/>
    <n v="111667"/>
    <n v="1340004"/>
  </r>
  <r>
    <n v="567"/>
    <s v="Johnathan"/>
    <s v="Miller"/>
    <x v="4"/>
    <n v="9"/>
    <x v="6"/>
    <d v="2022-09-03T00:00:00"/>
    <x v="1"/>
    <n v="41"/>
    <n v="81692"/>
    <n v="980304"/>
  </r>
  <r>
    <n v="568"/>
    <s v="Mark"/>
    <s v="Ibarra"/>
    <x v="2"/>
    <n v="8"/>
    <x v="5"/>
    <d v="2020-08-25T00:00:00"/>
    <x v="0"/>
    <n v="12"/>
    <n v="36311"/>
    <n v="435732"/>
  </r>
  <r>
    <n v="569"/>
    <s v="Jacob"/>
    <s v="Russell"/>
    <x v="2"/>
    <n v="9"/>
    <x v="3"/>
    <d v="2023-09-04T00:00:00"/>
    <x v="2"/>
    <n v="3"/>
    <n v="112734"/>
    <n v="1352808"/>
  </r>
  <r>
    <n v="570"/>
    <s v="Kyle"/>
    <s v="Cunningham"/>
    <x v="2"/>
    <n v="5"/>
    <x v="5"/>
    <d v="2020-05-19T00:00:00"/>
    <x v="2"/>
    <n v="9"/>
    <n v="36380"/>
    <n v="436560"/>
  </r>
  <r>
    <n v="571"/>
    <s v="Leslie"/>
    <s v="Campbell"/>
    <x v="4"/>
    <n v="7"/>
    <x v="8"/>
    <d v="2019-07-02T00:00:00"/>
    <x v="0"/>
    <n v="39"/>
    <n v="77586"/>
    <n v="931032"/>
  </r>
  <r>
    <n v="572"/>
    <s v="Christopher"/>
    <s v="Johnson"/>
    <x v="2"/>
    <n v="7"/>
    <x v="6"/>
    <d v="2022-07-04T00:00:00"/>
    <x v="4"/>
    <n v="12"/>
    <n v="111150"/>
    <n v="1333800"/>
  </r>
  <r>
    <n v="573"/>
    <s v="Joshua"/>
    <s v="Rangel"/>
    <x v="4"/>
    <n v="9"/>
    <x v="0"/>
    <d v="2021-09-02T00:00:00"/>
    <x v="3"/>
    <n v="39"/>
    <n v="70137"/>
    <n v="841644"/>
  </r>
  <r>
    <n v="574"/>
    <s v="Alejandro"/>
    <s v="Armstrong"/>
    <x v="0"/>
    <n v="7"/>
    <x v="4"/>
    <d v="2024-07-10T00:00:00"/>
    <x v="2"/>
    <n v="7"/>
    <n v="72655"/>
    <n v="871860"/>
  </r>
  <r>
    <n v="575"/>
    <s v="James"/>
    <s v="Hall"/>
    <x v="1"/>
    <n v="12"/>
    <x v="0"/>
    <d v="2021-12-30T00:00:00"/>
    <x v="2"/>
    <n v="6"/>
    <n v="44716"/>
    <n v="536592"/>
  </r>
  <r>
    <n v="576"/>
    <s v="Brandon"/>
    <s v="Burke"/>
    <x v="0"/>
    <n v="7"/>
    <x v="4"/>
    <d v="2024-07-09T00:00:00"/>
    <x v="1"/>
    <n v="21"/>
    <n v="87647"/>
    <n v="1051764"/>
  </r>
  <r>
    <n v="577"/>
    <s v="Audrey"/>
    <s v="Collins"/>
    <x v="2"/>
    <n v="2"/>
    <x v="3"/>
    <d v="2023-02-04T00:00:00"/>
    <x v="0"/>
    <n v="6"/>
    <n v="102929"/>
    <n v="1235148"/>
  </r>
  <r>
    <n v="578"/>
    <s v="Stephanie"/>
    <s v="Fowler"/>
    <x v="3"/>
    <n v="5"/>
    <x v="8"/>
    <d v="2019-05-31T00:00:00"/>
    <x v="2"/>
    <n v="18"/>
    <n v="66599"/>
    <n v="799188"/>
  </r>
  <r>
    <n v="579"/>
    <s v="Kevin"/>
    <s v="Thompson"/>
    <x v="3"/>
    <n v="2"/>
    <x v="6"/>
    <d v="2022-02-24T00:00:00"/>
    <x v="1"/>
    <n v="7"/>
    <n v="109375"/>
    <n v="1312500"/>
  </r>
  <r>
    <n v="580"/>
    <s v="Candice"/>
    <s v="Hall"/>
    <x v="3"/>
    <n v="12"/>
    <x v="9"/>
    <d v="2015-12-01T00:00:00"/>
    <x v="1"/>
    <n v="17"/>
    <n v="26846"/>
    <n v="322152"/>
  </r>
  <r>
    <n v="581"/>
    <s v="Chris"/>
    <s v="Thomas"/>
    <x v="0"/>
    <n v="6"/>
    <x v="0"/>
    <d v="2021-06-17T00:00:00"/>
    <x v="1"/>
    <n v="44"/>
    <n v="91014"/>
    <n v="1092168"/>
  </r>
  <r>
    <n v="582"/>
    <s v="Anthony"/>
    <s v="Medina"/>
    <x v="1"/>
    <n v="2"/>
    <x v="2"/>
    <d v="2018-02-17T00:00:00"/>
    <x v="0"/>
    <n v="15"/>
    <n v="28791"/>
    <n v="345492"/>
  </r>
  <r>
    <n v="583"/>
    <s v="Pamela"/>
    <s v="Ayala"/>
    <x v="3"/>
    <n v="9"/>
    <x v="5"/>
    <d v="2020-09-13T00:00:00"/>
    <x v="0"/>
    <n v="14"/>
    <n v="48520"/>
    <n v="582240"/>
  </r>
  <r>
    <n v="584"/>
    <s v="Lauren"/>
    <s v="Waters"/>
    <x v="4"/>
    <n v="5"/>
    <x v="2"/>
    <d v="2018-05-22T00:00:00"/>
    <x v="0"/>
    <n v="18"/>
    <n v="65521"/>
    <n v="786252"/>
  </r>
  <r>
    <n v="585"/>
    <s v="Stephanie"/>
    <s v="Williams"/>
    <x v="4"/>
    <n v="1"/>
    <x v="3"/>
    <d v="2023-01-03T00:00:00"/>
    <x v="4"/>
    <n v="9"/>
    <n v="40379"/>
    <n v="484548"/>
  </r>
  <r>
    <n v="586"/>
    <s v="William"/>
    <s v="Wilson"/>
    <x v="3"/>
    <n v="10"/>
    <x v="0"/>
    <d v="2021-10-09T00:00:00"/>
    <x v="4"/>
    <n v="4"/>
    <n v="93225"/>
    <n v="1118700"/>
  </r>
  <r>
    <n v="587"/>
    <s v="Miranda"/>
    <s v="Henderson"/>
    <x v="2"/>
    <n v="1"/>
    <x v="0"/>
    <d v="2021-01-13T00:00:00"/>
    <x v="1"/>
    <n v="22"/>
    <n v="86891"/>
    <n v="1042692"/>
  </r>
  <r>
    <n v="588"/>
    <s v="Ryan"/>
    <s v="Ayala"/>
    <x v="2"/>
    <n v="1"/>
    <x v="3"/>
    <d v="2023-01-21T00:00:00"/>
    <x v="0"/>
    <n v="1"/>
    <n v="71961"/>
    <n v="863532"/>
  </r>
  <r>
    <n v="589"/>
    <s v="Ellen"/>
    <s v="Hamilton"/>
    <x v="4"/>
    <n v="5"/>
    <x v="0"/>
    <d v="2021-05-30T00:00:00"/>
    <x v="2"/>
    <n v="15"/>
    <n v="93190"/>
    <n v="1118280"/>
  </r>
  <r>
    <n v="590"/>
    <s v="Julie"/>
    <s v="Stark"/>
    <x v="2"/>
    <n v="11"/>
    <x v="9"/>
    <d v="2015-11-28T00:00:00"/>
    <x v="4"/>
    <n v="30"/>
    <n v="49915"/>
    <n v="598980"/>
  </r>
  <r>
    <n v="591"/>
    <s v="Amy"/>
    <s v="Williams"/>
    <x v="1"/>
    <n v="9"/>
    <x v="0"/>
    <d v="2021-09-18T00:00:00"/>
    <x v="2"/>
    <n v="16"/>
    <n v="48563"/>
    <n v="582756"/>
  </r>
  <r>
    <n v="592"/>
    <s v="Christina"/>
    <s v="Fritz"/>
    <x v="0"/>
    <n v="9"/>
    <x v="1"/>
    <d v="2016-09-29T00:00:00"/>
    <x v="2"/>
    <n v="26"/>
    <n v="75327"/>
    <n v="903924"/>
  </r>
  <r>
    <n v="593"/>
    <s v="Jose"/>
    <s v="Bryant"/>
    <x v="1"/>
    <n v="8"/>
    <x v="0"/>
    <d v="2021-08-16T00:00:00"/>
    <x v="3"/>
    <n v="22"/>
    <n v="91336"/>
    <n v="1096032"/>
  </r>
  <r>
    <n v="594"/>
    <s v="Stephen"/>
    <s v="Haley"/>
    <x v="3"/>
    <n v="12"/>
    <x v="2"/>
    <d v="2018-12-20T00:00:00"/>
    <x v="0"/>
    <n v="18"/>
    <n v="96560"/>
    <n v="1158720"/>
  </r>
  <r>
    <n v="595"/>
    <s v="Troy"/>
    <s v="Perez"/>
    <x v="1"/>
    <n v="9"/>
    <x v="5"/>
    <d v="2020-09-14T00:00:00"/>
    <x v="1"/>
    <n v="8"/>
    <n v="65564"/>
    <n v="786768"/>
  </r>
  <r>
    <n v="596"/>
    <s v="Kathy"/>
    <s v="Mooney"/>
    <x v="0"/>
    <n v="12"/>
    <x v="7"/>
    <d v="2017-12-27T00:00:00"/>
    <x v="1"/>
    <n v="42"/>
    <n v="46553"/>
    <n v="558636"/>
  </r>
  <r>
    <n v="597"/>
    <s v="Daniel"/>
    <s v="Ingram"/>
    <x v="2"/>
    <n v="3"/>
    <x v="4"/>
    <d v="2024-03-05T00:00:00"/>
    <x v="1"/>
    <n v="27"/>
    <n v="102524"/>
    <n v="1230288"/>
  </r>
  <r>
    <n v="598"/>
    <s v="James"/>
    <s v="Hart"/>
    <x v="3"/>
    <n v="4"/>
    <x v="1"/>
    <d v="2016-04-15T00:00:00"/>
    <x v="0"/>
    <n v="33"/>
    <n v="41930"/>
    <n v="503160"/>
  </r>
  <r>
    <n v="599"/>
    <s v="Sharon"/>
    <s v="Stevenson"/>
    <x v="2"/>
    <n v="6"/>
    <x v="0"/>
    <d v="2021-06-22T00:00:00"/>
    <x v="4"/>
    <n v="32"/>
    <n v="84711"/>
    <n v="1016532"/>
  </r>
  <r>
    <n v="600"/>
    <s v="Patricia"/>
    <s v="Allen"/>
    <x v="1"/>
    <n v="9"/>
    <x v="3"/>
    <d v="2023-09-19T00:00:00"/>
    <x v="4"/>
    <n v="43"/>
    <n v="43851"/>
    <n v="526212"/>
  </r>
  <r>
    <n v="601"/>
    <s v="Hannah"/>
    <s v="Santos"/>
    <x v="2"/>
    <n v="2"/>
    <x v="8"/>
    <d v="2019-02-11T00:00:00"/>
    <x v="1"/>
    <n v="39"/>
    <n v="27577"/>
    <n v="330924"/>
  </r>
  <r>
    <n v="602"/>
    <s v="Tammy"/>
    <s v="Contreras"/>
    <x v="3"/>
    <n v="5"/>
    <x v="4"/>
    <d v="2024-05-28T00:00:00"/>
    <x v="1"/>
    <n v="1"/>
    <n v="29334"/>
    <n v="352008"/>
  </r>
  <r>
    <n v="603"/>
    <s v="Garrett"/>
    <s v="Benson"/>
    <x v="2"/>
    <n v="10"/>
    <x v="6"/>
    <d v="2022-10-11T00:00:00"/>
    <x v="4"/>
    <n v="15"/>
    <n v="103064"/>
    <n v="1236768"/>
  </r>
  <r>
    <n v="604"/>
    <s v="Anthony"/>
    <s v="Weber"/>
    <x v="1"/>
    <n v="11"/>
    <x v="7"/>
    <d v="2017-11-28T00:00:00"/>
    <x v="0"/>
    <n v="11"/>
    <n v="41739"/>
    <n v="500868"/>
  </r>
  <r>
    <n v="605"/>
    <s v="Sean"/>
    <s v="Maddox"/>
    <x v="1"/>
    <n v="12"/>
    <x v="5"/>
    <d v="2020-12-16T00:00:00"/>
    <x v="1"/>
    <n v="15"/>
    <n v="100990"/>
    <n v="1211880"/>
  </r>
  <r>
    <n v="606"/>
    <s v="Mark"/>
    <s v="Wilson"/>
    <x v="3"/>
    <n v="8"/>
    <x v="6"/>
    <d v="2022-08-04T00:00:00"/>
    <x v="4"/>
    <n v="14"/>
    <n v="81274"/>
    <n v="975288"/>
  </r>
  <r>
    <n v="607"/>
    <s v="Christopher"/>
    <s v="Powers"/>
    <x v="3"/>
    <n v="4"/>
    <x v="1"/>
    <d v="2016-04-02T00:00:00"/>
    <x v="3"/>
    <n v="20"/>
    <n v="80198"/>
    <n v="962376"/>
  </r>
  <r>
    <n v="608"/>
    <s v="Monica"/>
    <s v="Simpson"/>
    <x v="0"/>
    <n v="9"/>
    <x v="2"/>
    <d v="2018-09-24T00:00:00"/>
    <x v="4"/>
    <n v="37"/>
    <n v="76262"/>
    <n v="915144"/>
  </r>
  <r>
    <n v="609"/>
    <s v="Regina"/>
    <s v="Andersen"/>
    <x v="0"/>
    <n v="3"/>
    <x v="2"/>
    <d v="2018-03-31T00:00:00"/>
    <x v="3"/>
    <n v="22"/>
    <n v="114893"/>
    <n v="1378716"/>
  </r>
  <r>
    <n v="610"/>
    <s v="Crystal"/>
    <s v="Ward"/>
    <x v="1"/>
    <n v="12"/>
    <x v="8"/>
    <d v="2019-12-09T00:00:00"/>
    <x v="1"/>
    <n v="12"/>
    <n v="27834"/>
    <n v="334008"/>
  </r>
  <r>
    <n v="611"/>
    <s v="Jamie"/>
    <s v="Smith"/>
    <x v="4"/>
    <n v="8"/>
    <x v="8"/>
    <d v="2019-08-22T00:00:00"/>
    <x v="3"/>
    <n v="37"/>
    <n v="106717"/>
    <n v="1280604"/>
  </r>
  <r>
    <n v="612"/>
    <s v="Mary"/>
    <s v="Morris"/>
    <x v="3"/>
    <n v="7"/>
    <x v="7"/>
    <d v="2017-07-13T00:00:00"/>
    <x v="3"/>
    <n v="48"/>
    <n v="57095"/>
    <n v="685140"/>
  </r>
  <r>
    <n v="613"/>
    <s v="Fernando"/>
    <s v="Lowe"/>
    <x v="0"/>
    <n v="3"/>
    <x v="4"/>
    <d v="2024-03-19T00:00:00"/>
    <x v="2"/>
    <n v="16"/>
    <n v="56864"/>
    <n v="682368"/>
  </r>
  <r>
    <n v="614"/>
    <s v="Katherine"/>
    <s v="Walters"/>
    <x v="3"/>
    <n v="4"/>
    <x v="6"/>
    <d v="2022-04-27T00:00:00"/>
    <x v="1"/>
    <n v="35"/>
    <n v="45507"/>
    <n v="546084"/>
  </r>
  <r>
    <n v="615"/>
    <s v="Nicholas"/>
    <s v="Miller"/>
    <x v="0"/>
    <n v="3"/>
    <x v="7"/>
    <d v="2017-03-23T00:00:00"/>
    <x v="0"/>
    <n v="7"/>
    <n v="46790"/>
    <n v="561480"/>
  </r>
  <r>
    <n v="616"/>
    <s v="Stacey"/>
    <s v="Harris"/>
    <x v="4"/>
    <n v="1"/>
    <x v="3"/>
    <d v="2023-01-10T00:00:00"/>
    <x v="3"/>
    <n v="26"/>
    <n v="89936"/>
    <n v="1079232"/>
  </r>
  <r>
    <n v="617"/>
    <s v="Mitchell"/>
    <s v="Cummings"/>
    <x v="3"/>
    <n v="8"/>
    <x v="2"/>
    <d v="2018-08-12T00:00:00"/>
    <x v="0"/>
    <n v="25"/>
    <n v="54346"/>
    <n v="652152"/>
  </r>
  <r>
    <n v="618"/>
    <s v="Rebecca"/>
    <s v="Hughes"/>
    <x v="0"/>
    <n v="11"/>
    <x v="5"/>
    <d v="2020-11-18T00:00:00"/>
    <x v="0"/>
    <n v="2"/>
    <n v="70890"/>
    <n v="850680"/>
  </r>
  <r>
    <n v="619"/>
    <s v="David"/>
    <s v="Jackson"/>
    <x v="4"/>
    <n v="11"/>
    <x v="1"/>
    <d v="2016-11-02T00:00:00"/>
    <x v="1"/>
    <n v="41"/>
    <n v="86794"/>
    <n v="1041528"/>
  </r>
  <r>
    <n v="620"/>
    <s v="Bryan"/>
    <s v="Hicks"/>
    <x v="2"/>
    <n v="1"/>
    <x v="2"/>
    <d v="2018-01-23T00:00:00"/>
    <x v="1"/>
    <n v="23"/>
    <n v="84672"/>
    <n v="1016064"/>
  </r>
  <r>
    <n v="621"/>
    <s v="Anthony"/>
    <s v="Diaz"/>
    <x v="3"/>
    <n v="2"/>
    <x v="6"/>
    <d v="2022-02-06T00:00:00"/>
    <x v="2"/>
    <n v="33"/>
    <n v="107613"/>
    <n v="1291356"/>
  </r>
  <r>
    <n v="622"/>
    <s v="Donna"/>
    <s v="Sanchez"/>
    <x v="1"/>
    <n v="10"/>
    <x v="4"/>
    <d v="2024-10-09T00:00:00"/>
    <x v="1"/>
    <n v="18"/>
    <n v="27340"/>
    <n v="328080"/>
  </r>
  <r>
    <n v="623"/>
    <s v="Latasha"/>
    <s v="Lopez"/>
    <x v="3"/>
    <n v="10"/>
    <x v="6"/>
    <d v="2022-10-24T00:00:00"/>
    <x v="0"/>
    <n v="30"/>
    <n v="26805"/>
    <n v="321660"/>
  </r>
  <r>
    <n v="624"/>
    <s v="Sarah"/>
    <s v="Berry"/>
    <x v="3"/>
    <n v="8"/>
    <x v="6"/>
    <d v="2022-08-30T00:00:00"/>
    <x v="3"/>
    <n v="13"/>
    <n v="52215"/>
    <n v="626580"/>
  </r>
  <r>
    <n v="625"/>
    <s v="Laura"/>
    <s v="Bennett"/>
    <x v="1"/>
    <n v="6"/>
    <x v="4"/>
    <d v="2024-06-13T00:00:00"/>
    <x v="4"/>
    <n v="28"/>
    <n v="93140"/>
    <n v="1117680"/>
  </r>
  <r>
    <n v="626"/>
    <s v="Kenneth"/>
    <s v="Riley"/>
    <x v="3"/>
    <n v="8"/>
    <x v="0"/>
    <d v="2021-08-06T00:00:00"/>
    <x v="2"/>
    <n v="11"/>
    <n v="28141"/>
    <n v="337692"/>
  </r>
  <r>
    <n v="627"/>
    <s v="Denise"/>
    <s v="Smith"/>
    <x v="2"/>
    <n v="2"/>
    <x v="7"/>
    <d v="2017-02-15T00:00:00"/>
    <x v="0"/>
    <n v="44"/>
    <n v="36612"/>
    <n v="439344"/>
  </r>
  <r>
    <n v="628"/>
    <s v="Bryan"/>
    <s v="Lucas"/>
    <x v="4"/>
    <n v="3"/>
    <x v="1"/>
    <d v="2016-03-02T00:00:00"/>
    <x v="3"/>
    <n v="20"/>
    <n v="113361"/>
    <n v="1360332"/>
  </r>
  <r>
    <n v="629"/>
    <s v="Michael"/>
    <s v="Chang"/>
    <x v="2"/>
    <n v="7"/>
    <x v="0"/>
    <d v="2021-07-06T00:00:00"/>
    <x v="0"/>
    <n v="18"/>
    <n v="103102"/>
    <n v="1237224"/>
  </r>
  <r>
    <n v="630"/>
    <s v="Garrett"/>
    <s v="Rice"/>
    <x v="3"/>
    <n v="3"/>
    <x v="3"/>
    <d v="2023-03-26T00:00:00"/>
    <x v="4"/>
    <n v="12"/>
    <n v="89825"/>
    <n v="1077900"/>
  </r>
  <r>
    <n v="631"/>
    <s v="Catherine"/>
    <s v="Burns"/>
    <x v="1"/>
    <n v="10"/>
    <x v="3"/>
    <d v="2023-10-29T00:00:00"/>
    <x v="2"/>
    <n v="23"/>
    <n v="45750"/>
    <n v="549000"/>
  </r>
  <r>
    <n v="632"/>
    <s v="Kenneth"/>
    <s v="Hernandez"/>
    <x v="3"/>
    <n v="1"/>
    <x v="4"/>
    <d v="2024-01-22T00:00:00"/>
    <x v="3"/>
    <n v="26"/>
    <n v="30289"/>
    <n v="363468"/>
  </r>
  <r>
    <n v="633"/>
    <s v="Cynthia"/>
    <s v="Shaffer"/>
    <x v="0"/>
    <n v="11"/>
    <x v="6"/>
    <d v="2022-11-10T00:00:00"/>
    <x v="1"/>
    <n v="46"/>
    <n v="85134"/>
    <n v="1021608"/>
  </r>
  <r>
    <n v="634"/>
    <s v="Angela"/>
    <s v="Henderson"/>
    <x v="3"/>
    <n v="9"/>
    <x v="2"/>
    <d v="2018-09-21T00:00:00"/>
    <x v="3"/>
    <n v="1"/>
    <n v="83278"/>
    <n v="999336"/>
  </r>
  <r>
    <n v="635"/>
    <s v="Jennifer"/>
    <s v="Williams"/>
    <x v="0"/>
    <n v="9"/>
    <x v="8"/>
    <d v="2019-09-02T00:00:00"/>
    <x v="0"/>
    <n v="43"/>
    <n v="62105"/>
    <n v="745260"/>
  </r>
  <r>
    <n v="636"/>
    <s v="David"/>
    <s v="Ortega"/>
    <x v="0"/>
    <n v="6"/>
    <x v="5"/>
    <d v="2020-06-24T00:00:00"/>
    <x v="3"/>
    <n v="1"/>
    <n v="103912"/>
    <n v="1246944"/>
  </r>
  <r>
    <n v="637"/>
    <s v="Amber"/>
    <s v="Green"/>
    <x v="4"/>
    <n v="12"/>
    <x v="6"/>
    <d v="2022-12-08T00:00:00"/>
    <x v="0"/>
    <n v="34"/>
    <n v="38072"/>
    <n v="456864"/>
  </r>
  <r>
    <n v="638"/>
    <s v="Angela"/>
    <s v="Nunez"/>
    <x v="4"/>
    <n v="6"/>
    <x v="6"/>
    <d v="2022-06-28T00:00:00"/>
    <x v="4"/>
    <n v="44"/>
    <n v="55507"/>
    <n v="666084"/>
  </r>
  <r>
    <n v="639"/>
    <s v="Erika"/>
    <s v="Jones"/>
    <x v="1"/>
    <n v="10"/>
    <x v="8"/>
    <d v="2019-10-17T00:00:00"/>
    <x v="1"/>
    <n v="36"/>
    <n v="66900"/>
    <n v="802800"/>
  </r>
  <r>
    <n v="640"/>
    <s v="Keith"/>
    <s v="Smith"/>
    <x v="4"/>
    <n v="2"/>
    <x v="0"/>
    <d v="2021-02-26T00:00:00"/>
    <x v="1"/>
    <n v="44"/>
    <n v="32404"/>
    <n v="388848"/>
  </r>
  <r>
    <n v="641"/>
    <s v="Michelle"/>
    <s v="Jacobs"/>
    <x v="3"/>
    <n v="11"/>
    <x v="9"/>
    <d v="2015-11-14T00:00:00"/>
    <x v="3"/>
    <n v="13"/>
    <n v="118213"/>
    <n v="1418556"/>
  </r>
  <r>
    <n v="642"/>
    <s v="Angela"/>
    <s v="Larson"/>
    <x v="3"/>
    <n v="9"/>
    <x v="3"/>
    <d v="2023-09-24T00:00:00"/>
    <x v="2"/>
    <n v="15"/>
    <n v="118224"/>
    <n v="1418688"/>
  </r>
  <r>
    <n v="643"/>
    <s v="Melanie"/>
    <s v="Schaefer"/>
    <x v="0"/>
    <n v="10"/>
    <x v="6"/>
    <d v="2022-10-17T00:00:00"/>
    <x v="0"/>
    <n v="44"/>
    <n v="118569"/>
    <n v="1422828"/>
  </r>
  <r>
    <n v="644"/>
    <s v="Lauren"/>
    <s v="Stephenson"/>
    <x v="0"/>
    <n v="3"/>
    <x v="5"/>
    <d v="2020-03-07T00:00:00"/>
    <x v="4"/>
    <n v="5"/>
    <n v="96190"/>
    <n v="1154280"/>
  </r>
  <r>
    <n v="645"/>
    <s v="Steven"/>
    <s v="Kidd"/>
    <x v="4"/>
    <n v="11"/>
    <x v="6"/>
    <d v="2022-11-19T00:00:00"/>
    <x v="0"/>
    <n v="23"/>
    <n v="89678"/>
    <n v="1076136"/>
  </r>
  <r>
    <n v="646"/>
    <s v="Brian"/>
    <s v="Mejia"/>
    <x v="1"/>
    <n v="1"/>
    <x v="4"/>
    <d v="2024-01-28T00:00:00"/>
    <x v="2"/>
    <n v="30"/>
    <n v="22085"/>
    <n v="265020"/>
  </r>
  <r>
    <n v="647"/>
    <s v="Douglas"/>
    <s v="Bennett"/>
    <x v="0"/>
    <n v="3"/>
    <x v="5"/>
    <d v="2020-03-18T00:00:00"/>
    <x v="3"/>
    <n v="15"/>
    <n v="20567"/>
    <n v="246804"/>
  </r>
  <r>
    <n v="648"/>
    <s v="Erika"/>
    <s v="Dennis"/>
    <x v="2"/>
    <n v="8"/>
    <x v="0"/>
    <d v="2021-08-30T00:00:00"/>
    <x v="0"/>
    <n v="12"/>
    <n v="109368"/>
    <n v="1312416"/>
  </r>
  <r>
    <n v="649"/>
    <s v="Dale"/>
    <s v="Smith"/>
    <x v="3"/>
    <n v="7"/>
    <x v="4"/>
    <d v="2024-07-03T00:00:00"/>
    <x v="4"/>
    <n v="14"/>
    <n v="92698"/>
    <n v="1112376"/>
  </r>
  <r>
    <n v="650"/>
    <s v="William"/>
    <s v="Garrett"/>
    <x v="0"/>
    <n v="2"/>
    <x v="4"/>
    <d v="2024-02-25T00:00:00"/>
    <x v="1"/>
    <n v="29"/>
    <n v="116657"/>
    <n v="1399884"/>
  </r>
  <r>
    <n v="651"/>
    <s v="John"/>
    <s v="Burgess"/>
    <x v="0"/>
    <n v="9"/>
    <x v="4"/>
    <d v="2024-09-21T00:00:00"/>
    <x v="2"/>
    <n v="10"/>
    <n v="87226"/>
    <n v="1046712"/>
  </r>
  <r>
    <n v="652"/>
    <s v="Michael"/>
    <s v="Woods"/>
    <x v="0"/>
    <n v="3"/>
    <x v="6"/>
    <d v="2022-03-05T00:00:00"/>
    <x v="0"/>
    <n v="1"/>
    <n v="90057"/>
    <n v="1080684"/>
  </r>
  <r>
    <n v="653"/>
    <s v="Corey"/>
    <s v="Johnson"/>
    <x v="4"/>
    <n v="6"/>
    <x v="0"/>
    <d v="2021-06-02T00:00:00"/>
    <x v="4"/>
    <n v="23"/>
    <n v="30764"/>
    <n v="369168"/>
  </r>
  <r>
    <n v="654"/>
    <s v="Tricia"/>
    <s v="King"/>
    <x v="4"/>
    <n v="8"/>
    <x v="4"/>
    <d v="2024-08-20T00:00:00"/>
    <x v="0"/>
    <n v="42"/>
    <n v="65955"/>
    <n v="791460"/>
  </r>
  <r>
    <n v="655"/>
    <s v="Heather"/>
    <s v="Hensley"/>
    <x v="4"/>
    <n v="3"/>
    <x v="0"/>
    <d v="2021-03-19T00:00:00"/>
    <x v="2"/>
    <n v="47"/>
    <n v="40407"/>
    <n v="484884"/>
  </r>
  <r>
    <n v="656"/>
    <s v="Jonathan"/>
    <s v="Johnson"/>
    <x v="0"/>
    <n v="2"/>
    <x v="8"/>
    <d v="2019-02-24T00:00:00"/>
    <x v="3"/>
    <n v="39"/>
    <n v="39422"/>
    <n v="473064"/>
  </r>
  <r>
    <n v="657"/>
    <s v="Veronica"/>
    <s v="Sherman"/>
    <x v="4"/>
    <n v="2"/>
    <x v="0"/>
    <d v="2021-02-01T00:00:00"/>
    <x v="4"/>
    <n v="37"/>
    <n v="71763"/>
    <n v="861156"/>
  </r>
  <r>
    <n v="658"/>
    <s v="Brandy"/>
    <s v="Wilson"/>
    <x v="2"/>
    <n v="12"/>
    <x v="7"/>
    <d v="2017-12-16T00:00:00"/>
    <x v="2"/>
    <n v="27"/>
    <n v="63868"/>
    <n v="766416"/>
  </r>
  <r>
    <n v="659"/>
    <s v="Barbara"/>
    <s v="Harris"/>
    <x v="0"/>
    <n v="10"/>
    <x v="6"/>
    <d v="2022-10-02T00:00:00"/>
    <x v="1"/>
    <n v="30"/>
    <n v="111047"/>
    <n v="1332564"/>
  </r>
  <r>
    <n v="660"/>
    <s v="Justin"/>
    <s v="Campbell"/>
    <x v="4"/>
    <n v="4"/>
    <x v="3"/>
    <d v="2023-04-08T00:00:00"/>
    <x v="0"/>
    <n v="47"/>
    <n v="79656"/>
    <n v="955872"/>
  </r>
  <r>
    <n v="661"/>
    <s v="Briana"/>
    <s v="Hart"/>
    <x v="3"/>
    <n v="4"/>
    <x v="2"/>
    <d v="2018-04-27T00:00:00"/>
    <x v="2"/>
    <n v="10"/>
    <n v="73884"/>
    <n v="886608"/>
  </r>
  <r>
    <n v="662"/>
    <s v="Trevor"/>
    <s v="Rojas"/>
    <x v="1"/>
    <n v="3"/>
    <x v="3"/>
    <d v="2023-03-13T00:00:00"/>
    <x v="4"/>
    <n v="24"/>
    <n v="58871"/>
    <n v="706452"/>
  </r>
  <r>
    <n v="663"/>
    <s v="Devon"/>
    <s v="Reid"/>
    <x v="3"/>
    <n v="4"/>
    <x v="3"/>
    <d v="2023-04-19T00:00:00"/>
    <x v="0"/>
    <n v="25"/>
    <n v="23668"/>
    <n v="284016"/>
  </r>
  <r>
    <n v="664"/>
    <s v="Victor"/>
    <s v="Baird"/>
    <x v="3"/>
    <n v="5"/>
    <x v="0"/>
    <d v="2021-05-05T00:00:00"/>
    <x v="3"/>
    <n v="44"/>
    <n v="100153"/>
    <n v="1201836"/>
  </r>
  <r>
    <n v="665"/>
    <s v="Jennifer"/>
    <s v="Kennedy"/>
    <x v="3"/>
    <n v="11"/>
    <x v="3"/>
    <d v="2023-11-16T00:00:00"/>
    <x v="2"/>
    <n v="27"/>
    <n v="84315"/>
    <n v="1011780"/>
  </r>
  <r>
    <n v="666"/>
    <s v="David"/>
    <s v="Thornton"/>
    <x v="3"/>
    <n v="11"/>
    <x v="5"/>
    <d v="2020-11-07T00:00:00"/>
    <x v="1"/>
    <n v="42"/>
    <n v="82186"/>
    <n v="986232"/>
  </r>
  <r>
    <n v="667"/>
    <s v="Ashlee"/>
    <s v="Wallace"/>
    <x v="4"/>
    <n v="7"/>
    <x v="3"/>
    <d v="2023-07-16T00:00:00"/>
    <x v="1"/>
    <n v="36"/>
    <n v="115898"/>
    <n v="1390776"/>
  </r>
  <r>
    <n v="668"/>
    <s v="Mary"/>
    <s v="Shaw"/>
    <x v="2"/>
    <n v="10"/>
    <x v="4"/>
    <d v="2024-10-27T00:00:00"/>
    <x v="3"/>
    <n v="44"/>
    <n v="74415"/>
    <n v="892980"/>
  </r>
  <r>
    <n v="669"/>
    <s v="Krystal"/>
    <s v="Collier"/>
    <x v="4"/>
    <n v="2"/>
    <x v="6"/>
    <d v="2022-02-12T00:00:00"/>
    <x v="1"/>
    <n v="41"/>
    <n v="70727"/>
    <n v="848724"/>
  </r>
  <r>
    <n v="670"/>
    <s v="Jessica"/>
    <s v="Kaufman"/>
    <x v="1"/>
    <n v="7"/>
    <x v="1"/>
    <d v="2016-07-08T00:00:00"/>
    <x v="1"/>
    <n v="47"/>
    <n v="44282"/>
    <n v="531384"/>
  </r>
  <r>
    <n v="671"/>
    <s v="Douglas"/>
    <s v="Brown"/>
    <x v="3"/>
    <n v="5"/>
    <x v="4"/>
    <d v="2024-05-13T00:00:00"/>
    <x v="1"/>
    <n v="48"/>
    <n v="61162"/>
    <n v="733944"/>
  </r>
  <r>
    <n v="672"/>
    <s v="Diana"/>
    <s v="Collins"/>
    <x v="2"/>
    <n v="5"/>
    <x v="1"/>
    <d v="2016-05-16T00:00:00"/>
    <x v="2"/>
    <n v="21"/>
    <n v="65959"/>
    <n v="791508"/>
  </r>
  <r>
    <n v="673"/>
    <s v="James"/>
    <s v="Ferguson"/>
    <x v="1"/>
    <n v="7"/>
    <x v="7"/>
    <d v="2017-07-26T00:00:00"/>
    <x v="2"/>
    <n v="8"/>
    <n v="25741"/>
    <n v="308892"/>
  </r>
  <r>
    <n v="674"/>
    <s v="Tammy"/>
    <s v="Woods"/>
    <x v="1"/>
    <n v="8"/>
    <x v="1"/>
    <d v="2016-08-08T00:00:00"/>
    <x v="2"/>
    <n v="14"/>
    <n v="42626"/>
    <n v="511512"/>
  </r>
  <r>
    <n v="675"/>
    <s v="David"/>
    <s v="Griffith"/>
    <x v="4"/>
    <n v="1"/>
    <x v="5"/>
    <d v="2020-01-17T00:00:00"/>
    <x v="1"/>
    <n v="32"/>
    <n v="79407"/>
    <n v="952884"/>
  </r>
  <r>
    <n v="676"/>
    <s v="Ashley"/>
    <s v="Pope"/>
    <x v="3"/>
    <n v="12"/>
    <x v="5"/>
    <d v="2020-12-03T00:00:00"/>
    <x v="2"/>
    <n v="27"/>
    <n v="40374"/>
    <n v="484488"/>
  </r>
  <r>
    <n v="677"/>
    <s v="Kyle"/>
    <s v="Hall"/>
    <x v="4"/>
    <n v="5"/>
    <x v="6"/>
    <d v="2022-05-08T00:00:00"/>
    <x v="4"/>
    <n v="29"/>
    <n v="47964"/>
    <n v="575568"/>
  </r>
  <r>
    <n v="678"/>
    <s v="Linda"/>
    <s v="Cooper"/>
    <x v="4"/>
    <n v="6"/>
    <x v="0"/>
    <d v="2021-06-18T00:00:00"/>
    <x v="4"/>
    <n v="10"/>
    <n v="46285"/>
    <n v="555420"/>
  </r>
  <r>
    <n v="679"/>
    <s v="Joseph"/>
    <s v="Smith"/>
    <x v="2"/>
    <n v="3"/>
    <x v="8"/>
    <d v="2019-03-20T00:00:00"/>
    <x v="2"/>
    <n v="21"/>
    <n v="74345"/>
    <n v="892140"/>
  </r>
  <r>
    <n v="680"/>
    <s v="Michelle"/>
    <s v="Martin"/>
    <x v="3"/>
    <n v="9"/>
    <x v="8"/>
    <d v="2019-09-24T00:00:00"/>
    <x v="2"/>
    <n v="11"/>
    <n v="119201"/>
    <n v="1430412"/>
  </r>
  <r>
    <n v="681"/>
    <s v="Keith"/>
    <s v="Holmes"/>
    <x v="4"/>
    <n v="1"/>
    <x v="2"/>
    <d v="2018-01-19T00:00:00"/>
    <x v="0"/>
    <n v="14"/>
    <n v="45688"/>
    <n v="548256"/>
  </r>
  <r>
    <n v="682"/>
    <s v="Nichole"/>
    <s v="Swanson"/>
    <x v="0"/>
    <n v="12"/>
    <x v="8"/>
    <d v="2019-12-20T00:00:00"/>
    <x v="4"/>
    <n v="21"/>
    <n v="47669"/>
    <n v="572028"/>
  </r>
  <r>
    <n v="683"/>
    <s v="Michele"/>
    <s v="Crawford"/>
    <x v="3"/>
    <n v="2"/>
    <x v="0"/>
    <d v="2021-02-16T00:00:00"/>
    <x v="0"/>
    <n v="1"/>
    <n v="101034"/>
    <n v="1212408"/>
  </r>
  <r>
    <n v="684"/>
    <s v="Jennifer"/>
    <s v="Reid"/>
    <x v="4"/>
    <n v="4"/>
    <x v="8"/>
    <d v="2019-04-08T00:00:00"/>
    <x v="1"/>
    <n v="22"/>
    <n v="93903"/>
    <n v="1126836"/>
  </r>
  <r>
    <n v="685"/>
    <s v="Rebecca"/>
    <s v="Blankenship"/>
    <x v="2"/>
    <n v="9"/>
    <x v="6"/>
    <d v="2022-09-10T00:00:00"/>
    <x v="4"/>
    <n v="20"/>
    <n v="45149"/>
    <n v="541788"/>
  </r>
  <r>
    <n v="686"/>
    <s v="Andrea"/>
    <s v="Vasquez"/>
    <x v="2"/>
    <n v="3"/>
    <x v="0"/>
    <d v="2021-03-07T00:00:00"/>
    <x v="4"/>
    <n v="49"/>
    <n v="52543"/>
    <n v="630516"/>
  </r>
  <r>
    <n v="687"/>
    <s v="Courtney"/>
    <s v="Romero"/>
    <x v="0"/>
    <n v="4"/>
    <x v="4"/>
    <d v="2024-04-07T00:00:00"/>
    <x v="0"/>
    <n v="46"/>
    <n v="90959"/>
    <n v="1091508"/>
  </r>
  <r>
    <n v="688"/>
    <s v="Kelly"/>
    <s v="French"/>
    <x v="0"/>
    <n v="6"/>
    <x v="1"/>
    <d v="2016-06-01T00:00:00"/>
    <x v="2"/>
    <n v="42"/>
    <n v="79957"/>
    <n v="959484"/>
  </r>
  <r>
    <n v="689"/>
    <s v="Mark"/>
    <s v="Harris"/>
    <x v="4"/>
    <n v="2"/>
    <x v="0"/>
    <d v="2021-02-09T00:00:00"/>
    <x v="0"/>
    <n v="14"/>
    <n v="92019"/>
    <n v="1104228"/>
  </r>
  <r>
    <n v="690"/>
    <s v="Lauren"/>
    <s v="Kelly"/>
    <x v="0"/>
    <n v="4"/>
    <x v="5"/>
    <d v="2020-04-09T00:00:00"/>
    <x v="4"/>
    <n v="15"/>
    <n v="94496"/>
    <n v="1133952"/>
  </r>
  <r>
    <n v="691"/>
    <s v="Paul"/>
    <s v="Scott"/>
    <x v="4"/>
    <n v="8"/>
    <x v="1"/>
    <d v="2016-08-08T00:00:00"/>
    <x v="3"/>
    <n v="47"/>
    <n v="77674"/>
    <n v="932088"/>
  </r>
  <r>
    <n v="692"/>
    <s v="Beth"/>
    <s v="Colon"/>
    <x v="3"/>
    <n v="1"/>
    <x v="7"/>
    <d v="2017-01-15T00:00:00"/>
    <x v="4"/>
    <n v="34"/>
    <n v="48977"/>
    <n v="587724"/>
  </r>
  <r>
    <n v="693"/>
    <s v="Angela"/>
    <s v="Baker"/>
    <x v="0"/>
    <n v="10"/>
    <x v="6"/>
    <d v="2022-10-28T00:00:00"/>
    <x v="3"/>
    <n v="14"/>
    <n v="42412"/>
    <n v="508944"/>
  </r>
  <r>
    <n v="694"/>
    <s v="Donald"/>
    <s v="Bean"/>
    <x v="1"/>
    <n v="3"/>
    <x v="3"/>
    <d v="2023-03-26T00:00:00"/>
    <x v="3"/>
    <n v="19"/>
    <n v="39462"/>
    <n v="473544"/>
  </r>
  <r>
    <n v="695"/>
    <s v="Theresa"/>
    <s v="Krueger"/>
    <x v="4"/>
    <n v="7"/>
    <x v="0"/>
    <d v="2021-07-31T00:00:00"/>
    <x v="1"/>
    <n v="42"/>
    <n v="93209"/>
    <n v="1118508"/>
  </r>
  <r>
    <n v="696"/>
    <s v="John"/>
    <s v="Mercado"/>
    <x v="3"/>
    <n v="12"/>
    <x v="8"/>
    <d v="2019-12-07T00:00:00"/>
    <x v="3"/>
    <n v="5"/>
    <n v="59380"/>
    <n v="712560"/>
  </r>
  <r>
    <n v="697"/>
    <s v="Gregory"/>
    <s v="Miller"/>
    <x v="4"/>
    <n v="9"/>
    <x v="0"/>
    <d v="2021-09-12T00:00:00"/>
    <x v="4"/>
    <n v="45"/>
    <n v="82016"/>
    <n v="984192"/>
  </r>
  <r>
    <n v="698"/>
    <s v="Steven"/>
    <s v="Bowers"/>
    <x v="0"/>
    <n v="7"/>
    <x v="8"/>
    <d v="2019-07-19T00:00:00"/>
    <x v="2"/>
    <n v="2"/>
    <n v="93727"/>
    <n v="1124724"/>
  </r>
  <r>
    <n v="699"/>
    <s v="Scott"/>
    <s v="Montgomery"/>
    <x v="4"/>
    <n v="5"/>
    <x v="7"/>
    <d v="2017-05-07T00:00:00"/>
    <x v="1"/>
    <n v="2"/>
    <n v="59153"/>
    <n v="709836"/>
  </r>
  <r>
    <n v="700"/>
    <s v="Annette"/>
    <s v="Avery"/>
    <x v="3"/>
    <n v="11"/>
    <x v="8"/>
    <d v="2019-11-30T00:00:00"/>
    <x v="4"/>
    <n v="43"/>
    <n v="54297"/>
    <n v="651564"/>
  </r>
  <r>
    <n v="701"/>
    <s v="Juan"/>
    <s v="Price"/>
    <x v="4"/>
    <n v="10"/>
    <x v="0"/>
    <d v="2021-10-22T00:00:00"/>
    <x v="0"/>
    <n v="40"/>
    <n v="26435"/>
    <n v="317220"/>
  </r>
  <r>
    <n v="702"/>
    <s v="Ricky"/>
    <s v="Bryant"/>
    <x v="3"/>
    <n v="12"/>
    <x v="3"/>
    <d v="2023-12-22T00:00:00"/>
    <x v="4"/>
    <n v="23"/>
    <n v="107796"/>
    <n v="1293552"/>
  </r>
  <r>
    <n v="703"/>
    <s v="Joan"/>
    <s v="Robinson"/>
    <x v="0"/>
    <n v="9"/>
    <x v="1"/>
    <d v="2016-09-09T00:00:00"/>
    <x v="3"/>
    <n v="13"/>
    <n v="92709"/>
    <n v="1112508"/>
  </r>
  <r>
    <n v="704"/>
    <s v="Jeffery"/>
    <s v="Padilla"/>
    <x v="3"/>
    <n v="1"/>
    <x v="7"/>
    <d v="2017-01-10T00:00:00"/>
    <x v="1"/>
    <n v="26"/>
    <n v="20247"/>
    <n v="242964"/>
  </r>
  <r>
    <n v="705"/>
    <s v="Cesar"/>
    <s v="Fowler"/>
    <x v="1"/>
    <n v="5"/>
    <x v="8"/>
    <d v="2019-05-12T00:00:00"/>
    <x v="1"/>
    <n v="35"/>
    <n v="31862"/>
    <n v="382344"/>
  </r>
  <r>
    <n v="706"/>
    <s v="Tonya"/>
    <s v="Brown"/>
    <x v="4"/>
    <n v="4"/>
    <x v="7"/>
    <d v="2017-04-15T00:00:00"/>
    <x v="3"/>
    <n v="16"/>
    <n v="64341"/>
    <n v="772092"/>
  </r>
  <r>
    <n v="707"/>
    <s v="Rebecca"/>
    <s v="Owens"/>
    <x v="3"/>
    <n v="7"/>
    <x v="3"/>
    <d v="2023-07-07T00:00:00"/>
    <x v="0"/>
    <n v="12"/>
    <n v="38827"/>
    <n v="465924"/>
  </r>
  <r>
    <n v="708"/>
    <s v="Daniel"/>
    <s v="Acevedo"/>
    <x v="4"/>
    <n v="8"/>
    <x v="2"/>
    <d v="2018-08-23T00:00:00"/>
    <x v="0"/>
    <n v="16"/>
    <n v="87930"/>
    <n v="1055160"/>
  </r>
  <r>
    <n v="709"/>
    <s v="Kristen"/>
    <s v="Weaver"/>
    <x v="3"/>
    <n v="3"/>
    <x v="1"/>
    <d v="2016-03-17T00:00:00"/>
    <x v="1"/>
    <n v="39"/>
    <n v="68408"/>
    <n v="820896"/>
  </r>
  <r>
    <n v="710"/>
    <s v="Jacqueline"/>
    <s v="Stevenson"/>
    <x v="0"/>
    <n v="8"/>
    <x v="2"/>
    <d v="2018-08-10T00:00:00"/>
    <x v="1"/>
    <n v="10"/>
    <n v="105976"/>
    <n v="1271712"/>
  </r>
  <r>
    <n v="711"/>
    <s v="Henry"/>
    <s v="Best"/>
    <x v="1"/>
    <n v="12"/>
    <x v="8"/>
    <d v="2019-12-07T00:00:00"/>
    <x v="4"/>
    <n v="31"/>
    <n v="106082"/>
    <n v="1272984"/>
  </r>
  <r>
    <n v="712"/>
    <s v="Robert"/>
    <s v="Evans"/>
    <x v="4"/>
    <n v="8"/>
    <x v="4"/>
    <d v="2024-08-10T00:00:00"/>
    <x v="0"/>
    <n v="4"/>
    <n v="20685"/>
    <n v="248220"/>
  </r>
  <r>
    <n v="713"/>
    <s v="Anne"/>
    <s v="Butler"/>
    <x v="2"/>
    <n v="7"/>
    <x v="4"/>
    <d v="2024-07-19T00:00:00"/>
    <x v="1"/>
    <n v="12"/>
    <n v="107553"/>
    <n v="1290636"/>
  </r>
  <r>
    <n v="714"/>
    <s v="Tyler"/>
    <s v="Bailey"/>
    <x v="1"/>
    <n v="10"/>
    <x v="8"/>
    <d v="2019-10-21T00:00:00"/>
    <x v="4"/>
    <n v="8"/>
    <n v="60269"/>
    <n v="723228"/>
  </r>
  <r>
    <n v="715"/>
    <s v="William"/>
    <s v="Elliott"/>
    <x v="0"/>
    <n v="9"/>
    <x v="8"/>
    <d v="2019-09-23T00:00:00"/>
    <x v="4"/>
    <n v="49"/>
    <n v="72671"/>
    <n v="872052"/>
  </r>
  <r>
    <n v="716"/>
    <s v="Ashley"/>
    <s v="Bradley"/>
    <x v="4"/>
    <n v="12"/>
    <x v="1"/>
    <d v="2016-12-12T00:00:00"/>
    <x v="3"/>
    <n v="17"/>
    <n v="101797"/>
    <n v="1221564"/>
  </r>
  <r>
    <n v="717"/>
    <s v="Gerald"/>
    <s v="Beck"/>
    <x v="3"/>
    <n v="8"/>
    <x v="3"/>
    <d v="2023-08-13T00:00:00"/>
    <x v="2"/>
    <n v="27"/>
    <n v="47770"/>
    <n v="573240"/>
  </r>
  <r>
    <n v="718"/>
    <s v="Kari"/>
    <s v="Boyer"/>
    <x v="2"/>
    <n v="7"/>
    <x v="4"/>
    <d v="2024-07-01T00:00:00"/>
    <x v="2"/>
    <n v="33"/>
    <n v="45414"/>
    <n v="544968"/>
  </r>
  <r>
    <n v="719"/>
    <s v="Jacob"/>
    <s v="Wilkerson"/>
    <x v="1"/>
    <n v="4"/>
    <x v="8"/>
    <d v="2019-04-22T00:00:00"/>
    <x v="4"/>
    <n v="15"/>
    <n v="117929"/>
    <n v="1415148"/>
  </r>
  <r>
    <n v="720"/>
    <s v="Paul"/>
    <s v="Austin"/>
    <x v="0"/>
    <n v="3"/>
    <x v="3"/>
    <d v="2023-03-08T00:00:00"/>
    <x v="2"/>
    <n v="12"/>
    <n v="40739"/>
    <n v="488868"/>
  </r>
  <r>
    <n v="721"/>
    <s v="Caitlin"/>
    <s v="Kelley"/>
    <x v="1"/>
    <n v="2"/>
    <x v="8"/>
    <d v="2019-02-09T00:00:00"/>
    <x v="3"/>
    <n v="3"/>
    <n v="84784"/>
    <n v="1017408"/>
  </r>
  <r>
    <n v="722"/>
    <s v="Ralph"/>
    <s v="Shelton"/>
    <x v="0"/>
    <n v="7"/>
    <x v="6"/>
    <d v="2022-07-23T00:00:00"/>
    <x v="1"/>
    <n v="33"/>
    <n v="32806"/>
    <n v="393672"/>
  </r>
  <r>
    <n v="723"/>
    <s v="Jessica"/>
    <s v="Mcguire"/>
    <x v="3"/>
    <n v="2"/>
    <x v="6"/>
    <d v="2022-02-23T00:00:00"/>
    <x v="3"/>
    <n v="25"/>
    <n v="64521"/>
    <n v="774252"/>
  </r>
  <r>
    <n v="724"/>
    <s v="Christopher"/>
    <s v="Hall"/>
    <x v="4"/>
    <n v="7"/>
    <x v="8"/>
    <d v="2019-07-20T00:00:00"/>
    <x v="4"/>
    <n v="34"/>
    <n v="80342"/>
    <n v="964104"/>
  </r>
  <r>
    <n v="725"/>
    <s v="Elizabeth"/>
    <s v="Campos"/>
    <x v="2"/>
    <n v="11"/>
    <x v="8"/>
    <d v="2019-11-07T00:00:00"/>
    <x v="2"/>
    <n v="48"/>
    <n v="26928"/>
    <n v="323136"/>
  </r>
  <r>
    <n v="726"/>
    <s v="Christopher"/>
    <s v="Parsons"/>
    <x v="3"/>
    <n v="6"/>
    <x v="2"/>
    <d v="2018-06-19T00:00:00"/>
    <x v="3"/>
    <n v="26"/>
    <n v="109190"/>
    <n v="1310280"/>
  </r>
  <r>
    <n v="727"/>
    <s v="Anthony"/>
    <s v="Lin"/>
    <x v="3"/>
    <n v="12"/>
    <x v="5"/>
    <d v="2020-12-29T00:00:00"/>
    <x v="3"/>
    <n v="26"/>
    <n v="74468"/>
    <n v="893616"/>
  </r>
  <r>
    <n v="728"/>
    <s v="Paul"/>
    <s v="Ross"/>
    <x v="0"/>
    <n v="2"/>
    <x v="0"/>
    <d v="2021-02-09T00:00:00"/>
    <x v="0"/>
    <n v="18"/>
    <n v="114457"/>
    <n v="1373484"/>
  </r>
  <r>
    <n v="729"/>
    <s v="Kelsey"/>
    <s v="Ibarra"/>
    <x v="2"/>
    <n v="3"/>
    <x v="0"/>
    <d v="2021-03-22T00:00:00"/>
    <x v="3"/>
    <n v="11"/>
    <n v="97090"/>
    <n v="1165080"/>
  </r>
  <r>
    <n v="730"/>
    <s v="Jesse"/>
    <s v="Hogan"/>
    <x v="1"/>
    <n v="7"/>
    <x v="6"/>
    <d v="2022-07-01T00:00:00"/>
    <x v="0"/>
    <n v="48"/>
    <n v="99144"/>
    <n v="1189728"/>
  </r>
  <r>
    <n v="731"/>
    <s v="Lauren"/>
    <s v="Williams"/>
    <x v="1"/>
    <n v="1"/>
    <x v="0"/>
    <d v="2021-01-18T00:00:00"/>
    <x v="4"/>
    <n v="38"/>
    <n v="79380"/>
    <n v="952560"/>
  </r>
  <r>
    <n v="732"/>
    <s v="Gregory"/>
    <s v="Black"/>
    <x v="0"/>
    <n v="10"/>
    <x v="0"/>
    <d v="2021-10-23T00:00:00"/>
    <x v="4"/>
    <n v="44"/>
    <n v="65037"/>
    <n v="780444"/>
  </r>
  <r>
    <n v="733"/>
    <s v="Austin"/>
    <s v="Stark"/>
    <x v="0"/>
    <n v="3"/>
    <x v="5"/>
    <d v="2020-03-25T00:00:00"/>
    <x v="1"/>
    <n v="4"/>
    <n v="36686"/>
    <n v="440232"/>
  </r>
  <r>
    <n v="734"/>
    <s v="Brian"/>
    <s v="Aguirre"/>
    <x v="0"/>
    <n v="5"/>
    <x v="8"/>
    <d v="2019-05-08T00:00:00"/>
    <x v="2"/>
    <n v="19"/>
    <n v="77093"/>
    <n v="925116"/>
  </r>
  <r>
    <n v="735"/>
    <s v="Alyssa"/>
    <s v="Jackson"/>
    <x v="2"/>
    <n v="7"/>
    <x v="3"/>
    <d v="2023-07-28T00:00:00"/>
    <x v="3"/>
    <n v="14"/>
    <n v="96274"/>
    <n v="1155288"/>
  </r>
  <r>
    <n v="736"/>
    <s v="Dennis"/>
    <s v="Wilson"/>
    <x v="1"/>
    <n v="3"/>
    <x v="7"/>
    <d v="2017-03-10T00:00:00"/>
    <x v="1"/>
    <n v="15"/>
    <n v="106003"/>
    <n v="1272036"/>
  </r>
  <r>
    <n v="737"/>
    <s v="Stacy"/>
    <s v="Huff"/>
    <x v="4"/>
    <n v="12"/>
    <x v="2"/>
    <d v="2018-12-18T00:00:00"/>
    <x v="2"/>
    <n v="4"/>
    <n v="21479"/>
    <n v="257748"/>
  </r>
  <r>
    <n v="738"/>
    <s v="Marvin"/>
    <s v="Robinson"/>
    <x v="2"/>
    <n v="4"/>
    <x v="6"/>
    <d v="2022-04-03T00:00:00"/>
    <x v="0"/>
    <n v="10"/>
    <n v="100251"/>
    <n v="1203012"/>
  </r>
  <r>
    <n v="739"/>
    <s v="John"/>
    <s v="Landry"/>
    <x v="3"/>
    <n v="1"/>
    <x v="3"/>
    <d v="2023-01-11T00:00:00"/>
    <x v="0"/>
    <n v="22"/>
    <n v="86178"/>
    <n v="1034136"/>
  </r>
  <r>
    <n v="740"/>
    <s v="Timothy"/>
    <s v="Gilbert"/>
    <x v="0"/>
    <n v="2"/>
    <x v="6"/>
    <d v="2022-02-14T00:00:00"/>
    <x v="0"/>
    <n v="9"/>
    <n v="25497"/>
    <n v="305964"/>
  </r>
  <r>
    <n v="741"/>
    <s v="William"/>
    <s v="King"/>
    <x v="0"/>
    <n v="6"/>
    <x v="6"/>
    <d v="2022-06-02T00:00:00"/>
    <x v="2"/>
    <n v="23"/>
    <n v="30834"/>
    <n v="370008"/>
  </r>
  <r>
    <n v="742"/>
    <s v="Abigail"/>
    <s v="Valenzuela"/>
    <x v="2"/>
    <n v="6"/>
    <x v="3"/>
    <d v="2023-06-09T00:00:00"/>
    <x v="2"/>
    <n v="49"/>
    <n v="20475"/>
    <n v="245700"/>
  </r>
  <r>
    <n v="743"/>
    <s v="Brandon"/>
    <s v="Tate"/>
    <x v="4"/>
    <n v="2"/>
    <x v="2"/>
    <d v="2018-02-04T00:00:00"/>
    <x v="3"/>
    <n v="41"/>
    <n v="57783"/>
    <n v="693396"/>
  </r>
  <r>
    <n v="744"/>
    <s v="Randy"/>
    <s v="Wilkerson"/>
    <x v="3"/>
    <n v="3"/>
    <x v="0"/>
    <d v="2021-03-28T00:00:00"/>
    <x v="3"/>
    <n v="11"/>
    <n v="28774"/>
    <n v="345288"/>
  </r>
  <r>
    <n v="745"/>
    <s v="Douglas"/>
    <s v="Smith"/>
    <x v="1"/>
    <n v="6"/>
    <x v="0"/>
    <d v="2021-06-15T00:00:00"/>
    <x v="4"/>
    <n v="49"/>
    <n v="33869"/>
    <n v="406428"/>
  </r>
  <r>
    <n v="746"/>
    <s v="Nathan"/>
    <s v="White"/>
    <x v="4"/>
    <n v="12"/>
    <x v="8"/>
    <d v="2019-12-21T00:00:00"/>
    <x v="0"/>
    <n v="45"/>
    <n v="25418"/>
    <n v="305016"/>
  </r>
  <r>
    <n v="747"/>
    <s v="John"/>
    <s v="Vincent"/>
    <x v="4"/>
    <n v="2"/>
    <x v="0"/>
    <d v="2021-02-05T00:00:00"/>
    <x v="1"/>
    <n v="37"/>
    <n v="118544"/>
    <n v="1422528"/>
  </r>
  <r>
    <n v="748"/>
    <s v="Keith"/>
    <s v="Tanner"/>
    <x v="1"/>
    <n v="4"/>
    <x v="5"/>
    <d v="2020-04-12T00:00:00"/>
    <x v="1"/>
    <n v="47"/>
    <n v="49651"/>
    <n v="595812"/>
  </r>
  <r>
    <n v="749"/>
    <s v="Marcus"/>
    <s v="Beck"/>
    <x v="1"/>
    <n v="7"/>
    <x v="0"/>
    <d v="2021-07-17T00:00:00"/>
    <x v="3"/>
    <n v="38"/>
    <n v="36887"/>
    <n v="442644"/>
  </r>
  <r>
    <n v="750"/>
    <s v="Joseph"/>
    <s v="Ramsey"/>
    <x v="1"/>
    <n v="4"/>
    <x v="6"/>
    <d v="2022-04-25T00:00:00"/>
    <x v="2"/>
    <n v="13"/>
    <n v="79840"/>
    <n v="958080"/>
  </r>
  <r>
    <n v="751"/>
    <s v="Edward"/>
    <s v="Moore"/>
    <x v="1"/>
    <n v="12"/>
    <x v="9"/>
    <d v="2015-12-23T00:00:00"/>
    <x v="3"/>
    <n v="20"/>
    <n v="101379"/>
    <n v="1216548"/>
  </r>
  <r>
    <n v="752"/>
    <s v="Anthony"/>
    <s v="Gonzalez"/>
    <x v="0"/>
    <n v="8"/>
    <x v="2"/>
    <d v="2018-08-21T00:00:00"/>
    <x v="2"/>
    <n v="23"/>
    <n v="28857"/>
    <n v="346284"/>
  </r>
  <r>
    <n v="753"/>
    <s v="John"/>
    <s v="Miller"/>
    <x v="0"/>
    <n v="5"/>
    <x v="7"/>
    <d v="2017-05-09T00:00:00"/>
    <x v="2"/>
    <n v="42"/>
    <n v="28042"/>
    <n v="336504"/>
  </r>
  <r>
    <n v="754"/>
    <s v="Kyle"/>
    <s v="Taylor"/>
    <x v="0"/>
    <n v="3"/>
    <x v="1"/>
    <d v="2016-03-23T00:00:00"/>
    <x v="2"/>
    <n v="3"/>
    <n v="32626"/>
    <n v="391512"/>
  </r>
  <r>
    <n v="755"/>
    <s v="Kathy"/>
    <s v="Robinson"/>
    <x v="1"/>
    <n v="5"/>
    <x v="8"/>
    <d v="2019-05-08T00:00:00"/>
    <x v="0"/>
    <n v="10"/>
    <n v="110619"/>
    <n v="1327428"/>
  </r>
  <r>
    <n v="756"/>
    <s v="Rita"/>
    <s v="Stephens"/>
    <x v="1"/>
    <n v="7"/>
    <x v="8"/>
    <d v="2019-07-05T00:00:00"/>
    <x v="4"/>
    <n v="27"/>
    <n v="99558"/>
    <n v="1194696"/>
  </r>
  <r>
    <n v="757"/>
    <s v="Casey"/>
    <s v="Harris"/>
    <x v="4"/>
    <n v="8"/>
    <x v="1"/>
    <d v="2016-08-16T00:00:00"/>
    <x v="1"/>
    <n v="19"/>
    <n v="24152"/>
    <n v="289824"/>
  </r>
  <r>
    <n v="758"/>
    <s v="Susan"/>
    <s v="Sexton"/>
    <x v="2"/>
    <n v="5"/>
    <x v="4"/>
    <d v="2024-05-13T00:00:00"/>
    <x v="1"/>
    <n v="37"/>
    <n v="93414"/>
    <n v="1120968"/>
  </r>
  <r>
    <n v="759"/>
    <s v="Ryan"/>
    <s v="Williams"/>
    <x v="1"/>
    <n v="10"/>
    <x v="8"/>
    <d v="2019-10-14T00:00:00"/>
    <x v="1"/>
    <n v="44"/>
    <n v="32390"/>
    <n v="388680"/>
  </r>
  <r>
    <n v="760"/>
    <s v="Gina"/>
    <s v="Jackson"/>
    <x v="4"/>
    <n v="12"/>
    <x v="6"/>
    <d v="2022-12-12T00:00:00"/>
    <x v="4"/>
    <n v="27"/>
    <n v="84583"/>
    <n v="1014996"/>
  </r>
  <r>
    <n v="761"/>
    <s v="Karen"/>
    <s v="Munoz"/>
    <x v="1"/>
    <n v="9"/>
    <x v="2"/>
    <d v="2018-09-05T00:00:00"/>
    <x v="1"/>
    <n v="10"/>
    <n v="110396"/>
    <n v="1324752"/>
  </r>
  <r>
    <n v="762"/>
    <s v="Kristen"/>
    <s v="West"/>
    <x v="2"/>
    <n v="1"/>
    <x v="4"/>
    <d v="2024-01-03T00:00:00"/>
    <x v="2"/>
    <n v="7"/>
    <n v="73231"/>
    <n v="878772"/>
  </r>
  <r>
    <n v="763"/>
    <s v="Lisa"/>
    <s v="Roberts"/>
    <x v="3"/>
    <n v="3"/>
    <x v="0"/>
    <d v="2021-03-23T00:00:00"/>
    <x v="0"/>
    <n v="34"/>
    <n v="107671"/>
    <n v="1292052"/>
  </r>
  <r>
    <n v="764"/>
    <s v="Karen"/>
    <s v="Miller"/>
    <x v="4"/>
    <n v="3"/>
    <x v="0"/>
    <d v="2021-03-05T00:00:00"/>
    <x v="0"/>
    <n v="21"/>
    <n v="76483"/>
    <n v="917796"/>
  </r>
  <r>
    <n v="765"/>
    <s v="Troy"/>
    <s v="Dean"/>
    <x v="0"/>
    <n v="4"/>
    <x v="5"/>
    <d v="2020-04-30T00:00:00"/>
    <x v="3"/>
    <n v="28"/>
    <n v="66528"/>
    <n v="798336"/>
  </r>
  <r>
    <n v="766"/>
    <s v="Robin"/>
    <s v="Ford"/>
    <x v="3"/>
    <n v="2"/>
    <x v="4"/>
    <d v="2024-02-16T00:00:00"/>
    <x v="4"/>
    <n v="42"/>
    <n v="59382"/>
    <n v="712584"/>
  </r>
  <r>
    <n v="767"/>
    <s v="Jacqueline"/>
    <s v="Allen"/>
    <x v="4"/>
    <n v="9"/>
    <x v="2"/>
    <d v="2018-09-19T00:00:00"/>
    <x v="3"/>
    <n v="26"/>
    <n v="89229"/>
    <n v="1070748"/>
  </r>
  <r>
    <n v="768"/>
    <s v="Jeffrey"/>
    <s v="Lee"/>
    <x v="4"/>
    <n v="10"/>
    <x v="4"/>
    <d v="2024-10-28T00:00:00"/>
    <x v="1"/>
    <n v="6"/>
    <n v="60159"/>
    <n v="721908"/>
  </r>
  <r>
    <n v="769"/>
    <s v="Jessica"/>
    <s v="Quinn"/>
    <x v="4"/>
    <n v="5"/>
    <x v="3"/>
    <d v="2023-05-28T00:00:00"/>
    <x v="4"/>
    <n v="10"/>
    <n v="82994"/>
    <n v="995928"/>
  </r>
  <r>
    <n v="770"/>
    <s v="Sheila"/>
    <s v="Ball"/>
    <x v="0"/>
    <n v="8"/>
    <x v="7"/>
    <d v="2017-08-23T00:00:00"/>
    <x v="3"/>
    <n v="21"/>
    <n v="94063"/>
    <n v="1128756"/>
  </r>
  <r>
    <n v="771"/>
    <s v="Kelsey"/>
    <s v="Mcmahon"/>
    <x v="0"/>
    <n v="2"/>
    <x v="8"/>
    <d v="2019-02-26T00:00:00"/>
    <x v="0"/>
    <n v="4"/>
    <n v="50478"/>
    <n v="605736"/>
  </r>
  <r>
    <n v="772"/>
    <s v="Brenda"/>
    <s v="Ellis"/>
    <x v="4"/>
    <n v="4"/>
    <x v="1"/>
    <d v="2016-04-25T00:00:00"/>
    <x v="0"/>
    <n v="27"/>
    <n v="62024"/>
    <n v="744288"/>
  </r>
  <r>
    <n v="773"/>
    <s v="Robert"/>
    <s v="Brown"/>
    <x v="0"/>
    <n v="10"/>
    <x v="7"/>
    <d v="2017-10-25T00:00:00"/>
    <x v="0"/>
    <n v="42"/>
    <n v="95334"/>
    <n v="1144008"/>
  </r>
  <r>
    <n v="774"/>
    <s v="Jonathan"/>
    <s v="Cunningham"/>
    <x v="0"/>
    <n v="11"/>
    <x v="7"/>
    <d v="2017-11-03T00:00:00"/>
    <x v="0"/>
    <n v="20"/>
    <n v="22444"/>
    <n v="269328"/>
  </r>
  <r>
    <n v="775"/>
    <s v="Aaron"/>
    <s v="Gill"/>
    <x v="0"/>
    <n v="10"/>
    <x v="1"/>
    <d v="2016-10-13T00:00:00"/>
    <x v="4"/>
    <n v="25"/>
    <n v="62811"/>
    <n v="753732"/>
  </r>
  <r>
    <n v="776"/>
    <s v="Matthew"/>
    <s v="Copeland"/>
    <x v="2"/>
    <n v="1"/>
    <x v="0"/>
    <d v="2021-01-31T00:00:00"/>
    <x v="1"/>
    <n v="26"/>
    <n v="20385"/>
    <n v="244620"/>
  </r>
  <r>
    <n v="777"/>
    <s v="Gerald"/>
    <s v="Fischer"/>
    <x v="2"/>
    <n v="6"/>
    <x v="5"/>
    <d v="2020-06-20T00:00:00"/>
    <x v="3"/>
    <n v="39"/>
    <n v="49788"/>
    <n v="597456"/>
  </r>
  <r>
    <n v="778"/>
    <s v="Samuel"/>
    <s v="Marsh"/>
    <x v="4"/>
    <n v="6"/>
    <x v="5"/>
    <d v="2020-06-03T00:00:00"/>
    <x v="1"/>
    <n v="41"/>
    <n v="75872"/>
    <n v="910464"/>
  </r>
  <r>
    <n v="779"/>
    <s v="Jennifer"/>
    <s v="Flowers"/>
    <x v="3"/>
    <n v="1"/>
    <x v="0"/>
    <d v="2021-01-06T00:00:00"/>
    <x v="0"/>
    <n v="34"/>
    <n v="30861"/>
    <n v="370332"/>
  </r>
  <r>
    <n v="780"/>
    <s v="James"/>
    <s v="Gray"/>
    <x v="1"/>
    <n v="4"/>
    <x v="7"/>
    <d v="2017-04-09T00:00:00"/>
    <x v="1"/>
    <n v="28"/>
    <n v="78479"/>
    <n v="941748"/>
  </r>
  <r>
    <n v="781"/>
    <s v="Jillian"/>
    <s v="Collins"/>
    <x v="0"/>
    <n v="10"/>
    <x v="7"/>
    <d v="2017-10-10T00:00:00"/>
    <x v="1"/>
    <n v="20"/>
    <n v="57160"/>
    <n v="685920"/>
  </r>
  <r>
    <n v="782"/>
    <s v="Shannon"/>
    <s v="Gonzales"/>
    <x v="4"/>
    <n v="1"/>
    <x v="8"/>
    <d v="2019-01-24T00:00:00"/>
    <x v="0"/>
    <n v="46"/>
    <n v="51882"/>
    <n v="622584"/>
  </r>
  <r>
    <n v="783"/>
    <s v="Ronald"/>
    <s v="Cervantes"/>
    <x v="4"/>
    <n v="2"/>
    <x v="7"/>
    <d v="2017-02-17T00:00:00"/>
    <x v="1"/>
    <n v="26"/>
    <n v="43530"/>
    <n v="522360"/>
  </r>
  <r>
    <n v="784"/>
    <s v="Mary"/>
    <s v="Barnes"/>
    <x v="3"/>
    <n v="12"/>
    <x v="1"/>
    <d v="2016-12-18T00:00:00"/>
    <x v="3"/>
    <n v="16"/>
    <n v="88281"/>
    <n v="1059372"/>
  </r>
  <r>
    <n v="785"/>
    <s v="Angelica"/>
    <s v="Ellis"/>
    <x v="2"/>
    <n v="12"/>
    <x v="2"/>
    <d v="2018-12-11T00:00:00"/>
    <x v="1"/>
    <n v="9"/>
    <n v="97588"/>
    <n v="1171056"/>
  </r>
  <r>
    <n v="786"/>
    <s v="Karen"/>
    <s v="Nelson"/>
    <x v="0"/>
    <n v="7"/>
    <x v="7"/>
    <d v="2017-07-29T00:00:00"/>
    <x v="4"/>
    <n v="18"/>
    <n v="101268"/>
    <n v="1215216"/>
  </r>
  <r>
    <n v="787"/>
    <s v="Jeffrey"/>
    <s v="Smith"/>
    <x v="1"/>
    <n v="5"/>
    <x v="0"/>
    <d v="2021-05-30T00:00:00"/>
    <x v="3"/>
    <n v="25"/>
    <n v="22043"/>
    <n v="264516"/>
  </r>
  <r>
    <n v="788"/>
    <s v="Brandy"/>
    <s v="Gutierrez"/>
    <x v="4"/>
    <n v="3"/>
    <x v="7"/>
    <d v="2017-03-01T00:00:00"/>
    <x v="4"/>
    <n v="4"/>
    <n v="109639"/>
    <n v="1315668"/>
  </r>
  <r>
    <n v="789"/>
    <s v="Christina"/>
    <s v="Cooper"/>
    <x v="3"/>
    <n v="1"/>
    <x v="5"/>
    <d v="2020-01-26T00:00:00"/>
    <x v="1"/>
    <n v="36"/>
    <n v="104604"/>
    <n v="1255248"/>
  </r>
  <r>
    <n v="790"/>
    <s v="Wesley"/>
    <s v="Stout"/>
    <x v="3"/>
    <n v="3"/>
    <x v="7"/>
    <d v="2017-03-06T00:00:00"/>
    <x v="4"/>
    <n v="27"/>
    <n v="63112"/>
    <n v="757344"/>
  </r>
  <r>
    <n v="791"/>
    <s v="Jessica"/>
    <s v="Williams"/>
    <x v="2"/>
    <n v="2"/>
    <x v="3"/>
    <d v="2023-02-21T00:00:00"/>
    <x v="3"/>
    <n v="45"/>
    <n v="77068"/>
    <n v="924816"/>
  </r>
  <r>
    <n v="792"/>
    <s v="Robert"/>
    <s v="Perez"/>
    <x v="2"/>
    <n v="8"/>
    <x v="7"/>
    <d v="2017-08-10T00:00:00"/>
    <x v="1"/>
    <n v="27"/>
    <n v="106094"/>
    <n v="1273128"/>
  </r>
  <r>
    <n v="793"/>
    <s v="Courtney"/>
    <s v="Jacobson"/>
    <x v="3"/>
    <n v="10"/>
    <x v="3"/>
    <d v="2023-10-21T00:00:00"/>
    <x v="2"/>
    <n v="5"/>
    <n v="40697"/>
    <n v="488364"/>
  </r>
  <r>
    <n v="794"/>
    <s v="Lisa"/>
    <s v="Moreno"/>
    <x v="2"/>
    <n v="7"/>
    <x v="6"/>
    <d v="2022-07-30T00:00:00"/>
    <x v="4"/>
    <n v="1"/>
    <n v="62063"/>
    <n v="744756"/>
  </r>
  <r>
    <n v="795"/>
    <s v="Gina"/>
    <s v="Singleton"/>
    <x v="2"/>
    <n v="1"/>
    <x v="5"/>
    <d v="2020-01-26T00:00:00"/>
    <x v="0"/>
    <n v="10"/>
    <n v="78422"/>
    <n v="941064"/>
  </r>
  <r>
    <n v="796"/>
    <s v="Sandra"/>
    <s v="Kim"/>
    <x v="1"/>
    <n v="5"/>
    <x v="7"/>
    <d v="2017-05-25T00:00:00"/>
    <x v="1"/>
    <n v="46"/>
    <n v="61254"/>
    <n v="735048"/>
  </r>
  <r>
    <n v="797"/>
    <s v="Nicole"/>
    <s v="Larson"/>
    <x v="2"/>
    <n v="4"/>
    <x v="5"/>
    <d v="2020-04-28T00:00:00"/>
    <x v="2"/>
    <n v="15"/>
    <n v="60685"/>
    <n v="728220"/>
  </r>
  <r>
    <n v="798"/>
    <s v="Lisa"/>
    <s v="Clark"/>
    <x v="3"/>
    <n v="5"/>
    <x v="6"/>
    <d v="2022-05-09T00:00:00"/>
    <x v="4"/>
    <n v="17"/>
    <n v="85243"/>
    <n v="1022916"/>
  </r>
  <r>
    <n v="799"/>
    <s v="Jennifer"/>
    <s v="Barnes"/>
    <x v="2"/>
    <n v="9"/>
    <x v="8"/>
    <d v="2019-09-12T00:00:00"/>
    <x v="2"/>
    <n v="5"/>
    <n v="119465"/>
    <n v="1433580"/>
  </r>
  <r>
    <n v="800"/>
    <s v="Maria"/>
    <s v="Nelson"/>
    <x v="4"/>
    <n v="2"/>
    <x v="6"/>
    <d v="2022-02-25T00:00:00"/>
    <x v="1"/>
    <n v="42"/>
    <n v="112137"/>
    <n v="1345644"/>
  </r>
  <r>
    <n v="801"/>
    <s v="Leslie"/>
    <s v="Walter"/>
    <x v="1"/>
    <n v="4"/>
    <x v="7"/>
    <d v="2017-04-25T00:00:00"/>
    <x v="4"/>
    <n v="40"/>
    <n v="117191"/>
    <n v="1406292"/>
  </r>
  <r>
    <n v="802"/>
    <s v="Linda"/>
    <s v="Hester"/>
    <x v="4"/>
    <n v="1"/>
    <x v="7"/>
    <d v="2017-01-12T00:00:00"/>
    <x v="4"/>
    <n v="36"/>
    <n v="78480"/>
    <n v="941760"/>
  </r>
  <r>
    <n v="803"/>
    <s v="Jeffrey"/>
    <s v="Mayo"/>
    <x v="3"/>
    <n v="7"/>
    <x v="8"/>
    <d v="2019-07-02T00:00:00"/>
    <x v="0"/>
    <n v="13"/>
    <n v="60803"/>
    <n v="729636"/>
  </r>
  <r>
    <n v="804"/>
    <s v="Anthony"/>
    <s v="Phillips"/>
    <x v="2"/>
    <n v="4"/>
    <x v="2"/>
    <d v="2018-04-18T00:00:00"/>
    <x v="3"/>
    <n v="28"/>
    <n v="47177"/>
    <n v="566124"/>
  </r>
  <r>
    <n v="805"/>
    <s v="John"/>
    <s v="Brown"/>
    <x v="1"/>
    <n v="11"/>
    <x v="8"/>
    <d v="2019-11-03T00:00:00"/>
    <x v="0"/>
    <n v="43"/>
    <n v="117202"/>
    <n v="1406424"/>
  </r>
  <r>
    <n v="806"/>
    <s v="James"/>
    <s v="Neal"/>
    <x v="2"/>
    <n v="8"/>
    <x v="7"/>
    <d v="2017-08-20T00:00:00"/>
    <x v="4"/>
    <n v="47"/>
    <n v="21594"/>
    <n v="259128"/>
  </r>
  <r>
    <n v="807"/>
    <s v="Jill"/>
    <s v="Jensen"/>
    <x v="0"/>
    <n v="9"/>
    <x v="4"/>
    <d v="2024-09-02T00:00:00"/>
    <x v="2"/>
    <n v="26"/>
    <n v="49261"/>
    <n v="591132"/>
  </r>
  <r>
    <n v="808"/>
    <s v="Beth"/>
    <s v="Reed"/>
    <x v="0"/>
    <n v="10"/>
    <x v="5"/>
    <d v="2020-10-22T00:00:00"/>
    <x v="1"/>
    <n v="29"/>
    <n v="43294"/>
    <n v="519528"/>
  </r>
  <r>
    <n v="809"/>
    <s v="Shannon"/>
    <s v="Johnson"/>
    <x v="4"/>
    <n v="4"/>
    <x v="3"/>
    <d v="2023-04-14T00:00:00"/>
    <x v="1"/>
    <n v="33"/>
    <n v="113083"/>
    <n v="1356996"/>
  </r>
  <r>
    <n v="810"/>
    <s v="Megan"/>
    <s v="Clark"/>
    <x v="2"/>
    <n v="7"/>
    <x v="8"/>
    <d v="2019-07-11T00:00:00"/>
    <x v="1"/>
    <n v="26"/>
    <n v="106597"/>
    <n v="1279164"/>
  </r>
  <r>
    <n v="811"/>
    <s v="Elizabeth"/>
    <s v="Miller"/>
    <x v="2"/>
    <n v="12"/>
    <x v="1"/>
    <d v="2016-12-12T00:00:00"/>
    <x v="4"/>
    <n v="19"/>
    <n v="30131"/>
    <n v="361572"/>
  </r>
  <r>
    <n v="812"/>
    <s v="Renee"/>
    <s v="Rodriguez"/>
    <x v="3"/>
    <n v="3"/>
    <x v="6"/>
    <d v="2022-03-24T00:00:00"/>
    <x v="2"/>
    <n v="47"/>
    <n v="74264"/>
    <n v="891168"/>
  </r>
  <r>
    <n v="813"/>
    <s v="Danielle"/>
    <s v="Klein"/>
    <x v="3"/>
    <n v="2"/>
    <x v="3"/>
    <d v="2023-02-19T00:00:00"/>
    <x v="2"/>
    <n v="32"/>
    <n v="96609"/>
    <n v="1159308"/>
  </r>
  <r>
    <n v="814"/>
    <s v="Patricia"/>
    <s v="Williams"/>
    <x v="0"/>
    <n v="12"/>
    <x v="2"/>
    <d v="2018-12-26T00:00:00"/>
    <x v="0"/>
    <n v="14"/>
    <n v="84938"/>
    <n v="1019256"/>
  </r>
  <r>
    <n v="815"/>
    <s v="Ryan"/>
    <s v="Pope"/>
    <x v="2"/>
    <n v="8"/>
    <x v="7"/>
    <d v="2017-08-06T00:00:00"/>
    <x v="1"/>
    <n v="15"/>
    <n v="46993"/>
    <n v="563916"/>
  </r>
  <r>
    <n v="816"/>
    <s v="Melissa"/>
    <s v="Smith"/>
    <x v="4"/>
    <n v="7"/>
    <x v="4"/>
    <d v="2024-07-05T00:00:00"/>
    <x v="0"/>
    <n v="4"/>
    <n v="46585"/>
    <n v="559020"/>
  </r>
  <r>
    <n v="817"/>
    <s v="Blake"/>
    <s v="Lawson"/>
    <x v="2"/>
    <n v="6"/>
    <x v="0"/>
    <d v="2021-06-19T00:00:00"/>
    <x v="4"/>
    <n v="26"/>
    <n v="30347"/>
    <n v="364164"/>
  </r>
  <r>
    <n v="818"/>
    <s v="Alyssa"/>
    <s v="Cruz"/>
    <x v="0"/>
    <n v="4"/>
    <x v="0"/>
    <d v="2021-04-04T00:00:00"/>
    <x v="2"/>
    <n v="7"/>
    <n v="62759"/>
    <n v="753108"/>
  </r>
  <r>
    <n v="819"/>
    <s v="David"/>
    <s v="Bryant"/>
    <x v="1"/>
    <n v="4"/>
    <x v="2"/>
    <d v="2018-04-05T00:00:00"/>
    <x v="0"/>
    <n v="13"/>
    <n v="73239"/>
    <n v="878868"/>
  </r>
  <r>
    <n v="820"/>
    <s v="Jerry"/>
    <s v="Moore"/>
    <x v="0"/>
    <n v="1"/>
    <x v="3"/>
    <d v="2023-01-31T00:00:00"/>
    <x v="0"/>
    <n v="24"/>
    <n v="46975"/>
    <n v="563700"/>
  </r>
  <r>
    <n v="821"/>
    <s v="Lisa"/>
    <s v="Harris"/>
    <x v="4"/>
    <n v="12"/>
    <x v="0"/>
    <d v="2021-12-22T00:00:00"/>
    <x v="0"/>
    <n v="29"/>
    <n v="57441"/>
    <n v="689292"/>
  </r>
  <r>
    <n v="822"/>
    <s v="Melissa"/>
    <s v="Parker"/>
    <x v="4"/>
    <n v="8"/>
    <x v="4"/>
    <d v="2024-08-17T00:00:00"/>
    <x v="1"/>
    <n v="20"/>
    <n v="31490"/>
    <n v="377880"/>
  </r>
  <r>
    <n v="823"/>
    <s v="Katherine"/>
    <s v="Mcmahon"/>
    <x v="4"/>
    <n v="1"/>
    <x v="6"/>
    <d v="2022-01-10T00:00:00"/>
    <x v="4"/>
    <n v="27"/>
    <n v="21720"/>
    <n v="260640"/>
  </r>
  <r>
    <n v="824"/>
    <s v="Jared"/>
    <s v="Webb"/>
    <x v="3"/>
    <n v="8"/>
    <x v="1"/>
    <d v="2016-08-25T00:00:00"/>
    <x v="1"/>
    <n v="20"/>
    <n v="59874"/>
    <n v="718488"/>
  </r>
  <r>
    <n v="825"/>
    <s v="Joseph"/>
    <s v="Herrera"/>
    <x v="1"/>
    <n v="7"/>
    <x v="7"/>
    <d v="2017-07-26T00:00:00"/>
    <x v="3"/>
    <n v="37"/>
    <n v="102503"/>
    <n v="1230036"/>
  </r>
  <r>
    <n v="826"/>
    <s v="Chad"/>
    <s v="Casey"/>
    <x v="3"/>
    <n v="9"/>
    <x v="5"/>
    <d v="2020-09-05T00:00:00"/>
    <x v="4"/>
    <n v="36"/>
    <n v="84460"/>
    <n v="1013520"/>
  </r>
  <r>
    <n v="827"/>
    <s v="Jonathan"/>
    <s v="Martin"/>
    <x v="2"/>
    <n v="10"/>
    <x v="5"/>
    <d v="2020-10-25T00:00:00"/>
    <x v="2"/>
    <n v="8"/>
    <n v="41991"/>
    <n v="503892"/>
  </r>
  <r>
    <n v="828"/>
    <s v="Olivia"/>
    <s v="West"/>
    <x v="3"/>
    <n v="9"/>
    <x v="6"/>
    <d v="2022-09-23T00:00:00"/>
    <x v="2"/>
    <n v="27"/>
    <n v="77431"/>
    <n v="929172"/>
  </r>
  <r>
    <n v="829"/>
    <s v="Lisa"/>
    <s v="Lee"/>
    <x v="3"/>
    <n v="9"/>
    <x v="1"/>
    <d v="2016-09-06T00:00:00"/>
    <x v="4"/>
    <n v="47"/>
    <n v="118967"/>
    <n v="1427604"/>
  </r>
  <r>
    <n v="830"/>
    <s v="Jerry"/>
    <s v="Castro"/>
    <x v="2"/>
    <n v="12"/>
    <x v="6"/>
    <d v="2022-12-12T00:00:00"/>
    <x v="3"/>
    <n v="7"/>
    <n v="33250"/>
    <n v="399000"/>
  </r>
  <r>
    <n v="831"/>
    <s v="Antonio"/>
    <s v="Martinez"/>
    <x v="4"/>
    <n v="7"/>
    <x v="0"/>
    <d v="2021-07-24T00:00:00"/>
    <x v="1"/>
    <n v="12"/>
    <n v="35872"/>
    <n v="430464"/>
  </r>
  <r>
    <n v="832"/>
    <s v="Cameron"/>
    <s v="Olson"/>
    <x v="0"/>
    <n v="7"/>
    <x v="2"/>
    <d v="2018-07-08T00:00:00"/>
    <x v="3"/>
    <n v="27"/>
    <n v="43061"/>
    <n v="516732"/>
  </r>
  <r>
    <n v="833"/>
    <s v="Richard"/>
    <s v="Wu"/>
    <x v="0"/>
    <n v="8"/>
    <x v="5"/>
    <d v="2020-08-15T00:00:00"/>
    <x v="0"/>
    <n v="31"/>
    <n v="39918"/>
    <n v="479016"/>
  </r>
  <r>
    <n v="834"/>
    <s v="Ann"/>
    <s v="Gonzalez"/>
    <x v="0"/>
    <n v="9"/>
    <x v="8"/>
    <d v="2019-09-30T00:00:00"/>
    <x v="1"/>
    <n v="17"/>
    <n v="90109"/>
    <n v="1081308"/>
  </r>
  <r>
    <n v="835"/>
    <s v="Hannah"/>
    <s v="Small"/>
    <x v="3"/>
    <n v="10"/>
    <x v="7"/>
    <d v="2017-10-13T00:00:00"/>
    <x v="0"/>
    <n v="29"/>
    <n v="38843"/>
    <n v="466116"/>
  </r>
  <r>
    <n v="836"/>
    <s v="Sarah"/>
    <s v="Green"/>
    <x v="0"/>
    <n v="10"/>
    <x v="8"/>
    <d v="2019-10-11T00:00:00"/>
    <x v="3"/>
    <n v="38"/>
    <n v="91694"/>
    <n v="1100328"/>
  </r>
  <r>
    <n v="837"/>
    <s v="Raymond"/>
    <s v="Holmes"/>
    <x v="1"/>
    <n v="9"/>
    <x v="5"/>
    <d v="2020-09-09T00:00:00"/>
    <x v="3"/>
    <n v="2"/>
    <n v="39402"/>
    <n v="472824"/>
  </r>
  <r>
    <n v="838"/>
    <s v="Catherine"/>
    <s v="Bailey"/>
    <x v="4"/>
    <n v="12"/>
    <x v="8"/>
    <d v="2019-12-25T00:00:00"/>
    <x v="1"/>
    <n v="23"/>
    <n v="50912"/>
    <n v="610944"/>
  </r>
  <r>
    <n v="839"/>
    <s v="Marie"/>
    <s v="Lester"/>
    <x v="0"/>
    <n v="8"/>
    <x v="2"/>
    <d v="2018-08-31T00:00:00"/>
    <x v="4"/>
    <n v="30"/>
    <n v="24132"/>
    <n v="289584"/>
  </r>
  <r>
    <n v="840"/>
    <s v="Abigail"/>
    <s v="Barber"/>
    <x v="1"/>
    <n v="8"/>
    <x v="7"/>
    <d v="2017-08-11T00:00:00"/>
    <x v="2"/>
    <n v="23"/>
    <n v="84856"/>
    <n v="1018272"/>
  </r>
  <r>
    <n v="841"/>
    <s v="Zachary"/>
    <s v="Munoz"/>
    <x v="4"/>
    <n v="7"/>
    <x v="5"/>
    <d v="2020-07-31T00:00:00"/>
    <x v="3"/>
    <n v="37"/>
    <n v="95898"/>
    <n v="1150776"/>
  </r>
  <r>
    <n v="842"/>
    <s v="Dennis"/>
    <s v="Jones"/>
    <x v="2"/>
    <n v="8"/>
    <x v="7"/>
    <d v="2017-08-19T00:00:00"/>
    <x v="2"/>
    <n v="41"/>
    <n v="43100"/>
    <n v="517200"/>
  </r>
  <r>
    <n v="843"/>
    <s v="Jody"/>
    <s v="Aguilar"/>
    <x v="0"/>
    <n v="2"/>
    <x v="6"/>
    <d v="2022-02-28T00:00:00"/>
    <x v="0"/>
    <n v="39"/>
    <n v="73541"/>
    <n v="882492"/>
  </r>
  <r>
    <n v="844"/>
    <s v="Michelle"/>
    <s v="Hernandez"/>
    <x v="2"/>
    <n v="1"/>
    <x v="2"/>
    <d v="2018-01-17T00:00:00"/>
    <x v="1"/>
    <n v="1"/>
    <n v="30397"/>
    <n v="364764"/>
  </r>
  <r>
    <n v="845"/>
    <s v="Alisha"/>
    <s v="Reynolds"/>
    <x v="1"/>
    <n v="11"/>
    <x v="0"/>
    <d v="2021-11-03T00:00:00"/>
    <x v="2"/>
    <n v="5"/>
    <n v="102580"/>
    <n v="1230960"/>
  </r>
  <r>
    <n v="846"/>
    <s v="Sharon"/>
    <s v="Vincent"/>
    <x v="4"/>
    <n v="11"/>
    <x v="1"/>
    <d v="2016-11-28T00:00:00"/>
    <x v="1"/>
    <n v="2"/>
    <n v="52381"/>
    <n v="628572"/>
  </r>
  <r>
    <n v="847"/>
    <s v="Elizabeth"/>
    <s v="Hernandez"/>
    <x v="0"/>
    <n v="9"/>
    <x v="5"/>
    <d v="2020-09-01T00:00:00"/>
    <x v="1"/>
    <n v="17"/>
    <n v="50730"/>
    <n v="608760"/>
  </r>
  <r>
    <n v="848"/>
    <s v="Frank"/>
    <s v="Phillips"/>
    <x v="1"/>
    <n v="12"/>
    <x v="0"/>
    <d v="2021-12-11T00:00:00"/>
    <x v="3"/>
    <n v="14"/>
    <n v="23385"/>
    <n v="280620"/>
  </r>
  <r>
    <n v="849"/>
    <s v="Debra"/>
    <s v="Alexander"/>
    <x v="3"/>
    <n v="5"/>
    <x v="6"/>
    <d v="2022-05-17T00:00:00"/>
    <x v="4"/>
    <n v="11"/>
    <n v="114026"/>
    <n v="1368312"/>
  </r>
  <r>
    <n v="850"/>
    <s v="Jason"/>
    <s v="Castillo"/>
    <x v="3"/>
    <n v="3"/>
    <x v="8"/>
    <d v="2019-03-20T00:00:00"/>
    <x v="3"/>
    <n v="37"/>
    <n v="60399"/>
    <n v="724788"/>
  </r>
  <r>
    <n v="851"/>
    <s v="Nicholas"/>
    <s v="Schultz"/>
    <x v="0"/>
    <n v="10"/>
    <x v="2"/>
    <d v="2018-10-28T00:00:00"/>
    <x v="2"/>
    <n v="34"/>
    <n v="75740"/>
    <n v="908880"/>
  </r>
  <r>
    <n v="852"/>
    <s v="Jennifer"/>
    <s v="Castillo"/>
    <x v="3"/>
    <n v="5"/>
    <x v="3"/>
    <d v="2023-05-14T00:00:00"/>
    <x v="3"/>
    <n v="7"/>
    <n v="96628"/>
    <n v="1159536"/>
  </r>
  <r>
    <n v="853"/>
    <s v="John"/>
    <s v="Patterson"/>
    <x v="3"/>
    <n v="11"/>
    <x v="9"/>
    <d v="2015-11-26T00:00:00"/>
    <x v="2"/>
    <n v="17"/>
    <n v="47202"/>
    <n v="566424"/>
  </r>
  <r>
    <n v="854"/>
    <s v="Sabrina"/>
    <s v="Conner"/>
    <x v="4"/>
    <n v="9"/>
    <x v="7"/>
    <d v="2017-09-01T00:00:00"/>
    <x v="3"/>
    <n v="32"/>
    <n v="21807"/>
    <n v="261684"/>
  </r>
  <r>
    <n v="855"/>
    <s v="Brittany"/>
    <s v="King"/>
    <x v="0"/>
    <n v="5"/>
    <x v="8"/>
    <d v="2019-05-31T00:00:00"/>
    <x v="2"/>
    <n v="30"/>
    <n v="109309"/>
    <n v="1311708"/>
  </r>
  <r>
    <n v="856"/>
    <s v="Patricia"/>
    <s v="Carr"/>
    <x v="1"/>
    <n v="6"/>
    <x v="2"/>
    <d v="2018-06-26T00:00:00"/>
    <x v="2"/>
    <n v="2"/>
    <n v="53536"/>
    <n v="642432"/>
  </r>
  <r>
    <n v="857"/>
    <s v="Martin"/>
    <s v="Kim"/>
    <x v="1"/>
    <n v="3"/>
    <x v="4"/>
    <d v="2024-03-31T00:00:00"/>
    <x v="4"/>
    <n v="5"/>
    <n v="70839"/>
    <n v="850068"/>
  </r>
  <r>
    <n v="858"/>
    <s v="Victoria"/>
    <s v="Brown"/>
    <x v="1"/>
    <n v="4"/>
    <x v="4"/>
    <d v="2024-04-11T00:00:00"/>
    <x v="0"/>
    <n v="22"/>
    <n v="86871"/>
    <n v="1042452"/>
  </r>
  <r>
    <n v="859"/>
    <s v="Stephen"/>
    <s v="Allen"/>
    <x v="4"/>
    <n v="12"/>
    <x v="0"/>
    <d v="2021-12-18T00:00:00"/>
    <x v="3"/>
    <n v="10"/>
    <n v="22828"/>
    <n v="273936"/>
  </r>
  <r>
    <n v="860"/>
    <s v="Stephanie"/>
    <s v="Hernandez"/>
    <x v="4"/>
    <n v="4"/>
    <x v="8"/>
    <d v="2019-04-17T00:00:00"/>
    <x v="4"/>
    <n v="31"/>
    <n v="116880"/>
    <n v="1402560"/>
  </r>
  <r>
    <n v="861"/>
    <s v="Victoria"/>
    <s v="Barnett"/>
    <x v="4"/>
    <n v="3"/>
    <x v="6"/>
    <d v="2022-03-30T00:00:00"/>
    <x v="4"/>
    <n v="30"/>
    <n v="108116"/>
    <n v="1297392"/>
  </r>
  <r>
    <n v="862"/>
    <s v="Scott"/>
    <s v="Thompson"/>
    <x v="3"/>
    <n v="8"/>
    <x v="0"/>
    <d v="2021-08-24T00:00:00"/>
    <x v="0"/>
    <n v="17"/>
    <n v="46419"/>
    <n v="557028"/>
  </r>
  <r>
    <n v="863"/>
    <s v="Kaitlyn"/>
    <s v="Hudson"/>
    <x v="1"/>
    <n v="2"/>
    <x v="2"/>
    <d v="2018-02-17T00:00:00"/>
    <x v="2"/>
    <n v="24"/>
    <n v="50840"/>
    <n v="610080"/>
  </r>
  <r>
    <n v="864"/>
    <s v="Laura"/>
    <s v="Nguyen"/>
    <x v="0"/>
    <n v="12"/>
    <x v="1"/>
    <d v="2016-12-26T00:00:00"/>
    <x v="1"/>
    <n v="15"/>
    <n v="32128"/>
    <n v="385536"/>
  </r>
  <r>
    <n v="865"/>
    <s v="Stephen"/>
    <s v="Baker"/>
    <x v="1"/>
    <n v="2"/>
    <x v="6"/>
    <d v="2022-02-21T00:00:00"/>
    <x v="2"/>
    <n v="22"/>
    <n v="100512"/>
    <n v="1206144"/>
  </r>
  <r>
    <n v="866"/>
    <s v="Christina"/>
    <s v="Carrillo"/>
    <x v="0"/>
    <n v="3"/>
    <x v="5"/>
    <d v="2020-03-04T00:00:00"/>
    <x v="4"/>
    <n v="6"/>
    <n v="51400"/>
    <n v="616800"/>
  </r>
  <r>
    <n v="867"/>
    <s v="Kelly"/>
    <s v="Martin"/>
    <x v="1"/>
    <n v="7"/>
    <x v="7"/>
    <d v="2017-07-20T00:00:00"/>
    <x v="4"/>
    <n v="8"/>
    <n v="53499"/>
    <n v="641988"/>
  </r>
  <r>
    <n v="868"/>
    <s v="Bryan"/>
    <s v="White"/>
    <x v="4"/>
    <n v="4"/>
    <x v="7"/>
    <d v="2017-04-13T00:00:00"/>
    <x v="2"/>
    <n v="21"/>
    <n v="78094"/>
    <n v="937128"/>
  </r>
  <r>
    <n v="869"/>
    <s v="Derek"/>
    <s v="Mcgrath"/>
    <x v="4"/>
    <n v="11"/>
    <x v="2"/>
    <d v="2018-11-07T00:00:00"/>
    <x v="2"/>
    <n v="16"/>
    <n v="21530"/>
    <n v="258360"/>
  </r>
  <r>
    <n v="870"/>
    <s v="Heather"/>
    <s v="Randolph"/>
    <x v="0"/>
    <n v="8"/>
    <x v="7"/>
    <d v="2017-08-23T00:00:00"/>
    <x v="0"/>
    <n v="4"/>
    <n v="106854"/>
    <n v="1282248"/>
  </r>
  <r>
    <n v="871"/>
    <s v="Erica"/>
    <s v="Lewis"/>
    <x v="3"/>
    <n v="4"/>
    <x v="7"/>
    <d v="2017-04-03T00:00:00"/>
    <x v="0"/>
    <n v="21"/>
    <n v="111882"/>
    <n v="1342584"/>
  </r>
  <r>
    <n v="872"/>
    <s v="Kevin"/>
    <s v="Franklin"/>
    <x v="2"/>
    <n v="1"/>
    <x v="6"/>
    <d v="2022-01-04T00:00:00"/>
    <x v="0"/>
    <n v="34"/>
    <n v="62633"/>
    <n v="751596"/>
  </r>
  <r>
    <n v="873"/>
    <s v="Ashley"/>
    <s v="Delgado"/>
    <x v="3"/>
    <n v="7"/>
    <x v="6"/>
    <d v="2022-07-23T00:00:00"/>
    <x v="2"/>
    <n v="36"/>
    <n v="95907"/>
    <n v="1150884"/>
  </r>
  <r>
    <n v="874"/>
    <s v="Michael"/>
    <s v="Bonilla"/>
    <x v="3"/>
    <n v="6"/>
    <x v="1"/>
    <d v="2016-06-17T00:00:00"/>
    <x v="1"/>
    <n v="14"/>
    <n v="64363"/>
    <n v="772356"/>
  </r>
  <r>
    <n v="875"/>
    <s v="Spencer"/>
    <s v="Allen"/>
    <x v="0"/>
    <n v="11"/>
    <x v="7"/>
    <d v="2017-11-13T00:00:00"/>
    <x v="1"/>
    <n v="36"/>
    <n v="73796"/>
    <n v="885552"/>
  </r>
  <r>
    <n v="876"/>
    <s v="Laura"/>
    <s v="Merritt"/>
    <x v="0"/>
    <n v="9"/>
    <x v="1"/>
    <d v="2016-09-12T00:00:00"/>
    <x v="4"/>
    <n v="45"/>
    <n v="91619"/>
    <n v="1099428"/>
  </r>
  <r>
    <n v="877"/>
    <s v="Keith"/>
    <s v="Gilmore"/>
    <x v="0"/>
    <n v="5"/>
    <x v="1"/>
    <d v="2016-05-14T00:00:00"/>
    <x v="1"/>
    <n v="18"/>
    <n v="27661"/>
    <n v="331932"/>
  </r>
  <r>
    <n v="878"/>
    <s v="Lisa"/>
    <s v="Clayton"/>
    <x v="3"/>
    <n v="2"/>
    <x v="6"/>
    <d v="2022-02-07T00:00:00"/>
    <x v="3"/>
    <n v="20"/>
    <n v="27447"/>
    <n v="329364"/>
  </r>
  <r>
    <n v="879"/>
    <s v="Donna"/>
    <s v="Shaw"/>
    <x v="0"/>
    <n v="7"/>
    <x v="0"/>
    <d v="2021-07-09T00:00:00"/>
    <x v="1"/>
    <n v="3"/>
    <n v="111649"/>
    <n v="1339788"/>
  </r>
  <r>
    <n v="880"/>
    <s v="Julia"/>
    <s v="Lawson"/>
    <x v="1"/>
    <n v="9"/>
    <x v="7"/>
    <d v="2017-09-25T00:00:00"/>
    <x v="0"/>
    <n v="42"/>
    <n v="52631"/>
    <n v="631572"/>
  </r>
  <r>
    <n v="881"/>
    <s v="Michelle"/>
    <s v="Rogers"/>
    <x v="2"/>
    <n v="7"/>
    <x v="8"/>
    <d v="2019-07-13T00:00:00"/>
    <x v="2"/>
    <n v="29"/>
    <n v="116888"/>
    <n v="1402656"/>
  </r>
  <r>
    <n v="882"/>
    <s v="Ethan"/>
    <s v="Adams"/>
    <x v="3"/>
    <n v="6"/>
    <x v="0"/>
    <d v="2021-06-05T00:00:00"/>
    <x v="3"/>
    <n v="27"/>
    <n v="89493"/>
    <n v="1073916"/>
  </r>
  <r>
    <n v="883"/>
    <s v="Kyle"/>
    <s v="Duran"/>
    <x v="2"/>
    <n v="9"/>
    <x v="2"/>
    <d v="2018-09-13T00:00:00"/>
    <x v="1"/>
    <n v="27"/>
    <n v="74269"/>
    <n v="891228"/>
  </r>
  <r>
    <n v="884"/>
    <s v="Judy"/>
    <s v="Reed"/>
    <x v="4"/>
    <n v="9"/>
    <x v="1"/>
    <d v="2016-09-23T00:00:00"/>
    <x v="0"/>
    <n v="18"/>
    <n v="74244"/>
    <n v="890928"/>
  </r>
  <r>
    <n v="885"/>
    <s v="Brianna"/>
    <s v="Norris"/>
    <x v="4"/>
    <n v="2"/>
    <x v="3"/>
    <d v="2023-02-12T00:00:00"/>
    <x v="4"/>
    <n v="38"/>
    <n v="70169"/>
    <n v="842028"/>
  </r>
  <r>
    <n v="886"/>
    <s v="Samantha"/>
    <s v="Lee"/>
    <x v="1"/>
    <n v="1"/>
    <x v="2"/>
    <d v="2018-01-16T00:00:00"/>
    <x v="2"/>
    <n v="17"/>
    <n v="100050"/>
    <n v="1200600"/>
  </r>
  <r>
    <n v="887"/>
    <s v="John"/>
    <s v="Hernandez"/>
    <x v="1"/>
    <n v="12"/>
    <x v="3"/>
    <d v="2023-12-27T00:00:00"/>
    <x v="4"/>
    <n v="28"/>
    <n v="72776"/>
    <n v="873312"/>
  </r>
  <r>
    <n v="888"/>
    <s v="Heather"/>
    <s v="Hunter"/>
    <x v="1"/>
    <n v="1"/>
    <x v="8"/>
    <d v="2019-01-07T00:00:00"/>
    <x v="2"/>
    <n v="48"/>
    <n v="106563"/>
    <n v="1278756"/>
  </r>
  <r>
    <n v="889"/>
    <s v="Bill"/>
    <s v="Lee"/>
    <x v="3"/>
    <n v="6"/>
    <x v="6"/>
    <d v="2022-06-02T00:00:00"/>
    <x v="4"/>
    <n v="41"/>
    <n v="115775"/>
    <n v="1389300"/>
  </r>
  <r>
    <n v="890"/>
    <s v="Brittany"/>
    <s v="Jackson"/>
    <x v="1"/>
    <n v="2"/>
    <x v="7"/>
    <d v="2017-02-28T00:00:00"/>
    <x v="2"/>
    <n v="20"/>
    <n v="106591"/>
    <n v="1279092"/>
  </r>
  <r>
    <n v="891"/>
    <s v="Lisa"/>
    <s v="Rice"/>
    <x v="0"/>
    <n v="1"/>
    <x v="5"/>
    <d v="2020-01-04T00:00:00"/>
    <x v="0"/>
    <n v="9"/>
    <n v="55724"/>
    <n v="668688"/>
  </r>
  <r>
    <n v="892"/>
    <s v="Caroline"/>
    <s v="Vance"/>
    <x v="4"/>
    <n v="3"/>
    <x v="5"/>
    <d v="2020-03-12T00:00:00"/>
    <x v="3"/>
    <n v="3"/>
    <n v="88942"/>
    <n v="1067304"/>
  </r>
  <r>
    <n v="893"/>
    <s v="Judy"/>
    <s v="Morgan"/>
    <x v="3"/>
    <n v="10"/>
    <x v="4"/>
    <d v="2024-10-07T00:00:00"/>
    <x v="1"/>
    <n v="40"/>
    <n v="69426"/>
    <n v="833112"/>
  </r>
  <r>
    <n v="894"/>
    <s v="William"/>
    <s v="Brown"/>
    <x v="2"/>
    <n v="5"/>
    <x v="2"/>
    <d v="2018-05-08T00:00:00"/>
    <x v="4"/>
    <n v="14"/>
    <n v="108442"/>
    <n v="1301304"/>
  </r>
  <r>
    <n v="895"/>
    <s v="Destiny"/>
    <s v="Ryan"/>
    <x v="3"/>
    <n v="6"/>
    <x v="6"/>
    <d v="2022-06-03T00:00:00"/>
    <x v="2"/>
    <n v="28"/>
    <n v="115331"/>
    <n v="1383972"/>
  </r>
  <r>
    <n v="896"/>
    <s v="Laura"/>
    <s v="Wilson"/>
    <x v="1"/>
    <n v="11"/>
    <x v="7"/>
    <d v="2017-11-30T00:00:00"/>
    <x v="0"/>
    <n v="8"/>
    <n v="99218"/>
    <n v="1190616"/>
  </r>
  <r>
    <n v="897"/>
    <s v="Tracy"/>
    <s v="Mueller"/>
    <x v="1"/>
    <n v="9"/>
    <x v="1"/>
    <d v="2016-09-29T00:00:00"/>
    <x v="3"/>
    <n v="33"/>
    <n v="66739"/>
    <n v="800868"/>
  </r>
  <r>
    <n v="898"/>
    <s v="John"/>
    <s v="Erickson"/>
    <x v="2"/>
    <n v="2"/>
    <x v="5"/>
    <d v="2020-02-12T00:00:00"/>
    <x v="3"/>
    <n v="39"/>
    <n v="106171"/>
    <n v="1274052"/>
  </r>
  <r>
    <n v="899"/>
    <s v="Kevin"/>
    <s v="Ingram"/>
    <x v="4"/>
    <n v="10"/>
    <x v="9"/>
    <d v="2015-10-31T00:00:00"/>
    <x v="2"/>
    <n v="11"/>
    <n v="85868"/>
    <n v="1030416"/>
  </r>
  <r>
    <n v="900"/>
    <s v="Stephen"/>
    <s v="Massey"/>
    <x v="1"/>
    <n v="8"/>
    <x v="4"/>
    <d v="2024-08-04T00:00:00"/>
    <x v="2"/>
    <n v="25"/>
    <n v="70456"/>
    <n v="845472"/>
  </r>
  <r>
    <n v="901"/>
    <s v="Morgan"/>
    <s v="Jordan"/>
    <x v="2"/>
    <n v="10"/>
    <x v="4"/>
    <d v="2024-10-05T00:00:00"/>
    <x v="2"/>
    <n v="47"/>
    <n v="36412"/>
    <n v="436944"/>
  </r>
  <r>
    <n v="902"/>
    <s v="Victor"/>
    <s v="Johnson"/>
    <x v="4"/>
    <n v="5"/>
    <x v="4"/>
    <d v="2024-05-26T00:00:00"/>
    <x v="1"/>
    <n v="31"/>
    <n v="47532"/>
    <n v="570384"/>
  </r>
  <r>
    <n v="903"/>
    <s v="Matthew"/>
    <s v="Curtis"/>
    <x v="1"/>
    <n v="2"/>
    <x v="5"/>
    <d v="2020-02-15T00:00:00"/>
    <x v="1"/>
    <n v="14"/>
    <n v="116487"/>
    <n v="1397844"/>
  </r>
  <r>
    <n v="904"/>
    <s v="Michael"/>
    <s v="Greene"/>
    <x v="2"/>
    <n v="1"/>
    <x v="5"/>
    <d v="2020-01-20T00:00:00"/>
    <x v="1"/>
    <n v="7"/>
    <n v="82768"/>
    <n v="993216"/>
  </r>
  <r>
    <n v="905"/>
    <s v="Joe"/>
    <s v="Peters"/>
    <x v="0"/>
    <n v="8"/>
    <x v="5"/>
    <d v="2020-08-15T00:00:00"/>
    <x v="1"/>
    <n v="48"/>
    <n v="39761"/>
    <n v="477132"/>
  </r>
  <r>
    <n v="906"/>
    <s v="Kevin"/>
    <s v="Nguyen"/>
    <x v="4"/>
    <n v="10"/>
    <x v="6"/>
    <d v="2022-10-21T00:00:00"/>
    <x v="0"/>
    <n v="6"/>
    <n v="70967"/>
    <n v="851604"/>
  </r>
  <r>
    <n v="907"/>
    <s v="Mary"/>
    <s v="Maldonado"/>
    <x v="1"/>
    <n v="4"/>
    <x v="4"/>
    <d v="2024-04-21T00:00:00"/>
    <x v="0"/>
    <n v="34"/>
    <n v="73948"/>
    <n v="887376"/>
  </r>
  <r>
    <n v="908"/>
    <s v="Angela"/>
    <s v="Kim"/>
    <x v="2"/>
    <n v="1"/>
    <x v="2"/>
    <d v="2018-01-04T00:00:00"/>
    <x v="1"/>
    <n v="26"/>
    <n v="102193"/>
    <n v="1226316"/>
  </r>
  <r>
    <n v="909"/>
    <s v="Patrick"/>
    <s v="James"/>
    <x v="4"/>
    <n v="2"/>
    <x v="0"/>
    <d v="2021-02-03T00:00:00"/>
    <x v="1"/>
    <n v="6"/>
    <n v="57305"/>
    <n v="687660"/>
  </r>
  <r>
    <n v="910"/>
    <s v="Corey"/>
    <s v="Harper"/>
    <x v="3"/>
    <n v="1"/>
    <x v="2"/>
    <d v="2018-01-30T00:00:00"/>
    <x v="4"/>
    <n v="37"/>
    <n v="54524"/>
    <n v="654288"/>
  </r>
  <r>
    <n v="911"/>
    <s v="Jason"/>
    <s v="Smith"/>
    <x v="2"/>
    <n v="7"/>
    <x v="4"/>
    <d v="2024-07-16T00:00:00"/>
    <x v="0"/>
    <n v="40"/>
    <n v="74840"/>
    <n v="898080"/>
  </r>
  <r>
    <n v="912"/>
    <s v="Ashley"/>
    <s v="Collins"/>
    <x v="4"/>
    <n v="11"/>
    <x v="7"/>
    <d v="2017-11-09T00:00:00"/>
    <x v="1"/>
    <n v="46"/>
    <n v="104281"/>
    <n v="1251372"/>
  </r>
  <r>
    <n v="913"/>
    <s v="Eric"/>
    <s v="Campbell"/>
    <x v="2"/>
    <n v="10"/>
    <x v="2"/>
    <d v="2018-10-26T00:00:00"/>
    <x v="3"/>
    <n v="10"/>
    <n v="51862"/>
    <n v="622344"/>
  </r>
  <r>
    <n v="914"/>
    <s v="Jessica"/>
    <s v="Hernandez"/>
    <x v="4"/>
    <n v="10"/>
    <x v="2"/>
    <d v="2018-10-21T00:00:00"/>
    <x v="2"/>
    <n v="26"/>
    <n v="46063"/>
    <n v="552756"/>
  </r>
  <r>
    <n v="915"/>
    <s v="Danielle"/>
    <s v="Mclaughlin"/>
    <x v="2"/>
    <n v="12"/>
    <x v="2"/>
    <d v="2018-12-14T00:00:00"/>
    <x v="0"/>
    <n v="29"/>
    <n v="88509"/>
    <n v="1062108"/>
  </r>
  <r>
    <n v="916"/>
    <s v="Anthony"/>
    <s v="Sanders"/>
    <x v="0"/>
    <n v="6"/>
    <x v="6"/>
    <d v="2022-06-26T00:00:00"/>
    <x v="0"/>
    <n v="19"/>
    <n v="36684"/>
    <n v="440208"/>
  </r>
  <r>
    <n v="917"/>
    <s v="Travis"/>
    <s v="Young"/>
    <x v="0"/>
    <n v="1"/>
    <x v="1"/>
    <d v="2016-01-21T00:00:00"/>
    <x v="4"/>
    <n v="36"/>
    <n v="119999"/>
    <n v="1439988"/>
  </r>
  <r>
    <n v="918"/>
    <s v="Nicole"/>
    <s v="Cooper"/>
    <x v="3"/>
    <n v="4"/>
    <x v="5"/>
    <d v="2020-04-29T00:00:00"/>
    <x v="4"/>
    <n v="32"/>
    <n v="98150"/>
    <n v="1177800"/>
  </r>
  <r>
    <n v="919"/>
    <s v="Kristi"/>
    <s v="Johnson"/>
    <x v="3"/>
    <n v="1"/>
    <x v="4"/>
    <d v="2024-01-14T00:00:00"/>
    <x v="0"/>
    <n v="47"/>
    <n v="62139"/>
    <n v="745668"/>
  </r>
  <r>
    <n v="920"/>
    <s v="Kathleen"/>
    <s v="Peterson"/>
    <x v="0"/>
    <n v="8"/>
    <x v="2"/>
    <d v="2018-08-22T00:00:00"/>
    <x v="4"/>
    <n v="32"/>
    <n v="28958"/>
    <n v="347496"/>
  </r>
  <r>
    <n v="921"/>
    <s v="Barbara"/>
    <s v="Bailey"/>
    <x v="2"/>
    <n v="7"/>
    <x v="1"/>
    <d v="2016-07-28T00:00:00"/>
    <x v="2"/>
    <n v="41"/>
    <n v="91795"/>
    <n v="1101540"/>
  </r>
  <r>
    <n v="922"/>
    <s v="Gerald"/>
    <s v="Carrillo"/>
    <x v="0"/>
    <n v="2"/>
    <x v="3"/>
    <d v="2023-02-17T00:00:00"/>
    <x v="1"/>
    <n v="44"/>
    <n v="81206"/>
    <n v="974472"/>
  </r>
  <r>
    <n v="923"/>
    <s v="Stephen"/>
    <s v="Copeland"/>
    <x v="0"/>
    <n v="10"/>
    <x v="5"/>
    <d v="2020-10-10T00:00:00"/>
    <x v="1"/>
    <n v="13"/>
    <n v="82097"/>
    <n v="985164"/>
  </r>
  <r>
    <n v="924"/>
    <s v="Leah"/>
    <s v="Benitez"/>
    <x v="0"/>
    <n v="1"/>
    <x v="6"/>
    <d v="2022-01-23T00:00:00"/>
    <x v="3"/>
    <n v="31"/>
    <n v="21887"/>
    <n v="262644"/>
  </r>
  <r>
    <n v="925"/>
    <s v="Teresa"/>
    <s v="Johnson"/>
    <x v="1"/>
    <n v="7"/>
    <x v="2"/>
    <d v="2018-07-06T00:00:00"/>
    <x v="3"/>
    <n v="10"/>
    <n v="63162"/>
    <n v="757944"/>
  </r>
  <r>
    <n v="926"/>
    <s v="Antonio"/>
    <s v="Powers"/>
    <x v="0"/>
    <n v="6"/>
    <x v="2"/>
    <d v="2018-06-09T00:00:00"/>
    <x v="1"/>
    <n v="48"/>
    <n v="114763"/>
    <n v="1377156"/>
  </r>
  <r>
    <n v="927"/>
    <s v="Sally"/>
    <s v="Guzman"/>
    <x v="4"/>
    <n v="4"/>
    <x v="8"/>
    <d v="2019-04-17T00:00:00"/>
    <x v="0"/>
    <n v="17"/>
    <n v="78201"/>
    <n v="938412"/>
  </r>
  <r>
    <n v="928"/>
    <s v="Wanda"/>
    <s v="Holder"/>
    <x v="4"/>
    <n v="3"/>
    <x v="5"/>
    <d v="2020-03-22T00:00:00"/>
    <x v="4"/>
    <n v="14"/>
    <n v="61497"/>
    <n v="737964"/>
  </r>
  <r>
    <n v="929"/>
    <s v="Tina"/>
    <s v="Hernandez"/>
    <x v="3"/>
    <n v="11"/>
    <x v="2"/>
    <d v="2018-11-05T00:00:00"/>
    <x v="0"/>
    <n v="20"/>
    <n v="84511"/>
    <n v="1014132"/>
  </r>
  <r>
    <n v="930"/>
    <s v="Mark"/>
    <s v="Cook"/>
    <x v="4"/>
    <n v="10"/>
    <x v="9"/>
    <d v="2015-10-31T00:00:00"/>
    <x v="3"/>
    <n v="47"/>
    <n v="32387"/>
    <n v="388644"/>
  </r>
  <r>
    <n v="931"/>
    <s v="Kimberly"/>
    <s v="Beasley"/>
    <x v="4"/>
    <n v="11"/>
    <x v="5"/>
    <d v="2020-11-15T00:00:00"/>
    <x v="0"/>
    <n v="14"/>
    <n v="117082"/>
    <n v="1404984"/>
  </r>
  <r>
    <n v="932"/>
    <s v="Tanya"/>
    <s v="Wood"/>
    <x v="3"/>
    <n v="11"/>
    <x v="2"/>
    <d v="2018-11-29T00:00:00"/>
    <x v="1"/>
    <n v="14"/>
    <n v="75887"/>
    <n v="910644"/>
  </r>
  <r>
    <n v="933"/>
    <s v="Ashley"/>
    <s v="Torres"/>
    <x v="3"/>
    <n v="2"/>
    <x v="8"/>
    <d v="2019-02-15T00:00:00"/>
    <x v="0"/>
    <n v="2"/>
    <n v="92379"/>
    <n v="1108548"/>
  </r>
  <r>
    <n v="934"/>
    <s v="Anthony"/>
    <s v="Smith"/>
    <x v="4"/>
    <n v="3"/>
    <x v="8"/>
    <d v="2019-03-03T00:00:00"/>
    <x v="3"/>
    <n v="19"/>
    <n v="102725"/>
    <n v="1232700"/>
  </r>
  <r>
    <n v="935"/>
    <s v="Donald"/>
    <s v="Johnson"/>
    <x v="0"/>
    <n v="10"/>
    <x v="2"/>
    <d v="2018-10-08T00:00:00"/>
    <x v="4"/>
    <n v="38"/>
    <n v="29250"/>
    <n v="351000"/>
  </r>
  <r>
    <n v="936"/>
    <s v="Nathan"/>
    <s v="Ortiz"/>
    <x v="2"/>
    <n v="9"/>
    <x v="3"/>
    <d v="2023-09-16T00:00:00"/>
    <x v="0"/>
    <n v="2"/>
    <n v="69213"/>
    <n v="830556"/>
  </r>
  <r>
    <n v="937"/>
    <s v="Crystal"/>
    <s v="Wilson"/>
    <x v="0"/>
    <n v="3"/>
    <x v="1"/>
    <d v="2016-03-07T00:00:00"/>
    <x v="4"/>
    <n v="15"/>
    <n v="66572"/>
    <n v="798864"/>
  </r>
  <r>
    <n v="938"/>
    <s v="Zachary"/>
    <s v="Brown"/>
    <x v="1"/>
    <n v="11"/>
    <x v="5"/>
    <d v="2020-11-30T00:00:00"/>
    <x v="0"/>
    <n v="29"/>
    <n v="93369"/>
    <n v="1120428"/>
  </r>
  <r>
    <n v="939"/>
    <s v="Michael"/>
    <s v="Reed"/>
    <x v="4"/>
    <n v="9"/>
    <x v="3"/>
    <d v="2023-09-01T00:00:00"/>
    <x v="4"/>
    <n v="25"/>
    <n v="109350"/>
    <n v="1312200"/>
  </r>
  <r>
    <n v="940"/>
    <s v="Jennifer"/>
    <s v="Stevens"/>
    <x v="1"/>
    <n v="1"/>
    <x v="7"/>
    <d v="2017-01-21T00:00:00"/>
    <x v="0"/>
    <n v="28"/>
    <n v="101477"/>
    <n v="1217724"/>
  </r>
  <r>
    <n v="941"/>
    <s v="Victoria"/>
    <s v="Snyder"/>
    <x v="3"/>
    <n v="6"/>
    <x v="3"/>
    <d v="2023-06-14T00:00:00"/>
    <x v="0"/>
    <n v="23"/>
    <n v="48827"/>
    <n v="585924"/>
  </r>
  <r>
    <n v="942"/>
    <s v="Angel"/>
    <s v="Martinez"/>
    <x v="0"/>
    <n v="4"/>
    <x v="6"/>
    <d v="2022-04-09T00:00:00"/>
    <x v="2"/>
    <n v="16"/>
    <n v="93861"/>
    <n v="1126332"/>
  </r>
  <r>
    <n v="943"/>
    <s v="John"/>
    <s v="Solomon"/>
    <x v="2"/>
    <n v="4"/>
    <x v="1"/>
    <d v="2016-04-28T00:00:00"/>
    <x v="4"/>
    <n v="47"/>
    <n v="90065"/>
    <n v="1080780"/>
  </r>
  <r>
    <n v="944"/>
    <s v="Jessica"/>
    <s v="Miller"/>
    <x v="0"/>
    <n v="9"/>
    <x v="5"/>
    <d v="2020-09-02T00:00:00"/>
    <x v="0"/>
    <n v="43"/>
    <n v="110894"/>
    <n v="1330728"/>
  </r>
  <r>
    <n v="945"/>
    <s v="Tom"/>
    <s v="Pace"/>
    <x v="2"/>
    <n v="1"/>
    <x v="4"/>
    <d v="2024-01-17T00:00:00"/>
    <x v="1"/>
    <n v="11"/>
    <n v="24843"/>
    <n v="298116"/>
  </r>
  <r>
    <n v="946"/>
    <s v="Nicole"/>
    <s v="Thomas"/>
    <x v="0"/>
    <n v="9"/>
    <x v="4"/>
    <d v="2024-09-10T00:00:00"/>
    <x v="4"/>
    <n v="43"/>
    <n v="48143"/>
    <n v="577716"/>
  </r>
  <r>
    <n v="947"/>
    <s v="Elizabeth"/>
    <s v="Smith"/>
    <x v="2"/>
    <n v="5"/>
    <x v="0"/>
    <d v="2021-05-14T00:00:00"/>
    <x v="1"/>
    <n v="37"/>
    <n v="31123"/>
    <n v="373476"/>
  </r>
  <r>
    <n v="948"/>
    <s v="Matthew"/>
    <s v="Miller"/>
    <x v="1"/>
    <n v="1"/>
    <x v="0"/>
    <d v="2021-01-15T00:00:00"/>
    <x v="2"/>
    <n v="37"/>
    <n v="38200"/>
    <n v="458400"/>
  </r>
  <r>
    <n v="949"/>
    <s v="Jason"/>
    <s v="Mathews"/>
    <x v="1"/>
    <n v="3"/>
    <x v="5"/>
    <d v="2020-03-22T00:00:00"/>
    <x v="4"/>
    <n v="43"/>
    <n v="20345"/>
    <n v="244140"/>
  </r>
  <r>
    <n v="950"/>
    <s v="Daniel"/>
    <s v="Cummings"/>
    <x v="1"/>
    <n v="4"/>
    <x v="2"/>
    <d v="2018-04-24T00:00:00"/>
    <x v="2"/>
    <n v="26"/>
    <n v="100862"/>
    <n v="1210344"/>
  </r>
  <r>
    <n v="951"/>
    <s v="Taylor"/>
    <s v="Stark"/>
    <x v="4"/>
    <n v="1"/>
    <x v="2"/>
    <d v="2018-01-01T00:00:00"/>
    <x v="3"/>
    <n v="39"/>
    <n v="51544"/>
    <n v="618528"/>
  </r>
  <r>
    <n v="952"/>
    <s v="Jennifer"/>
    <s v="Chan"/>
    <x v="4"/>
    <n v="9"/>
    <x v="5"/>
    <d v="2020-09-16T00:00:00"/>
    <x v="3"/>
    <n v="37"/>
    <n v="104116"/>
    <n v="1249392"/>
  </r>
  <r>
    <n v="953"/>
    <s v="Kevin"/>
    <s v="Thompson"/>
    <x v="0"/>
    <n v="7"/>
    <x v="3"/>
    <d v="2023-07-14T00:00:00"/>
    <x v="0"/>
    <n v="26"/>
    <n v="26919"/>
    <n v="323028"/>
  </r>
  <r>
    <n v="954"/>
    <s v="Susan"/>
    <s v="Holmes"/>
    <x v="3"/>
    <n v="7"/>
    <x v="2"/>
    <d v="2018-07-27T00:00:00"/>
    <x v="1"/>
    <n v="11"/>
    <n v="118882"/>
    <n v="1426584"/>
  </r>
  <r>
    <n v="955"/>
    <s v="Teresa"/>
    <s v="Moore"/>
    <x v="4"/>
    <n v="4"/>
    <x v="1"/>
    <d v="2016-04-02T00:00:00"/>
    <x v="2"/>
    <n v="25"/>
    <n v="55208"/>
    <n v="662496"/>
  </r>
  <r>
    <n v="956"/>
    <s v="Lindsey"/>
    <s v="Wallace"/>
    <x v="1"/>
    <n v="5"/>
    <x v="6"/>
    <d v="2022-05-02T00:00:00"/>
    <x v="2"/>
    <n v="23"/>
    <n v="85822"/>
    <n v="1029864"/>
  </r>
  <r>
    <n v="957"/>
    <s v="Lori"/>
    <s v="Cain"/>
    <x v="4"/>
    <n v="1"/>
    <x v="5"/>
    <d v="2020-01-16T00:00:00"/>
    <x v="0"/>
    <n v="33"/>
    <n v="89269"/>
    <n v="1071228"/>
  </r>
  <r>
    <n v="958"/>
    <s v="Erica"/>
    <s v="Jensen"/>
    <x v="4"/>
    <n v="5"/>
    <x v="4"/>
    <d v="2024-05-26T00:00:00"/>
    <x v="2"/>
    <n v="33"/>
    <n v="84200"/>
    <n v="1010400"/>
  </r>
  <r>
    <n v="959"/>
    <s v="Mary"/>
    <s v="Baker"/>
    <x v="1"/>
    <n v="9"/>
    <x v="5"/>
    <d v="2020-09-08T00:00:00"/>
    <x v="3"/>
    <n v="24"/>
    <n v="57584"/>
    <n v="691008"/>
  </r>
  <r>
    <n v="960"/>
    <s v="James"/>
    <s v="Duncan"/>
    <x v="4"/>
    <n v="5"/>
    <x v="5"/>
    <d v="2020-05-06T00:00:00"/>
    <x v="2"/>
    <n v="20"/>
    <n v="83972"/>
    <n v="1007664"/>
  </r>
  <r>
    <n v="961"/>
    <s v="Darius"/>
    <s v="Williams"/>
    <x v="3"/>
    <n v="11"/>
    <x v="2"/>
    <d v="2018-11-08T00:00:00"/>
    <x v="2"/>
    <n v="36"/>
    <n v="74000"/>
    <n v="888000"/>
  </r>
  <r>
    <n v="962"/>
    <s v="Nathan"/>
    <s v="Little"/>
    <x v="2"/>
    <n v="9"/>
    <x v="0"/>
    <d v="2021-09-21T00:00:00"/>
    <x v="4"/>
    <n v="40"/>
    <n v="52070"/>
    <n v="624840"/>
  </r>
  <r>
    <n v="963"/>
    <s v="Erik"/>
    <s v="Frye"/>
    <x v="4"/>
    <n v="8"/>
    <x v="0"/>
    <d v="2021-08-27T00:00:00"/>
    <x v="3"/>
    <n v="47"/>
    <n v="95040"/>
    <n v="1140480"/>
  </r>
  <r>
    <n v="964"/>
    <s v="Randy"/>
    <s v="Perez"/>
    <x v="1"/>
    <n v="5"/>
    <x v="7"/>
    <d v="2017-05-19T00:00:00"/>
    <x v="0"/>
    <n v="38"/>
    <n v="64117"/>
    <n v="769404"/>
  </r>
  <r>
    <n v="965"/>
    <s v="Margaret"/>
    <s v="Cowan"/>
    <x v="3"/>
    <n v="7"/>
    <x v="3"/>
    <d v="2023-07-06T00:00:00"/>
    <x v="4"/>
    <n v="49"/>
    <n v="118630"/>
    <n v="1423560"/>
  </r>
  <r>
    <n v="966"/>
    <s v="Christy"/>
    <s v="Rodriguez"/>
    <x v="3"/>
    <n v="1"/>
    <x v="6"/>
    <d v="2022-01-20T00:00:00"/>
    <x v="2"/>
    <n v="38"/>
    <n v="71667"/>
    <n v="860004"/>
  </r>
  <r>
    <n v="967"/>
    <s v="Jeffrey"/>
    <s v="Pratt"/>
    <x v="2"/>
    <n v="5"/>
    <x v="8"/>
    <d v="2019-05-30T00:00:00"/>
    <x v="3"/>
    <n v="36"/>
    <n v="73884"/>
    <n v="886608"/>
  </r>
  <r>
    <n v="968"/>
    <s v="Peter"/>
    <s v="Wade"/>
    <x v="2"/>
    <n v="1"/>
    <x v="4"/>
    <d v="2024-01-29T00:00:00"/>
    <x v="2"/>
    <n v="2"/>
    <n v="88585"/>
    <n v="1063020"/>
  </r>
  <r>
    <n v="969"/>
    <s v="Regina"/>
    <s v="Mcdowell"/>
    <x v="4"/>
    <n v="12"/>
    <x v="6"/>
    <d v="2022-12-21T00:00:00"/>
    <x v="3"/>
    <n v="6"/>
    <n v="100892"/>
    <n v="1210704"/>
  </r>
  <r>
    <n v="970"/>
    <s v="Brittany"/>
    <s v="Ferguson"/>
    <x v="3"/>
    <n v="12"/>
    <x v="7"/>
    <d v="2017-12-23T00:00:00"/>
    <x v="0"/>
    <n v="46"/>
    <n v="91312"/>
    <n v="1095744"/>
  </r>
  <r>
    <n v="971"/>
    <s v="Cassandra"/>
    <s v="Mclaughlin"/>
    <x v="2"/>
    <n v="1"/>
    <x v="1"/>
    <d v="2016-01-10T00:00:00"/>
    <x v="4"/>
    <n v="42"/>
    <n v="119288"/>
    <n v="1431456"/>
  </r>
  <r>
    <n v="972"/>
    <s v="Michael"/>
    <s v="Holmes"/>
    <x v="1"/>
    <n v="7"/>
    <x v="3"/>
    <d v="2023-07-26T00:00:00"/>
    <x v="2"/>
    <n v="18"/>
    <n v="102639"/>
    <n v="1231668"/>
  </r>
  <r>
    <n v="973"/>
    <s v="Ashley"/>
    <s v="Barrett"/>
    <x v="1"/>
    <n v="4"/>
    <x v="2"/>
    <d v="2018-04-03T00:00:00"/>
    <x v="3"/>
    <n v="24"/>
    <n v="51750"/>
    <n v="621000"/>
  </r>
  <r>
    <n v="974"/>
    <s v="Laura"/>
    <s v="Zimmerman"/>
    <x v="1"/>
    <n v="8"/>
    <x v="2"/>
    <d v="2018-08-17T00:00:00"/>
    <x v="3"/>
    <n v="5"/>
    <n v="66764"/>
    <n v="801168"/>
  </r>
  <r>
    <n v="975"/>
    <s v="Derek"/>
    <s v="Mercer"/>
    <x v="1"/>
    <n v="8"/>
    <x v="3"/>
    <d v="2023-08-31T00:00:00"/>
    <x v="4"/>
    <n v="6"/>
    <n v="53011"/>
    <n v="636132"/>
  </r>
  <r>
    <n v="976"/>
    <s v="Alexander"/>
    <s v="Gill"/>
    <x v="3"/>
    <n v="1"/>
    <x v="2"/>
    <d v="2018-01-17T00:00:00"/>
    <x v="1"/>
    <n v="12"/>
    <n v="106368"/>
    <n v="1276416"/>
  </r>
  <r>
    <n v="977"/>
    <s v="Jason"/>
    <s v="Shaw"/>
    <x v="2"/>
    <n v="10"/>
    <x v="8"/>
    <d v="2019-10-13T00:00:00"/>
    <x v="4"/>
    <n v="2"/>
    <n v="29927"/>
    <n v="359124"/>
  </r>
  <r>
    <n v="978"/>
    <s v="Jenny"/>
    <s v="Farmer"/>
    <x v="4"/>
    <n v="12"/>
    <x v="5"/>
    <d v="2020-12-27T00:00:00"/>
    <x v="0"/>
    <n v="7"/>
    <n v="87312"/>
    <n v="1047744"/>
  </r>
  <r>
    <n v="979"/>
    <s v="James"/>
    <s v="Lopez"/>
    <x v="3"/>
    <n v="2"/>
    <x v="2"/>
    <d v="2018-02-28T00:00:00"/>
    <x v="0"/>
    <n v="12"/>
    <n v="79782"/>
    <n v="957384"/>
  </r>
  <r>
    <n v="980"/>
    <s v="Wayne"/>
    <s v="Li"/>
    <x v="2"/>
    <n v="9"/>
    <x v="7"/>
    <d v="2017-09-27T00:00:00"/>
    <x v="0"/>
    <n v="24"/>
    <n v="101460"/>
    <n v="1217520"/>
  </r>
  <r>
    <n v="981"/>
    <s v="Kayla"/>
    <s v="Morton"/>
    <x v="2"/>
    <n v="1"/>
    <x v="6"/>
    <d v="2022-01-10T00:00:00"/>
    <x v="2"/>
    <n v="49"/>
    <n v="78410"/>
    <n v="940920"/>
  </r>
  <r>
    <n v="982"/>
    <s v="Michele"/>
    <s v="Marshall"/>
    <x v="4"/>
    <n v="9"/>
    <x v="3"/>
    <d v="2023-09-28T00:00:00"/>
    <x v="0"/>
    <n v="33"/>
    <n v="71263"/>
    <n v="855156"/>
  </r>
  <r>
    <n v="983"/>
    <s v="Lisa"/>
    <s v="Jackson"/>
    <x v="2"/>
    <n v="4"/>
    <x v="2"/>
    <d v="2018-04-28T00:00:00"/>
    <x v="0"/>
    <n v="38"/>
    <n v="53672"/>
    <n v="644064"/>
  </r>
  <r>
    <n v="984"/>
    <s v="Ashlee"/>
    <s v="Abbott"/>
    <x v="4"/>
    <n v="8"/>
    <x v="7"/>
    <d v="2017-08-21T00:00:00"/>
    <x v="3"/>
    <n v="36"/>
    <n v="95651"/>
    <n v="1147812"/>
  </r>
  <r>
    <n v="985"/>
    <s v="Maria"/>
    <s v="Brown"/>
    <x v="4"/>
    <n v="3"/>
    <x v="8"/>
    <d v="2019-03-21T00:00:00"/>
    <x v="4"/>
    <n v="1"/>
    <n v="65539"/>
    <n v="786468"/>
  </r>
  <r>
    <n v="986"/>
    <s v="David"/>
    <s v="Richards"/>
    <x v="0"/>
    <n v="5"/>
    <x v="0"/>
    <d v="2021-05-04T00:00:00"/>
    <x v="4"/>
    <n v="7"/>
    <n v="76619"/>
    <n v="919428"/>
  </r>
  <r>
    <n v="987"/>
    <s v="David"/>
    <s v="Riggs"/>
    <x v="2"/>
    <n v="4"/>
    <x v="4"/>
    <d v="2024-04-04T00:00:00"/>
    <x v="0"/>
    <n v="8"/>
    <n v="44193"/>
    <n v="530316"/>
  </r>
  <r>
    <n v="988"/>
    <s v="Jennifer"/>
    <s v="Shelton"/>
    <x v="2"/>
    <n v="5"/>
    <x v="6"/>
    <d v="2022-05-08T00:00:00"/>
    <x v="2"/>
    <n v="46"/>
    <n v="89452"/>
    <n v="1073424"/>
  </r>
  <r>
    <n v="989"/>
    <s v="Ann"/>
    <s v="Williams"/>
    <x v="1"/>
    <n v="1"/>
    <x v="5"/>
    <d v="2020-01-02T00:00:00"/>
    <x v="1"/>
    <n v="1"/>
    <n v="117439"/>
    <n v="1409268"/>
  </r>
  <r>
    <n v="990"/>
    <s v="Sheryl"/>
    <s v="Brown"/>
    <x v="4"/>
    <n v="8"/>
    <x v="8"/>
    <d v="2019-08-06T00:00:00"/>
    <x v="3"/>
    <n v="44"/>
    <n v="55636"/>
    <n v="667632"/>
  </r>
  <r>
    <n v="991"/>
    <s v="Brittany"/>
    <s v="Williams"/>
    <x v="2"/>
    <n v="9"/>
    <x v="4"/>
    <d v="2024-09-12T00:00:00"/>
    <x v="1"/>
    <n v="3"/>
    <n v="87587"/>
    <n v="1051044"/>
  </r>
  <r>
    <n v="992"/>
    <s v="Gary"/>
    <s v="Horn"/>
    <x v="3"/>
    <n v="2"/>
    <x v="5"/>
    <d v="2020-02-22T00:00:00"/>
    <x v="4"/>
    <n v="32"/>
    <n v="116292"/>
    <n v="1395504"/>
  </r>
  <r>
    <n v="993"/>
    <s v="Lisa"/>
    <s v="Wilson"/>
    <x v="4"/>
    <n v="6"/>
    <x v="8"/>
    <d v="2019-06-17T00:00:00"/>
    <x v="1"/>
    <n v="9"/>
    <n v="64114"/>
    <n v="769368"/>
  </r>
  <r>
    <n v="994"/>
    <s v="Michael"/>
    <s v="Burton"/>
    <x v="3"/>
    <n v="7"/>
    <x v="6"/>
    <d v="2022-07-04T00:00:00"/>
    <x v="1"/>
    <n v="31"/>
    <n v="86551"/>
    <n v="1038612"/>
  </r>
  <r>
    <n v="995"/>
    <s v="Darius"/>
    <s v="Frederick"/>
    <x v="0"/>
    <n v="3"/>
    <x v="2"/>
    <d v="2018-03-14T00:00:00"/>
    <x v="2"/>
    <n v="40"/>
    <n v="99135"/>
    <n v="1189620"/>
  </r>
  <r>
    <n v="996"/>
    <s v="Melissa"/>
    <s v="Terrell"/>
    <x v="3"/>
    <n v="8"/>
    <x v="0"/>
    <d v="2021-08-04T00:00:00"/>
    <x v="3"/>
    <n v="13"/>
    <n v="54284"/>
    <n v="651408"/>
  </r>
  <r>
    <n v="997"/>
    <s v="Shawn"/>
    <s v="Parker"/>
    <x v="3"/>
    <n v="9"/>
    <x v="0"/>
    <d v="2021-09-24T00:00:00"/>
    <x v="2"/>
    <n v="35"/>
    <n v="91215"/>
    <n v="1094580"/>
  </r>
  <r>
    <n v="998"/>
    <s v="Julie"/>
    <s v="Davis"/>
    <x v="4"/>
    <n v="2"/>
    <x v="1"/>
    <d v="2016-02-04T00:00:00"/>
    <x v="3"/>
    <n v="8"/>
    <n v="61112"/>
    <n v="733344"/>
  </r>
  <r>
    <n v="999"/>
    <s v="Christopher"/>
    <s v="Chase"/>
    <x v="1"/>
    <n v="5"/>
    <x v="2"/>
    <d v="2018-05-05T00:00:00"/>
    <x v="4"/>
    <n v="23"/>
    <n v="93390"/>
    <n v="1120680"/>
  </r>
  <r>
    <n v="1000"/>
    <s v="Natasha"/>
    <s v="Yang"/>
    <x v="3"/>
    <n v="5"/>
    <x v="4"/>
    <d v="2024-05-01T00:00:00"/>
    <x v="4"/>
    <n v="46"/>
    <n v="74738"/>
    <n v="8968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CE7D94-B758-46FC-9AEE-5B1D50B46D0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partment">
  <location ref="D23:E28" firstHeaderRow="1" firstDataRow="1" firstDataCol="1"/>
  <pivotFields count="11">
    <pivotField numFmtId="165" showAll="0"/>
    <pivotField showAll="0"/>
    <pivotField showAll="0"/>
    <pivotField axis="axisRow" showAll="0">
      <items count="6">
        <item x="4"/>
        <item x="3"/>
        <item x="0"/>
        <item x="2"/>
        <item x="1"/>
        <item t="default"/>
      </items>
    </pivotField>
    <pivotField showAll="0"/>
    <pivotField showAll="0"/>
    <pivotField numFmtId="14" showAll="0"/>
    <pivotField dataField="1" showAll="0"/>
    <pivotField showAll="0"/>
    <pivotField numFmtId="164" showAll="0"/>
    <pivotField numFmtId="164" showAll="0"/>
  </pivotFields>
  <rowFields count="1">
    <field x="3"/>
  </rowFields>
  <rowItems count="5">
    <i>
      <x/>
    </i>
    <i>
      <x v="1"/>
    </i>
    <i>
      <x v="2"/>
    </i>
    <i>
      <x v="3"/>
    </i>
    <i>
      <x v="4"/>
    </i>
  </rowItems>
  <colItems count="1">
    <i/>
  </colItems>
  <dataFields count="1">
    <dataField name="Average Performance Score" fld="7" subtotal="average" baseField="3" baseItem="0"/>
  </dataFields>
  <formats count="1">
    <format dxfId="8">
      <pivotArea collapsedLevelsAreSubtotals="1" fieldPosition="0">
        <references count="1">
          <reference field="3" count="0"/>
        </references>
      </pivotArea>
    </format>
  </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4B1B02-F6D7-437B-A48B-A6B031F3480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partment">
  <location ref="D14:E19" firstHeaderRow="1" firstDataRow="1" firstDataCol="1"/>
  <pivotFields count="11">
    <pivotField numFmtId="165" showAll="0" insertBlankRow="1"/>
    <pivotField showAll="0" insertBlankRow="1"/>
    <pivotField showAll="0" insertBlankRow="1"/>
    <pivotField axis="axisRow" showAll="0" insertBlankRow="1">
      <items count="6">
        <item x="4"/>
        <item x="3"/>
        <item x="0"/>
        <item x="2"/>
        <item x="1"/>
        <item t="default"/>
      </items>
    </pivotField>
    <pivotField showAll="0" insertBlankRow="1"/>
    <pivotField showAll="0" insertBlankRow="1"/>
    <pivotField numFmtId="14" showAll="0" insertBlankRow="1"/>
    <pivotField showAll="0" insertBlankRow="1"/>
    <pivotField showAll="0" insertBlankRow="1"/>
    <pivotField dataField="1" numFmtId="164" showAll="0" insertBlankRow="1"/>
    <pivotField numFmtId="164" showAll="0" insertBlankRow="1"/>
  </pivotFields>
  <rowFields count="1">
    <field x="3"/>
  </rowFields>
  <rowItems count="5">
    <i>
      <x/>
    </i>
    <i>
      <x v="1"/>
    </i>
    <i>
      <x v="2"/>
    </i>
    <i>
      <x v="3"/>
    </i>
    <i>
      <x v="4"/>
    </i>
  </rowItems>
  <colItems count="1">
    <i/>
  </colItems>
  <dataFields count="1">
    <dataField name="Average Monthly Salary" fld="9" subtotal="average" baseField="3" baseItem="2" numFmtId="164"/>
  </dataFields>
  <formats count="2">
    <format dxfId="10">
      <pivotArea field="3" type="button" dataOnly="0" labelOnly="1" outline="0" axis="axisRow" fieldPosition="0"/>
    </format>
    <format dxfId="9">
      <pivotArea dataOnly="0" labelOnly="1" fieldPosition="0">
        <references count="1">
          <reference field="3" count="0"/>
        </references>
      </pivotArea>
    </format>
  </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C3D66-B3A0-4C1F-8914-A83BB844EF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D5:E11" firstHeaderRow="1" firstDataRow="1" firstDataCol="1"/>
  <pivotFields count="11">
    <pivotField dataField="1" numFmtId="165" showAll="0"/>
    <pivotField showAll="0"/>
    <pivotField showAll="0"/>
    <pivotField axis="axisRow" showAll="0">
      <items count="6">
        <item x="4"/>
        <item x="3"/>
        <item x="0"/>
        <item x="2"/>
        <item x="1"/>
        <item t="default"/>
      </items>
    </pivotField>
    <pivotField showAll="0"/>
    <pivotField showAll="0"/>
    <pivotField numFmtId="14" showAll="0"/>
    <pivotField showAll="0"/>
    <pivotField showAll="0"/>
    <pivotField numFmtId="164" showAll="0"/>
    <pivotField numFmtId="164" showAll="0"/>
  </pivotFields>
  <rowFields count="1">
    <field x="3"/>
  </rowFields>
  <rowItems count="6">
    <i>
      <x/>
    </i>
    <i>
      <x v="1"/>
    </i>
    <i>
      <x v="2"/>
    </i>
    <i>
      <x v="3"/>
    </i>
    <i>
      <x v="4"/>
    </i>
    <i t="grand">
      <x/>
    </i>
  </rowItems>
  <colItems count="1">
    <i/>
  </colItems>
  <dataFields count="1">
    <dataField name="Employee Count" fld="0" subtotal="count" baseField="0" baseItem="0"/>
  </dataFields>
  <formats count="2">
    <format dxfId="12">
      <pivotArea grandRow="1" outline="0" collapsedLevelsAreSubtotals="1" fieldPosition="0"/>
    </format>
    <format dxfId="11">
      <pivotArea dataOnly="0" labelOnly="1" grandRow="1" outline="0"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93E35B-B090-4A6C-B991-99789D81B9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epartment">
  <location ref="D32:E42" firstHeaderRow="1" firstDataRow="1" firstDataCol="1"/>
  <pivotFields count="11">
    <pivotField numFmtId="165" showAll="0"/>
    <pivotField showAll="0"/>
    <pivotField showAll="0"/>
    <pivotField axis="axisRow" showAll="0">
      <items count="6">
        <item h="1" sd="0" x="4"/>
        <item h="1" sd="0" x="3"/>
        <item h="1" sd="0" x="0"/>
        <item sd="0" x="2"/>
        <item h="1" sd="0" x="1"/>
        <item t="default"/>
      </items>
    </pivotField>
    <pivotField showAll="0"/>
    <pivotField axis="axisRow" showAll="0">
      <items count="11">
        <item h="1" sd="0" x="9"/>
        <item sd="0" x="1"/>
        <item sd="0" x="7"/>
        <item sd="0" x="2"/>
        <item sd="0" x="8"/>
        <item sd="0" x="5"/>
        <item sd="0" x="0"/>
        <item sd="0" x="6"/>
        <item sd="0" x="3"/>
        <item sd="0" x="4"/>
        <item t="default"/>
      </items>
    </pivotField>
    <pivotField numFmtId="14" showAll="0"/>
    <pivotField showAll="0"/>
    <pivotField dataField="1" showAll="0"/>
    <pivotField numFmtId="164" showAll="0"/>
    <pivotField numFmtId="164" showAll="0"/>
  </pivotFields>
  <rowFields count="2">
    <field x="5"/>
    <field x="3"/>
  </rowFields>
  <rowItems count="10">
    <i>
      <x v="1"/>
    </i>
    <i>
      <x v="2"/>
    </i>
    <i>
      <x v="3"/>
    </i>
    <i>
      <x v="4"/>
    </i>
    <i>
      <x v="5"/>
    </i>
    <i>
      <x v="6"/>
    </i>
    <i>
      <x v="7"/>
    </i>
    <i>
      <x v="8"/>
    </i>
    <i>
      <x v="9"/>
    </i>
    <i t="grand">
      <x/>
    </i>
  </rowItems>
  <colItems count="1">
    <i/>
  </colItems>
  <dataFields count="1">
    <dataField name="Projects Completed" fld="8" baseField="0" baseItem="0" numFmtId="165"/>
  </dataFields>
  <formats count="7">
    <format dxfId="19">
      <pivotArea grandRow="1" outline="0" collapsedLevelsAreSubtotals="1" fieldPosition="0"/>
    </format>
    <format dxfId="18">
      <pivotArea dataOnly="0" labelOnly="1" grandRow="1" outline="0" fieldPosition="0"/>
    </format>
    <format dxfId="17">
      <pivotArea outline="0" collapsedLevelsAreSubtotals="1" fieldPosition="0"/>
    </format>
    <format dxfId="16">
      <pivotArea outline="0" collapsedLevelsAreSubtotals="1" fieldPosition="0"/>
    </format>
    <format dxfId="15">
      <pivotArea dataOnly="0" labelOnly="1" fieldPosition="0">
        <references count="1">
          <reference field="3" count="0"/>
        </references>
      </pivotArea>
    </format>
    <format dxfId="14">
      <pivotArea dataOnly="0" labelOnly="1" grandRow="1" outline="0" fieldPosition="0"/>
    </format>
    <format dxfId="13">
      <pivotArea collapsedLevelsAreSubtotals="1" fieldPosition="0">
        <references count="1">
          <reference field="3" count="1">
            <x v="0"/>
          </reference>
        </references>
      </pivotArea>
    </format>
  </formats>
  <chartFormats count="7">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4"/>
          </reference>
        </references>
      </pivotArea>
    </chartFormat>
    <chartFormat chart="8" format="2">
      <pivotArea type="data" outline="0" fieldPosition="0">
        <references count="2">
          <reference field="4294967294" count="1" selected="0">
            <x v="0"/>
          </reference>
          <reference field="3" count="1" selected="0">
            <x v="3"/>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2F1746-40DB-4C55-A20A-D780912154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Year">
  <location ref="A5:B15" firstHeaderRow="1" firstDataRow="1" firstDataCol="1"/>
  <pivotFields count="11">
    <pivotField dataField="1" numFmtId="165" showAll="0"/>
    <pivotField showAll="0"/>
    <pivotField showAll="0"/>
    <pivotField showAll="0"/>
    <pivotField showAll="0"/>
    <pivotField axis="axisRow" showAll="0">
      <items count="11">
        <item h="1" x="9"/>
        <item x="1"/>
        <item x="7"/>
        <item x="2"/>
        <item x="8"/>
        <item x="5"/>
        <item x="0"/>
        <item x="6"/>
        <item x="3"/>
        <item x="4"/>
        <item t="default"/>
      </items>
    </pivotField>
    <pivotField numFmtId="14" showAll="0"/>
    <pivotField showAll="0"/>
    <pivotField showAll="0"/>
    <pivotField numFmtId="164" showAll="0"/>
    <pivotField numFmtId="164" showAll="0"/>
  </pivotFields>
  <rowFields count="1">
    <field x="5"/>
  </rowFields>
  <rowItems count="10">
    <i>
      <x v="1"/>
    </i>
    <i>
      <x v="2"/>
    </i>
    <i>
      <x v="3"/>
    </i>
    <i>
      <x v="4"/>
    </i>
    <i>
      <x v="5"/>
    </i>
    <i>
      <x v="6"/>
    </i>
    <i>
      <x v="7"/>
    </i>
    <i>
      <x v="8"/>
    </i>
    <i>
      <x v="9"/>
    </i>
    <i t="grand">
      <x/>
    </i>
  </rowItems>
  <colItems count="1">
    <i/>
  </colItems>
  <dataFields count="1">
    <dataField name="Employee Count" fld="0" subtotal="count" baseField="5" baseItem="0"/>
  </dataFields>
  <formats count="6">
    <format dxfId="25">
      <pivotArea type="all" dataOnly="0" outline="0" fieldPosition="0"/>
    </format>
    <format dxfId="24">
      <pivotArea outline="0" collapsedLevelsAreSubtotals="1" fieldPosition="0"/>
    </format>
    <format dxfId="23">
      <pivotArea field="5" type="button" dataOnly="0" labelOnly="1" outline="0" axis="axisRow" fieldPosition="0"/>
    </format>
    <format dxfId="22">
      <pivotArea dataOnly="0" labelOnly="1" fieldPosition="0">
        <references count="1">
          <reference field="5" count="0"/>
        </references>
      </pivotArea>
    </format>
    <format dxfId="21">
      <pivotArea dataOnly="0" labelOnly="1" grandRow="1" outline="0" fieldPosition="0"/>
    </format>
    <format dxfId="20">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6"/>
          </reference>
        </references>
      </pivotArea>
    </chartFormat>
    <chartFormat chart="5" format="2">
      <pivotArea type="data" outline="0" fieldPosition="0">
        <references count="2">
          <reference field="4294967294" count="1" selected="0">
            <x v="0"/>
          </reference>
          <reference field="5" count="1" selected="0">
            <x v="3"/>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6EC7FF-1B39-4CA1-87D5-7B06DC387E4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Year">
  <location ref="A19:B28" firstHeaderRow="1" firstDataRow="1" firstDataCol="1"/>
  <pivotFields count="11">
    <pivotField numFmtId="165" showAll="0"/>
    <pivotField showAll="0"/>
    <pivotField showAll="0"/>
    <pivotField showAll="0">
      <items count="6">
        <item x="4"/>
        <item x="3"/>
        <item x="0"/>
        <item x="2"/>
        <item x="1"/>
        <item t="default"/>
      </items>
    </pivotField>
    <pivotField showAll="0"/>
    <pivotField axis="axisRow" showAll="0">
      <items count="11">
        <item h="1" x="9"/>
        <item x="1"/>
        <item x="7"/>
        <item x="2"/>
        <item x="8"/>
        <item x="5"/>
        <item x="0"/>
        <item x="6"/>
        <item x="3"/>
        <item x="4"/>
        <item t="default"/>
      </items>
    </pivotField>
    <pivotField numFmtId="14" showAll="0"/>
    <pivotField dataField="1" showAll="0"/>
    <pivotField showAll="0"/>
    <pivotField numFmtId="164" showAll="0"/>
    <pivotField numFmtId="164" showAll="0"/>
  </pivotFields>
  <rowFields count="1">
    <field x="5"/>
  </rowFields>
  <rowItems count="9">
    <i>
      <x v="1"/>
    </i>
    <i>
      <x v="2"/>
    </i>
    <i>
      <x v="3"/>
    </i>
    <i>
      <x v="4"/>
    </i>
    <i>
      <x v="5"/>
    </i>
    <i>
      <x v="6"/>
    </i>
    <i>
      <x v="7"/>
    </i>
    <i>
      <x v="8"/>
    </i>
    <i>
      <x v="9"/>
    </i>
  </rowItems>
  <colItems count="1">
    <i/>
  </colItems>
  <dataFields count="1">
    <dataField name="Average Performance Score" fld="7" subtotal="average" baseField="5" baseItem="0" numFmtId="2"/>
  </dataFields>
  <formats count="6">
    <format dxfId="31">
      <pivotArea outline="0" collapsedLevelsAreSubtotals="1"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5" count="1" selected="0">
            <x v="6"/>
          </reference>
        </references>
      </pivotArea>
    </chartFormat>
    <chartFormat chart="6" format="2">
      <pivotArea type="data" outline="0" fieldPosition="0">
        <references count="2">
          <reference field="4294967294" count="1" selected="0">
            <x v="0"/>
          </reference>
          <reference field="5" count="1" selected="0">
            <x v="3"/>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F04474-AF2A-4E7C-AD22-9CBC5D7A881D}" sourceName="Department">
  <pivotTables>
    <pivotTable tabId="2" name="PivotTable1"/>
  </pivotTables>
  <data>
    <tabular pivotCacheId="1566719928">
      <items count="5">
        <i x="4"/>
        <i x="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DDB1AD6-984A-4C2F-936B-7C02A44D6245}"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998993-C7F1-42CE-8C8E-BF9196865C43}" name="Employee_Data" displayName="Employee_Data" ref="A1:K1001" totalsRowShown="0" headerRowBorderDxfId="42" tableBorderDxfId="41">
  <autoFilter ref="A1:K1001" xr:uid="{A9998993-C7F1-42CE-8C8E-BF9196865C43}"/>
  <tableColumns count="11">
    <tableColumn id="1" xr3:uid="{BFCB66CB-E307-42A2-ADAD-432C9F9C7036}" name="EmployeeID" dataDxfId="40" dataCellStyle="Comma"/>
    <tableColumn id="2" xr3:uid="{D7F6C9C5-EEB1-4A69-9996-FF51C099FD7B}" name="FirstName" dataDxfId="39"/>
    <tableColumn id="3" xr3:uid="{8D5DF3D7-E437-4202-B999-239F113007D4}" name="LastName" dataDxfId="38"/>
    <tableColumn id="4" xr3:uid="{992C7313-51A1-4235-A01F-AB5C4F555126}" name="Department" dataDxfId="37"/>
    <tableColumn id="11" xr3:uid="{5CE256F6-204B-4C96-8A6C-7F8004DD44D1}" name="Month" dataDxfId="36">
      <calculatedColumnFormula>MONTH(Employee_Data[[#This Row],[HireDate]])</calculatedColumnFormula>
    </tableColumn>
    <tableColumn id="10" xr3:uid="{EE0837BB-8D1A-45DC-81DD-E48A4307835B}" name="Year" dataDxfId="35">
      <calculatedColumnFormula>YEAR(Employee_Data[[#This Row],[HireDate]])</calculatedColumnFormula>
    </tableColumn>
    <tableColumn id="5" xr3:uid="{3D18E4A7-8E9A-46AC-9BB4-664D6413A9CF}" name="HireDate" dataDxfId="34"/>
    <tableColumn id="6" xr3:uid="{E0F97D14-F183-4564-A986-162042F8C38D}" name="PerformanceScore"/>
    <tableColumn id="7" xr3:uid="{EC9B4935-2C0B-4D4F-B806-924C3E6A04F5}" name="ProjectsCompleted"/>
    <tableColumn id="8" xr3:uid="{D8875D54-DA0B-42C7-97AB-51DE8B30A033}" name="MonthlySalary" dataDxfId="33"/>
    <tableColumn id="9" xr3:uid="{4249812C-727D-4564-96B1-18814D7D66BF}" name="AnnualSalary" dataDxfId="3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4269AF-2DD4-4F2C-AFE2-2D78C6FB83FC}" name="Table4" displayName="Table4" ref="A1:E16" totalsRowShown="0">
  <autoFilter ref="A1:E16" xr:uid="{FF4269AF-2DD4-4F2C-AFE2-2D78C6FB83FC}"/>
  <tableColumns count="5">
    <tableColumn id="1" xr3:uid="{4E41697A-5946-49C1-A62D-B3C958AE4D1A}" name="Year"/>
    <tableColumn id="2" xr3:uid="{88C288E0-58FF-4C92-A835-F2AD5E148F0B}" name="Performance Score"/>
    <tableColumn id="3" xr3:uid="{8114328C-A80C-458E-9427-E0E5A4B40093}" name="Forecast(Performance Score)" dataDxfId="2">
      <calculatedColumnFormula>_xlfn.FORECAST.ETS(A2,$B$2:$B$10,$A$2:$A$10,1,1)</calculatedColumnFormula>
    </tableColumn>
    <tableColumn id="4" xr3:uid="{AEBC55E6-3AE3-42F9-B4A1-B735C9567298}" name="Lower Confidence Bound(Performance Score)" dataDxfId="1">
      <calculatedColumnFormula>C2-_xlfn.FORECAST.ETS.CONFINT(A2,$B$2:$B$10,$A$2:$A$10,0.95,1,1)</calculatedColumnFormula>
    </tableColumn>
    <tableColumn id="5" xr3:uid="{3D40D4A7-E013-43FA-824D-90691EF0582D}" name="Upper Confidence Bound(Performance Score)" dataDxfId="0">
      <calculatedColumnFormula>C2+_xlfn.FORECAST.ETS.CONFINT(A2,$B$2:$B$10,$A$2:$A$10,0.95,1,1)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EAB85D-D69B-42BC-9B45-588EB1933B10}" name="Table2" displayName="Table2" ref="A31:C36" totalsRowShown="0" headerRowDxfId="7" dataDxfId="6">
  <autoFilter ref="A31:C36" xr:uid="{A4EAB85D-D69B-42BC-9B45-588EB1933B10}"/>
  <tableColumns count="3">
    <tableColumn id="1" xr3:uid="{6EA0923B-C6E9-440F-BC18-926673A1822D}" name="Metric" dataDxfId="5"/>
    <tableColumn id="2" xr3:uid="{6A170DFE-7CCC-4792-B565-48D60D6911BB}" name="Value" dataDxfId="4"/>
    <tableColumn id="3" xr3:uid="{72C2C2C4-D23C-4A64-AD57-8400E6F4C424}" name="Observation" dataDxfId="3"/>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1001"/>
  <sheetViews>
    <sheetView workbookViewId="0">
      <selection activeCell="G931" sqref="G854:G931"/>
    </sheetView>
  </sheetViews>
  <sheetFormatPr defaultColWidth="9" defaultRowHeight="15" x14ac:dyDescent="0.25"/>
  <cols>
    <col min="1" max="1" width="16.28515625" style="3" bestFit="1" customWidth="1"/>
    <col min="2" max="2" width="14.7109375" bestFit="1" customWidth="1"/>
    <col min="3" max="3" width="14.28515625" bestFit="1" customWidth="1"/>
    <col min="4" max="4" width="16.28515625" bestFit="1" customWidth="1"/>
    <col min="5" max="5" width="11.5703125" style="5" bestFit="1" customWidth="1"/>
    <col min="6" max="6" width="9.5703125" bestFit="1" customWidth="1"/>
    <col min="7" max="7" width="13.42578125" bestFit="1" customWidth="1"/>
    <col min="8" max="8" width="22.140625" style="1" bestFit="1" customWidth="1"/>
    <col min="9" max="9" width="22.85546875" style="1" bestFit="1" customWidth="1"/>
    <col min="10" max="10" width="20" bestFit="1" customWidth="1"/>
    <col min="11" max="11" width="18.7109375" bestFit="1" customWidth="1"/>
  </cols>
  <sheetData>
    <row r="1" spans="1:11" x14ac:dyDescent="0.25">
      <c r="A1" s="6" t="s">
        <v>0</v>
      </c>
      <c r="B1" s="6" t="s">
        <v>1</v>
      </c>
      <c r="C1" s="6" t="s">
        <v>2</v>
      </c>
      <c r="D1" s="6" t="s">
        <v>3</v>
      </c>
      <c r="E1" s="6" t="s">
        <v>833</v>
      </c>
      <c r="F1" s="6" t="s">
        <v>832</v>
      </c>
      <c r="G1" s="7" t="s">
        <v>4</v>
      </c>
      <c r="H1" s="6" t="s">
        <v>5</v>
      </c>
      <c r="I1" s="6" t="s">
        <v>6</v>
      </c>
      <c r="J1" s="8" t="s">
        <v>7</v>
      </c>
      <c r="K1" s="8" t="s">
        <v>8</v>
      </c>
    </row>
    <row r="2" spans="1:11" x14ac:dyDescent="0.25">
      <c r="A2" s="3">
        <v>1</v>
      </c>
      <c r="B2" s="4" t="s">
        <v>9</v>
      </c>
      <c r="C2" s="4" t="s">
        <v>365</v>
      </c>
      <c r="D2" s="4" t="s">
        <v>826</v>
      </c>
      <c r="E2">
        <f>MONTH(Employee_Data[[#This Row],[HireDate]])</f>
        <v>7</v>
      </c>
      <c r="F2">
        <f>YEAR(Employee_Data[[#This Row],[HireDate]])</f>
        <v>2021</v>
      </c>
      <c r="G2" s="5">
        <v>44383</v>
      </c>
      <c r="H2">
        <v>2</v>
      </c>
      <c r="I2">
        <v>1</v>
      </c>
      <c r="J2" s="1">
        <v>59277</v>
      </c>
      <c r="K2" s="1">
        <v>711324</v>
      </c>
    </row>
    <row r="3" spans="1:11" x14ac:dyDescent="0.25">
      <c r="A3" s="3">
        <v>2</v>
      </c>
      <c r="B3" s="4" t="s">
        <v>10</v>
      </c>
      <c r="C3" s="4" t="s">
        <v>366</v>
      </c>
      <c r="D3" s="4" t="s">
        <v>826</v>
      </c>
      <c r="E3">
        <f>MONTH(Employee_Data[[#This Row],[HireDate]])</f>
        <v>11</v>
      </c>
      <c r="F3">
        <f>YEAR(Employee_Data[[#This Row],[HireDate]])</f>
        <v>2016</v>
      </c>
      <c r="G3" s="5">
        <v>42681</v>
      </c>
      <c r="H3">
        <v>3</v>
      </c>
      <c r="I3">
        <v>8</v>
      </c>
      <c r="J3" s="1">
        <v>26945</v>
      </c>
      <c r="K3" s="1">
        <v>323340</v>
      </c>
    </row>
    <row r="4" spans="1:11" x14ac:dyDescent="0.25">
      <c r="A4" s="3">
        <v>3</v>
      </c>
      <c r="B4" s="4" t="s">
        <v>11</v>
      </c>
      <c r="C4" s="4" t="s">
        <v>367</v>
      </c>
      <c r="D4" s="4" t="s">
        <v>827</v>
      </c>
      <c r="E4">
        <f>MONTH(Employee_Data[[#This Row],[HireDate]])</f>
        <v>8</v>
      </c>
      <c r="F4">
        <f>YEAR(Employee_Data[[#This Row],[HireDate]])</f>
        <v>2018</v>
      </c>
      <c r="G4" s="5">
        <v>43326</v>
      </c>
      <c r="H4">
        <v>3</v>
      </c>
      <c r="I4">
        <v>40</v>
      </c>
      <c r="J4" s="1">
        <v>81345</v>
      </c>
      <c r="K4" s="1">
        <v>976140</v>
      </c>
    </row>
    <row r="5" spans="1:11" x14ac:dyDescent="0.25">
      <c r="A5" s="3">
        <v>4</v>
      </c>
      <c r="B5" s="4" t="s">
        <v>12</v>
      </c>
      <c r="C5" s="4" t="s">
        <v>368</v>
      </c>
      <c r="D5" s="4" t="s">
        <v>828</v>
      </c>
      <c r="E5">
        <f>MONTH(Employee_Data[[#This Row],[HireDate]])</f>
        <v>5</v>
      </c>
      <c r="F5">
        <f>YEAR(Employee_Data[[#This Row],[HireDate]])</f>
        <v>2023</v>
      </c>
      <c r="G5" s="5">
        <v>45060</v>
      </c>
      <c r="H5">
        <v>1</v>
      </c>
      <c r="I5">
        <v>27</v>
      </c>
      <c r="J5" s="1">
        <v>72483</v>
      </c>
      <c r="K5" s="1">
        <v>869796</v>
      </c>
    </row>
    <row r="6" spans="1:11" x14ac:dyDescent="0.25">
      <c r="A6" s="3">
        <v>5</v>
      </c>
      <c r="B6" s="4" t="s">
        <v>13</v>
      </c>
      <c r="C6" s="4" t="s">
        <v>369</v>
      </c>
      <c r="D6" s="4" t="s">
        <v>827</v>
      </c>
      <c r="E6">
        <f>MONTH(Employee_Data[[#This Row],[HireDate]])</f>
        <v>6</v>
      </c>
      <c r="F6">
        <f>YEAR(Employee_Data[[#This Row],[HireDate]])</f>
        <v>2021</v>
      </c>
      <c r="G6" s="5">
        <v>44366</v>
      </c>
      <c r="H6">
        <v>4</v>
      </c>
      <c r="I6">
        <v>45</v>
      </c>
      <c r="J6" s="1">
        <v>84889</v>
      </c>
      <c r="K6" s="1">
        <v>1018668</v>
      </c>
    </row>
    <row r="7" spans="1:11" x14ac:dyDescent="0.25">
      <c r="A7" s="3">
        <v>6</v>
      </c>
      <c r="B7" s="4" t="s">
        <v>14</v>
      </c>
      <c r="C7" s="4" t="s">
        <v>370</v>
      </c>
      <c r="D7" s="4" t="s">
        <v>828</v>
      </c>
      <c r="E7">
        <f>MONTH(Employee_Data[[#This Row],[HireDate]])</f>
        <v>2</v>
      </c>
      <c r="F7">
        <f>YEAR(Employee_Data[[#This Row],[HireDate]])</f>
        <v>2024</v>
      </c>
      <c r="G7" s="5">
        <v>45347</v>
      </c>
      <c r="H7">
        <v>5</v>
      </c>
      <c r="I7">
        <v>43</v>
      </c>
      <c r="J7" s="1">
        <v>80892</v>
      </c>
      <c r="K7" s="1">
        <v>970704</v>
      </c>
    </row>
    <row r="8" spans="1:11" x14ac:dyDescent="0.25">
      <c r="A8" s="3">
        <v>7</v>
      </c>
      <c r="B8" s="4" t="s">
        <v>15</v>
      </c>
      <c r="C8" s="4" t="s">
        <v>371</v>
      </c>
      <c r="D8" s="4" t="s">
        <v>826</v>
      </c>
      <c r="E8">
        <f>MONTH(Employee_Data[[#This Row],[HireDate]])</f>
        <v>4</v>
      </c>
      <c r="F8">
        <f>YEAR(Employee_Data[[#This Row],[HireDate]])</f>
        <v>2024</v>
      </c>
      <c r="G8" s="5">
        <v>45408</v>
      </c>
      <c r="H8">
        <v>2</v>
      </c>
      <c r="I8">
        <v>45</v>
      </c>
      <c r="J8" s="1">
        <v>42575</v>
      </c>
      <c r="K8" s="1">
        <v>510900</v>
      </c>
    </row>
    <row r="9" spans="1:11" x14ac:dyDescent="0.25">
      <c r="A9" s="3">
        <v>8</v>
      </c>
      <c r="B9" s="4" t="s">
        <v>16</v>
      </c>
      <c r="C9" s="4" t="s">
        <v>372</v>
      </c>
      <c r="D9" s="4" t="s">
        <v>829</v>
      </c>
      <c r="E9">
        <f>MONTH(Employee_Data[[#This Row],[HireDate]])</f>
        <v>2</v>
      </c>
      <c r="F9">
        <f>YEAR(Employee_Data[[#This Row],[HireDate]])</f>
        <v>2020</v>
      </c>
      <c r="G9" s="5">
        <v>43884</v>
      </c>
      <c r="H9">
        <v>2</v>
      </c>
      <c r="I9">
        <v>49</v>
      </c>
      <c r="J9" s="1">
        <v>72753</v>
      </c>
      <c r="K9" s="1">
        <v>873036</v>
      </c>
    </row>
    <row r="10" spans="1:11" x14ac:dyDescent="0.25">
      <c r="A10" s="3">
        <v>9</v>
      </c>
      <c r="B10" s="4" t="s">
        <v>17</v>
      </c>
      <c r="C10" s="4" t="s">
        <v>366</v>
      </c>
      <c r="D10" s="4" t="s">
        <v>827</v>
      </c>
      <c r="E10">
        <f>MONTH(Employee_Data[[#This Row],[HireDate]])</f>
        <v>2</v>
      </c>
      <c r="F10">
        <f>YEAR(Employee_Data[[#This Row],[HireDate]])</f>
        <v>2023</v>
      </c>
      <c r="G10" s="5">
        <v>44982</v>
      </c>
      <c r="H10">
        <v>4</v>
      </c>
      <c r="I10">
        <v>34</v>
      </c>
      <c r="J10" s="1">
        <v>81170</v>
      </c>
      <c r="K10" s="1">
        <v>974040</v>
      </c>
    </row>
    <row r="11" spans="1:11" x14ac:dyDescent="0.25">
      <c r="A11" s="3">
        <v>10</v>
      </c>
      <c r="B11" s="4" t="s">
        <v>18</v>
      </c>
      <c r="C11" s="4" t="s">
        <v>373</v>
      </c>
      <c r="D11" s="4" t="s">
        <v>829</v>
      </c>
      <c r="E11">
        <f>MONTH(Employee_Data[[#This Row],[HireDate]])</f>
        <v>8</v>
      </c>
      <c r="F11">
        <f>YEAR(Employee_Data[[#This Row],[HireDate]])</f>
        <v>2016</v>
      </c>
      <c r="G11" s="5">
        <v>42612</v>
      </c>
      <c r="H11">
        <v>5</v>
      </c>
      <c r="I11">
        <v>2</v>
      </c>
      <c r="J11" s="1">
        <v>78501</v>
      </c>
      <c r="K11" s="1">
        <v>942012</v>
      </c>
    </row>
    <row r="12" spans="1:11" x14ac:dyDescent="0.25">
      <c r="A12" s="3">
        <v>11</v>
      </c>
      <c r="B12" s="4" t="s">
        <v>19</v>
      </c>
      <c r="C12" s="4" t="s">
        <v>374</v>
      </c>
      <c r="D12" s="4" t="s">
        <v>829</v>
      </c>
      <c r="E12">
        <f>MONTH(Employee_Data[[#This Row],[HireDate]])</f>
        <v>7</v>
      </c>
      <c r="F12">
        <f>YEAR(Employee_Data[[#This Row],[HireDate]])</f>
        <v>2024</v>
      </c>
      <c r="G12" s="5">
        <v>45485</v>
      </c>
      <c r="H12">
        <v>1</v>
      </c>
      <c r="I12">
        <v>19</v>
      </c>
      <c r="J12" s="1">
        <v>58271</v>
      </c>
      <c r="K12" s="1">
        <v>699252</v>
      </c>
    </row>
    <row r="13" spans="1:11" x14ac:dyDescent="0.25">
      <c r="A13" s="3">
        <v>12</v>
      </c>
      <c r="B13" s="4" t="s">
        <v>20</v>
      </c>
      <c r="C13" s="4" t="s">
        <v>375</v>
      </c>
      <c r="D13" s="4" t="s">
        <v>827</v>
      </c>
      <c r="E13">
        <f>MONTH(Employee_Data[[#This Row],[HireDate]])</f>
        <v>6</v>
      </c>
      <c r="F13">
        <f>YEAR(Employee_Data[[#This Row],[HireDate]])</f>
        <v>2018</v>
      </c>
      <c r="G13" s="5">
        <v>43271</v>
      </c>
      <c r="H13">
        <v>5</v>
      </c>
      <c r="I13">
        <v>31</v>
      </c>
      <c r="J13" s="1">
        <v>50807</v>
      </c>
      <c r="K13" s="1">
        <v>609684</v>
      </c>
    </row>
    <row r="14" spans="1:11" x14ac:dyDescent="0.25">
      <c r="A14" s="3">
        <v>13</v>
      </c>
      <c r="B14" s="4" t="s">
        <v>21</v>
      </c>
      <c r="C14" s="4" t="s">
        <v>346</v>
      </c>
      <c r="D14" s="4" t="s">
        <v>830</v>
      </c>
      <c r="E14">
        <f>MONTH(Employee_Data[[#This Row],[HireDate]])</f>
        <v>6</v>
      </c>
      <c r="F14">
        <f>YEAR(Employee_Data[[#This Row],[HireDate]])</f>
        <v>2018</v>
      </c>
      <c r="G14" s="5">
        <v>43257</v>
      </c>
      <c r="H14">
        <v>2</v>
      </c>
      <c r="I14">
        <v>41</v>
      </c>
      <c r="J14" s="1">
        <v>119478</v>
      </c>
      <c r="K14" s="1">
        <v>1433736</v>
      </c>
    </row>
    <row r="15" spans="1:11" x14ac:dyDescent="0.25">
      <c r="A15" s="3">
        <v>14</v>
      </c>
      <c r="B15" s="4" t="s">
        <v>22</v>
      </c>
      <c r="C15" s="4" t="s">
        <v>376</v>
      </c>
      <c r="D15" s="4" t="s">
        <v>830</v>
      </c>
      <c r="E15">
        <f>MONTH(Employee_Data[[#This Row],[HireDate]])</f>
        <v>6</v>
      </c>
      <c r="F15">
        <f>YEAR(Employee_Data[[#This Row],[HireDate]])</f>
        <v>2021</v>
      </c>
      <c r="G15" s="5">
        <v>44354</v>
      </c>
      <c r="H15">
        <v>5</v>
      </c>
      <c r="I15">
        <v>38</v>
      </c>
      <c r="J15" s="1">
        <v>21411</v>
      </c>
      <c r="K15" s="1">
        <v>256932</v>
      </c>
    </row>
    <row r="16" spans="1:11" x14ac:dyDescent="0.25">
      <c r="A16" s="3">
        <v>15</v>
      </c>
      <c r="B16" s="4" t="s">
        <v>23</v>
      </c>
      <c r="C16" s="4" t="s">
        <v>377</v>
      </c>
      <c r="D16" s="4" t="s">
        <v>830</v>
      </c>
      <c r="E16">
        <f>MONTH(Employee_Data[[#This Row],[HireDate]])</f>
        <v>9</v>
      </c>
      <c r="F16">
        <f>YEAR(Employee_Data[[#This Row],[HireDate]])</f>
        <v>2021</v>
      </c>
      <c r="G16" s="5">
        <v>44458</v>
      </c>
      <c r="H16">
        <v>2</v>
      </c>
      <c r="I16">
        <v>27</v>
      </c>
      <c r="J16" s="1">
        <v>63681</v>
      </c>
      <c r="K16" s="1">
        <v>764172</v>
      </c>
    </row>
    <row r="17" spans="1:11" x14ac:dyDescent="0.25">
      <c r="A17" s="3">
        <v>16</v>
      </c>
      <c r="B17" s="4" t="s">
        <v>24</v>
      </c>
      <c r="C17" s="4" t="s">
        <v>378</v>
      </c>
      <c r="D17" s="4" t="s">
        <v>828</v>
      </c>
      <c r="E17">
        <f>MONTH(Employee_Data[[#This Row],[HireDate]])</f>
        <v>6</v>
      </c>
      <c r="F17">
        <f>YEAR(Employee_Data[[#This Row],[HireDate]])</f>
        <v>2016</v>
      </c>
      <c r="G17" s="5">
        <v>42544</v>
      </c>
      <c r="H17">
        <v>3</v>
      </c>
      <c r="I17">
        <v>8</v>
      </c>
      <c r="J17" s="1">
        <v>43552</v>
      </c>
      <c r="K17" s="1">
        <v>522624</v>
      </c>
    </row>
    <row r="18" spans="1:11" x14ac:dyDescent="0.25">
      <c r="A18" s="3">
        <v>17</v>
      </c>
      <c r="B18" s="4" t="s">
        <v>25</v>
      </c>
      <c r="C18" s="4" t="s">
        <v>379</v>
      </c>
      <c r="D18" s="4" t="s">
        <v>830</v>
      </c>
      <c r="E18">
        <f>MONTH(Employee_Data[[#This Row],[HireDate]])</f>
        <v>6</v>
      </c>
      <c r="F18">
        <f>YEAR(Employee_Data[[#This Row],[HireDate]])</f>
        <v>2020</v>
      </c>
      <c r="G18" s="5">
        <v>44012</v>
      </c>
      <c r="H18">
        <v>1</v>
      </c>
      <c r="I18">
        <v>30</v>
      </c>
      <c r="J18" s="1">
        <v>93913</v>
      </c>
      <c r="K18" s="1">
        <v>1126956</v>
      </c>
    </row>
    <row r="19" spans="1:11" x14ac:dyDescent="0.25">
      <c r="A19" s="3">
        <v>18</v>
      </c>
      <c r="B19" s="4" t="s">
        <v>26</v>
      </c>
      <c r="C19" s="4" t="s">
        <v>380</v>
      </c>
      <c r="D19" s="4" t="s">
        <v>826</v>
      </c>
      <c r="E19">
        <f>MONTH(Employee_Data[[#This Row],[HireDate]])</f>
        <v>2</v>
      </c>
      <c r="F19">
        <f>YEAR(Employee_Data[[#This Row],[HireDate]])</f>
        <v>2021</v>
      </c>
      <c r="G19" s="5">
        <v>44228</v>
      </c>
      <c r="H19">
        <v>4</v>
      </c>
      <c r="I19">
        <v>17</v>
      </c>
      <c r="J19" s="1">
        <v>103114</v>
      </c>
      <c r="K19" s="1">
        <v>1237368</v>
      </c>
    </row>
    <row r="20" spans="1:11" x14ac:dyDescent="0.25">
      <c r="A20" s="3">
        <v>19</v>
      </c>
      <c r="B20" s="4" t="s">
        <v>18</v>
      </c>
      <c r="C20" s="4" t="s">
        <v>381</v>
      </c>
      <c r="D20" s="4" t="s">
        <v>827</v>
      </c>
      <c r="E20">
        <f>MONTH(Employee_Data[[#This Row],[HireDate]])</f>
        <v>3</v>
      </c>
      <c r="F20">
        <f>YEAR(Employee_Data[[#This Row],[HireDate]])</f>
        <v>2022</v>
      </c>
      <c r="G20" s="5">
        <v>44621</v>
      </c>
      <c r="H20">
        <v>3</v>
      </c>
      <c r="I20">
        <v>49</v>
      </c>
      <c r="J20" s="1">
        <v>23470</v>
      </c>
      <c r="K20" s="1">
        <v>281640</v>
      </c>
    </row>
    <row r="21" spans="1:11" x14ac:dyDescent="0.25">
      <c r="A21" s="3">
        <v>20</v>
      </c>
      <c r="B21" s="4" t="s">
        <v>27</v>
      </c>
      <c r="C21" s="4" t="s">
        <v>382</v>
      </c>
      <c r="D21" s="4" t="s">
        <v>829</v>
      </c>
      <c r="E21">
        <f>MONTH(Employee_Data[[#This Row],[HireDate]])</f>
        <v>8</v>
      </c>
      <c r="F21">
        <f>YEAR(Employee_Data[[#This Row],[HireDate]])</f>
        <v>2016</v>
      </c>
      <c r="G21" s="5">
        <v>42588</v>
      </c>
      <c r="H21">
        <v>1</v>
      </c>
      <c r="I21">
        <v>27</v>
      </c>
      <c r="J21" s="1">
        <v>111309</v>
      </c>
      <c r="K21" s="1">
        <v>1335708</v>
      </c>
    </row>
    <row r="22" spans="1:11" x14ac:dyDescent="0.25">
      <c r="A22" s="3">
        <v>21</v>
      </c>
      <c r="B22" s="4" t="s">
        <v>28</v>
      </c>
      <c r="C22" s="4" t="s">
        <v>383</v>
      </c>
      <c r="D22" s="4" t="s">
        <v>828</v>
      </c>
      <c r="E22">
        <f>MONTH(Employee_Data[[#This Row],[HireDate]])</f>
        <v>6</v>
      </c>
      <c r="F22">
        <f>YEAR(Employee_Data[[#This Row],[HireDate]])</f>
        <v>2024</v>
      </c>
      <c r="G22" s="5">
        <v>45469</v>
      </c>
      <c r="H22">
        <v>5</v>
      </c>
      <c r="I22">
        <v>5</v>
      </c>
      <c r="J22" s="1">
        <v>76457</v>
      </c>
      <c r="K22" s="1">
        <v>917484</v>
      </c>
    </row>
    <row r="23" spans="1:11" x14ac:dyDescent="0.25">
      <c r="A23" s="3">
        <v>22</v>
      </c>
      <c r="B23" s="4" t="s">
        <v>29</v>
      </c>
      <c r="C23" s="4" t="s">
        <v>384</v>
      </c>
      <c r="D23" s="4" t="s">
        <v>830</v>
      </c>
      <c r="E23">
        <f>MONTH(Employee_Data[[#This Row],[HireDate]])</f>
        <v>4</v>
      </c>
      <c r="F23">
        <f>YEAR(Employee_Data[[#This Row],[HireDate]])</f>
        <v>2023</v>
      </c>
      <c r="G23" s="5">
        <v>45038</v>
      </c>
      <c r="H23">
        <v>2</v>
      </c>
      <c r="I23">
        <v>45</v>
      </c>
      <c r="J23" s="1">
        <v>44405</v>
      </c>
      <c r="K23" s="1">
        <v>532860</v>
      </c>
    </row>
    <row r="24" spans="1:11" x14ac:dyDescent="0.25">
      <c r="A24" s="3">
        <v>23</v>
      </c>
      <c r="B24" s="4" t="s">
        <v>30</v>
      </c>
      <c r="C24" s="4" t="s">
        <v>385</v>
      </c>
      <c r="D24" s="4" t="s">
        <v>829</v>
      </c>
      <c r="E24">
        <f>MONTH(Employee_Data[[#This Row],[HireDate]])</f>
        <v>3</v>
      </c>
      <c r="F24">
        <f>YEAR(Employee_Data[[#This Row],[HireDate]])</f>
        <v>2018</v>
      </c>
      <c r="G24" s="5">
        <v>43171</v>
      </c>
      <c r="H24">
        <v>4</v>
      </c>
      <c r="I24">
        <v>30</v>
      </c>
      <c r="J24" s="1">
        <v>79881</v>
      </c>
      <c r="K24" s="1">
        <v>958572</v>
      </c>
    </row>
    <row r="25" spans="1:11" x14ac:dyDescent="0.25">
      <c r="A25" s="3">
        <v>24</v>
      </c>
      <c r="B25" s="4" t="s">
        <v>18</v>
      </c>
      <c r="C25" s="4" t="s">
        <v>386</v>
      </c>
      <c r="D25" s="4" t="s">
        <v>830</v>
      </c>
      <c r="E25">
        <f>MONTH(Employee_Data[[#This Row],[HireDate]])</f>
        <v>8</v>
      </c>
      <c r="F25">
        <f>YEAR(Employee_Data[[#This Row],[HireDate]])</f>
        <v>2020</v>
      </c>
      <c r="G25" s="5">
        <v>44054</v>
      </c>
      <c r="H25">
        <v>5</v>
      </c>
      <c r="I25">
        <v>45</v>
      </c>
      <c r="J25" s="1">
        <v>108766</v>
      </c>
      <c r="K25" s="1">
        <v>1305192</v>
      </c>
    </row>
    <row r="26" spans="1:11" x14ac:dyDescent="0.25">
      <c r="A26" s="3">
        <v>25</v>
      </c>
      <c r="B26" s="4" t="s">
        <v>31</v>
      </c>
      <c r="C26" s="4" t="s">
        <v>387</v>
      </c>
      <c r="D26" s="4" t="s">
        <v>826</v>
      </c>
      <c r="E26">
        <f>MONTH(Employee_Data[[#This Row],[HireDate]])</f>
        <v>12</v>
      </c>
      <c r="F26">
        <f>YEAR(Employee_Data[[#This Row],[HireDate]])</f>
        <v>2023</v>
      </c>
      <c r="G26" s="5">
        <v>45284</v>
      </c>
      <c r="H26">
        <v>3</v>
      </c>
      <c r="I26">
        <v>3</v>
      </c>
      <c r="J26" s="1">
        <v>40474</v>
      </c>
      <c r="K26" s="1">
        <v>485688</v>
      </c>
    </row>
    <row r="27" spans="1:11" x14ac:dyDescent="0.25">
      <c r="A27" s="3">
        <v>26</v>
      </c>
      <c r="B27" s="4" t="s">
        <v>32</v>
      </c>
      <c r="C27" s="4" t="s">
        <v>388</v>
      </c>
      <c r="D27" s="4" t="s">
        <v>830</v>
      </c>
      <c r="E27">
        <f>MONTH(Employee_Data[[#This Row],[HireDate]])</f>
        <v>4</v>
      </c>
      <c r="F27">
        <f>YEAR(Employee_Data[[#This Row],[HireDate]])</f>
        <v>2022</v>
      </c>
      <c r="G27" s="5">
        <v>44675</v>
      </c>
      <c r="H27">
        <v>4</v>
      </c>
      <c r="I27">
        <v>24</v>
      </c>
      <c r="J27" s="1">
        <v>42009</v>
      </c>
      <c r="K27" s="1">
        <v>504108</v>
      </c>
    </row>
    <row r="28" spans="1:11" x14ac:dyDescent="0.25">
      <c r="A28" s="3">
        <v>27</v>
      </c>
      <c r="B28" s="4" t="s">
        <v>33</v>
      </c>
      <c r="C28" s="4" t="s">
        <v>389</v>
      </c>
      <c r="D28" s="4" t="s">
        <v>826</v>
      </c>
      <c r="E28">
        <f>MONTH(Employee_Data[[#This Row],[HireDate]])</f>
        <v>10</v>
      </c>
      <c r="F28">
        <f>YEAR(Employee_Data[[#This Row],[HireDate]])</f>
        <v>2021</v>
      </c>
      <c r="G28" s="5">
        <v>44472</v>
      </c>
      <c r="H28">
        <v>3</v>
      </c>
      <c r="I28">
        <v>46</v>
      </c>
      <c r="J28" s="1">
        <v>50259</v>
      </c>
      <c r="K28" s="1">
        <v>603108</v>
      </c>
    </row>
    <row r="29" spans="1:11" x14ac:dyDescent="0.25">
      <c r="A29" s="3">
        <v>28</v>
      </c>
      <c r="B29" s="4" t="s">
        <v>34</v>
      </c>
      <c r="C29" s="4" t="s">
        <v>390</v>
      </c>
      <c r="D29" s="4" t="s">
        <v>828</v>
      </c>
      <c r="E29">
        <f>MONTH(Employee_Data[[#This Row],[HireDate]])</f>
        <v>10</v>
      </c>
      <c r="F29">
        <f>YEAR(Employee_Data[[#This Row],[HireDate]])</f>
        <v>2024</v>
      </c>
      <c r="G29" s="5">
        <v>45587</v>
      </c>
      <c r="H29">
        <v>4</v>
      </c>
      <c r="I29">
        <v>32</v>
      </c>
      <c r="J29" s="1">
        <v>82980</v>
      </c>
      <c r="K29" s="1">
        <v>995760</v>
      </c>
    </row>
    <row r="30" spans="1:11" x14ac:dyDescent="0.25">
      <c r="A30" s="3">
        <v>29</v>
      </c>
      <c r="B30" s="4" t="s">
        <v>35</v>
      </c>
      <c r="C30" s="4" t="s">
        <v>391</v>
      </c>
      <c r="D30" s="4" t="s">
        <v>829</v>
      </c>
      <c r="E30">
        <f>MONTH(Employee_Data[[#This Row],[HireDate]])</f>
        <v>3</v>
      </c>
      <c r="F30">
        <f>YEAR(Employee_Data[[#This Row],[HireDate]])</f>
        <v>2017</v>
      </c>
      <c r="G30" s="5">
        <v>42810</v>
      </c>
      <c r="H30">
        <v>2</v>
      </c>
      <c r="I30">
        <v>9</v>
      </c>
      <c r="J30" s="1">
        <v>57133</v>
      </c>
      <c r="K30" s="1">
        <v>685596</v>
      </c>
    </row>
    <row r="31" spans="1:11" x14ac:dyDescent="0.25">
      <c r="A31" s="3">
        <v>30</v>
      </c>
      <c r="B31" s="4" t="s">
        <v>36</v>
      </c>
      <c r="C31" s="4" t="s">
        <v>392</v>
      </c>
      <c r="D31" s="4" t="s">
        <v>830</v>
      </c>
      <c r="E31">
        <f>MONTH(Employee_Data[[#This Row],[HireDate]])</f>
        <v>3</v>
      </c>
      <c r="F31">
        <f>YEAR(Employee_Data[[#This Row],[HireDate]])</f>
        <v>2019</v>
      </c>
      <c r="G31" s="5">
        <v>43534</v>
      </c>
      <c r="H31">
        <v>4</v>
      </c>
      <c r="I31">
        <v>29</v>
      </c>
      <c r="J31" s="1">
        <v>68118</v>
      </c>
      <c r="K31" s="1">
        <v>817416</v>
      </c>
    </row>
    <row r="32" spans="1:11" x14ac:dyDescent="0.25">
      <c r="A32" s="3">
        <v>31</v>
      </c>
      <c r="B32" s="4" t="s">
        <v>37</v>
      </c>
      <c r="C32" s="4" t="s">
        <v>393</v>
      </c>
      <c r="D32" s="4" t="s">
        <v>829</v>
      </c>
      <c r="E32">
        <f>MONTH(Employee_Data[[#This Row],[HireDate]])</f>
        <v>9</v>
      </c>
      <c r="F32">
        <f>YEAR(Employee_Data[[#This Row],[HireDate]])</f>
        <v>2017</v>
      </c>
      <c r="G32" s="5">
        <v>42994</v>
      </c>
      <c r="H32">
        <v>5</v>
      </c>
      <c r="I32">
        <v>43</v>
      </c>
      <c r="J32" s="1">
        <v>76858</v>
      </c>
      <c r="K32" s="1">
        <v>922296</v>
      </c>
    </row>
    <row r="33" spans="1:11" x14ac:dyDescent="0.25">
      <c r="A33" s="3">
        <v>32</v>
      </c>
      <c r="B33" s="4" t="s">
        <v>38</v>
      </c>
      <c r="C33" s="4" t="s">
        <v>394</v>
      </c>
      <c r="D33" s="4" t="s">
        <v>826</v>
      </c>
      <c r="E33">
        <f>MONTH(Employee_Data[[#This Row],[HireDate]])</f>
        <v>6</v>
      </c>
      <c r="F33">
        <f>YEAR(Employee_Data[[#This Row],[HireDate]])</f>
        <v>2019</v>
      </c>
      <c r="G33" s="5">
        <v>43629</v>
      </c>
      <c r="H33">
        <v>5</v>
      </c>
      <c r="I33">
        <v>21</v>
      </c>
      <c r="J33" s="1">
        <v>105427</v>
      </c>
      <c r="K33" s="1">
        <v>1265124</v>
      </c>
    </row>
    <row r="34" spans="1:11" x14ac:dyDescent="0.25">
      <c r="A34" s="3">
        <v>33</v>
      </c>
      <c r="B34" s="4" t="s">
        <v>39</v>
      </c>
      <c r="C34" s="4" t="s">
        <v>395</v>
      </c>
      <c r="D34" s="4" t="s">
        <v>829</v>
      </c>
      <c r="E34">
        <f>MONTH(Employee_Data[[#This Row],[HireDate]])</f>
        <v>5</v>
      </c>
      <c r="F34">
        <f>YEAR(Employee_Data[[#This Row],[HireDate]])</f>
        <v>2018</v>
      </c>
      <c r="G34" s="5">
        <v>43224</v>
      </c>
      <c r="H34">
        <v>5</v>
      </c>
      <c r="I34">
        <v>8</v>
      </c>
      <c r="J34" s="1">
        <v>62708</v>
      </c>
      <c r="K34" s="1">
        <v>752496</v>
      </c>
    </row>
    <row r="35" spans="1:11" x14ac:dyDescent="0.25">
      <c r="A35" s="3">
        <v>34</v>
      </c>
      <c r="B35" s="4" t="s">
        <v>40</v>
      </c>
      <c r="C35" s="4" t="s">
        <v>396</v>
      </c>
      <c r="D35" s="4" t="s">
        <v>826</v>
      </c>
      <c r="E35">
        <f>MONTH(Employee_Data[[#This Row],[HireDate]])</f>
        <v>3</v>
      </c>
      <c r="F35">
        <f>YEAR(Employee_Data[[#This Row],[HireDate]])</f>
        <v>2023</v>
      </c>
      <c r="G35" s="5">
        <v>45002</v>
      </c>
      <c r="H35">
        <v>5</v>
      </c>
      <c r="I35">
        <v>4</v>
      </c>
      <c r="J35" s="1">
        <v>95725</v>
      </c>
      <c r="K35" s="1">
        <v>1148700</v>
      </c>
    </row>
    <row r="36" spans="1:11" x14ac:dyDescent="0.25">
      <c r="A36" s="3">
        <v>35</v>
      </c>
      <c r="B36" s="4" t="s">
        <v>41</v>
      </c>
      <c r="C36" s="4" t="s">
        <v>397</v>
      </c>
      <c r="D36" s="4" t="s">
        <v>826</v>
      </c>
      <c r="E36">
        <f>MONTH(Employee_Data[[#This Row],[HireDate]])</f>
        <v>9</v>
      </c>
      <c r="F36">
        <f>YEAR(Employee_Data[[#This Row],[HireDate]])</f>
        <v>2022</v>
      </c>
      <c r="G36" s="5">
        <v>44807</v>
      </c>
      <c r="H36">
        <v>4</v>
      </c>
      <c r="I36">
        <v>18</v>
      </c>
      <c r="J36" s="1">
        <v>24752</v>
      </c>
      <c r="K36" s="1">
        <v>297024</v>
      </c>
    </row>
    <row r="37" spans="1:11" x14ac:dyDescent="0.25">
      <c r="A37" s="3">
        <v>36</v>
      </c>
      <c r="B37" s="4" t="s">
        <v>33</v>
      </c>
      <c r="C37" s="4" t="s">
        <v>398</v>
      </c>
      <c r="D37" s="4" t="s">
        <v>829</v>
      </c>
      <c r="E37">
        <f>MONTH(Employee_Data[[#This Row],[HireDate]])</f>
        <v>1</v>
      </c>
      <c r="F37">
        <f>YEAR(Employee_Data[[#This Row],[HireDate]])</f>
        <v>2021</v>
      </c>
      <c r="G37" s="5">
        <v>44219</v>
      </c>
      <c r="H37">
        <v>3</v>
      </c>
      <c r="I37">
        <v>31</v>
      </c>
      <c r="J37" s="1">
        <v>56799</v>
      </c>
      <c r="K37" s="1">
        <v>681588</v>
      </c>
    </row>
    <row r="38" spans="1:11" x14ac:dyDescent="0.25">
      <c r="A38" s="3">
        <v>37</v>
      </c>
      <c r="B38" s="4" t="s">
        <v>42</v>
      </c>
      <c r="C38" s="4" t="s">
        <v>281</v>
      </c>
      <c r="D38" s="4" t="s">
        <v>829</v>
      </c>
      <c r="E38">
        <f>MONTH(Employee_Data[[#This Row],[HireDate]])</f>
        <v>5</v>
      </c>
      <c r="F38">
        <f>YEAR(Employee_Data[[#This Row],[HireDate]])</f>
        <v>2020</v>
      </c>
      <c r="G38" s="5">
        <v>43962</v>
      </c>
      <c r="H38">
        <v>3</v>
      </c>
      <c r="I38">
        <v>34</v>
      </c>
      <c r="J38" s="1">
        <v>59541</v>
      </c>
      <c r="K38" s="1">
        <v>714492</v>
      </c>
    </row>
    <row r="39" spans="1:11" x14ac:dyDescent="0.25">
      <c r="A39" s="3">
        <v>38</v>
      </c>
      <c r="B39" s="4" t="s">
        <v>43</v>
      </c>
      <c r="C39" s="4" t="s">
        <v>399</v>
      </c>
      <c r="D39" s="4" t="s">
        <v>826</v>
      </c>
      <c r="E39">
        <f>MONTH(Employee_Data[[#This Row],[HireDate]])</f>
        <v>8</v>
      </c>
      <c r="F39">
        <f>YEAR(Employee_Data[[#This Row],[HireDate]])</f>
        <v>2024</v>
      </c>
      <c r="G39" s="5">
        <v>45522</v>
      </c>
      <c r="H39">
        <v>5</v>
      </c>
      <c r="I39">
        <v>18</v>
      </c>
      <c r="J39" s="1">
        <v>99277</v>
      </c>
      <c r="K39" s="1">
        <v>1191324</v>
      </c>
    </row>
    <row r="40" spans="1:11" x14ac:dyDescent="0.25">
      <c r="A40" s="3">
        <v>39</v>
      </c>
      <c r="B40" s="4" t="s">
        <v>44</v>
      </c>
      <c r="C40" s="4" t="s">
        <v>400</v>
      </c>
      <c r="D40" s="4" t="s">
        <v>829</v>
      </c>
      <c r="E40">
        <f>MONTH(Employee_Data[[#This Row],[HireDate]])</f>
        <v>6</v>
      </c>
      <c r="F40">
        <f>YEAR(Employee_Data[[#This Row],[HireDate]])</f>
        <v>2024</v>
      </c>
      <c r="G40" s="5">
        <v>45457</v>
      </c>
      <c r="H40">
        <v>4</v>
      </c>
      <c r="I40">
        <v>12</v>
      </c>
      <c r="J40" s="1">
        <v>43331</v>
      </c>
      <c r="K40" s="1">
        <v>519972</v>
      </c>
    </row>
    <row r="41" spans="1:11" x14ac:dyDescent="0.25">
      <c r="A41" s="3">
        <v>40</v>
      </c>
      <c r="B41" s="4" t="s">
        <v>18</v>
      </c>
      <c r="C41" s="4" t="s">
        <v>401</v>
      </c>
      <c r="D41" s="4" t="s">
        <v>828</v>
      </c>
      <c r="E41">
        <f>MONTH(Employee_Data[[#This Row],[HireDate]])</f>
        <v>12</v>
      </c>
      <c r="F41">
        <f>YEAR(Employee_Data[[#This Row],[HireDate]])</f>
        <v>2021</v>
      </c>
      <c r="G41" s="5">
        <v>44540</v>
      </c>
      <c r="H41">
        <v>3</v>
      </c>
      <c r="I41">
        <v>22</v>
      </c>
      <c r="J41" s="1">
        <v>49743</v>
      </c>
      <c r="K41" s="1">
        <v>596916</v>
      </c>
    </row>
    <row r="42" spans="1:11" x14ac:dyDescent="0.25">
      <c r="A42" s="3">
        <v>41</v>
      </c>
      <c r="B42" s="4" t="s">
        <v>45</v>
      </c>
      <c r="C42" s="4" t="s">
        <v>402</v>
      </c>
      <c r="D42" s="4" t="s">
        <v>829</v>
      </c>
      <c r="E42">
        <f>MONTH(Employee_Data[[#This Row],[HireDate]])</f>
        <v>9</v>
      </c>
      <c r="F42">
        <f>YEAR(Employee_Data[[#This Row],[HireDate]])</f>
        <v>2021</v>
      </c>
      <c r="G42" s="5">
        <v>44453</v>
      </c>
      <c r="H42">
        <v>4</v>
      </c>
      <c r="I42">
        <v>42</v>
      </c>
      <c r="J42" s="1">
        <v>108283</v>
      </c>
      <c r="K42" s="1">
        <v>1299396</v>
      </c>
    </row>
    <row r="43" spans="1:11" x14ac:dyDescent="0.25">
      <c r="A43" s="3">
        <v>42</v>
      </c>
      <c r="B43" s="4" t="s">
        <v>46</v>
      </c>
      <c r="C43" s="4" t="s">
        <v>403</v>
      </c>
      <c r="D43" s="4" t="s">
        <v>829</v>
      </c>
      <c r="E43">
        <f>MONTH(Employee_Data[[#This Row],[HireDate]])</f>
        <v>12</v>
      </c>
      <c r="F43">
        <f>YEAR(Employee_Data[[#This Row],[HireDate]])</f>
        <v>2019</v>
      </c>
      <c r="G43" s="5">
        <v>43818</v>
      </c>
      <c r="H43">
        <v>4</v>
      </c>
      <c r="I43">
        <v>2</v>
      </c>
      <c r="J43" s="1">
        <v>32295</v>
      </c>
      <c r="K43" s="1">
        <v>387540</v>
      </c>
    </row>
    <row r="44" spans="1:11" x14ac:dyDescent="0.25">
      <c r="A44" s="3">
        <v>43</v>
      </c>
      <c r="B44" s="4" t="s">
        <v>47</v>
      </c>
      <c r="C44" s="4" t="s">
        <v>404</v>
      </c>
      <c r="D44" s="4" t="s">
        <v>830</v>
      </c>
      <c r="E44">
        <f>MONTH(Employee_Data[[#This Row],[HireDate]])</f>
        <v>9</v>
      </c>
      <c r="F44">
        <f>YEAR(Employee_Data[[#This Row],[HireDate]])</f>
        <v>2024</v>
      </c>
      <c r="G44" s="5">
        <v>45552</v>
      </c>
      <c r="H44">
        <v>1</v>
      </c>
      <c r="I44">
        <v>40</v>
      </c>
      <c r="J44" s="1">
        <v>107956</v>
      </c>
      <c r="K44" s="1">
        <v>1295472</v>
      </c>
    </row>
    <row r="45" spans="1:11" x14ac:dyDescent="0.25">
      <c r="A45" s="3">
        <v>44</v>
      </c>
      <c r="B45" s="4" t="s">
        <v>48</v>
      </c>
      <c r="C45" s="4" t="s">
        <v>405</v>
      </c>
      <c r="D45" s="4" t="s">
        <v>829</v>
      </c>
      <c r="E45">
        <f>MONTH(Employee_Data[[#This Row],[HireDate]])</f>
        <v>12</v>
      </c>
      <c r="F45">
        <f>YEAR(Employee_Data[[#This Row],[HireDate]])</f>
        <v>2016</v>
      </c>
      <c r="G45" s="5">
        <v>42723</v>
      </c>
      <c r="H45">
        <v>5</v>
      </c>
      <c r="I45">
        <v>2</v>
      </c>
      <c r="J45" s="1">
        <v>89673</v>
      </c>
      <c r="K45" s="1">
        <v>1076076</v>
      </c>
    </row>
    <row r="46" spans="1:11" x14ac:dyDescent="0.25">
      <c r="A46" s="3">
        <v>45</v>
      </c>
      <c r="B46" s="4" t="s">
        <v>49</v>
      </c>
      <c r="C46" s="4" t="s">
        <v>382</v>
      </c>
      <c r="D46" s="4" t="s">
        <v>830</v>
      </c>
      <c r="E46">
        <f>MONTH(Employee_Data[[#This Row],[HireDate]])</f>
        <v>9</v>
      </c>
      <c r="F46">
        <f>YEAR(Employee_Data[[#This Row],[HireDate]])</f>
        <v>2017</v>
      </c>
      <c r="G46" s="5">
        <v>42989</v>
      </c>
      <c r="H46">
        <v>1</v>
      </c>
      <c r="I46">
        <v>14</v>
      </c>
      <c r="J46" s="1">
        <v>30390</v>
      </c>
      <c r="K46" s="1">
        <v>364680</v>
      </c>
    </row>
    <row r="47" spans="1:11" x14ac:dyDescent="0.25">
      <c r="A47" s="3">
        <v>46</v>
      </c>
      <c r="B47" s="4" t="s">
        <v>50</v>
      </c>
      <c r="C47" s="4" t="s">
        <v>406</v>
      </c>
      <c r="D47" s="4" t="s">
        <v>829</v>
      </c>
      <c r="E47">
        <f>MONTH(Employee_Data[[#This Row],[HireDate]])</f>
        <v>9</v>
      </c>
      <c r="F47">
        <f>YEAR(Employee_Data[[#This Row],[HireDate]])</f>
        <v>2024</v>
      </c>
      <c r="G47" s="5">
        <v>45562</v>
      </c>
      <c r="H47">
        <v>3</v>
      </c>
      <c r="I47">
        <v>48</v>
      </c>
      <c r="J47" s="1">
        <v>87634</v>
      </c>
      <c r="K47" s="1">
        <v>1051608</v>
      </c>
    </row>
    <row r="48" spans="1:11" x14ac:dyDescent="0.25">
      <c r="A48" s="3">
        <v>47</v>
      </c>
      <c r="B48" s="4" t="s">
        <v>51</v>
      </c>
      <c r="C48" s="4" t="s">
        <v>407</v>
      </c>
      <c r="D48" s="4" t="s">
        <v>829</v>
      </c>
      <c r="E48">
        <f>MONTH(Employee_Data[[#This Row],[HireDate]])</f>
        <v>12</v>
      </c>
      <c r="F48">
        <f>YEAR(Employee_Data[[#This Row],[HireDate]])</f>
        <v>2019</v>
      </c>
      <c r="G48" s="5">
        <v>43827</v>
      </c>
      <c r="H48">
        <v>5</v>
      </c>
      <c r="I48">
        <v>2</v>
      </c>
      <c r="J48" s="1">
        <v>109597</v>
      </c>
      <c r="K48" s="1">
        <v>1315164</v>
      </c>
    </row>
    <row r="49" spans="1:11" x14ac:dyDescent="0.25">
      <c r="A49" s="3">
        <v>48</v>
      </c>
      <c r="B49" s="4" t="s">
        <v>52</v>
      </c>
      <c r="C49" s="4" t="s">
        <v>408</v>
      </c>
      <c r="D49" s="4" t="s">
        <v>829</v>
      </c>
      <c r="E49">
        <f>MONTH(Employee_Data[[#This Row],[HireDate]])</f>
        <v>7</v>
      </c>
      <c r="F49">
        <f>YEAR(Employee_Data[[#This Row],[HireDate]])</f>
        <v>2023</v>
      </c>
      <c r="G49" s="5">
        <v>45114</v>
      </c>
      <c r="H49">
        <v>1</v>
      </c>
      <c r="I49">
        <v>32</v>
      </c>
      <c r="J49" s="1">
        <v>85013</v>
      </c>
      <c r="K49" s="1">
        <v>1020156</v>
      </c>
    </row>
    <row r="50" spans="1:11" x14ac:dyDescent="0.25">
      <c r="A50" s="3">
        <v>49</v>
      </c>
      <c r="B50" s="4" t="s">
        <v>53</v>
      </c>
      <c r="C50" s="4" t="s">
        <v>409</v>
      </c>
      <c r="D50" s="4" t="s">
        <v>827</v>
      </c>
      <c r="E50">
        <f>MONTH(Employee_Data[[#This Row],[HireDate]])</f>
        <v>10</v>
      </c>
      <c r="F50">
        <f>YEAR(Employee_Data[[#This Row],[HireDate]])</f>
        <v>2021</v>
      </c>
      <c r="G50" s="5">
        <v>44494</v>
      </c>
      <c r="H50">
        <v>2</v>
      </c>
      <c r="I50">
        <v>44</v>
      </c>
      <c r="J50" s="1">
        <v>61603</v>
      </c>
      <c r="K50" s="1">
        <v>739236</v>
      </c>
    </row>
    <row r="51" spans="1:11" x14ac:dyDescent="0.25">
      <c r="A51" s="3">
        <v>50</v>
      </c>
      <c r="B51" s="4" t="s">
        <v>54</v>
      </c>
      <c r="C51" s="4" t="s">
        <v>395</v>
      </c>
      <c r="D51" s="4" t="s">
        <v>827</v>
      </c>
      <c r="E51">
        <f>MONTH(Employee_Data[[#This Row],[HireDate]])</f>
        <v>8</v>
      </c>
      <c r="F51">
        <f>YEAR(Employee_Data[[#This Row],[HireDate]])</f>
        <v>2018</v>
      </c>
      <c r="G51" s="5">
        <v>43323</v>
      </c>
      <c r="H51">
        <v>4</v>
      </c>
      <c r="I51">
        <v>15</v>
      </c>
      <c r="J51" s="1">
        <v>76250</v>
      </c>
      <c r="K51" s="1">
        <v>915000</v>
      </c>
    </row>
    <row r="52" spans="1:11" x14ac:dyDescent="0.25">
      <c r="A52" s="3">
        <v>51</v>
      </c>
      <c r="B52" s="4" t="s">
        <v>35</v>
      </c>
      <c r="C52" s="4" t="s">
        <v>410</v>
      </c>
      <c r="D52" s="4" t="s">
        <v>827</v>
      </c>
      <c r="E52">
        <f>MONTH(Employee_Data[[#This Row],[HireDate]])</f>
        <v>6</v>
      </c>
      <c r="F52">
        <f>YEAR(Employee_Data[[#This Row],[HireDate]])</f>
        <v>2020</v>
      </c>
      <c r="G52" s="5">
        <v>43993</v>
      </c>
      <c r="H52">
        <v>1</v>
      </c>
      <c r="I52">
        <v>7</v>
      </c>
      <c r="J52" s="1">
        <v>116083</v>
      </c>
      <c r="K52" s="1">
        <v>1392996</v>
      </c>
    </row>
    <row r="53" spans="1:11" x14ac:dyDescent="0.25">
      <c r="A53" s="3">
        <v>52</v>
      </c>
      <c r="B53" s="4" t="s">
        <v>27</v>
      </c>
      <c r="C53" s="4" t="s">
        <v>411</v>
      </c>
      <c r="D53" s="4" t="s">
        <v>826</v>
      </c>
      <c r="E53">
        <f>MONTH(Employee_Data[[#This Row],[HireDate]])</f>
        <v>2</v>
      </c>
      <c r="F53">
        <f>YEAR(Employee_Data[[#This Row],[HireDate]])</f>
        <v>2020</v>
      </c>
      <c r="G53" s="5">
        <v>43874</v>
      </c>
      <c r="H53">
        <v>3</v>
      </c>
      <c r="I53">
        <v>21</v>
      </c>
      <c r="J53" s="1">
        <v>76698</v>
      </c>
      <c r="K53" s="1">
        <v>920376</v>
      </c>
    </row>
    <row r="54" spans="1:11" x14ac:dyDescent="0.25">
      <c r="A54" s="3">
        <v>53</v>
      </c>
      <c r="B54" s="4" t="s">
        <v>55</v>
      </c>
      <c r="C54" s="4" t="s">
        <v>365</v>
      </c>
      <c r="D54" s="4" t="s">
        <v>829</v>
      </c>
      <c r="E54">
        <f>MONTH(Employee_Data[[#This Row],[HireDate]])</f>
        <v>11</v>
      </c>
      <c r="F54">
        <f>YEAR(Employee_Data[[#This Row],[HireDate]])</f>
        <v>2022</v>
      </c>
      <c r="G54" s="5">
        <v>44871</v>
      </c>
      <c r="H54">
        <v>3</v>
      </c>
      <c r="I54">
        <v>30</v>
      </c>
      <c r="J54" s="1">
        <v>96506</v>
      </c>
      <c r="K54" s="1">
        <v>1158072</v>
      </c>
    </row>
    <row r="55" spans="1:11" x14ac:dyDescent="0.25">
      <c r="A55" s="3">
        <v>54</v>
      </c>
      <c r="B55" s="4" t="s">
        <v>56</v>
      </c>
      <c r="C55" s="4" t="s">
        <v>412</v>
      </c>
      <c r="D55" s="4" t="s">
        <v>828</v>
      </c>
      <c r="E55">
        <f>MONTH(Employee_Data[[#This Row],[HireDate]])</f>
        <v>11</v>
      </c>
      <c r="F55">
        <f>YEAR(Employee_Data[[#This Row],[HireDate]])</f>
        <v>2015</v>
      </c>
      <c r="G55" s="5">
        <v>42335</v>
      </c>
      <c r="H55">
        <v>2</v>
      </c>
      <c r="I55">
        <v>19</v>
      </c>
      <c r="J55" s="1">
        <v>69929</v>
      </c>
      <c r="K55" s="1">
        <v>839148</v>
      </c>
    </row>
    <row r="56" spans="1:11" x14ac:dyDescent="0.25">
      <c r="A56" s="3">
        <v>55</v>
      </c>
      <c r="B56" s="4" t="s">
        <v>57</v>
      </c>
      <c r="C56" s="4" t="s">
        <v>413</v>
      </c>
      <c r="D56" s="4" t="s">
        <v>830</v>
      </c>
      <c r="E56">
        <f>MONTH(Employee_Data[[#This Row],[HireDate]])</f>
        <v>9</v>
      </c>
      <c r="F56">
        <f>YEAR(Employee_Data[[#This Row],[HireDate]])</f>
        <v>2023</v>
      </c>
      <c r="G56" s="5">
        <v>45195</v>
      </c>
      <c r="H56">
        <v>4</v>
      </c>
      <c r="I56">
        <v>28</v>
      </c>
      <c r="J56" s="1">
        <v>100208</v>
      </c>
      <c r="K56" s="1">
        <v>1202496</v>
      </c>
    </row>
    <row r="57" spans="1:11" x14ac:dyDescent="0.25">
      <c r="A57" s="3">
        <v>56</v>
      </c>
      <c r="B57" s="4" t="s">
        <v>58</v>
      </c>
      <c r="C57" s="4" t="s">
        <v>414</v>
      </c>
      <c r="D57" s="4" t="s">
        <v>826</v>
      </c>
      <c r="E57">
        <f>MONTH(Employee_Data[[#This Row],[HireDate]])</f>
        <v>11</v>
      </c>
      <c r="F57">
        <f>YEAR(Employee_Data[[#This Row],[HireDate]])</f>
        <v>2023</v>
      </c>
      <c r="G57" s="5">
        <v>45253</v>
      </c>
      <c r="H57">
        <v>5</v>
      </c>
      <c r="I57">
        <v>25</v>
      </c>
      <c r="J57" s="1">
        <v>38354</v>
      </c>
      <c r="K57" s="1">
        <v>460248</v>
      </c>
    </row>
    <row r="58" spans="1:11" x14ac:dyDescent="0.25">
      <c r="A58" s="3">
        <v>57</v>
      </c>
      <c r="B58" s="4" t="s">
        <v>18</v>
      </c>
      <c r="C58" s="4" t="s">
        <v>415</v>
      </c>
      <c r="D58" s="4" t="s">
        <v>828</v>
      </c>
      <c r="E58">
        <f>MONTH(Employee_Data[[#This Row],[HireDate]])</f>
        <v>6</v>
      </c>
      <c r="F58">
        <f>YEAR(Employee_Data[[#This Row],[HireDate]])</f>
        <v>2017</v>
      </c>
      <c r="G58" s="5">
        <v>42889</v>
      </c>
      <c r="H58">
        <v>1</v>
      </c>
      <c r="I58">
        <v>10</v>
      </c>
      <c r="J58" s="1">
        <v>112656</v>
      </c>
      <c r="K58" s="1">
        <v>1351872</v>
      </c>
    </row>
    <row r="59" spans="1:11" x14ac:dyDescent="0.25">
      <c r="A59" s="3">
        <v>58</v>
      </c>
      <c r="B59" s="4" t="s">
        <v>59</v>
      </c>
      <c r="C59" s="4" t="s">
        <v>416</v>
      </c>
      <c r="D59" s="4" t="s">
        <v>827</v>
      </c>
      <c r="E59">
        <f>MONTH(Employee_Data[[#This Row],[HireDate]])</f>
        <v>8</v>
      </c>
      <c r="F59">
        <f>YEAR(Employee_Data[[#This Row],[HireDate]])</f>
        <v>2023</v>
      </c>
      <c r="G59" s="5">
        <v>45161</v>
      </c>
      <c r="H59">
        <v>3</v>
      </c>
      <c r="I59">
        <v>11</v>
      </c>
      <c r="J59" s="1">
        <v>103542</v>
      </c>
      <c r="K59" s="1">
        <v>1242504</v>
      </c>
    </row>
    <row r="60" spans="1:11" x14ac:dyDescent="0.25">
      <c r="A60" s="3">
        <v>59</v>
      </c>
      <c r="B60" s="4" t="s">
        <v>60</v>
      </c>
      <c r="C60" s="4" t="s">
        <v>417</v>
      </c>
      <c r="D60" s="4" t="s">
        <v>828</v>
      </c>
      <c r="E60">
        <f>MONTH(Employee_Data[[#This Row],[HireDate]])</f>
        <v>8</v>
      </c>
      <c r="F60">
        <f>YEAR(Employee_Data[[#This Row],[HireDate]])</f>
        <v>2024</v>
      </c>
      <c r="G60" s="5">
        <v>45517</v>
      </c>
      <c r="H60">
        <v>3</v>
      </c>
      <c r="I60">
        <v>47</v>
      </c>
      <c r="J60" s="1">
        <v>118953</v>
      </c>
      <c r="K60" s="1">
        <v>1427436</v>
      </c>
    </row>
    <row r="61" spans="1:11" x14ac:dyDescent="0.25">
      <c r="A61" s="3">
        <v>60</v>
      </c>
      <c r="B61" s="4" t="s">
        <v>61</v>
      </c>
      <c r="C61" s="4" t="s">
        <v>418</v>
      </c>
      <c r="D61" s="4" t="s">
        <v>826</v>
      </c>
      <c r="E61">
        <f>MONTH(Employee_Data[[#This Row],[HireDate]])</f>
        <v>6</v>
      </c>
      <c r="F61">
        <f>YEAR(Employee_Data[[#This Row],[HireDate]])</f>
        <v>2021</v>
      </c>
      <c r="G61" s="5">
        <v>44360</v>
      </c>
      <c r="H61">
        <v>1</v>
      </c>
      <c r="I61">
        <v>4</v>
      </c>
      <c r="J61" s="1">
        <v>52254</v>
      </c>
      <c r="K61" s="1">
        <v>627048</v>
      </c>
    </row>
    <row r="62" spans="1:11" x14ac:dyDescent="0.25">
      <c r="A62" s="3">
        <v>61</v>
      </c>
      <c r="B62" s="4" t="s">
        <v>36</v>
      </c>
      <c r="C62" s="4" t="s">
        <v>419</v>
      </c>
      <c r="D62" s="4" t="s">
        <v>830</v>
      </c>
      <c r="E62">
        <f>MONTH(Employee_Data[[#This Row],[HireDate]])</f>
        <v>6</v>
      </c>
      <c r="F62">
        <f>YEAR(Employee_Data[[#This Row],[HireDate]])</f>
        <v>2017</v>
      </c>
      <c r="G62" s="5">
        <v>42894</v>
      </c>
      <c r="H62">
        <v>4</v>
      </c>
      <c r="I62">
        <v>34</v>
      </c>
      <c r="J62" s="1">
        <v>51501</v>
      </c>
      <c r="K62" s="1">
        <v>618012</v>
      </c>
    </row>
    <row r="63" spans="1:11" x14ac:dyDescent="0.25">
      <c r="A63" s="3">
        <v>62</v>
      </c>
      <c r="B63" s="4" t="s">
        <v>62</v>
      </c>
      <c r="C63" s="4" t="s">
        <v>420</v>
      </c>
      <c r="D63" s="4" t="s">
        <v>829</v>
      </c>
      <c r="E63">
        <f>MONTH(Employee_Data[[#This Row],[HireDate]])</f>
        <v>4</v>
      </c>
      <c r="F63">
        <f>YEAR(Employee_Data[[#This Row],[HireDate]])</f>
        <v>2018</v>
      </c>
      <c r="G63" s="5">
        <v>43196</v>
      </c>
      <c r="H63">
        <v>5</v>
      </c>
      <c r="I63">
        <v>24</v>
      </c>
      <c r="J63" s="1">
        <v>98222</v>
      </c>
      <c r="K63" s="1">
        <v>1178664</v>
      </c>
    </row>
    <row r="64" spans="1:11" x14ac:dyDescent="0.25">
      <c r="A64" s="3">
        <v>63</v>
      </c>
      <c r="B64" s="4" t="s">
        <v>63</v>
      </c>
      <c r="C64" s="4" t="s">
        <v>421</v>
      </c>
      <c r="D64" s="4" t="s">
        <v>830</v>
      </c>
      <c r="E64">
        <f>MONTH(Employee_Data[[#This Row],[HireDate]])</f>
        <v>8</v>
      </c>
      <c r="F64">
        <f>YEAR(Employee_Data[[#This Row],[HireDate]])</f>
        <v>2016</v>
      </c>
      <c r="G64" s="5">
        <v>42595</v>
      </c>
      <c r="H64">
        <v>2</v>
      </c>
      <c r="I64">
        <v>48</v>
      </c>
      <c r="J64" s="1">
        <v>87310</v>
      </c>
      <c r="K64" s="1">
        <v>1047720</v>
      </c>
    </row>
    <row r="65" spans="1:11" x14ac:dyDescent="0.25">
      <c r="A65" s="3">
        <v>64</v>
      </c>
      <c r="B65" s="4" t="s">
        <v>64</v>
      </c>
      <c r="C65" s="4" t="s">
        <v>393</v>
      </c>
      <c r="D65" s="4" t="s">
        <v>827</v>
      </c>
      <c r="E65">
        <f>MONTH(Employee_Data[[#This Row],[HireDate]])</f>
        <v>8</v>
      </c>
      <c r="F65">
        <f>YEAR(Employee_Data[[#This Row],[HireDate]])</f>
        <v>2016</v>
      </c>
      <c r="G65" s="5">
        <v>42608</v>
      </c>
      <c r="H65">
        <v>4</v>
      </c>
      <c r="I65">
        <v>28</v>
      </c>
      <c r="J65" s="1">
        <v>81536</v>
      </c>
      <c r="K65" s="1">
        <v>978432</v>
      </c>
    </row>
    <row r="66" spans="1:11" x14ac:dyDescent="0.25">
      <c r="A66" s="3">
        <v>65</v>
      </c>
      <c r="B66" s="4" t="s">
        <v>65</v>
      </c>
      <c r="C66" s="4" t="s">
        <v>422</v>
      </c>
      <c r="D66" s="4" t="s">
        <v>827</v>
      </c>
      <c r="E66">
        <f>MONTH(Employee_Data[[#This Row],[HireDate]])</f>
        <v>7</v>
      </c>
      <c r="F66">
        <f>YEAR(Employee_Data[[#This Row],[HireDate]])</f>
        <v>2024</v>
      </c>
      <c r="G66" s="5">
        <v>45482</v>
      </c>
      <c r="H66">
        <v>5</v>
      </c>
      <c r="I66">
        <v>10</v>
      </c>
      <c r="J66" s="1">
        <v>53482</v>
      </c>
      <c r="K66" s="1">
        <v>641784</v>
      </c>
    </row>
    <row r="67" spans="1:11" x14ac:dyDescent="0.25">
      <c r="A67" s="3">
        <v>66</v>
      </c>
      <c r="B67" s="4" t="s">
        <v>66</v>
      </c>
      <c r="C67" s="4" t="s">
        <v>423</v>
      </c>
      <c r="D67" s="4" t="s">
        <v>827</v>
      </c>
      <c r="E67">
        <f>MONTH(Employee_Data[[#This Row],[HireDate]])</f>
        <v>5</v>
      </c>
      <c r="F67">
        <f>YEAR(Employee_Data[[#This Row],[HireDate]])</f>
        <v>2019</v>
      </c>
      <c r="G67" s="5">
        <v>43616</v>
      </c>
      <c r="H67">
        <v>5</v>
      </c>
      <c r="I67">
        <v>36</v>
      </c>
      <c r="J67" s="1">
        <v>46722</v>
      </c>
      <c r="K67" s="1">
        <v>560664</v>
      </c>
    </row>
    <row r="68" spans="1:11" x14ac:dyDescent="0.25">
      <c r="A68" s="3">
        <v>67</v>
      </c>
      <c r="B68" s="4" t="s">
        <v>67</v>
      </c>
      <c r="C68" s="4" t="s">
        <v>424</v>
      </c>
      <c r="D68" s="4" t="s">
        <v>827</v>
      </c>
      <c r="E68">
        <f>MONTH(Employee_Data[[#This Row],[HireDate]])</f>
        <v>1</v>
      </c>
      <c r="F68">
        <f>YEAR(Employee_Data[[#This Row],[HireDate]])</f>
        <v>2023</v>
      </c>
      <c r="G68" s="5">
        <v>44949</v>
      </c>
      <c r="H68">
        <v>2</v>
      </c>
      <c r="I68">
        <v>44</v>
      </c>
      <c r="J68" s="1">
        <v>68367</v>
      </c>
      <c r="K68" s="1">
        <v>820404</v>
      </c>
    </row>
    <row r="69" spans="1:11" x14ac:dyDescent="0.25">
      <c r="A69" s="3">
        <v>68</v>
      </c>
      <c r="B69" s="4" t="s">
        <v>68</v>
      </c>
      <c r="C69" s="4" t="s">
        <v>425</v>
      </c>
      <c r="D69" s="4" t="s">
        <v>826</v>
      </c>
      <c r="E69">
        <f>MONTH(Employee_Data[[#This Row],[HireDate]])</f>
        <v>1</v>
      </c>
      <c r="F69">
        <f>YEAR(Employee_Data[[#This Row],[HireDate]])</f>
        <v>2017</v>
      </c>
      <c r="G69" s="5">
        <v>42743</v>
      </c>
      <c r="H69">
        <v>4</v>
      </c>
      <c r="I69">
        <v>7</v>
      </c>
      <c r="J69" s="1">
        <v>59368</v>
      </c>
      <c r="K69" s="1">
        <v>712416</v>
      </c>
    </row>
    <row r="70" spans="1:11" x14ac:dyDescent="0.25">
      <c r="A70" s="3">
        <v>69</v>
      </c>
      <c r="B70" s="4" t="s">
        <v>69</v>
      </c>
      <c r="C70" s="4" t="s">
        <v>426</v>
      </c>
      <c r="D70" s="4" t="s">
        <v>826</v>
      </c>
      <c r="E70">
        <f>MONTH(Employee_Data[[#This Row],[HireDate]])</f>
        <v>10</v>
      </c>
      <c r="F70">
        <f>YEAR(Employee_Data[[#This Row],[HireDate]])</f>
        <v>2018</v>
      </c>
      <c r="G70" s="5">
        <v>43378</v>
      </c>
      <c r="H70">
        <v>2</v>
      </c>
      <c r="I70">
        <v>42</v>
      </c>
      <c r="J70" s="1">
        <v>75697</v>
      </c>
      <c r="K70" s="1">
        <v>908364</v>
      </c>
    </row>
    <row r="71" spans="1:11" x14ac:dyDescent="0.25">
      <c r="A71" s="3">
        <v>70</v>
      </c>
      <c r="B71" s="4" t="s">
        <v>70</v>
      </c>
      <c r="C71" s="4" t="s">
        <v>427</v>
      </c>
      <c r="D71" s="4" t="s">
        <v>826</v>
      </c>
      <c r="E71">
        <f>MONTH(Employee_Data[[#This Row],[HireDate]])</f>
        <v>6</v>
      </c>
      <c r="F71">
        <f>YEAR(Employee_Data[[#This Row],[HireDate]])</f>
        <v>2016</v>
      </c>
      <c r="G71" s="5">
        <v>42540</v>
      </c>
      <c r="H71">
        <v>1</v>
      </c>
      <c r="I71">
        <v>48</v>
      </c>
      <c r="J71" s="1">
        <v>44404</v>
      </c>
      <c r="K71" s="1">
        <v>532848</v>
      </c>
    </row>
    <row r="72" spans="1:11" x14ac:dyDescent="0.25">
      <c r="A72" s="3">
        <v>71</v>
      </c>
      <c r="B72" s="4" t="s">
        <v>71</v>
      </c>
      <c r="C72" s="4" t="s">
        <v>428</v>
      </c>
      <c r="D72" s="4" t="s">
        <v>827</v>
      </c>
      <c r="E72">
        <f>MONTH(Employee_Data[[#This Row],[HireDate]])</f>
        <v>6</v>
      </c>
      <c r="F72">
        <f>YEAR(Employee_Data[[#This Row],[HireDate]])</f>
        <v>2019</v>
      </c>
      <c r="G72" s="5">
        <v>43635</v>
      </c>
      <c r="H72">
        <v>3</v>
      </c>
      <c r="I72">
        <v>13</v>
      </c>
      <c r="J72" s="1">
        <v>77700</v>
      </c>
      <c r="K72" s="1">
        <v>932400</v>
      </c>
    </row>
    <row r="73" spans="1:11" x14ac:dyDescent="0.25">
      <c r="A73" s="3">
        <v>72</v>
      </c>
      <c r="B73" s="4" t="s">
        <v>72</v>
      </c>
      <c r="C73" s="4" t="s">
        <v>429</v>
      </c>
      <c r="D73" s="4" t="s">
        <v>826</v>
      </c>
      <c r="E73">
        <f>MONTH(Employee_Data[[#This Row],[HireDate]])</f>
        <v>11</v>
      </c>
      <c r="F73">
        <f>YEAR(Employee_Data[[#This Row],[HireDate]])</f>
        <v>2018</v>
      </c>
      <c r="G73" s="5">
        <v>43427</v>
      </c>
      <c r="H73">
        <v>3</v>
      </c>
      <c r="I73">
        <v>5</v>
      </c>
      <c r="J73" s="1">
        <v>103369</v>
      </c>
      <c r="K73" s="1">
        <v>1240428</v>
      </c>
    </row>
    <row r="74" spans="1:11" x14ac:dyDescent="0.25">
      <c r="A74" s="3">
        <v>73</v>
      </c>
      <c r="B74" s="4" t="s">
        <v>73</v>
      </c>
      <c r="C74" s="4" t="s">
        <v>382</v>
      </c>
      <c r="D74" s="4" t="s">
        <v>827</v>
      </c>
      <c r="E74">
        <f>MONTH(Employee_Data[[#This Row],[HireDate]])</f>
        <v>5</v>
      </c>
      <c r="F74">
        <f>YEAR(Employee_Data[[#This Row],[HireDate]])</f>
        <v>2022</v>
      </c>
      <c r="G74" s="5">
        <v>44692</v>
      </c>
      <c r="H74">
        <v>3</v>
      </c>
      <c r="I74">
        <v>27</v>
      </c>
      <c r="J74" s="1">
        <v>80099</v>
      </c>
      <c r="K74" s="1">
        <v>961188</v>
      </c>
    </row>
    <row r="75" spans="1:11" x14ac:dyDescent="0.25">
      <c r="A75" s="3">
        <v>74</v>
      </c>
      <c r="B75" s="4" t="s">
        <v>55</v>
      </c>
      <c r="C75" s="4" t="s">
        <v>400</v>
      </c>
      <c r="D75" s="4" t="s">
        <v>826</v>
      </c>
      <c r="E75">
        <f>MONTH(Employee_Data[[#This Row],[HireDate]])</f>
        <v>2</v>
      </c>
      <c r="F75">
        <f>YEAR(Employee_Data[[#This Row],[HireDate]])</f>
        <v>2017</v>
      </c>
      <c r="G75" s="5">
        <v>42781</v>
      </c>
      <c r="H75">
        <v>2</v>
      </c>
      <c r="I75">
        <v>40</v>
      </c>
      <c r="J75" s="1">
        <v>84520</v>
      </c>
      <c r="K75" s="1">
        <v>1014240</v>
      </c>
    </row>
    <row r="76" spans="1:11" x14ac:dyDescent="0.25">
      <c r="A76" s="3">
        <v>75</v>
      </c>
      <c r="B76" s="4" t="s">
        <v>74</v>
      </c>
      <c r="C76" s="4" t="s">
        <v>430</v>
      </c>
      <c r="D76" s="4" t="s">
        <v>828</v>
      </c>
      <c r="E76">
        <f>MONTH(Employee_Data[[#This Row],[HireDate]])</f>
        <v>4</v>
      </c>
      <c r="F76">
        <f>YEAR(Employee_Data[[#This Row],[HireDate]])</f>
        <v>2016</v>
      </c>
      <c r="G76" s="5">
        <v>42482</v>
      </c>
      <c r="H76">
        <v>3</v>
      </c>
      <c r="I76">
        <v>21</v>
      </c>
      <c r="J76" s="1">
        <v>32985</v>
      </c>
      <c r="K76" s="1">
        <v>395820</v>
      </c>
    </row>
    <row r="77" spans="1:11" x14ac:dyDescent="0.25">
      <c r="A77" s="3">
        <v>76</v>
      </c>
      <c r="B77" s="4" t="s">
        <v>75</v>
      </c>
      <c r="C77" s="4" t="s">
        <v>382</v>
      </c>
      <c r="D77" s="4" t="s">
        <v>830</v>
      </c>
      <c r="E77">
        <f>MONTH(Employee_Data[[#This Row],[HireDate]])</f>
        <v>10</v>
      </c>
      <c r="F77">
        <f>YEAR(Employee_Data[[#This Row],[HireDate]])</f>
        <v>2024</v>
      </c>
      <c r="G77" s="5">
        <v>45586</v>
      </c>
      <c r="H77">
        <v>2</v>
      </c>
      <c r="I77">
        <v>26</v>
      </c>
      <c r="J77" s="1">
        <v>65545</v>
      </c>
      <c r="K77" s="1">
        <v>786540</v>
      </c>
    </row>
    <row r="78" spans="1:11" x14ac:dyDescent="0.25">
      <c r="A78" s="3">
        <v>77</v>
      </c>
      <c r="B78" s="4" t="s">
        <v>76</v>
      </c>
      <c r="C78" s="4" t="s">
        <v>431</v>
      </c>
      <c r="D78" s="4" t="s">
        <v>826</v>
      </c>
      <c r="E78">
        <f>MONTH(Employee_Data[[#This Row],[HireDate]])</f>
        <v>12</v>
      </c>
      <c r="F78">
        <f>YEAR(Employee_Data[[#This Row],[HireDate]])</f>
        <v>2018</v>
      </c>
      <c r="G78" s="5">
        <v>43450</v>
      </c>
      <c r="H78">
        <v>3</v>
      </c>
      <c r="I78">
        <v>20</v>
      </c>
      <c r="J78" s="1">
        <v>34731</v>
      </c>
      <c r="K78" s="1">
        <v>416772</v>
      </c>
    </row>
    <row r="79" spans="1:11" x14ac:dyDescent="0.25">
      <c r="A79" s="3">
        <v>78</v>
      </c>
      <c r="B79" s="4" t="s">
        <v>77</v>
      </c>
      <c r="C79" s="4" t="s">
        <v>432</v>
      </c>
      <c r="D79" s="4" t="s">
        <v>827</v>
      </c>
      <c r="E79">
        <f>MONTH(Employee_Data[[#This Row],[HireDate]])</f>
        <v>8</v>
      </c>
      <c r="F79">
        <f>YEAR(Employee_Data[[#This Row],[HireDate]])</f>
        <v>2018</v>
      </c>
      <c r="G79" s="5">
        <v>43318</v>
      </c>
      <c r="H79">
        <v>1</v>
      </c>
      <c r="I79">
        <v>49</v>
      </c>
      <c r="J79" s="1">
        <v>88803</v>
      </c>
      <c r="K79" s="1">
        <v>1065636</v>
      </c>
    </row>
    <row r="80" spans="1:11" x14ac:dyDescent="0.25">
      <c r="A80" s="3">
        <v>79</v>
      </c>
      <c r="B80" s="4" t="s">
        <v>78</v>
      </c>
      <c r="C80" s="4" t="s">
        <v>433</v>
      </c>
      <c r="D80" s="4" t="s">
        <v>827</v>
      </c>
      <c r="E80">
        <f>MONTH(Employee_Data[[#This Row],[HireDate]])</f>
        <v>11</v>
      </c>
      <c r="F80">
        <f>YEAR(Employee_Data[[#This Row],[HireDate]])</f>
        <v>2020</v>
      </c>
      <c r="G80" s="5">
        <v>44162</v>
      </c>
      <c r="H80">
        <v>3</v>
      </c>
      <c r="I80">
        <v>44</v>
      </c>
      <c r="J80" s="1">
        <v>24648</v>
      </c>
      <c r="K80" s="1">
        <v>295776</v>
      </c>
    </row>
    <row r="81" spans="1:11" x14ac:dyDescent="0.25">
      <c r="A81" s="3">
        <v>80</v>
      </c>
      <c r="B81" s="4" t="s">
        <v>18</v>
      </c>
      <c r="C81" s="4" t="s">
        <v>407</v>
      </c>
      <c r="D81" s="4" t="s">
        <v>828</v>
      </c>
      <c r="E81">
        <f>MONTH(Employee_Data[[#This Row],[HireDate]])</f>
        <v>6</v>
      </c>
      <c r="F81">
        <f>YEAR(Employee_Data[[#This Row],[HireDate]])</f>
        <v>2017</v>
      </c>
      <c r="G81" s="5">
        <v>42907</v>
      </c>
      <c r="H81">
        <v>3</v>
      </c>
      <c r="I81">
        <v>6</v>
      </c>
      <c r="J81" s="1">
        <v>40257</v>
      </c>
      <c r="K81" s="1">
        <v>483084</v>
      </c>
    </row>
    <row r="82" spans="1:11" x14ac:dyDescent="0.25">
      <c r="A82" s="3">
        <v>81</v>
      </c>
      <c r="B82" s="4" t="s">
        <v>12</v>
      </c>
      <c r="C82" s="4" t="s">
        <v>434</v>
      </c>
      <c r="D82" s="4" t="s">
        <v>829</v>
      </c>
      <c r="E82">
        <f>MONTH(Employee_Data[[#This Row],[HireDate]])</f>
        <v>8</v>
      </c>
      <c r="F82">
        <f>YEAR(Employee_Data[[#This Row],[HireDate]])</f>
        <v>2022</v>
      </c>
      <c r="G82" s="5">
        <v>44787</v>
      </c>
      <c r="H82">
        <v>1</v>
      </c>
      <c r="I82">
        <v>22</v>
      </c>
      <c r="J82" s="1">
        <v>102802</v>
      </c>
      <c r="K82" s="1">
        <v>1233624</v>
      </c>
    </row>
    <row r="83" spans="1:11" x14ac:dyDescent="0.25">
      <c r="A83" s="3">
        <v>82</v>
      </c>
      <c r="B83" s="4" t="s">
        <v>79</v>
      </c>
      <c r="C83" s="4" t="s">
        <v>178</v>
      </c>
      <c r="D83" s="4" t="s">
        <v>829</v>
      </c>
      <c r="E83">
        <f>MONTH(Employee_Data[[#This Row],[HireDate]])</f>
        <v>9</v>
      </c>
      <c r="F83">
        <f>YEAR(Employee_Data[[#This Row],[HireDate]])</f>
        <v>2021</v>
      </c>
      <c r="G83" s="5">
        <v>44452</v>
      </c>
      <c r="H83">
        <v>2</v>
      </c>
      <c r="I83">
        <v>22</v>
      </c>
      <c r="J83" s="1">
        <v>64905</v>
      </c>
      <c r="K83" s="1">
        <v>778860</v>
      </c>
    </row>
    <row r="84" spans="1:11" x14ac:dyDescent="0.25">
      <c r="A84" s="3">
        <v>83</v>
      </c>
      <c r="B84" s="4" t="s">
        <v>80</v>
      </c>
      <c r="C84" s="4" t="s">
        <v>399</v>
      </c>
      <c r="D84" s="4" t="s">
        <v>830</v>
      </c>
      <c r="E84">
        <f>MONTH(Employee_Data[[#This Row],[HireDate]])</f>
        <v>10</v>
      </c>
      <c r="F84">
        <f>YEAR(Employee_Data[[#This Row],[HireDate]])</f>
        <v>2024</v>
      </c>
      <c r="G84" s="5">
        <v>45570</v>
      </c>
      <c r="H84">
        <v>4</v>
      </c>
      <c r="I84">
        <v>24</v>
      </c>
      <c r="J84" s="1">
        <v>88002</v>
      </c>
      <c r="K84" s="1">
        <v>1056024</v>
      </c>
    </row>
    <row r="85" spans="1:11" x14ac:dyDescent="0.25">
      <c r="A85" s="3">
        <v>84</v>
      </c>
      <c r="B85" s="4" t="s">
        <v>81</v>
      </c>
      <c r="C85" s="4" t="s">
        <v>435</v>
      </c>
      <c r="D85" s="4" t="s">
        <v>828</v>
      </c>
      <c r="E85">
        <f>MONTH(Employee_Data[[#This Row],[HireDate]])</f>
        <v>6</v>
      </c>
      <c r="F85">
        <f>YEAR(Employee_Data[[#This Row],[HireDate]])</f>
        <v>2016</v>
      </c>
      <c r="G85" s="5">
        <v>42528</v>
      </c>
      <c r="H85">
        <v>1</v>
      </c>
      <c r="I85">
        <v>48</v>
      </c>
      <c r="J85" s="1">
        <v>69246</v>
      </c>
      <c r="K85" s="1">
        <v>830952</v>
      </c>
    </row>
    <row r="86" spans="1:11" x14ac:dyDescent="0.25">
      <c r="A86" s="3">
        <v>85</v>
      </c>
      <c r="B86" s="4" t="s">
        <v>82</v>
      </c>
      <c r="C86" s="4" t="s">
        <v>386</v>
      </c>
      <c r="D86" s="4" t="s">
        <v>827</v>
      </c>
      <c r="E86">
        <f>MONTH(Employee_Data[[#This Row],[HireDate]])</f>
        <v>8</v>
      </c>
      <c r="F86">
        <f>YEAR(Employee_Data[[#This Row],[HireDate]])</f>
        <v>2024</v>
      </c>
      <c r="G86" s="5">
        <v>45523</v>
      </c>
      <c r="H86">
        <v>1</v>
      </c>
      <c r="I86">
        <v>32</v>
      </c>
      <c r="J86" s="1">
        <v>48483</v>
      </c>
      <c r="K86" s="1">
        <v>581796</v>
      </c>
    </row>
    <row r="87" spans="1:11" x14ac:dyDescent="0.25">
      <c r="A87" s="3">
        <v>86</v>
      </c>
      <c r="B87" s="4" t="s">
        <v>83</v>
      </c>
      <c r="C87" s="4" t="s">
        <v>436</v>
      </c>
      <c r="D87" s="4" t="s">
        <v>828</v>
      </c>
      <c r="E87">
        <f>MONTH(Employee_Data[[#This Row],[HireDate]])</f>
        <v>2</v>
      </c>
      <c r="F87">
        <f>YEAR(Employee_Data[[#This Row],[HireDate]])</f>
        <v>2016</v>
      </c>
      <c r="G87" s="5">
        <v>42422</v>
      </c>
      <c r="H87">
        <v>2</v>
      </c>
      <c r="I87">
        <v>32</v>
      </c>
      <c r="J87" s="1">
        <v>27277</v>
      </c>
      <c r="K87" s="1">
        <v>327324</v>
      </c>
    </row>
    <row r="88" spans="1:11" x14ac:dyDescent="0.25">
      <c r="A88" s="3">
        <v>87</v>
      </c>
      <c r="B88" s="4" t="s">
        <v>84</v>
      </c>
      <c r="C88" s="4" t="s">
        <v>437</v>
      </c>
      <c r="D88" s="4" t="s">
        <v>830</v>
      </c>
      <c r="E88">
        <f>MONTH(Employee_Data[[#This Row],[HireDate]])</f>
        <v>1</v>
      </c>
      <c r="F88">
        <f>YEAR(Employee_Data[[#This Row],[HireDate]])</f>
        <v>2017</v>
      </c>
      <c r="G88" s="5">
        <v>42741</v>
      </c>
      <c r="H88">
        <v>2</v>
      </c>
      <c r="I88">
        <v>9</v>
      </c>
      <c r="J88" s="1">
        <v>69073</v>
      </c>
      <c r="K88" s="1">
        <v>828876</v>
      </c>
    </row>
    <row r="89" spans="1:11" x14ac:dyDescent="0.25">
      <c r="A89" s="3">
        <v>88</v>
      </c>
      <c r="B89" s="4" t="s">
        <v>85</v>
      </c>
      <c r="C89" s="4" t="s">
        <v>438</v>
      </c>
      <c r="D89" s="4" t="s">
        <v>828</v>
      </c>
      <c r="E89">
        <f>MONTH(Employee_Data[[#This Row],[HireDate]])</f>
        <v>12</v>
      </c>
      <c r="F89">
        <f>YEAR(Employee_Data[[#This Row],[HireDate]])</f>
        <v>2017</v>
      </c>
      <c r="G89" s="5">
        <v>43074</v>
      </c>
      <c r="H89">
        <v>3</v>
      </c>
      <c r="I89">
        <v>13</v>
      </c>
      <c r="J89" s="1">
        <v>89024</v>
      </c>
      <c r="K89" s="1">
        <v>1068288</v>
      </c>
    </row>
    <row r="90" spans="1:11" x14ac:dyDescent="0.25">
      <c r="A90" s="3">
        <v>89</v>
      </c>
      <c r="B90" s="4" t="s">
        <v>86</v>
      </c>
      <c r="C90" s="4" t="s">
        <v>439</v>
      </c>
      <c r="D90" s="4" t="s">
        <v>828</v>
      </c>
      <c r="E90">
        <f>MONTH(Employee_Data[[#This Row],[HireDate]])</f>
        <v>3</v>
      </c>
      <c r="F90">
        <f>YEAR(Employee_Data[[#This Row],[HireDate]])</f>
        <v>2020</v>
      </c>
      <c r="G90" s="5">
        <v>43916</v>
      </c>
      <c r="H90">
        <v>2</v>
      </c>
      <c r="I90">
        <v>42</v>
      </c>
      <c r="J90" s="1">
        <v>38956</v>
      </c>
      <c r="K90" s="1">
        <v>467472</v>
      </c>
    </row>
    <row r="91" spans="1:11" x14ac:dyDescent="0.25">
      <c r="A91" s="3">
        <v>90</v>
      </c>
      <c r="B91" s="4" t="s">
        <v>87</v>
      </c>
      <c r="C91" s="4" t="s">
        <v>365</v>
      </c>
      <c r="D91" s="4" t="s">
        <v>830</v>
      </c>
      <c r="E91">
        <f>MONTH(Employee_Data[[#This Row],[HireDate]])</f>
        <v>6</v>
      </c>
      <c r="F91">
        <f>YEAR(Employee_Data[[#This Row],[HireDate]])</f>
        <v>2017</v>
      </c>
      <c r="G91" s="5">
        <v>42895</v>
      </c>
      <c r="H91">
        <v>2</v>
      </c>
      <c r="I91">
        <v>28</v>
      </c>
      <c r="J91" s="1">
        <v>66808</v>
      </c>
      <c r="K91" s="1">
        <v>801696</v>
      </c>
    </row>
    <row r="92" spans="1:11" x14ac:dyDescent="0.25">
      <c r="A92" s="3">
        <v>91</v>
      </c>
      <c r="B92" s="4" t="s">
        <v>47</v>
      </c>
      <c r="C92" s="4" t="s">
        <v>440</v>
      </c>
      <c r="D92" s="4" t="s">
        <v>830</v>
      </c>
      <c r="E92">
        <f>MONTH(Employee_Data[[#This Row],[HireDate]])</f>
        <v>6</v>
      </c>
      <c r="F92">
        <f>YEAR(Employee_Data[[#This Row],[HireDate]])</f>
        <v>2018</v>
      </c>
      <c r="G92" s="5">
        <v>43278</v>
      </c>
      <c r="H92">
        <v>4</v>
      </c>
      <c r="I92">
        <v>6</v>
      </c>
      <c r="J92" s="1">
        <v>34136</v>
      </c>
      <c r="K92" s="1">
        <v>409632</v>
      </c>
    </row>
    <row r="93" spans="1:11" x14ac:dyDescent="0.25">
      <c r="A93" s="3">
        <v>92</v>
      </c>
      <c r="B93" s="4" t="s">
        <v>88</v>
      </c>
      <c r="C93" s="4" t="s">
        <v>441</v>
      </c>
      <c r="D93" s="4" t="s">
        <v>830</v>
      </c>
      <c r="E93">
        <f>MONTH(Employee_Data[[#This Row],[HireDate]])</f>
        <v>4</v>
      </c>
      <c r="F93">
        <f>YEAR(Employee_Data[[#This Row],[HireDate]])</f>
        <v>2016</v>
      </c>
      <c r="G93" s="5">
        <v>42461</v>
      </c>
      <c r="H93">
        <v>2</v>
      </c>
      <c r="I93">
        <v>25</v>
      </c>
      <c r="J93" s="1">
        <v>54701</v>
      </c>
      <c r="K93" s="1">
        <v>656412</v>
      </c>
    </row>
    <row r="94" spans="1:11" x14ac:dyDescent="0.25">
      <c r="A94" s="3">
        <v>93</v>
      </c>
      <c r="B94" s="4" t="s">
        <v>89</v>
      </c>
      <c r="C94" s="4" t="s">
        <v>441</v>
      </c>
      <c r="D94" s="4" t="s">
        <v>826</v>
      </c>
      <c r="E94">
        <f>MONTH(Employee_Data[[#This Row],[HireDate]])</f>
        <v>2</v>
      </c>
      <c r="F94">
        <f>YEAR(Employee_Data[[#This Row],[HireDate]])</f>
        <v>2020</v>
      </c>
      <c r="G94" s="5">
        <v>43878</v>
      </c>
      <c r="H94">
        <v>5</v>
      </c>
      <c r="I94">
        <v>34</v>
      </c>
      <c r="J94" s="1">
        <v>64233</v>
      </c>
      <c r="K94" s="1">
        <v>770796</v>
      </c>
    </row>
    <row r="95" spans="1:11" x14ac:dyDescent="0.25">
      <c r="A95" s="3">
        <v>94</v>
      </c>
      <c r="B95" s="4" t="s">
        <v>61</v>
      </c>
      <c r="C95" s="4" t="s">
        <v>365</v>
      </c>
      <c r="D95" s="4" t="s">
        <v>830</v>
      </c>
      <c r="E95">
        <f>MONTH(Employee_Data[[#This Row],[HireDate]])</f>
        <v>10</v>
      </c>
      <c r="F95">
        <f>YEAR(Employee_Data[[#This Row],[HireDate]])</f>
        <v>2023</v>
      </c>
      <c r="G95" s="5">
        <v>45207</v>
      </c>
      <c r="H95">
        <v>4</v>
      </c>
      <c r="I95">
        <v>24</v>
      </c>
      <c r="J95" s="1">
        <v>95696</v>
      </c>
      <c r="K95" s="1">
        <v>1148352</v>
      </c>
    </row>
    <row r="96" spans="1:11" x14ac:dyDescent="0.25">
      <c r="A96" s="3">
        <v>95</v>
      </c>
      <c r="B96" s="4" t="s">
        <v>90</v>
      </c>
      <c r="C96" s="4" t="s">
        <v>382</v>
      </c>
      <c r="D96" s="4" t="s">
        <v>827</v>
      </c>
      <c r="E96">
        <f>MONTH(Employee_Data[[#This Row],[HireDate]])</f>
        <v>7</v>
      </c>
      <c r="F96">
        <f>YEAR(Employee_Data[[#This Row],[HireDate]])</f>
        <v>2024</v>
      </c>
      <c r="G96" s="5">
        <v>45495</v>
      </c>
      <c r="H96">
        <v>4</v>
      </c>
      <c r="I96">
        <v>22</v>
      </c>
      <c r="J96" s="1">
        <v>96933</v>
      </c>
      <c r="K96" s="1">
        <v>1163196</v>
      </c>
    </row>
    <row r="97" spans="1:11" x14ac:dyDescent="0.25">
      <c r="A97" s="3">
        <v>96</v>
      </c>
      <c r="B97" s="4" t="s">
        <v>91</v>
      </c>
      <c r="C97" s="4" t="s">
        <v>442</v>
      </c>
      <c r="D97" s="4" t="s">
        <v>828</v>
      </c>
      <c r="E97">
        <f>MONTH(Employee_Data[[#This Row],[HireDate]])</f>
        <v>10</v>
      </c>
      <c r="F97">
        <f>YEAR(Employee_Data[[#This Row],[HireDate]])</f>
        <v>2016</v>
      </c>
      <c r="G97" s="5">
        <v>42658</v>
      </c>
      <c r="H97">
        <v>4</v>
      </c>
      <c r="I97">
        <v>46</v>
      </c>
      <c r="J97" s="1">
        <v>115384</v>
      </c>
      <c r="K97" s="1">
        <v>1384608</v>
      </c>
    </row>
    <row r="98" spans="1:11" x14ac:dyDescent="0.25">
      <c r="A98" s="3">
        <v>97</v>
      </c>
      <c r="B98" s="4" t="s">
        <v>92</v>
      </c>
      <c r="C98" s="4" t="s">
        <v>443</v>
      </c>
      <c r="D98" s="4" t="s">
        <v>827</v>
      </c>
      <c r="E98">
        <f>MONTH(Employee_Data[[#This Row],[HireDate]])</f>
        <v>1</v>
      </c>
      <c r="F98">
        <f>YEAR(Employee_Data[[#This Row],[HireDate]])</f>
        <v>2020</v>
      </c>
      <c r="G98" s="5">
        <v>43856</v>
      </c>
      <c r="H98">
        <v>3</v>
      </c>
      <c r="I98">
        <v>6</v>
      </c>
      <c r="J98" s="1">
        <v>99799</v>
      </c>
      <c r="K98" s="1">
        <v>1197588</v>
      </c>
    </row>
    <row r="99" spans="1:11" x14ac:dyDescent="0.25">
      <c r="A99" s="3">
        <v>98</v>
      </c>
      <c r="B99" s="4" t="s">
        <v>93</v>
      </c>
      <c r="C99" s="4" t="s">
        <v>431</v>
      </c>
      <c r="D99" s="4" t="s">
        <v>828</v>
      </c>
      <c r="E99">
        <f>MONTH(Employee_Data[[#This Row],[HireDate]])</f>
        <v>10</v>
      </c>
      <c r="F99">
        <f>YEAR(Employee_Data[[#This Row],[HireDate]])</f>
        <v>2019</v>
      </c>
      <c r="G99" s="5">
        <v>43762</v>
      </c>
      <c r="H99">
        <v>1</v>
      </c>
      <c r="I99">
        <v>36</v>
      </c>
      <c r="J99" s="1">
        <v>108595</v>
      </c>
      <c r="K99" s="1">
        <v>1303140</v>
      </c>
    </row>
    <row r="100" spans="1:11" x14ac:dyDescent="0.25">
      <c r="A100" s="3">
        <v>99</v>
      </c>
      <c r="B100" s="4" t="s">
        <v>94</v>
      </c>
      <c r="C100" s="4" t="s">
        <v>444</v>
      </c>
      <c r="D100" s="4" t="s">
        <v>829</v>
      </c>
      <c r="E100">
        <f>MONTH(Employee_Data[[#This Row],[HireDate]])</f>
        <v>9</v>
      </c>
      <c r="F100">
        <f>YEAR(Employee_Data[[#This Row],[HireDate]])</f>
        <v>2022</v>
      </c>
      <c r="G100" s="5">
        <v>44811</v>
      </c>
      <c r="H100">
        <v>5</v>
      </c>
      <c r="I100">
        <v>16</v>
      </c>
      <c r="J100" s="1">
        <v>77307</v>
      </c>
      <c r="K100" s="1">
        <v>927684</v>
      </c>
    </row>
    <row r="101" spans="1:11" x14ac:dyDescent="0.25">
      <c r="A101" s="3">
        <v>100</v>
      </c>
      <c r="B101" s="4" t="s">
        <v>95</v>
      </c>
      <c r="C101" s="4" t="s">
        <v>445</v>
      </c>
      <c r="D101" s="4" t="s">
        <v>828</v>
      </c>
      <c r="E101">
        <f>MONTH(Employee_Data[[#This Row],[HireDate]])</f>
        <v>3</v>
      </c>
      <c r="F101">
        <f>YEAR(Employee_Data[[#This Row],[HireDate]])</f>
        <v>2022</v>
      </c>
      <c r="G101" s="5">
        <v>44648</v>
      </c>
      <c r="H101">
        <v>1</v>
      </c>
      <c r="I101">
        <v>15</v>
      </c>
      <c r="J101" s="1">
        <v>86039</v>
      </c>
      <c r="K101" s="1">
        <v>1032468</v>
      </c>
    </row>
    <row r="102" spans="1:11" x14ac:dyDescent="0.25">
      <c r="A102" s="3">
        <v>101</v>
      </c>
      <c r="B102" s="4" t="s">
        <v>90</v>
      </c>
      <c r="C102" s="4" t="s">
        <v>446</v>
      </c>
      <c r="D102" s="4" t="s">
        <v>829</v>
      </c>
      <c r="E102">
        <f>MONTH(Employee_Data[[#This Row],[HireDate]])</f>
        <v>4</v>
      </c>
      <c r="F102">
        <f>YEAR(Employee_Data[[#This Row],[HireDate]])</f>
        <v>2022</v>
      </c>
      <c r="G102" s="5">
        <v>44670</v>
      </c>
      <c r="H102">
        <v>4</v>
      </c>
      <c r="I102">
        <v>20</v>
      </c>
      <c r="J102" s="1">
        <v>96373</v>
      </c>
      <c r="K102" s="1">
        <v>1156476</v>
      </c>
    </row>
    <row r="103" spans="1:11" x14ac:dyDescent="0.25">
      <c r="A103" s="3">
        <v>102</v>
      </c>
      <c r="B103" s="4" t="s">
        <v>96</v>
      </c>
      <c r="C103" s="4" t="s">
        <v>422</v>
      </c>
      <c r="D103" s="4" t="s">
        <v>826</v>
      </c>
      <c r="E103">
        <f>MONTH(Employee_Data[[#This Row],[HireDate]])</f>
        <v>5</v>
      </c>
      <c r="F103">
        <f>YEAR(Employee_Data[[#This Row],[HireDate]])</f>
        <v>2018</v>
      </c>
      <c r="G103" s="5">
        <v>43245</v>
      </c>
      <c r="H103">
        <v>1</v>
      </c>
      <c r="I103">
        <v>32</v>
      </c>
      <c r="J103" s="1">
        <v>66533</v>
      </c>
      <c r="K103" s="1">
        <v>798396</v>
      </c>
    </row>
    <row r="104" spans="1:11" x14ac:dyDescent="0.25">
      <c r="A104" s="3">
        <v>103</v>
      </c>
      <c r="B104" s="4" t="s">
        <v>97</v>
      </c>
      <c r="C104" s="4" t="s">
        <v>447</v>
      </c>
      <c r="D104" s="4" t="s">
        <v>826</v>
      </c>
      <c r="E104">
        <f>MONTH(Employee_Data[[#This Row],[HireDate]])</f>
        <v>9</v>
      </c>
      <c r="F104">
        <f>YEAR(Employee_Data[[#This Row],[HireDate]])</f>
        <v>2018</v>
      </c>
      <c r="G104" s="5">
        <v>43357</v>
      </c>
      <c r="H104">
        <v>2</v>
      </c>
      <c r="I104">
        <v>30</v>
      </c>
      <c r="J104" s="1">
        <v>85343</v>
      </c>
      <c r="K104" s="1">
        <v>1024116</v>
      </c>
    </row>
    <row r="105" spans="1:11" x14ac:dyDescent="0.25">
      <c r="A105" s="3">
        <v>104</v>
      </c>
      <c r="B105" s="4" t="s">
        <v>98</v>
      </c>
      <c r="C105" s="4" t="s">
        <v>448</v>
      </c>
      <c r="D105" s="4" t="s">
        <v>829</v>
      </c>
      <c r="E105">
        <f>MONTH(Employee_Data[[#This Row],[HireDate]])</f>
        <v>12</v>
      </c>
      <c r="F105">
        <f>YEAR(Employee_Data[[#This Row],[HireDate]])</f>
        <v>2017</v>
      </c>
      <c r="G105" s="5">
        <v>43086</v>
      </c>
      <c r="H105">
        <v>3</v>
      </c>
      <c r="I105">
        <v>7</v>
      </c>
      <c r="J105" s="1">
        <v>57507</v>
      </c>
      <c r="K105" s="1">
        <v>690084</v>
      </c>
    </row>
    <row r="106" spans="1:11" x14ac:dyDescent="0.25">
      <c r="A106" s="3">
        <v>105</v>
      </c>
      <c r="B106" s="4" t="s">
        <v>99</v>
      </c>
      <c r="C106" s="4" t="s">
        <v>402</v>
      </c>
      <c r="D106" s="4" t="s">
        <v>830</v>
      </c>
      <c r="E106">
        <f>MONTH(Employee_Data[[#This Row],[HireDate]])</f>
        <v>7</v>
      </c>
      <c r="F106">
        <f>YEAR(Employee_Data[[#This Row],[HireDate]])</f>
        <v>2022</v>
      </c>
      <c r="G106" s="5">
        <v>44762</v>
      </c>
      <c r="H106">
        <v>3</v>
      </c>
      <c r="I106">
        <v>40</v>
      </c>
      <c r="J106" s="1">
        <v>93238</v>
      </c>
      <c r="K106" s="1">
        <v>1118856</v>
      </c>
    </row>
    <row r="107" spans="1:11" x14ac:dyDescent="0.25">
      <c r="A107" s="3">
        <v>106</v>
      </c>
      <c r="B107" s="4" t="s">
        <v>100</v>
      </c>
      <c r="C107" s="4" t="s">
        <v>449</v>
      </c>
      <c r="D107" s="4" t="s">
        <v>829</v>
      </c>
      <c r="E107">
        <f>MONTH(Employee_Data[[#This Row],[HireDate]])</f>
        <v>10</v>
      </c>
      <c r="F107">
        <f>YEAR(Employee_Data[[#This Row],[HireDate]])</f>
        <v>2017</v>
      </c>
      <c r="G107" s="5">
        <v>43022</v>
      </c>
      <c r="H107">
        <v>5</v>
      </c>
      <c r="I107">
        <v>23</v>
      </c>
      <c r="J107" s="1">
        <v>22318</v>
      </c>
      <c r="K107" s="1">
        <v>267816</v>
      </c>
    </row>
    <row r="108" spans="1:11" x14ac:dyDescent="0.25">
      <c r="A108" s="3">
        <v>107</v>
      </c>
      <c r="B108" s="4" t="s">
        <v>101</v>
      </c>
      <c r="C108" s="4" t="s">
        <v>450</v>
      </c>
      <c r="D108" s="4" t="s">
        <v>828</v>
      </c>
      <c r="E108">
        <f>MONTH(Employee_Data[[#This Row],[HireDate]])</f>
        <v>4</v>
      </c>
      <c r="F108">
        <f>YEAR(Employee_Data[[#This Row],[HireDate]])</f>
        <v>2016</v>
      </c>
      <c r="G108" s="5">
        <v>42487</v>
      </c>
      <c r="H108">
        <v>3</v>
      </c>
      <c r="I108">
        <v>15</v>
      </c>
      <c r="J108" s="1">
        <v>72396</v>
      </c>
      <c r="K108" s="1">
        <v>868752</v>
      </c>
    </row>
    <row r="109" spans="1:11" x14ac:dyDescent="0.25">
      <c r="A109" s="3">
        <v>108</v>
      </c>
      <c r="B109" s="4" t="s">
        <v>102</v>
      </c>
      <c r="C109" s="4" t="s">
        <v>451</v>
      </c>
      <c r="D109" s="4" t="s">
        <v>827</v>
      </c>
      <c r="E109">
        <f>MONTH(Employee_Data[[#This Row],[HireDate]])</f>
        <v>6</v>
      </c>
      <c r="F109">
        <f>YEAR(Employee_Data[[#This Row],[HireDate]])</f>
        <v>2016</v>
      </c>
      <c r="G109" s="5">
        <v>42531</v>
      </c>
      <c r="H109">
        <v>2</v>
      </c>
      <c r="I109">
        <v>37</v>
      </c>
      <c r="J109" s="1">
        <v>37558</v>
      </c>
      <c r="K109" s="1">
        <v>450696</v>
      </c>
    </row>
    <row r="110" spans="1:11" x14ac:dyDescent="0.25">
      <c r="A110" s="3">
        <v>109</v>
      </c>
      <c r="B110" s="4" t="s">
        <v>103</v>
      </c>
      <c r="C110" s="4" t="s">
        <v>452</v>
      </c>
      <c r="D110" s="4" t="s">
        <v>827</v>
      </c>
      <c r="E110">
        <f>MONTH(Employee_Data[[#This Row],[HireDate]])</f>
        <v>9</v>
      </c>
      <c r="F110">
        <f>YEAR(Employee_Data[[#This Row],[HireDate]])</f>
        <v>2022</v>
      </c>
      <c r="G110" s="5">
        <v>44834</v>
      </c>
      <c r="H110">
        <v>1</v>
      </c>
      <c r="I110">
        <v>48</v>
      </c>
      <c r="J110" s="1">
        <v>45957</v>
      </c>
      <c r="K110" s="1">
        <v>551484</v>
      </c>
    </row>
    <row r="111" spans="1:11" x14ac:dyDescent="0.25">
      <c r="A111" s="3">
        <v>110</v>
      </c>
      <c r="B111" s="4" t="s">
        <v>104</v>
      </c>
      <c r="C111" s="4" t="s">
        <v>453</v>
      </c>
      <c r="D111" s="4" t="s">
        <v>829</v>
      </c>
      <c r="E111">
        <f>MONTH(Employee_Data[[#This Row],[HireDate]])</f>
        <v>1</v>
      </c>
      <c r="F111">
        <f>YEAR(Employee_Data[[#This Row],[HireDate]])</f>
        <v>2022</v>
      </c>
      <c r="G111" s="5">
        <v>44575</v>
      </c>
      <c r="H111">
        <v>4</v>
      </c>
      <c r="I111">
        <v>27</v>
      </c>
      <c r="J111" s="1">
        <v>58944</v>
      </c>
      <c r="K111" s="1">
        <v>707328</v>
      </c>
    </row>
    <row r="112" spans="1:11" x14ac:dyDescent="0.25">
      <c r="A112" s="3">
        <v>111</v>
      </c>
      <c r="B112" s="4" t="s">
        <v>105</v>
      </c>
      <c r="C112" s="4" t="s">
        <v>454</v>
      </c>
      <c r="D112" s="4" t="s">
        <v>828</v>
      </c>
      <c r="E112">
        <f>MONTH(Employee_Data[[#This Row],[HireDate]])</f>
        <v>9</v>
      </c>
      <c r="F112">
        <f>YEAR(Employee_Data[[#This Row],[HireDate]])</f>
        <v>2017</v>
      </c>
      <c r="G112" s="5">
        <v>43001</v>
      </c>
      <c r="H112">
        <v>5</v>
      </c>
      <c r="I112">
        <v>28</v>
      </c>
      <c r="J112" s="1">
        <v>91709</v>
      </c>
      <c r="K112" s="1">
        <v>1100508</v>
      </c>
    </row>
    <row r="113" spans="1:11" x14ac:dyDescent="0.25">
      <c r="A113" s="3">
        <v>112</v>
      </c>
      <c r="B113" s="4" t="s">
        <v>65</v>
      </c>
      <c r="C113" s="4" t="s">
        <v>455</v>
      </c>
      <c r="D113" s="4" t="s">
        <v>829</v>
      </c>
      <c r="E113">
        <f>MONTH(Employee_Data[[#This Row],[HireDate]])</f>
        <v>12</v>
      </c>
      <c r="F113">
        <f>YEAR(Employee_Data[[#This Row],[HireDate]])</f>
        <v>2021</v>
      </c>
      <c r="G113" s="5">
        <v>44550</v>
      </c>
      <c r="H113">
        <v>4</v>
      </c>
      <c r="I113">
        <v>45</v>
      </c>
      <c r="J113" s="1">
        <v>102794</v>
      </c>
      <c r="K113" s="1">
        <v>1233528</v>
      </c>
    </row>
    <row r="114" spans="1:11" x14ac:dyDescent="0.25">
      <c r="A114" s="3">
        <v>113</v>
      </c>
      <c r="B114" s="4" t="s">
        <v>106</v>
      </c>
      <c r="C114" s="4" t="s">
        <v>456</v>
      </c>
      <c r="D114" s="4" t="s">
        <v>826</v>
      </c>
      <c r="E114">
        <f>MONTH(Employee_Data[[#This Row],[HireDate]])</f>
        <v>9</v>
      </c>
      <c r="F114">
        <f>YEAR(Employee_Data[[#This Row],[HireDate]])</f>
        <v>2020</v>
      </c>
      <c r="G114" s="5">
        <v>44082</v>
      </c>
      <c r="H114">
        <v>1</v>
      </c>
      <c r="I114">
        <v>28</v>
      </c>
      <c r="J114" s="1">
        <v>43351</v>
      </c>
      <c r="K114" s="1">
        <v>520212</v>
      </c>
    </row>
    <row r="115" spans="1:11" x14ac:dyDescent="0.25">
      <c r="A115" s="3">
        <v>114</v>
      </c>
      <c r="B115" s="4" t="s">
        <v>107</v>
      </c>
      <c r="C115" s="4" t="s">
        <v>405</v>
      </c>
      <c r="D115" s="4" t="s">
        <v>828</v>
      </c>
      <c r="E115">
        <f>MONTH(Employee_Data[[#This Row],[HireDate]])</f>
        <v>1</v>
      </c>
      <c r="F115">
        <f>YEAR(Employee_Data[[#This Row],[HireDate]])</f>
        <v>2023</v>
      </c>
      <c r="G115" s="5">
        <v>44935</v>
      </c>
      <c r="H115">
        <v>3</v>
      </c>
      <c r="I115">
        <v>25</v>
      </c>
      <c r="J115" s="1">
        <v>23434</v>
      </c>
      <c r="K115" s="1">
        <v>281208</v>
      </c>
    </row>
    <row r="116" spans="1:11" x14ac:dyDescent="0.25">
      <c r="A116" s="3">
        <v>115</v>
      </c>
      <c r="B116" s="4" t="s">
        <v>72</v>
      </c>
      <c r="C116" s="4" t="s">
        <v>178</v>
      </c>
      <c r="D116" s="4" t="s">
        <v>826</v>
      </c>
      <c r="E116">
        <f>MONTH(Employee_Data[[#This Row],[HireDate]])</f>
        <v>4</v>
      </c>
      <c r="F116">
        <f>YEAR(Employee_Data[[#This Row],[HireDate]])</f>
        <v>2018</v>
      </c>
      <c r="G116" s="5">
        <v>43211</v>
      </c>
      <c r="H116">
        <v>3</v>
      </c>
      <c r="I116">
        <v>19</v>
      </c>
      <c r="J116" s="1">
        <v>118802</v>
      </c>
      <c r="K116" s="1">
        <v>1425624</v>
      </c>
    </row>
    <row r="117" spans="1:11" x14ac:dyDescent="0.25">
      <c r="A117" s="3">
        <v>116</v>
      </c>
      <c r="B117" s="4" t="s">
        <v>108</v>
      </c>
      <c r="C117" s="4" t="s">
        <v>246</v>
      </c>
      <c r="D117" s="4" t="s">
        <v>828</v>
      </c>
      <c r="E117">
        <f>MONTH(Employee_Data[[#This Row],[HireDate]])</f>
        <v>2</v>
      </c>
      <c r="F117">
        <f>YEAR(Employee_Data[[#This Row],[HireDate]])</f>
        <v>2019</v>
      </c>
      <c r="G117" s="5">
        <v>43512</v>
      </c>
      <c r="H117">
        <v>1</v>
      </c>
      <c r="I117">
        <v>4</v>
      </c>
      <c r="J117" s="1">
        <v>108355</v>
      </c>
      <c r="K117" s="1">
        <v>1300260</v>
      </c>
    </row>
    <row r="118" spans="1:11" x14ac:dyDescent="0.25">
      <c r="A118" s="3">
        <v>117</v>
      </c>
      <c r="B118" s="4" t="s">
        <v>42</v>
      </c>
      <c r="C118" s="4" t="s">
        <v>457</v>
      </c>
      <c r="D118" s="4" t="s">
        <v>828</v>
      </c>
      <c r="E118">
        <f>MONTH(Employee_Data[[#This Row],[HireDate]])</f>
        <v>6</v>
      </c>
      <c r="F118">
        <f>YEAR(Employee_Data[[#This Row],[HireDate]])</f>
        <v>2024</v>
      </c>
      <c r="G118" s="5">
        <v>45468</v>
      </c>
      <c r="H118">
        <v>5</v>
      </c>
      <c r="I118">
        <v>37</v>
      </c>
      <c r="J118" s="1">
        <v>32629</v>
      </c>
      <c r="K118" s="1">
        <v>391548</v>
      </c>
    </row>
    <row r="119" spans="1:11" x14ac:dyDescent="0.25">
      <c r="A119" s="3">
        <v>118</v>
      </c>
      <c r="B119" s="4" t="s">
        <v>109</v>
      </c>
      <c r="C119" s="4" t="s">
        <v>458</v>
      </c>
      <c r="D119" s="4" t="s">
        <v>828</v>
      </c>
      <c r="E119">
        <f>MONTH(Employee_Data[[#This Row],[HireDate]])</f>
        <v>4</v>
      </c>
      <c r="F119">
        <f>YEAR(Employee_Data[[#This Row],[HireDate]])</f>
        <v>2024</v>
      </c>
      <c r="G119" s="5">
        <v>45401</v>
      </c>
      <c r="H119">
        <v>5</v>
      </c>
      <c r="I119">
        <v>13</v>
      </c>
      <c r="J119" s="1">
        <v>45967</v>
      </c>
      <c r="K119" s="1">
        <v>551604</v>
      </c>
    </row>
    <row r="120" spans="1:11" x14ac:dyDescent="0.25">
      <c r="A120" s="3">
        <v>119</v>
      </c>
      <c r="B120" s="4" t="s">
        <v>110</v>
      </c>
      <c r="C120" s="4" t="s">
        <v>459</v>
      </c>
      <c r="D120" s="4" t="s">
        <v>827</v>
      </c>
      <c r="E120">
        <f>MONTH(Employee_Data[[#This Row],[HireDate]])</f>
        <v>8</v>
      </c>
      <c r="F120">
        <f>YEAR(Employee_Data[[#This Row],[HireDate]])</f>
        <v>2022</v>
      </c>
      <c r="G120" s="5">
        <v>44776</v>
      </c>
      <c r="H120">
        <v>5</v>
      </c>
      <c r="I120">
        <v>20</v>
      </c>
      <c r="J120" s="1">
        <v>31304</v>
      </c>
      <c r="K120" s="1">
        <v>375648</v>
      </c>
    </row>
    <row r="121" spans="1:11" x14ac:dyDescent="0.25">
      <c r="A121" s="3">
        <v>120</v>
      </c>
      <c r="B121" s="4" t="s">
        <v>32</v>
      </c>
      <c r="C121" s="4" t="s">
        <v>416</v>
      </c>
      <c r="D121" s="4" t="s">
        <v>828</v>
      </c>
      <c r="E121">
        <f>MONTH(Employee_Data[[#This Row],[HireDate]])</f>
        <v>4</v>
      </c>
      <c r="F121">
        <f>YEAR(Employee_Data[[#This Row],[HireDate]])</f>
        <v>2024</v>
      </c>
      <c r="G121" s="5">
        <v>45397</v>
      </c>
      <c r="H121">
        <v>2</v>
      </c>
      <c r="I121">
        <v>28</v>
      </c>
      <c r="J121" s="1">
        <v>40935</v>
      </c>
      <c r="K121" s="1">
        <v>491220</v>
      </c>
    </row>
    <row r="122" spans="1:11" x14ac:dyDescent="0.25">
      <c r="A122" s="3">
        <v>121</v>
      </c>
      <c r="B122" s="4" t="s">
        <v>111</v>
      </c>
      <c r="C122" s="4" t="s">
        <v>460</v>
      </c>
      <c r="D122" s="4" t="s">
        <v>828</v>
      </c>
      <c r="E122">
        <f>MONTH(Employee_Data[[#This Row],[HireDate]])</f>
        <v>4</v>
      </c>
      <c r="F122">
        <f>YEAR(Employee_Data[[#This Row],[HireDate]])</f>
        <v>2022</v>
      </c>
      <c r="G122" s="5">
        <v>44654</v>
      </c>
      <c r="H122">
        <v>1</v>
      </c>
      <c r="I122">
        <v>14</v>
      </c>
      <c r="J122" s="1">
        <v>58727</v>
      </c>
      <c r="K122" s="1">
        <v>704724</v>
      </c>
    </row>
    <row r="123" spans="1:11" x14ac:dyDescent="0.25">
      <c r="A123" s="3">
        <v>122</v>
      </c>
      <c r="B123" s="4" t="s">
        <v>112</v>
      </c>
      <c r="C123" s="4" t="s">
        <v>365</v>
      </c>
      <c r="D123" s="4" t="s">
        <v>830</v>
      </c>
      <c r="E123">
        <f>MONTH(Employee_Data[[#This Row],[HireDate]])</f>
        <v>4</v>
      </c>
      <c r="F123">
        <f>YEAR(Employee_Data[[#This Row],[HireDate]])</f>
        <v>2018</v>
      </c>
      <c r="G123" s="5">
        <v>43201</v>
      </c>
      <c r="H123">
        <v>3</v>
      </c>
      <c r="I123">
        <v>17</v>
      </c>
      <c r="J123" s="1">
        <v>76976</v>
      </c>
      <c r="K123" s="1">
        <v>923712</v>
      </c>
    </row>
    <row r="124" spans="1:11" x14ac:dyDescent="0.25">
      <c r="A124" s="3">
        <v>123</v>
      </c>
      <c r="B124" s="4" t="s">
        <v>113</v>
      </c>
      <c r="C124" s="4" t="s">
        <v>461</v>
      </c>
      <c r="D124" s="4" t="s">
        <v>827</v>
      </c>
      <c r="E124">
        <f>MONTH(Employee_Data[[#This Row],[HireDate]])</f>
        <v>1</v>
      </c>
      <c r="F124">
        <f>YEAR(Employee_Data[[#This Row],[HireDate]])</f>
        <v>2017</v>
      </c>
      <c r="G124" s="5">
        <v>42754</v>
      </c>
      <c r="H124">
        <v>2</v>
      </c>
      <c r="I124">
        <v>1</v>
      </c>
      <c r="J124" s="1">
        <v>70490</v>
      </c>
      <c r="K124" s="1">
        <v>845880</v>
      </c>
    </row>
    <row r="125" spans="1:11" x14ac:dyDescent="0.25">
      <c r="A125" s="3">
        <v>124</v>
      </c>
      <c r="B125" s="4" t="s">
        <v>114</v>
      </c>
      <c r="C125" s="4" t="s">
        <v>462</v>
      </c>
      <c r="D125" s="4" t="s">
        <v>826</v>
      </c>
      <c r="E125">
        <f>MONTH(Employee_Data[[#This Row],[HireDate]])</f>
        <v>11</v>
      </c>
      <c r="F125">
        <f>YEAR(Employee_Data[[#This Row],[HireDate]])</f>
        <v>2018</v>
      </c>
      <c r="G125" s="5">
        <v>43424</v>
      </c>
      <c r="H125">
        <v>5</v>
      </c>
      <c r="I125">
        <v>42</v>
      </c>
      <c r="J125" s="1">
        <v>76121</v>
      </c>
      <c r="K125" s="1">
        <v>913452</v>
      </c>
    </row>
    <row r="126" spans="1:11" x14ac:dyDescent="0.25">
      <c r="A126" s="3">
        <v>125</v>
      </c>
      <c r="B126" s="4" t="s">
        <v>91</v>
      </c>
      <c r="C126" s="4" t="s">
        <v>463</v>
      </c>
      <c r="D126" s="4" t="s">
        <v>826</v>
      </c>
      <c r="E126">
        <f>MONTH(Employee_Data[[#This Row],[HireDate]])</f>
        <v>8</v>
      </c>
      <c r="F126">
        <f>YEAR(Employee_Data[[#This Row],[HireDate]])</f>
        <v>2023</v>
      </c>
      <c r="G126" s="5">
        <v>45147</v>
      </c>
      <c r="H126">
        <v>3</v>
      </c>
      <c r="I126">
        <v>5</v>
      </c>
      <c r="J126" s="1">
        <v>21615</v>
      </c>
      <c r="K126" s="1">
        <v>259380</v>
      </c>
    </row>
    <row r="127" spans="1:11" x14ac:dyDescent="0.25">
      <c r="A127" s="3">
        <v>126</v>
      </c>
      <c r="B127" s="4" t="s">
        <v>108</v>
      </c>
      <c r="C127" s="4" t="s">
        <v>464</v>
      </c>
      <c r="D127" s="4" t="s">
        <v>830</v>
      </c>
      <c r="E127">
        <f>MONTH(Employee_Data[[#This Row],[HireDate]])</f>
        <v>2</v>
      </c>
      <c r="F127">
        <f>YEAR(Employee_Data[[#This Row],[HireDate]])</f>
        <v>2016</v>
      </c>
      <c r="G127" s="5">
        <v>42421</v>
      </c>
      <c r="H127">
        <v>2</v>
      </c>
      <c r="I127">
        <v>2</v>
      </c>
      <c r="J127" s="1">
        <v>69985</v>
      </c>
      <c r="K127" s="1">
        <v>839820</v>
      </c>
    </row>
    <row r="128" spans="1:11" x14ac:dyDescent="0.25">
      <c r="A128" s="3">
        <v>127</v>
      </c>
      <c r="B128" s="4" t="s">
        <v>115</v>
      </c>
      <c r="C128" s="4" t="s">
        <v>465</v>
      </c>
      <c r="D128" s="4" t="s">
        <v>828</v>
      </c>
      <c r="E128">
        <f>MONTH(Employee_Data[[#This Row],[HireDate]])</f>
        <v>3</v>
      </c>
      <c r="F128">
        <f>YEAR(Employee_Data[[#This Row],[HireDate]])</f>
        <v>2018</v>
      </c>
      <c r="G128" s="5">
        <v>43175</v>
      </c>
      <c r="H128">
        <v>5</v>
      </c>
      <c r="I128">
        <v>49</v>
      </c>
      <c r="J128" s="1">
        <v>53963</v>
      </c>
      <c r="K128" s="1">
        <v>647556</v>
      </c>
    </row>
    <row r="129" spans="1:11" x14ac:dyDescent="0.25">
      <c r="A129" s="3">
        <v>128</v>
      </c>
      <c r="B129" s="4" t="s">
        <v>116</v>
      </c>
      <c r="C129" s="4" t="s">
        <v>466</v>
      </c>
      <c r="D129" s="4" t="s">
        <v>827</v>
      </c>
      <c r="E129">
        <f>MONTH(Employee_Data[[#This Row],[HireDate]])</f>
        <v>1</v>
      </c>
      <c r="F129">
        <f>YEAR(Employee_Data[[#This Row],[HireDate]])</f>
        <v>2021</v>
      </c>
      <c r="G129" s="5">
        <v>44198</v>
      </c>
      <c r="H129">
        <v>3</v>
      </c>
      <c r="I129">
        <v>3</v>
      </c>
      <c r="J129" s="1">
        <v>21605</v>
      </c>
      <c r="K129" s="1">
        <v>259260</v>
      </c>
    </row>
    <row r="130" spans="1:11" x14ac:dyDescent="0.25">
      <c r="A130" s="3">
        <v>129</v>
      </c>
      <c r="B130" s="4" t="s">
        <v>117</v>
      </c>
      <c r="C130" s="4" t="s">
        <v>467</v>
      </c>
      <c r="D130" s="4" t="s">
        <v>826</v>
      </c>
      <c r="E130">
        <f>MONTH(Employee_Data[[#This Row],[HireDate]])</f>
        <v>8</v>
      </c>
      <c r="F130">
        <f>YEAR(Employee_Data[[#This Row],[HireDate]])</f>
        <v>2020</v>
      </c>
      <c r="G130" s="5">
        <v>44047</v>
      </c>
      <c r="H130">
        <v>2</v>
      </c>
      <c r="I130">
        <v>5</v>
      </c>
      <c r="J130" s="1">
        <v>44178</v>
      </c>
      <c r="K130" s="1">
        <v>530136</v>
      </c>
    </row>
    <row r="131" spans="1:11" x14ac:dyDescent="0.25">
      <c r="A131" s="3">
        <v>130</v>
      </c>
      <c r="B131" s="4" t="s">
        <v>105</v>
      </c>
      <c r="C131" s="4" t="s">
        <v>458</v>
      </c>
      <c r="D131" s="4" t="s">
        <v>828</v>
      </c>
      <c r="E131">
        <f>MONTH(Employee_Data[[#This Row],[HireDate]])</f>
        <v>3</v>
      </c>
      <c r="F131">
        <f>YEAR(Employee_Data[[#This Row],[HireDate]])</f>
        <v>2021</v>
      </c>
      <c r="G131" s="5">
        <v>44278</v>
      </c>
      <c r="H131">
        <v>5</v>
      </c>
      <c r="I131">
        <v>20</v>
      </c>
      <c r="J131" s="1">
        <v>53858</v>
      </c>
      <c r="K131" s="1">
        <v>646296</v>
      </c>
    </row>
    <row r="132" spans="1:11" x14ac:dyDescent="0.25">
      <c r="A132" s="3">
        <v>131</v>
      </c>
      <c r="B132" s="4" t="s">
        <v>118</v>
      </c>
      <c r="C132" s="4" t="s">
        <v>396</v>
      </c>
      <c r="D132" s="4" t="s">
        <v>827</v>
      </c>
      <c r="E132">
        <f>MONTH(Employee_Data[[#This Row],[HireDate]])</f>
        <v>5</v>
      </c>
      <c r="F132">
        <f>YEAR(Employee_Data[[#This Row],[HireDate]])</f>
        <v>2022</v>
      </c>
      <c r="G132" s="5">
        <v>44711</v>
      </c>
      <c r="H132">
        <v>2</v>
      </c>
      <c r="I132">
        <v>13</v>
      </c>
      <c r="J132" s="1">
        <v>75634</v>
      </c>
      <c r="K132" s="1">
        <v>907608</v>
      </c>
    </row>
    <row r="133" spans="1:11" x14ac:dyDescent="0.25">
      <c r="A133" s="3">
        <v>132</v>
      </c>
      <c r="B133" s="4" t="s">
        <v>119</v>
      </c>
      <c r="C133" s="4" t="s">
        <v>396</v>
      </c>
      <c r="D133" s="4" t="s">
        <v>827</v>
      </c>
      <c r="E133">
        <f>MONTH(Employee_Data[[#This Row],[HireDate]])</f>
        <v>10</v>
      </c>
      <c r="F133">
        <f>YEAR(Employee_Data[[#This Row],[HireDate]])</f>
        <v>2016</v>
      </c>
      <c r="G133" s="5">
        <v>42667</v>
      </c>
      <c r="H133">
        <v>4</v>
      </c>
      <c r="I133">
        <v>28</v>
      </c>
      <c r="J133" s="1">
        <v>43391</v>
      </c>
      <c r="K133" s="1">
        <v>520692</v>
      </c>
    </row>
    <row r="134" spans="1:11" x14ac:dyDescent="0.25">
      <c r="A134" s="3">
        <v>133</v>
      </c>
      <c r="B134" s="4" t="s">
        <v>120</v>
      </c>
      <c r="C134" s="4" t="s">
        <v>468</v>
      </c>
      <c r="D134" s="4" t="s">
        <v>828</v>
      </c>
      <c r="E134">
        <f>MONTH(Employee_Data[[#This Row],[HireDate]])</f>
        <v>4</v>
      </c>
      <c r="F134">
        <f>YEAR(Employee_Data[[#This Row],[HireDate]])</f>
        <v>2017</v>
      </c>
      <c r="G134" s="5">
        <v>42847</v>
      </c>
      <c r="H134">
        <v>2</v>
      </c>
      <c r="I134">
        <v>23</v>
      </c>
      <c r="J134" s="1">
        <v>20150</v>
      </c>
      <c r="K134" s="1">
        <v>241800</v>
      </c>
    </row>
    <row r="135" spans="1:11" x14ac:dyDescent="0.25">
      <c r="A135" s="3">
        <v>134</v>
      </c>
      <c r="B135" s="4" t="s">
        <v>121</v>
      </c>
      <c r="C135" s="4" t="s">
        <v>469</v>
      </c>
      <c r="D135" s="4" t="s">
        <v>827</v>
      </c>
      <c r="E135">
        <f>MONTH(Employee_Data[[#This Row],[HireDate]])</f>
        <v>3</v>
      </c>
      <c r="F135">
        <f>YEAR(Employee_Data[[#This Row],[HireDate]])</f>
        <v>2018</v>
      </c>
      <c r="G135" s="5">
        <v>43180</v>
      </c>
      <c r="H135">
        <v>2</v>
      </c>
      <c r="I135">
        <v>24</v>
      </c>
      <c r="J135" s="1">
        <v>28773</v>
      </c>
      <c r="K135" s="1">
        <v>345276</v>
      </c>
    </row>
    <row r="136" spans="1:11" x14ac:dyDescent="0.25">
      <c r="A136" s="3">
        <v>135</v>
      </c>
      <c r="B136" s="4" t="s">
        <v>87</v>
      </c>
      <c r="C136" s="4" t="s">
        <v>470</v>
      </c>
      <c r="D136" s="4" t="s">
        <v>829</v>
      </c>
      <c r="E136">
        <f>MONTH(Employee_Data[[#This Row],[HireDate]])</f>
        <v>8</v>
      </c>
      <c r="F136">
        <f>YEAR(Employee_Data[[#This Row],[HireDate]])</f>
        <v>2022</v>
      </c>
      <c r="G136" s="5">
        <v>44803</v>
      </c>
      <c r="H136">
        <v>4</v>
      </c>
      <c r="I136">
        <v>3</v>
      </c>
      <c r="J136" s="1">
        <v>72959</v>
      </c>
      <c r="K136" s="1">
        <v>875508</v>
      </c>
    </row>
    <row r="137" spans="1:11" x14ac:dyDescent="0.25">
      <c r="A137" s="3">
        <v>136</v>
      </c>
      <c r="B137" s="4" t="s">
        <v>122</v>
      </c>
      <c r="C137" s="4" t="s">
        <v>471</v>
      </c>
      <c r="D137" s="4" t="s">
        <v>829</v>
      </c>
      <c r="E137">
        <f>MONTH(Employee_Data[[#This Row],[HireDate]])</f>
        <v>11</v>
      </c>
      <c r="F137">
        <f>YEAR(Employee_Data[[#This Row],[HireDate]])</f>
        <v>2017</v>
      </c>
      <c r="G137" s="5">
        <v>43068</v>
      </c>
      <c r="H137">
        <v>2</v>
      </c>
      <c r="I137">
        <v>20</v>
      </c>
      <c r="J137" s="1">
        <v>102878</v>
      </c>
      <c r="K137" s="1">
        <v>1234536</v>
      </c>
    </row>
    <row r="138" spans="1:11" x14ac:dyDescent="0.25">
      <c r="A138" s="3">
        <v>137</v>
      </c>
      <c r="B138" s="4" t="s">
        <v>123</v>
      </c>
      <c r="C138" s="4" t="s">
        <v>382</v>
      </c>
      <c r="D138" s="4" t="s">
        <v>830</v>
      </c>
      <c r="E138">
        <f>MONTH(Employee_Data[[#This Row],[HireDate]])</f>
        <v>12</v>
      </c>
      <c r="F138">
        <f>YEAR(Employee_Data[[#This Row],[HireDate]])</f>
        <v>2017</v>
      </c>
      <c r="G138" s="5">
        <v>43093</v>
      </c>
      <c r="H138">
        <v>3</v>
      </c>
      <c r="I138">
        <v>1</v>
      </c>
      <c r="J138" s="1">
        <v>61368</v>
      </c>
      <c r="K138" s="1">
        <v>736416</v>
      </c>
    </row>
    <row r="139" spans="1:11" x14ac:dyDescent="0.25">
      <c r="A139" s="3">
        <v>138</v>
      </c>
      <c r="B139" s="4" t="s">
        <v>24</v>
      </c>
      <c r="C139" s="4" t="s">
        <v>472</v>
      </c>
      <c r="D139" s="4" t="s">
        <v>826</v>
      </c>
      <c r="E139">
        <f>MONTH(Employee_Data[[#This Row],[HireDate]])</f>
        <v>10</v>
      </c>
      <c r="F139">
        <f>YEAR(Employee_Data[[#This Row],[HireDate]])</f>
        <v>2019</v>
      </c>
      <c r="G139" s="5">
        <v>43759</v>
      </c>
      <c r="H139">
        <v>2</v>
      </c>
      <c r="I139">
        <v>15</v>
      </c>
      <c r="J139" s="1">
        <v>53624</v>
      </c>
      <c r="K139" s="1">
        <v>643488</v>
      </c>
    </row>
    <row r="140" spans="1:11" x14ac:dyDescent="0.25">
      <c r="A140" s="3">
        <v>139</v>
      </c>
      <c r="B140" s="4" t="s">
        <v>17</v>
      </c>
      <c r="C140" s="4" t="s">
        <v>473</v>
      </c>
      <c r="D140" s="4" t="s">
        <v>830</v>
      </c>
      <c r="E140">
        <f>MONTH(Employee_Data[[#This Row],[HireDate]])</f>
        <v>1</v>
      </c>
      <c r="F140">
        <f>YEAR(Employee_Data[[#This Row],[HireDate]])</f>
        <v>2023</v>
      </c>
      <c r="G140" s="5">
        <v>44929</v>
      </c>
      <c r="H140">
        <v>4</v>
      </c>
      <c r="I140">
        <v>28</v>
      </c>
      <c r="J140" s="1">
        <v>78973</v>
      </c>
      <c r="K140" s="1">
        <v>947676</v>
      </c>
    </row>
    <row r="141" spans="1:11" x14ac:dyDescent="0.25">
      <c r="A141" s="3">
        <v>140</v>
      </c>
      <c r="B141" s="4" t="s">
        <v>124</v>
      </c>
      <c r="C141" s="4" t="s">
        <v>437</v>
      </c>
      <c r="D141" s="4" t="s">
        <v>829</v>
      </c>
      <c r="E141">
        <f>MONTH(Employee_Data[[#This Row],[HireDate]])</f>
        <v>5</v>
      </c>
      <c r="F141">
        <f>YEAR(Employee_Data[[#This Row],[HireDate]])</f>
        <v>2020</v>
      </c>
      <c r="G141" s="5">
        <v>43966</v>
      </c>
      <c r="H141">
        <v>2</v>
      </c>
      <c r="I141">
        <v>34</v>
      </c>
      <c r="J141" s="1">
        <v>100387</v>
      </c>
      <c r="K141" s="1">
        <v>1204644</v>
      </c>
    </row>
    <row r="142" spans="1:11" x14ac:dyDescent="0.25">
      <c r="A142" s="3">
        <v>141</v>
      </c>
      <c r="B142" s="4" t="s">
        <v>85</v>
      </c>
      <c r="C142" s="4" t="s">
        <v>474</v>
      </c>
      <c r="D142" s="4" t="s">
        <v>829</v>
      </c>
      <c r="E142">
        <f>MONTH(Employee_Data[[#This Row],[HireDate]])</f>
        <v>12</v>
      </c>
      <c r="F142">
        <f>YEAR(Employee_Data[[#This Row],[HireDate]])</f>
        <v>2021</v>
      </c>
      <c r="G142" s="5">
        <v>44550</v>
      </c>
      <c r="H142">
        <v>3</v>
      </c>
      <c r="I142">
        <v>39</v>
      </c>
      <c r="J142" s="1">
        <v>113486</v>
      </c>
      <c r="K142" s="1">
        <v>1361832</v>
      </c>
    </row>
    <row r="143" spans="1:11" x14ac:dyDescent="0.25">
      <c r="A143" s="3">
        <v>142</v>
      </c>
      <c r="B143" s="4" t="s">
        <v>125</v>
      </c>
      <c r="C143" s="4" t="s">
        <v>440</v>
      </c>
      <c r="D143" s="4" t="s">
        <v>829</v>
      </c>
      <c r="E143">
        <f>MONTH(Employee_Data[[#This Row],[HireDate]])</f>
        <v>5</v>
      </c>
      <c r="F143">
        <f>YEAR(Employee_Data[[#This Row],[HireDate]])</f>
        <v>2016</v>
      </c>
      <c r="G143" s="5">
        <v>42508</v>
      </c>
      <c r="H143">
        <v>3</v>
      </c>
      <c r="I143">
        <v>30</v>
      </c>
      <c r="J143" s="1">
        <v>110525</v>
      </c>
      <c r="K143" s="1">
        <v>1326300</v>
      </c>
    </row>
    <row r="144" spans="1:11" x14ac:dyDescent="0.25">
      <c r="A144" s="3">
        <v>143</v>
      </c>
      <c r="B144" s="4" t="s">
        <v>10</v>
      </c>
      <c r="C144" s="4" t="s">
        <v>475</v>
      </c>
      <c r="D144" s="4" t="s">
        <v>827</v>
      </c>
      <c r="E144">
        <f>MONTH(Employee_Data[[#This Row],[HireDate]])</f>
        <v>10</v>
      </c>
      <c r="F144">
        <f>YEAR(Employee_Data[[#This Row],[HireDate]])</f>
        <v>2018</v>
      </c>
      <c r="G144" s="5">
        <v>43394</v>
      </c>
      <c r="H144">
        <v>2</v>
      </c>
      <c r="I144">
        <v>27</v>
      </c>
      <c r="J144" s="1">
        <v>32900</v>
      </c>
      <c r="K144" s="1">
        <v>394800</v>
      </c>
    </row>
    <row r="145" spans="1:11" x14ac:dyDescent="0.25">
      <c r="A145" s="3">
        <v>144</v>
      </c>
      <c r="B145" s="4" t="s">
        <v>126</v>
      </c>
      <c r="C145" s="4" t="s">
        <v>476</v>
      </c>
      <c r="D145" s="4" t="s">
        <v>826</v>
      </c>
      <c r="E145">
        <f>MONTH(Employee_Data[[#This Row],[HireDate]])</f>
        <v>6</v>
      </c>
      <c r="F145">
        <f>YEAR(Employee_Data[[#This Row],[HireDate]])</f>
        <v>2021</v>
      </c>
      <c r="G145" s="5">
        <v>44373</v>
      </c>
      <c r="H145">
        <v>5</v>
      </c>
      <c r="I145">
        <v>44</v>
      </c>
      <c r="J145" s="1">
        <v>61042</v>
      </c>
      <c r="K145" s="1">
        <v>732504</v>
      </c>
    </row>
    <row r="146" spans="1:11" x14ac:dyDescent="0.25">
      <c r="A146" s="3">
        <v>145</v>
      </c>
      <c r="B146" s="4" t="s">
        <v>60</v>
      </c>
      <c r="C146" s="4" t="s">
        <v>402</v>
      </c>
      <c r="D146" s="4" t="s">
        <v>827</v>
      </c>
      <c r="E146">
        <f>MONTH(Employee_Data[[#This Row],[HireDate]])</f>
        <v>12</v>
      </c>
      <c r="F146">
        <f>YEAR(Employee_Data[[#This Row],[HireDate]])</f>
        <v>2023</v>
      </c>
      <c r="G146" s="5">
        <v>45264</v>
      </c>
      <c r="H146">
        <v>5</v>
      </c>
      <c r="I146">
        <v>38</v>
      </c>
      <c r="J146" s="1">
        <v>44490</v>
      </c>
      <c r="K146" s="1">
        <v>533880</v>
      </c>
    </row>
    <row r="147" spans="1:11" x14ac:dyDescent="0.25">
      <c r="A147" s="3">
        <v>146</v>
      </c>
      <c r="B147" s="4" t="s">
        <v>127</v>
      </c>
      <c r="C147" s="4" t="s">
        <v>396</v>
      </c>
      <c r="D147" s="4" t="s">
        <v>829</v>
      </c>
      <c r="E147">
        <f>MONTH(Employee_Data[[#This Row],[HireDate]])</f>
        <v>8</v>
      </c>
      <c r="F147">
        <f>YEAR(Employee_Data[[#This Row],[HireDate]])</f>
        <v>2020</v>
      </c>
      <c r="G147" s="5">
        <v>44066</v>
      </c>
      <c r="H147">
        <v>1</v>
      </c>
      <c r="I147">
        <v>11</v>
      </c>
      <c r="J147" s="1">
        <v>103153</v>
      </c>
      <c r="K147" s="1">
        <v>1237836</v>
      </c>
    </row>
    <row r="148" spans="1:11" x14ac:dyDescent="0.25">
      <c r="A148" s="3">
        <v>147</v>
      </c>
      <c r="B148" s="4" t="s">
        <v>128</v>
      </c>
      <c r="C148" s="4" t="s">
        <v>477</v>
      </c>
      <c r="D148" s="4" t="s">
        <v>827</v>
      </c>
      <c r="E148">
        <f>MONTH(Employee_Data[[#This Row],[HireDate]])</f>
        <v>4</v>
      </c>
      <c r="F148">
        <f>YEAR(Employee_Data[[#This Row],[HireDate]])</f>
        <v>2023</v>
      </c>
      <c r="G148" s="5">
        <v>45034</v>
      </c>
      <c r="H148">
        <v>2</v>
      </c>
      <c r="I148">
        <v>15</v>
      </c>
      <c r="J148" s="1">
        <v>45216</v>
      </c>
      <c r="K148" s="1">
        <v>542592</v>
      </c>
    </row>
    <row r="149" spans="1:11" x14ac:dyDescent="0.25">
      <c r="A149" s="3">
        <v>148</v>
      </c>
      <c r="B149" s="4" t="s">
        <v>42</v>
      </c>
      <c r="C149" s="4" t="s">
        <v>478</v>
      </c>
      <c r="D149" s="4" t="s">
        <v>830</v>
      </c>
      <c r="E149">
        <f>MONTH(Employee_Data[[#This Row],[HireDate]])</f>
        <v>7</v>
      </c>
      <c r="F149">
        <f>YEAR(Employee_Data[[#This Row],[HireDate]])</f>
        <v>2019</v>
      </c>
      <c r="G149" s="5">
        <v>43653</v>
      </c>
      <c r="H149">
        <v>5</v>
      </c>
      <c r="I149">
        <v>24</v>
      </c>
      <c r="J149" s="1">
        <v>94513</v>
      </c>
      <c r="K149" s="1">
        <v>1134156</v>
      </c>
    </row>
    <row r="150" spans="1:11" x14ac:dyDescent="0.25">
      <c r="A150" s="3">
        <v>149</v>
      </c>
      <c r="B150" s="4" t="s">
        <v>16</v>
      </c>
      <c r="C150" s="4" t="s">
        <v>479</v>
      </c>
      <c r="D150" s="4" t="s">
        <v>827</v>
      </c>
      <c r="E150">
        <f>MONTH(Employee_Data[[#This Row],[HireDate]])</f>
        <v>2</v>
      </c>
      <c r="F150">
        <f>YEAR(Employee_Data[[#This Row],[HireDate]])</f>
        <v>2023</v>
      </c>
      <c r="G150" s="5">
        <v>44962</v>
      </c>
      <c r="H150">
        <v>3</v>
      </c>
      <c r="I150">
        <v>17</v>
      </c>
      <c r="J150" s="1">
        <v>68589</v>
      </c>
      <c r="K150" s="1">
        <v>823068</v>
      </c>
    </row>
    <row r="151" spans="1:11" x14ac:dyDescent="0.25">
      <c r="A151" s="3">
        <v>150</v>
      </c>
      <c r="B151" s="4" t="s">
        <v>77</v>
      </c>
      <c r="C151" s="4" t="s">
        <v>480</v>
      </c>
      <c r="D151" s="4" t="s">
        <v>827</v>
      </c>
      <c r="E151">
        <f>MONTH(Employee_Data[[#This Row],[HireDate]])</f>
        <v>11</v>
      </c>
      <c r="F151">
        <f>YEAR(Employee_Data[[#This Row],[HireDate]])</f>
        <v>2021</v>
      </c>
      <c r="G151" s="5">
        <v>44501</v>
      </c>
      <c r="H151">
        <v>4</v>
      </c>
      <c r="I151">
        <v>31</v>
      </c>
      <c r="J151" s="1">
        <v>82817</v>
      </c>
      <c r="K151" s="1">
        <v>993804</v>
      </c>
    </row>
    <row r="152" spans="1:11" x14ac:dyDescent="0.25">
      <c r="A152" s="3">
        <v>151</v>
      </c>
      <c r="B152" s="4" t="s">
        <v>129</v>
      </c>
      <c r="C152" s="4" t="s">
        <v>259</v>
      </c>
      <c r="D152" s="4" t="s">
        <v>828</v>
      </c>
      <c r="E152">
        <f>MONTH(Employee_Data[[#This Row],[HireDate]])</f>
        <v>12</v>
      </c>
      <c r="F152">
        <f>YEAR(Employee_Data[[#This Row],[HireDate]])</f>
        <v>2021</v>
      </c>
      <c r="G152" s="5">
        <v>44543</v>
      </c>
      <c r="H152">
        <v>3</v>
      </c>
      <c r="I152">
        <v>38</v>
      </c>
      <c r="J152" s="1">
        <v>30340</v>
      </c>
      <c r="K152" s="1">
        <v>364080</v>
      </c>
    </row>
    <row r="153" spans="1:11" x14ac:dyDescent="0.25">
      <c r="A153" s="3">
        <v>152</v>
      </c>
      <c r="B153" s="4" t="s">
        <v>130</v>
      </c>
      <c r="C153" s="4" t="s">
        <v>387</v>
      </c>
      <c r="D153" s="4" t="s">
        <v>827</v>
      </c>
      <c r="E153">
        <f>MONTH(Employee_Data[[#This Row],[HireDate]])</f>
        <v>2</v>
      </c>
      <c r="F153">
        <f>YEAR(Employee_Data[[#This Row],[HireDate]])</f>
        <v>2024</v>
      </c>
      <c r="G153" s="5">
        <v>45328</v>
      </c>
      <c r="H153">
        <v>4</v>
      </c>
      <c r="I153">
        <v>15</v>
      </c>
      <c r="J153" s="1">
        <v>36349</v>
      </c>
      <c r="K153" s="1">
        <v>436188</v>
      </c>
    </row>
    <row r="154" spans="1:11" x14ac:dyDescent="0.25">
      <c r="A154" s="3">
        <v>153</v>
      </c>
      <c r="B154" s="4" t="s">
        <v>131</v>
      </c>
      <c r="C154" s="4" t="s">
        <v>382</v>
      </c>
      <c r="D154" s="4" t="s">
        <v>829</v>
      </c>
      <c r="E154">
        <f>MONTH(Employee_Data[[#This Row],[HireDate]])</f>
        <v>11</v>
      </c>
      <c r="F154">
        <f>YEAR(Employee_Data[[#This Row],[HireDate]])</f>
        <v>2019</v>
      </c>
      <c r="G154" s="5">
        <v>43785</v>
      </c>
      <c r="H154">
        <v>1</v>
      </c>
      <c r="I154">
        <v>29</v>
      </c>
      <c r="J154" s="1">
        <v>60901</v>
      </c>
      <c r="K154" s="1">
        <v>730812</v>
      </c>
    </row>
    <row r="155" spans="1:11" x14ac:dyDescent="0.25">
      <c r="A155" s="3">
        <v>154</v>
      </c>
      <c r="B155" s="4" t="s">
        <v>132</v>
      </c>
      <c r="C155" s="4" t="s">
        <v>336</v>
      </c>
      <c r="D155" s="4" t="s">
        <v>827</v>
      </c>
      <c r="E155">
        <f>MONTH(Employee_Data[[#This Row],[HireDate]])</f>
        <v>12</v>
      </c>
      <c r="F155">
        <f>YEAR(Employee_Data[[#This Row],[HireDate]])</f>
        <v>2021</v>
      </c>
      <c r="G155" s="5">
        <v>44538</v>
      </c>
      <c r="H155">
        <v>3</v>
      </c>
      <c r="I155">
        <v>26</v>
      </c>
      <c r="J155" s="1">
        <v>53150</v>
      </c>
      <c r="K155" s="1">
        <v>637800</v>
      </c>
    </row>
    <row r="156" spans="1:11" x14ac:dyDescent="0.25">
      <c r="A156" s="3">
        <v>155</v>
      </c>
      <c r="B156" s="4" t="s">
        <v>133</v>
      </c>
      <c r="C156" s="4" t="s">
        <v>481</v>
      </c>
      <c r="D156" s="4" t="s">
        <v>829</v>
      </c>
      <c r="E156">
        <f>MONTH(Employee_Data[[#This Row],[HireDate]])</f>
        <v>11</v>
      </c>
      <c r="F156">
        <f>YEAR(Employee_Data[[#This Row],[HireDate]])</f>
        <v>2016</v>
      </c>
      <c r="G156" s="5">
        <v>42677</v>
      </c>
      <c r="H156">
        <v>1</v>
      </c>
      <c r="I156">
        <v>31</v>
      </c>
      <c r="J156" s="1">
        <v>59460</v>
      </c>
      <c r="K156" s="1">
        <v>713520</v>
      </c>
    </row>
    <row r="157" spans="1:11" x14ac:dyDescent="0.25">
      <c r="A157" s="3">
        <v>156</v>
      </c>
      <c r="B157" s="4" t="s">
        <v>21</v>
      </c>
      <c r="C157" s="4" t="s">
        <v>441</v>
      </c>
      <c r="D157" s="4" t="s">
        <v>830</v>
      </c>
      <c r="E157">
        <f>MONTH(Employee_Data[[#This Row],[HireDate]])</f>
        <v>5</v>
      </c>
      <c r="F157">
        <f>YEAR(Employee_Data[[#This Row],[HireDate]])</f>
        <v>2018</v>
      </c>
      <c r="G157" s="5">
        <v>43230</v>
      </c>
      <c r="H157">
        <v>3</v>
      </c>
      <c r="I157">
        <v>24</v>
      </c>
      <c r="J157" s="1">
        <v>70246</v>
      </c>
      <c r="K157" s="1">
        <v>842952</v>
      </c>
    </row>
    <row r="158" spans="1:11" x14ac:dyDescent="0.25">
      <c r="A158" s="3">
        <v>157</v>
      </c>
      <c r="B158" s="4" t="s">
        <v>101</v>
      </c>
      <c r="C158" s="4" t="s">
        <v>482</v>
      </c>
      <c r="D158" s="4" t="s">
        <v>826</v>
      </c>
      <c r="E158">
        <f>MONTH(Employee_Data[[#This Row],[HireDate]])</f>
        <v>4</v>
      </c>
      <c r="F158">
        <f>YEAR(Employee_Data[[#This Row],[HireDate]])</f>
        <v>2021</v>
      </c>
      <c r="G158" s="5">
        <v>44294</v>
      </c>
      <c r="H158">
        <v>2</v>
      </c>
      <c r="I158">
        <v>20</v>
      </c>
      <c r="J158" s="1">
        <v>63206</v>
      </c>
      <c r="K158" s="1">
        <v>758472</v>
      </c>
    </row>
    <row r="159" spans="1:11" x14ac:dyDescent="0.25">
      <c r="A159" s="3">
        <v>158</v>
      </c>
      <c r="B159" s="4" t="s">
        <v>98</v>
      </c>
      <c r="C159" s="4" t="s">
        <v>372</v>
      </c>
      <c r="D159" s="4" t="s">
        <v>827</v>
      </c>
      <c r="E159">
        <f>MONTH(Employee_Data[[#This Row],[HireDate]])</f>
        <v>5</v>
      </c>
      <c r="F159">
        <f>YEAR(Employee_Data[[#This Row],[HireDate]])</f>
        <v>2022</v>
      </c>
      <c r="G159" s="5">
        <v>44703</v>
      </c>
      <c r="H159">
        <v>1</v>
      </c>
      <c r="I159">
        <v>8</v>
      </c>
      <c r="J159" s="1">
        <v>39396</v>
      </c>
      <c r="K159" s="1">
        <v>472752</v>
      </c>
    </row>
    <row r="160" spans="1:11" x14ac:dyDescent="0.25">
      <c r="A160" s="3">
        <v>159</v>
      </c>
      <c r="B160" s="4" t="s">
        <v>134</v>
      </c>
      <c r="C160" s="4" t="s">
        <v>483</v>
      </c>
      <c r="D160" s="4" t="s">
        <v>826</v>
      </c>
      <c r="E160">
        <f>MONTH(Employee_Data[[#This Row],[HireDate]])</f>
        <v>5</v>
      </c>
      <c r="F160">
        <f>YEAR(Employee_Data[[#This Row],[HireDate]])</f>
        <v>2024</v>
      </c>
      <c r="G160" s="5">
        <v>45441</v>
      </c>
      <c r="H160">
        <v>3</v>
      </c>
      <c r="I160">
        <v>31</v>
      </c>
      <c r="J160" s="1">
        <v>48021</v>
      </c>
      <c r="K160" s="1">
        <v>576252</v>
      </c>
    </row>
    <row r="161" spans="1:11" x14ac:dyDescent="0.25">
      <c r="A161" s="3">
        <v>160</v>
      </c>
      <c r="B161" s="4" t="s">
        <v>135</v>
      </c>
      <c r="C161" s="4" t="s">
        <v>484</v>
      </c>
      <c r="D161" s="4" t="s">
        <v>828</v>
      </c>
      <c r="E161">
        <f>MONTH(Employee_Data[[#This Row],[HireDate]])</f>
        <v>7</v>
      </c>
      <c r="F161">
        <f>YEAR(Employee_Data[[#This Row],[HireDate]])</f>
        <v>2022</v>
      </c>
      <c r="G161" s="5">
        <v>44746</v>
      </c>
      <c r="H161">
        <v>3</v>
      </c>
      <c r="I161">
        <v>48</v>
      </c>
      <c r="J161" s="1">
        <v>21408</v>
      </c>
      <c r="K161" s="1">
        <v>256896</v>
      </c>
    </row>
    <row r="162" spans="1:11" x14ac:dyDescent="0.25">
      <c r="A162" s="3">
        <v>161</v>
      </c>
      <c r="B162" s="4" t="s">
        <v>74</v>
      </c>
      <c r="C162" s="4" t="s">
        <v>413</v>
      </c>
      <c r="D162" s="4" t="s">
        <v>827</v>
      </c>
      <c r="E162">
        <f>MONTH(Employee_Data[[#This Row],[HireDate]])</f>
        <v>7</v>
      </c>
      <c r="F162">
        <f>YEAR(Employee_Data[[#This Row],[HireDate]])</f>
        <v>2023</v>
      </c>
      <c r="G162" s="5">
        <v>45118</v>
      </c>
      <c r="H162">
        <v>5</v>
      </c>
      <c r="I162">
        <v>30</v>
      </c>
      <c r="J162" s="1">
        <v>119345</v>
      </c>
      <c r="K162" s="1">
        <v>1432140</v>
      </c>
    </row>
    <row r="163" spans="1:11" x14ac:dyDescent="0.25">
      <c r="A163" s="3">
        <v>162</v>
      </c>
      <c r="B163" s="4" t="s">
        <v>136</v>
      </c>
      <c r="C163" s="4" t="s">
        <v>485</v>
      </c>
      <c r="D163" s="4" t="s">
        <v>830</v>
      </c>
      <c r="E163">
        <f>MONTH(Employee_Data[[#This Row],[HireDate]])</f>
        <v>5</v>
      </c>
      <c r="F163">
        <f>YEAR(Employee_Data[[#This Row],[HireDate]])</f>
        <v>2024</v>
      </c>
      <c r="G163" s="5">
        <v>45414</v>
      </c>
      <c r="H163">
        <v>3</v>
      </c>
      <c r="I163">
        <v>22</v>
      </c>
      <c r="J163" s="1">
        <v>105866</v>
      </c>
      <c r="K163" s="1">
        <v>1270392</v>
      </c>
    </row>
    <row r="164" spans="1:11" x14ac:dyDescent="0.25">
      <c r="A164" s="3">
        <v>163</v>
      </c>
      <c r="B164" s="4" t="s">
        <v>119</v>
      </c>
      <c r="C164" s="4" t="s">
        <v>85</v>
      </c>
      <c r="D164" s="4" t="s">
        <v>829</v>
      </c>
      <c r="E164">
        <f>MONTH(Employee_Data[[#This Row],[HireDate]])</f>
        <v>1</v>
      </c>
      <c r="F164">
        <f>YEAR(Employee_Data[[#This Row],[HireDate]])</f>
        <v>2021</v>
      </c>
      <c r="G164" s="5">
        <v>44203</v>
      </c>
      <c r="H164">
        <v>5</v>
      </c>
      <c r="I164">
        <v>6</v>
      </c>
      <c r="J164" s="1">
        <v>75676</v>
      </c>
      <c r="K164" s="1">
        <v>908112</v>
      </c>
    </row>
    <row r="165" spans="1:11" x14ac:dyDescent="0.25">
      <c r="A165" s="3">
        <v>164</v>
      </c>
      <c r="B165" s="4" t="s">
        <v>137</v>
      </c>
      <c r="C165" s="4" t="s">
        <v>486</v>
      </c>
      <c r="D165" s="4" t="s">
        <v>827</v>
      </c>
      <c r="E165">
        <f>MONTH(Employee_Data[[#This Row],[HireDate]])</f>
        <v>8</v>
      </c>
      <c r="F165">
        <f>YEAR(Employee_Data[[#This Row],[HireDate]])</f>
        <v>2018</v>
      </c>
      <c r="G165" s="5">
        <v>43318</v>
      </c>
      <c r="H165">
        <v>4</v>
      </c>
      <c r="I165">
        <v>34</v>
      </c>
      <c r="J165" s="1">
        <v>84530</v>
      </c>
      <c r="K165" s="1">
        <v>1014360</v>
      </c>
    </row>
    <row r="166" spans="1:11" x14ac:dyDescent="0.25">
      <c r="A166" s="3">
        <v>165</v>
      </c>
      <c r="B166" s="4" t="s">
        <v>115</v>
      </c>
      <c r="C166" s="4" t="s">
        <v>90</v>
      </c>
      <c r="D166" s="4" t="s">
        <v>827</v>
      </c>
      <c r="E166">
        <f>MONTH(Employee_Data[[#This Row],[HireDate]])</f>
        <v>11</v>
      </c>
      <c r="F166">
        <f>YEAR(Employee_Data[[#This Row],[HireDate]])</f>
        <v>2020</v>
      </c>
      <c r="G166" s="5">
        <v>44151</v>
      </c>
      <c r="H166">
        <v>2</v>
      </c>
      <c r="I166">
        <v>49</v>
      </c>
      <c r="J166" s="1">
        <v>59788</v>
      </c>
      <c r="K166" s="1">
        <v>717456</v>
      </c>
    </row>
    <row r="167" spans="1:11" x14ac:dyDescent="0.25">
      <c r="A167" s="3">
        <v>166</v>
      </c>
      <c r="B167" s="4" t="s">
        <v>138</v>
      </c>
      <c r="C167" s="4" t="s">
        <v>487</v>
      </c>
      <c r="D167" s="4" t="s">
        <v>830</v>
      </c>
      <c r="E167">
        <f>MONTH(Employee_Data[[#This Row],[HireDate]])</f>
        <v>8</v>
      </c>
      <c r="F167">
        <f>YEAR(Employee_Data[[#This Row],[HireDate]])</f>
        <v>2017</v>
      </c>
      <c r="G167" s="5">
        <v>42952</v>
      </c>
      <c r="H167">
        <v>3</v>
      </c>
      <c r="I167">
        <v>19</v>
      </c>
      <c r="J167" s="1">
        <v>91476</v>
      </c>
      <c r="K167" s="1">
        <v>1097712</v>
      </c>
    </row>
    <row r="168" spans="1:11" x14ac:dyDescent="0.25">
      <c r="A168" s="3">
        <v>167</v>
      </c>
      <c r="B168" s="4" t="s">
        <v>139</v>
      </c>
      <c r="C168" s="4" t="s">
        <v>488</v>
      </c>
      <c r="D168" s="4" t="s">
        <v>830</v>
      </c>
      <c r="E168">
        <f>MONTH(Employee_Data[[#This Row],[HireDate]])</f>
        <v>9</v>
      </c>
      <c r="F168">
        <f>YEAR(Employee_Data[[#This Row],[HireDate]])</f>
        <v>2018</v>
      </c>
      <c r="G168" s="5">
        <v>43350</v>
      </c>
      <c r="H168">
        <v>2</v>
      </c>
      <c r="I168">
        <v>29</v>
      </c>
      <c r="J168" s="1">
        <v>107166</v>
      </c>
      <c r="K168" s="1">
        <v>1285992</v>
      </c>
    </row>
    <row r="169" spans="1:11" x14ac:dyDescent="0.25">
      <c r="A169" s="3">
        <v>168</v>
      </c>
      <c r="B169" s="4" t="s">
        <v>22</v>
      </c>
      <c r="C169" s="4" t="s">
        <v>489</v>
      </c>
      <c r="D169" s="4" t="s">
        <v>826</v>
      </c>
      <c r="E169">
        <f>MONTH(Employee_Data[[#This Row],[HireDate]])</f>
        <v>10</v>
      </c>
      <c r="F169">
        <f>YEAR(Employee_Data[[#This Row],[HireDate]])</f>
        <v>2019</v>
      </c>
      <c r="G169" s="5">
        <v>43751</v>
      </c>
      <c r="H169">
        <v>4</v>
      </c>
      <c r="I169">
        <v>34</v>
      </c>
      <c r="J169" s="1">
        <v>96967</v>
      </c>
      <c r="K169" s="1">
        <v>1163604</v>
      </c>
    </row>
    <row r="170" spans="1:11" x14ac:dyDescent="0.25">
      <c r="A170" s="3">
        <v>169</v>
      </c>
      <c r="B170" s="4" t="s">
        <v>53</v>
      </c>
      <c r="C170" s="4" t="s">
        <v>432</v>
      </c>
      <c r="D170" s="4" t="s">
        <v>829</v>
      </c>
      <c r="E170">
        <f>MONTH(Employee_Data[[#This Row],[HireDate]])</f>
        <v>12</v>
      </c>
      <c r="F170">
        <f>YEAR(Employee_Data[[#This Row],[HireDate]])</f>
        <v>2021</v>
      </c>
      <c r="G170" s="5">
        <v>44549</v>
      </c>
      <c r="H170">
        <v>1</v>
      </c>
      <c r="I170">
        <v>24</v>
      </c>
      <c r="J170" s="1">
        <v>66724</v>
      </c>
      <c r="K170" s="1">
        <v>800688</v>
      </c>
    </row>
    <row r="171" spans="1:11" x14ac:dyDescent="0.25">
      <c r="A171" s="3">
        <v>170</v>
      </c>
      <c r="B171" s="4" t="s">
        <v>140</v>
      </c>
      <c r="C171" s="4" t="s">
        <v>490</v>
      </c>
      <c r="D171" s="4" t="s">
        <v>829</v>
      </c>
      <c r="E171">
        <f>MONTH(Employee_Data[[#This Row],[HireDate]])</f>
        <v>11</v>
      </c>
      <c r="F171">
        <f>YEAR(Employee_Data[[#This Row],[HireDate]])</f>
        <v>2016</v>
      </c>
      <c r="G171" s="5">
        <v>42675</v>
      </c>
      <c r="H171">
        <v>4</v>
      </c>
      <c r="I171">
        <v>11</v>
      </c>
      <c r="J171" s="1">
        <v>65590</v>
      </c>
      <c r="K171" s="1">
        <v>787080</v>
      </c>
    </row>
    <row r="172" spans="1:11" x14ac:dyDescent="0.25">
      <c r="A172" s="3">
        <v>171</v>
      </c>
      <c r="B172" s="4" t="s">
        <v>102</v>
      </c>
      <c r="C172" s="4" t="s">
        <v>382</v>
      </c>
      <c r="D172" s="4" t="s">
        <v>829</v>
      </c>
      <c r="E172">
        <f>MONTH(Employee_Data[[#This Row],[HireDate]])</f>
        <v>1</v>
      </c>
      <c r="F172">
        <f>YEAR(Employee_Data[[#This Row],[HireDate]])</f>
        <v>2024</v>
      </c>
      <c r="G172" s="5">
        <v>45292</v>
      </c>
      <c r="H172">
        <v>3</v>
      </c>
      <c r="I172">
        <v>35</v>
      </c>
      <c r="J172" s="1">
        <v>42740</v>
      </c>
      <c r="K172" s="1">
        <v>512880</v>
      </c>
    </row>
    <row r="173" spans="1:11" x14ac:dyDescent="0.25">
      <c r="A173" s="3">
        <v>172</v>
      </c>
      <c r="B173" s="4" t="s">
        <v>16</v>
      </c>
      <c r="C173" s="4" t="s">
        <v>402</v>
      </c>
      <c r="D173" s="4" t="s">
        <v>826</v>
      </c>
      <c r="E173">
        <f>MONTH(Employee_Data[[#This Row],[HireDate]])</f>
        <v>4</v>
      </c>
      <c r="F173">
        <f>YEAR(Employee_Data[[#This Row],[HireDate]])</f>
        <v>2022</v>
      </c>
      <c r="G173" s="5">
        <v>44660</v>
      </c>
      <c r="H173">
        <v>5</v>
      </c>
      <c r="I173">
        <v>15</v>
      </c>
      <c r="J173" s="1">
        <v>60292</v>
      </c>
      <c r="K173" s="1">
        <v>723504</v>
      </c>
    </row>
    <row r="174" spans="1:11" x14ac:dyDescent="0.25">
      <c r="A174" s="3">
        <v>173</v>
      </c>
      <c r="B174" s="4" t="s">
        <v>24</v>
      </c>
      <c r="C174" s="4" t="s">
        <v>491</v>
      </c>
      <c r="D174" s="4" t="s">
        <v>830</v>
      </c>
      <c r="E174">
        <f>MONTH(Employee_Data[[#This Row],[HireDate]])</f>
        <v>5</v>
      </c>
      <c r="F174">
        <f>YEAR(Employee_Data[[#This Row],[HireDate]])</f>
        <v>2022</v>
      </c>
      <c r="G174" s="5">
        <v>44707</v>
      </c>
      <c r="H174">
        <v>3</v>
      </c>
      <c r="I174">
        <v>7</v>
      </c>
      <c r="J174" s="1">
        <v>46327</v>
      </c>
      <c r="K174" s="1">
        <v>555924</v>
      </c>
    </row>
    <row r="175" spans="1:11" x14ac:dyDescent="0.25">
      <c r="A175" s="3">
        <v>174</v>
      </c>
      <c r="B175" s="4" t="s">
        <v>141</v>
      </c>
      <c r="C175" s="4" t="s">
        <v>366</v>
      </c>
      <c r="D175" s="4" t="s">
        <v>828</v>
      </c>
      <c r="E175">
        <f>MONTH(Employee_Data[[#This Row],[HireDate]])</f>
        <v>10</v>
      </c>
      <c r="F175">
        <f>YEAR(Employee_Data[[#This Row],[HireDate]])</f>
        <v>2016</v>
      </c>
      <c r="G175" s="5">
        <v>42647</v>
      </c>
      <c r="H175">
        <v>5</v>
      </c>
      <c r="I175">
        <v>32</v>
      </c>
      <c r="J175" s="1">
        <v>44897</v>
      </c>
      <c r="K175" s="1">
        <v>538764</v>
      </c>
    </row>
    <row r="176" spans="1:11" x14ac:dyDescent="0.25">
      <c r="A176" s="3">
        <v>175</v>
      </c>
      <c r="B176" s="4" t="s">
        <v>142</v>
      </c>
      <c r="C176" s="4" t="s">
        <v>492</v>
      </c>
      <c r="D176" s="4" t="s">
        <v>826</v>
      </c>
      <c r="E176">
        <f>MONTH(Employee_Data[[#This Row],[HireDate]])</f>
        <v>7</v>
      </c>
      <c r="F176">
        <f>YEAR(Employee_Data[[#This Row],[HireDate]])</f>
        <v>2018</v>
      </c>
      <c r="G176" s="5">
        <v>43306</v>
      </c>
      <c r="H176">
        <v>5</v>
      </c>
      <c r="I176">
        <v>24</v>
      </c>
      <c r="J176" s="1">
        <v>55828</v>
      </c>
      <c r="K176" s="1">
        <v>669936</v>
      </c>
    </row>
    <row r="177" spans="1:11" x14ac:dyDescent="0.25">
      <c r="A177" s="3">
        <v>176</v>
      </c>
      <c r="B177" s="4" t="s">
        <v>143</v>
      </c>
      <c r="C177" s="4" t="s">
        <v>195</v>
      </c>
      <c r="D177" s="4" t="s">
        <v>828</v>
      </c>
      <c r="E177">
        <f>MONTH(Employee_Data[[#This Row],[HireDate]])</f>
        <v>10</v>
      </c>
      <c r="F177">
        <f>YEAR(Employee_Data[[#This Row],[HireDate]])</f>
        <v>2020</v>
      </c>
      <c r="G177" s="5">
        <v>44115</v>
      </c>
      <c r="H177">
        <v>2</v>
      </c>
      <c r="I177">
        <v>13</v>
      </c>
      <c r="J177" s="1">
        <v>88187</v>
      </c>
      <c r="K177" s="1">
        <v>1058244</v>
      </c>
    </row>
    <row r="178" spans="1:11" x14ac:dyDescent="0.25">
      <c r="A178" s="3">
        <v>177</v>
      </c>
      <c r="B178" s="4" t="s">
        <v>144</v>
      </c>
      <c r="C178" s="4" t="s">
        <v>441</v>
      </c>
      <c r="D178" s="4" t="s">
        <v>826</v>
      </c>
      <c r="E178">
        <f>MONTH(Employee_Data[[#This Row],[HireDate]])</f>
        <v>3</v>
      </c>
      <c r="F178">
        <f>YEAR(Employee_Data[[#This Row],[HireDate]])</f>
        <v>2019</v>
      </c>
      <c r="G178" s="5">
        <v>43537</v>
      </c>
      <c r="H178">
        <v>1</v>
      </c>
      <c r="I178">
        <v>1</v>
      </c>
      <c r="J178" s="1">
        <v>68057</v>
      </c>
      <c r="K178" s="1">
        <v>816684</v>
      </c>
    </row>
    <row r="179" spans="1:11" x14ac:dyDescent="0.25">
      <c r="A179" s="3">
        <v>178</v>
      </c>
      <c r="B179" s="4" t="s">
        <v>74</v>
      </c>
      <c r="C179" s="4" t="s">
        <v>493</v>
      </c>
      <c r="D179" s="4" t="s">
        <v>830</v>
      </c>
      <c r="E179">
        <f>MONTH(Employee_Data[[#This Row],[HireDate]])</f>
        <v>1</v>
      </c>
      <c r="F179">
        <f>YEAR(Employee_Data[[#This Row],[HireDate]])</f>
        <v>2021</v>
      </c>
      <c r="G179" s="5">
        <v>44201</v>
      </c>
      <c r="H179">
        <v>5</v>
      </c>
      <c r="I179">
        <v>44</v>
      </c>
      <c r="J179" s="1">
        <v>49215</v>
      </c>
      <c r="K179" s="1">
        <v>590580</v>
      </c>
    </row>
    <row r="180" spans="1:11" x14ac:dyDescent="0.25">
      <c r="A180" s="3">
        <v>179</v>
      </c>
      <c r="B180" s="4" t="s">
        <v>91</v>
      </c>
      <c r="C180" s="4" t="s">
        <v>494</v>
      </c>
      <c r="D180" s="4" t="s">
        <v>826</v>
      </c>
      <c r="E180">
        <f>MONTH(Employee_Data[[#This Row],[HireDate]])</f>
        <v>8</v>
      </c>
      <c r="F180">
        <f>YEAR(Employee_Data[[#This Row],[HireDate]])</f>
        <v>2023</v>
      </c>
      <c r="G180" s="5">
        <v>45148</v>
      </c>
      <c r="H180">
        <v>5</v>
      </c>
      <c r="I180">
        <v>13</v>
      </c>
      <c r="J180" s="1">
        <v>117155</v>
      </c>
      <c r="K180" s="1">
        <v>1405860</v>
      </c>
    </row>
    <row r="181" spans="1:11" x14ac:dyDescent="0.25">
      <c r="A181" s="3">
        <v>180</v>
      </c>
      <c r="B181" s="4" t="s">
        <v>38</v>
      </c>
      <c r="C181" s="4" t="s">
        <v>495</v>
      </c>
      <c r="D181" s="4" t="s">
        <v>829</v>
      </c>
      <c r="E181">
        <f>MONTH(Employee_Data[[#This Row],[HireDate]])</f>
        <v>8</v>
      </c>
      <c r="F181">
        <f>YEAR(Employee_Data[[#This Row],[HireDate]])</f>
        <v>2016</v>
      </c>
      <c r="G181" s="5">
        <v>42605</v>
      </c>
      <c r="H181">
        <v>4</v>
      </c>
      <c r="I181">
        <v>36</v>
      </c>
      <c r="J181" s="1">
        <v>100228</v>
      </c>
      <c r="K181" s="1">
        <v>1202736</v>
      </c>
    </row>
    <row r="182" spans="1:11" x14ac:dyDescent="0.25">
      <c r="A182" s="3">
        <v>181</v>
      </c>
      <c r="B182" s="4" t="s">
        <v>133</v>
      </c>
      <c r="C182" s="4" t="s">
        <v>496</v>
      </c>
      <c r="D182" s="4" t="s">
        <v>827</v>
      </c>
      <c r="E182">
        <f>MONTH(Employee_Data[[#This Row],[HireDate]])</f>
        <v>9</v>
      </c>
      <c r="F182">
        <f>YEAR(Employee_Data[[#This Row],[HireDate]])</f>
        <v>2016</v>
      </c>
      <c r="G182" s="5">
        <v>42628</v>
      </c>
      <c r="H182">
        <v>1</v>
      </c>
      <c r="I182">
        <v>3</v>
      </c>
      <c r="J182" s="1">
        <v>104749</v>
      </c>
      <c r="K182" s="1">
        <v>1256988</v>
      </c>
    </row>
    <row r="183" spans="1:11" x14ac:dyDescent="0.25">
      <c r="A183" s="3">
        <v>182</v>
      </c>
      <c r="B183" s="4" t="s">
        <v>145</v>
      </c>
      <c r="C183" s="4" t="s">
        <v>382</v>
      </c>
      <c r="D183" s="4" t="s">
        <v>827</v>
      </c>
      <c r="E183">
        <f>MONTH(Employee_Data[[#This Row],[HireDate]])</f>
        <v>3</v>
      </c>
      <c r="F183">
        <f>YEAR(Employee_Data[[#This Row],[HireDate]])</f>
        <v>2021</v>
      </c>
      <c r="G183" s="5">
        <v>44259</v>
      </c>
      <c r="H183">
        <v>1</v>
      </c>
      <c r="I183">
        <v>14</v>
      </c>
      <c r="J183" s="1">
        <v>96386</v>
      </c>
      <c r="K183" s="1">
        <v>1156632</v>
      </c>
    </row>
    <row r="184" spans="1:11" x14ac:dyDescent="0.25">
      <c r="A184" s="3">
        <v>183</v>
      </c>
      <c r="B184" s="4" t="s">
        <v>146</v>
      </c>
      <c r="C184" s="4" t="s">
        <v>497</v>
      </c>
      <c r="D184" s="4" t="s">
        <v>829</v>
      </c>
      <c r="E184">
        <f>MONTH(Employee_Data[[#This Row],[HireDate]])</f>
        <v>5</v>
      </c>
      <c r="F184">
        <f>YEAR(Employee_Data[[#This Row],[HireDate]])</f>
        <v>2021</v>
      </c>
      <c r="G184" s="5">
        <v>44333</v>
      </c>
      <c r="H184">
        <v>1</v>
      </c>
      <c r="I184">
        <v>14</v>
      </c>
      <c r="J184" s="1">
        <v>80181</v>
      </c>
      <c r="K184" s="1">
        <v>962172</v>
      </c>
    </row>
    <row r="185" spans="1:11" x14ac:dyDescent="0.25">
      <c r="A185" s="3">
        <v>184</v>
      </c>
      <c r="B185" s="4" t="s">
        <v>116</v>
      </c>
      <c r="C185" s="4" t="s">
        <v>498</v>
      </c>
      <c r="D185" s="4" t="s">
        <v>827</v>
      </c>
      <c r="E185">
        <f>MONTH(Employee_Data[[#This Row],[HireDate]])</f>
        <v>10</v>
      </c>
      <c r="F185">
        <f>YEAR(Employee_Data[[#This Row],[HireDate]])</f>
        <v>2023</v>
      </c>
      <c r="G185" s="5">
        <v>45201</v>
      </c>
      <c r="H185">
        <v>4</v>
      </c>
      <c r="I185">
        <v>10</v>
      </c>
      <c r="J185" s="1">
        <v>105774</v>
      </c>
      <c r="K185" s="1">
        <v>1269288</v>
      </c>
    </row>
    <row r="186" spans="1:11" x14ac:dyDescent="0.25">
      <c r="A186" s="3">
        <v>185</v>
      </c>
      <c r="B186" s="4" t="s">
        <v>22</v>
      </c>
      <c r="C186" s="4" t="s">
        <v>499</v>
      </c>
      <c r="D186" s="4" t="s">
        <v>828</v>
      </c>
      <c r="E186">
        <f>MONTH(Employee_Data[[#This Row],[HireDate]])</f>
        <v>9</v>
      </c>
      <c r="F186">
        <f>YEAR(Employee_Data[[#This Row],[HireDate]])</f>
        <v>2017</v>
      </c>
      <c r="G186" s="5">
        <v>42981</v>
      </c>
      <c r="H186">
        <v>5</v>
      </c>
      <c r="I186">
        <v>21</v>
      </c>
      <c r="J186" s="1">
        <v>53387</v>
      </c>
      <c r="K186" s="1">
        <v>640644</v>
      </c>
    </row>
    <row r="187" spans="1:11" x14ac:dyDescent="0.25">
      <c r="A187" s="3">
        <v>186</v>
      </c>
      <c r="B187" s="4" t="s">
        <v>73</v>
      </c>
      <c r="C187" s="4" t="s">
        <v>500</v>
      </c>
      <c r="D187" s="4" t="s">
        <v>829</v>
      </c>
      <c r="E187">
        <f>MONTH(Employee_Data[[#This Row],[HireDate]])</f>
        <v>7</v>
      </c>
      <c r="F187">
        <f>YEAR(Employee_Data[[#This Row],[HireDate]])</f>
        <v>2020</v>
      </c>
      <c r="G187" s="5">
        <v>44020</v>
      </c>
      <c r="H187">
        <v>2</v>
      </c>
      <c r="I187">
        <v>26</v>
      </c>
      <c r="J187" s="1">
        <v>90641</v>
      </c>
      <c r="K187" s="1">
        <v>1087692</v>
      </c>
    </row>
    <row r="188" spans="1:11" x14ac:dyDescent="0.25">
      <c r="A188" s="3">
        <v>187</v>
      </c>
      <c r="B188" s="4" t="s">
        <v>35</v>
      </c>
      <c r="C188" s="4" t="s">
        <v>501</v>
      </c>
      <c r="D188" s="4" t="s">
        <v>829</v>
      </c>
      <c r="E188">
        <f>MONTH(Employee_Data[[#This Row],[HireDate]])</f>
        <v>3</v>
      </c>
      <c r="F188">
        <f>YEAR(Employee_Data[[#This Row],[HireDate]])</f>
        <v>2017</v>
      </c>
      <c r="G188" s="5">
        <v>42802</v>
      </c>
      <c r="H188">
        <v>4</v>
      </c>
      <c r="I188">
        <v>17</v>
      </c>
      <c r="J188" s="1">
        <v>116567</v>
      </c>
      <c r="K188" s="1">
        <v>1398804</v>
      </c>
    </row>
    <row r="189" spans="1:11" x14ac:dyDescent="0.25">
      <c r="A189" s="3">
        <v>188</v>
      </c>
      <c r="B189" s="4" t="s">
        <v>88</v>
      </c>
      <c r="C189" s="4" t="s">
        <v>502</v>
      </c>
      <c r="D189" s="4" t="s">
        <v>830</v>
      </c>
      <c r="E189">
        <f>MONTH(Employee_Data[[#This Row],[HireDate]])</f>
        <v>1</v>
      </c>
      <c r="F189">
        <f>YEAR(Employee_Data[[#This Row],[HireDate]])</f>
        <v>2024</v>
      </c>
      <c r="G189" s="5">
        <v>45292</v>
      </c>
      <c r="H189">
        <v>4</v>
      </c>
      <c r="I189">
        <v>41</v>
      </c>
      <c r="J189" s="1">
        <v>49392</v>
      </c>
      <c r="K189" s="1">
        <v>592704</v>
      </c>
    </row>
    <row r="190" spans="1:11" x14ac:dyDescent="0.25">
      <c r="A190" s="3">
        <v>189</v>
      </c>
      <c r="B190" s="4" t="s">
        <v>147</v>
      </c>
      <c r="C190" s="4" t="s">
        <v>503</v>
      </c>
      <c r="D190" s="4" t="s">
        <v>827</v>
      </c>
      <c r="E190">
        <f>MONTH(Employee_Data[[#This Row],[HireDate]])</f>
        <v>6</v>
      </c>
      <c r="F190">
        <f>YEAR(Employee_Data[[#This Row],[HireDate]])</f>
        <v>2023</v>
      </c>
      <c r="G190" s="5">
        <v>45085</v>
      </c>
      <c r="H190">
        <v>1</v>
      </c>
      <c r="I190">
        <v>1</v>
      </c>
      <c r="J190" s="1">
        <v>55993</v>
      </c>
      <c r="K190" s="1">
        <v>671916</v>
      </c>
    </row>
    <row r="191" spans="1:11" x14ac:dyDescent="0.25">
      <c r="A191" s="3">
        <v>190</v>
      </c>
      <c r="B191" s="4" t="s">
        <v>129</v>
      </c>
      <c r="C191" s="4" t="s">
        <v>381</v>
      </c>
      <c r="D191" s="4" t="s">
        <v>826</v>
      </c>
      <c r="E191">
        <f>MONTH(Employee_Data[[#This Row],[HireDate]])</f>
        <v>3</v>
      </c>
      <c r="F191">
        <f>YEAR(Employee_Data[[#This Row],[HireDate]])</f>
        <v>2022</v>
      </c>
      <c r="G191" s="5">
        <v>44650</v>
      </c>
      <c r="H191">
        <v>3</v>
      </c>
      <c r="I191">
        <v>20</v>
      </c>
      <c r="J191" s="1">
        <v>73611</v>
      </c>
      <c r="K191" s="1">
        <v>883332</v>
      </c>
    </row>
    <row r="192" spans="1:11" x14ac:dyDescent="0.25">
      <c r="A192" s="3">
        <v>191</v>
      </c>
      <c r="B192" s="4" t="s">
        <v>105</v>
      </c>
      <c r="C192" s="4" t="s">
        <v>504</v>
      </c>
      <c r="D192" s="4" t="s">
        <v>828</v>
      </c>
      <c r="E192">
        <f>MONTH(Employee_Data[[#This Row],[HireDate]])</f>
        <v>1</v>
      </c>
      <c r="F192">
        <f>YEAR(Employee_Data[[#This Row],[HireDate]])</f>
        <v>2020</v>
      </c>
      <c r="G192" s="5">
        <v>43838</v>
      </c>
      <c r="H192">
        <v>1</v>
      </c>
      <c r="I192">
        <v>9</v>
      </c>
      <c r="J192" s="1">
        <v>85154</v>
      </c>
      <c r="K192" s="1">
        <v>1021848</v>
      </c>
    </row>
    <row r="193" spans="1:11" x14ac:dyDescent="0.25">
      <c r="A193" s="3">
        <v>192</v>
      </c>
      <c r="B193" s="4" t="s">
        <v>20</v>
      </c>
      <c r="C193" s="4" t="s">
        <v>382</v>
      </c>
      <c r="D193" s="4" t="s">
        <v>826</v>
      </c>
      <c r="E193">
        <f>MONTH(Employee_Data[[#This Row],[HireDate]])</f>
        <v>6</v>
      </c>
      <c r="F193">
        <f>YEAR(Employee_Data[[#This Row],[HireDate]])</f>
        <v>2017</v>
      </c>
      <c r="G193" s="5">
        <v>42893</v>
      </c>
      <c r="H193">
        <v>3</v>
      </c>
      <c r="I193">
        <v>2</v>
      </c>
      <c r="J193" s="1">
        <v>52914</v>
      </c>
      <c r="K193" s="1">
        <v>634968</v>
      </c>
    </row>
    <row r="194" spans="1:11" x14ac:dyDescent="0.25">
      <c r="A194" s="3">
        <v>193</v>
      </c>
      <c r="B194" s="4" t="s">
        <v>91</v>
      </c>
      <c r="C194" s="4" t="s">
        <v>505</v>
      </c>
      <c r="D194" s="4" t="s">
        <v>830</v>
      </c>
      <c r="E194">
        <f>MONTH(Employee_Data[[#This Row],[HireDate]])</f>
        <v>8</v>
      </c>
      <c r="F194">
        <f>YEAR(Employee_Data[[#This Row],[HireDate]])</f>
        <v>2024</v>
      </c>
      <c r="G194" s="5">
        <v>45518</v>
      </c>
      <c r="H194">
        <v>4</v>
      </c>
      <c r="I194">
        <v>7</v>
      </c>
      <c r="J194" s="1">
        <v>69389</v>
      </c>
      <c r="K194" s="1">
        <v>832668</v>
      </c>
    </row>
    <row r="195" spans="1:11" x14ac:dyDescent="0.25">
      <c r="A195" s="3">
        <v>194</v>
      </c>
      <c r="B195" s="4" t="s">
        <v>145</v>
      </c>
      <c r="C195" s="4" t="s">
        <v>506</v>
      </c>
      <c r="D195" s="4" t="s">
        <v>829</v>
      </c>
      <c r="E195">
        <f>MONTH(Employee_Data[[#This Row],[HireDate]])</f>
        <v>10</v>
      </c>
      <c r="F195">
        <f>YEAR(Employee_Data[[#This Row],[HireDate]])</f>
        <v>2023</v>
      </c>
      <c r="G195" s="5">
        <v>45210</v>
      </c>
      <c r="H195">
        <v>3</v>
      </c>
      <c r="I195">
        <v>20</v>
      </c>
      <c r="J195" s="1">
        <v>98554</v>
      </c>
      <c r="K195" s="1">
        <v>1182648</v>
      </c>
    </row>
    <row r="196" spans="1:11" x14ac:dyDescent="0.25">
      <c r="A196" s="3">
        <v>195</v>
      </c>
      <c r="B196" s="4" t="s">
        <v>148</v>
      </c>
      <c r="C196" s="4" t="s">
        <v>178</v>
      </c>
      <c r="D196" s="4" t="s">
        <v>828</v>
      </c>
      <c r="E196">
        <f>MONTH(Employee_Data[[#This Row],[HireDate]])</f>
        <v>4</v>
      </c>
      <c r="F196">
        <f>YEAR(Employee_Data[[#This Row],[HireDate]])</f>
        <v>2023</v>
      </c>
      <c r="G196" s="5">
        <v>45033</v>
      </c>
      <c r="H196">
        <v>1</v>
      </c>
      <c r="I196">
        <v>45</v>
      </c>
      <c r="J196" s="1">
        <v>117220</v>
      </c>
      <c r="K196" s="1">
        <v>1406640</v>
      </c>
    </row>
    <row r="197" spans="1:11" x14ac:dyDescent="0.25">
      <c r="A197" s="3">
        <v>196</v>
      </c>
      <c r="B197" s="4" t="s">
        <v>44</v>
      </c>
      <c r="C197" s="4" t="s">
        <v>507</v>
      </c>
      <c r="D197" s="4" t="s">
        <v>829</v>
      </c>
      <c r="E197">
        <f>MONTH(Employee_Data[[#This Row],[HireDate]])</f>
        <v>12</v>
      </c>
      <c r="F197">
        <f>YEAR(Employee_Data[[#This Row],[HireDate]])</f>
        <v>2020</v>
      </c>
      <c r="G197" s="5">
        <v>44169</v>
      </c>
      <c r="H197">
        <v>5</v>
      </c>
      <c r="I197">
        <v>31</v>
      </c>
      <c r="J197" s="1">
        <v>83539</v>
      </c>
      <c r="K197" s="1">
        <v>1002468</v>
      </c>
    </row>
    <row r="198" spans="1:11" x14ac:dyDescent="0.25">
      <c r="A198" s="3">
        <v>197</v>
      </c>
      <c r="B198" s="4" t="s">
        <v>19</v>
      </c>
      <c r="C198" s="4" t="s">
        <v>426</v>
      </c>
      <c r="D198" s="4" t="s">
        <v>830</v>
      </c>
      <c r="E198">
        <f>MONTH(Employee_Data[[#This Row],[HireDate]])</f>
        <v>2</v>
      </c>
      <c r="F198">
        <f>YEAR(Employee_Data[[#This Row],[HireDate]])</f>
        <v>2018</v>
      </c>
      <c r="G198" s="5">
        <v>43149</v>
      </c>
      <c r="H198">
        <v>4</v>
      </c>
      <c r="I198">
        <v>32</v>
      </c>
      <c r="J198" s="1">
        <v>74738</v>
      </c>
      <c r="K198" s="1">
        <v>896856</v>
      </c>
    </row>
    <row r="199" spans="1:11" x14ac:dyDescent="0.25">
      <c r="A199" s="3">
        <v>198</v>
      </c>
      <c r="B199" s="4" t="s">
        <v>56</v>
      </c>
      <c r="C199" s="4" t="s">
        <v>508</v>
      </c>
      <c r="D199" s="4" t="s">
        <v>826</v>
      </c>
      <c r="E199">
        <f>MONTH(Employee_Data[[#This Row],[HireDate]])</f>
        <v>12</v>
      </c>
      <c r="F199">
        <f>YEAR(Employee_Data[[#This Row],[HireDate]])</f>
        <v>2018</v>
      </c>
      <c r="G199" s="5">
        <v>43440</v>
      </c>
      <c r="H199">
        <v>2</v>
      </c>
      <c r="I199">
        <v>44</v>
      </c>
      <c r="J199" s="1">
        <v>80103</v>
      </c>
      <c r="K199" s="1">
        <v>961236</v>
      </c>
    </row>
    <row r="200" spans="1:11" x14ac:dyDescent="0.25">
      <c r="A200" s="3">
        <v>199</v>
      </c>
      <c r="B200" s="4" t="s">
        <v>98</v>
      </c>
      <c r="C200" s="4" t="s">
        <v>281</v>
      </c>
      <c r="D200" s="4" t="s">
        <v>829</v>
      </c>
      <c r="E200">
        <f>MONTH(Employee_Data[[#This Row],[HireDate]])</f>
        <v>4</v>
      </c>
      <c r="F200">
        <f>YEAR(Employee_Data[[#This Row],[HireDate]])</f>
        <v>2017</v>
      </c>
      <c r="G200" s="5">
        <v>42830</v>
      </c>
      <c r="H200">
        <v>4</v>
      </c>
      <c r="I200">
        <v>42</v>
      </c>
      <c r="J200" s="1">
        <v>89637</v>
      </c>
      <c r="K200" s="1">
        <v>1075644</v>
      </c>
    </row>
    <row r="201" spans="1:11" x14ac:dyDescent="0.25">
      <c r="A201" s="3">
        <v>200</v>
      </c>
      <c r="B201" s="4" t="s">
        <v>67</v>
      </c>
      <c r="C201" s="4" t="s">
        <v>509</v>
      </c>
      <c r="D201" s="4" t="s">
        <v>828</v>
      </c>
      <c r="E201">
        <f>MONTH(Employee_Data[[#This Row],[HireDate]])</f>
        <v>8</v>
      </c>
      <c r="F201">
        <f>YEAR(Employee_Data[[#This Row],[HireDate]])</f>
        <v>2020</v>
      </c>
      <c r="G201" s="5">
        <v>44069</v>
      </c>
      <c r="H201">
        <v>2</v>
      </c>
      <c r="I201">
        <v>3</v>
      </c>
      <c r="J201" s="1">
        <v>109648</v>
      </c>
      <c r="K201" s="1">
        <v>1315776</v>
      </c>
    </row>
    <row r="202" spans="1:11" x14ac:dyDescent="0.25">
      <c r="A202" s="3">
        <v>201</v>
      </c>
      <c r="B202" s="4" t="s">
        <v>149</v>
      </c>
      <c r="C202" s="4" t="s">
        <v>510</v>
      </c>
      <c r="D202" s="4" t="s">
        <v>827</v>
      </c>
      <c r="E202">
        <f>MONTH(Employee_Data[[#This Row],[HireDate]])</f>
        <v>8</v>
      </c>
      <c r="F202">
        <f>YEAR(Employee_Data[[#This Row],[HireDate]])</f>
        <v>2023</v>
      </c>
      <c r="G202" s="5">
        <v>45162</v>
      </c>
      <c r="H202">
        <v>5</v>
      </c>
      <c r="I202">
        <v>15</v>
      </c>
      <c r="J202" s="1">
        <v>89592</v>
      </c>
      <c r="K202" s="1">
        <v>1075104</v>
      </c>
    </row>
    <row r="203" spans="1:11" x14ac:dyDescent="0.25">
      <c r="A203" s="3">
        <v>202</v>
      </c>
      <c r="B203" s="4" t="s">
        <v>33</v>
      </c>
      <c r="C203" s="4" t="s">
        <v>511</v>
      </c>
      <c r="D203" s="4" t="s">
        <v>827</v>
      </c>
      <c r="E203">
        <f>MONTH(Employee_Data[[#This Row],[HireDate]])</f>
        <v>10</v>
      </c>
      <c r="F203">
        <f>YEAR(Employee_Data[[#This Row],[HireDate]])</f>
        <v>2024</v>
      </c>
      <c r="G203" s="5">
        <v>45570</v>
      </c>
      <c r="H203">
        <v>4</v>
      </c>
      <c r="I203">
        <v>45</v>
      </c>
      <c r="J203" s="1">
        <v>64178</v>
      </c>
      <c r="K203" s="1">
        <v>770136</v>
      </c>
    </row>
    <row r="204" spans="1:11" x14ac:dyDescent="0.25">
      <c r="A204" s="3">
        <v>203</v>
      </c>
      <c r="B204" s="4" t="s">
        <v>150</v>
      </c>
      <c r="C204" s="4" t="s">
        <v>107</v>
      </c>
      <c r="D204" s="4" t="s">
        <v>828</v>
      </c>
      <c r="E204">
        <f>MONTH(Employee_Data[[#This Row],[HireDate]])</f>
        <v>10</v>
      </c>
      <c r="F204">
        <f>YEAR(Employee_Data[[#This Row],[HireDate]])</f>
        <v>2023</v>
      </c>
      <c r="G204" s="5">
        <v>45202</v>
      </c>
      <c r="H204">
        <v>5</v>
      </c>
      <c r="I204">
        <v>33</v>
      </c>
      <c r="J204" s="1">
        <v>58513</v>
      </c>
      <c r="K204" s="1">
        <v>702156</v>
      </c>
    </row>
    <row r="205" spans="1:11" x14ac:dyDescent="0.25">
      <c r="A205" s="3">
        <v>204</v>
      </c>
      <c r="B205" s="4" t="s">
        <v>151</v>
      </c>
      <c r="C205" s="4" t="s">
        <v>512</v>
      </c>
      <c r="D205" s="4" t="s">
        <v>827</v>
      </c>
      <c r="E205">
        <f>MONTH(Employee_Data[[#This Row],[HireDate]])</f>
        <v>5</v>
      </c>
      <c r="F205">
        <f>YEAR(Employee_Data[[#This Row],[HireDate]])</f>
        <v>2017</v>
      </c>
      <c r="G205" s="5">
        <v>42884</v>
      </c>
      <c r="H205">
        <v>5</v>
      </c>
      <c r="I205">
        <v>20</v>
      </c>
      <c r="J205" s="1">
        <v>59693</v>
      </c>
      <c r="K205" s="1">
        <v>716316</v>
      </c>
    </row>
    <row r="206" spans="1:11" x14ac:dyDescent="0.25">
      <c r="A206" s="3">
        <v>205</v>
      </c>
      <c r="B206" s="4" t="s">
        <v>125</v>
      </c>
      <c r="C206" s="4" t="s">
        <v>336</v>
      </c>
      <c r="D206" s="4" t="s">
        <v>828</v>
      </c>
      <c r="E206">
        <f>MONTH(Employee_Data[[#This Row],[HireDate]])</f>
        <v>10</v>
      </c>
      <c r="F206">
        <f>YEAR(Employee_Data[[#This Row],[HireDate]])</f>
        <v>2020</v>
      </c>
      <c r="G206" s="5">
        <v>44128</v>
      </c>
      <c r="H206">
        <v>1</v>
      </c>
      <c r="I206">
        <v>28</v>
      </c>
      <c r="J206" s="1">
        <v>55709</v>
      </c>
      <c r="K206" s="1">
        <v>668508</v>
      </c>
    </row>
    <row r="207" spans="1:11" x14ac:dyDescent="0.25">
      <c r="A207" s="3">
        <v>206</v>
      </c>
      <c r="B207" s="4" t="s">
        <v>152</v>
      </c>
      <c r="C207" s="4" t="s">
        <v>513</v>
      </c>
      <c r="D207" s="4" t="s">
        <v>830</v>
      </c>
      <c r="E207">
        <f>MONTH(Employee_Data[[#This Row],[HireDate]])</f>
        <v>12</v>
      </c>
      <c r="F207">
        <f>YEAR(Employee_Data[[#This Row],[HireDate]])</f>
        <v>2018</v>
      </c>
      <c r="G207" s="5">
        <v>43440</v>
      </c>
      <c r="H207">
        <v>5</v>
      </c>
      <c r="I207">
        <v>28</v>
      </c>
      <c r="J207" s="1">
        <v>54989</v>
      </c>
      <c r="K207" s="1">
        <v>659868</v>
      </c>
    </row>
    <row r="208" spans="1:11" x14ac:dyDescent="0.25">
      <c r="A208" s="3">
        <v>207</v>
      </c>
      <c r="B208" s="4" t="s">
        <v>153</v>
      </c>
      <c r="C208" s="4" t="s">
        <v>514</v>
      </c>
      <c r="D208" s="4" t="s">
        <v>826</v>
      </c>
      <c r="E208">
        <f>MONTH(Employee_Data[[#This Row],[HireDate]])</f>
        <v>10</v>
      </c>
      <c r="F208">
        <f>YEAR(Employee_Data[[#This Row],[HireDate]])</f>
        <v>2020</v>
      </c>
      <c r="G208" s="5">
        <v>44124</v>
      </c>
      <c r="H208">
        <v>2</v>
      </c>
      <c r="I208">
        <v>43</v>
      </c>
      <c r="J208" s="1">
        <v>70233</v>
      </c>
      <c r="K208" s="1">
        <v>842796</v>
      </c>
    </row>
    <row r="209" spans="1:11" x14ac:dyDescent="0.25">
      <c r="A209" s="3">
        <v>208</v>
      </c>
      <c r="B209" s="4" t="s">
        <v>154</v>
      </c>
      <c r="C209" s="4" t="s">
        <v>392</v>
      </c>
      <c r="D209" s="4" t="s">
        <v>826</v>
      </c>
      <c r="E209">
        <f>MONTH(Employee_Data[[#This Row],[HireDate]])</f>
        <v>11</v>
      </c>
      <c r="F209">
        <f>YEAR(Employee_Data[[#This Row],[HireDate]])</f>
        <v>2017</v>
      </c>
      <c r="G209" s="5">
        <v>43040</v>
      </c>
      <c r="H209">
        <v>5</v>
      </c>
      <c r="I209">
        <v>45</v>
      </c>
      <c r="J209" s="1">
        <v>88509</v>
      </c>
      <c r="K209" s="1">
        <v>1062108</v>
      </c>
    </row>
    <row r="210" spans="1:11" x14ac:dyDescent="0.25">
      <c r="A210" s="3">
        <v>209</v>
      </c>
      <c r="B210" s="4" t="s">
        <v>136</v>
      </c>
      <c r="C210" s="4" t="s">
        <v>515</v>
      </c>
      <c r="D210" s="4" t="s">
        <v>829</v>
      </c>
      <c r="E210">
        <f>MONTH(Employee_Data[[#This Row],[HireDate]])</f>
        <v>11</v>
      </c>
      <c r="F210">
        <f>YEAR(Employee_Data[[#This Row],[HireDate]])</f>
        <v>2021</v>
      </c>
      <c r="G210" s="5">
        <v>44515</v>
      </c>
      <c r="H210">
        <v>3</v>
      </c>
      <c r="I210">
        <v>42</v>
      </c>
      <c r="J210" s="1">
        <v>100879</v>
      </c>
      <c r="K210" s="1">
        <v>1210548</v>
      </c>
    </row>
    <row r="211" spans="1:11" x14ac:dyDescent="0.25">
      <c r="A211" s="3">
        <v>210</v>
      </c>
      <c r="B211" s="4" t="s">
        <v>155</v>
      </c>
      <c r="C211" s="4" t="s">
        <v>516</v>
      </c>
      <c r="D211" s="4" t="s">
        <v>827</v>
      </c>
      <c r="E211">
        <f>MONTH(Employee_Data[[#This Row],[HireDate]])</f>
        <v>11</v>
      </c>
      <c r="F211">
        <f>YEAR(Employee_Data[[#This Row],[HireDate]])</f>
        <v>2022</v>
      </c>
      <c r="G211" s="5">
        <v>44885</v>
      </c>
      <c r="H211">
        <v>1</v>
      </c>
      <c r="I211">
        <v>33</v>
      </c>
      <c r="J211" s="1">
        <v>118437</v>
      </c>
      <c r="K211" s="1">
        <v>1421244</v>
      </c>
    </row>
    <row r="212" spans="1:11" x14ac:dyDescent="0.25">
      <c r="A212" s="3">
        <v>211</v>
      </c>
      <c r="B212" s="4" t="s">
        <v>39</v>
      </c>
      <c r="C212" s="4" t="s">
        <v>517</v>
      </c>
      <c r="D212" s="4" t="s">
        <v>826</v>
      </c>
      <c r="E212">
        <f>MONTH(Employee_Data[[#This Row],[HireDate]])</f>
        <v>2</v>
      </c>
      <c r="F212">
        <f>YEAR(Employee_Data[[#This Row],[HireDate]])</f>
        <v>2016</v>
      </c>
      <c r="G212" s="5">
        <v>42409</v>
      </c>
      <c r="H212">
        <v>3</v>
      </c>
      <c r="I212">
        <v>48</v>
      </c>
      <c r="J212" s="1">
        <v>87565</v>
      </c>
      <c r="K212" s="1">
        <v>1050780</v>
      </c>
    </row>
    <row r="213" spans="1:11" x14ac:dyDescent="0.25">
      <c r="A213" s="3">
        <v>212</v>
      </c>
      <c r="B213" s="4" t="s">
        <v>125</v>
      </c>
      <c r="C213" s="4" t="s">
        <v>518</v>
      </c>
      <c r="D213" s="4" t="s">
        <v>830</v>
      </c>
      <c r="E213">
        <f>MONTH(Employee_Data[[#This Row],[HireDate]])</f>
        <v>12</v>
      </c>
      <c r="F213">
        <f>YEAR(Employee_Data[[#This Row],[HireDate]])</f>
        <v>2023</v>
      </c>
      <c r="G213" s="5">
        <v>45278</v>
      </c>
      <c r="H213">
        <v>1</v>
      </c>
      <c r="I213">
        <v>6</v>
      </c>
      <c r="J213" s="1">
        <v>104354</v>
      </c>
      <c r="K213" s="1">
        <v>1252248</v>
      </c>
    </row>
    <row r="214" spans="1:11" x14ac:dyDescent="0.25">
      <c r="A214" s="3">
        <v>213</v>
      </c>
      <c r="B214" s="4" t="s">
        <v>156</v>
      </c>
      <c r="C214" s="4" t="s">
        <v>519</v>
      </c>
      <c r="D214" s="4" t="s">
        <v>827</v>
      </c>
      <c r="E214">
        <f>MONTH(Employee_Data[[#This Row],[HireDate]])</f>
        <v>10</v>
      </c>
      <c r="F214">
        <f>YEAR(Employee_Data[[#This Row],[HireDate]])</f>
        <v>2020</v>
      </c>
      <c r="G214" s="5">
        <v>44106</v>
      </c>
      <c r="H214">
        <v>3</v>
      </c>
      <c r="I214">
        <v>48</v>
      </c>
      <c r="J214" s="1">
        <v>32209</v>
      </c>
      <c r="K214" s="1">
        <v>386508</v>
      </c>
    </row>
    <row r="215" spans="1:11" x14ac:dyDescent="0.25">
      <c r="A215" s="3">
        <v>214</v>
      </c>
      <c r="B215" s="4" t="s">
        <v>36</v>
      </c>
      <c r="C215" s="4" t="s">
        <v>520</v>
      </c>
      <c r="D215" s="4" t="s">
        <v>829</v>
      </c>
      <c r="E215">
        <f>MONTH(Employee_Data[[#This Row],[HireDate]])</f>
        <v>6</v>
      </c>
      <c r="F215">
        <f>YEAR(Employee_Data[[#This Row],[HireDate]])</f>
        <v>2017</v>
      </c>
      <c r="G215" s="5">
        <v>42905</v>
      </c>
      <c r="H215">
        <v>2</v>
      </c>
      <c r="I215">
        <v>15</v>
      </c>
      <c r="J215" s="1">
        <v>55599</v>
      </c>
      <c r="K215" s="1">
        <v>667188</v>
      </c>
    </row>
    <row r="216" spans="1:11" x14ac:dyDescent="0.25">
      <c r="A216" s="3">
        <v>215</v>
      </c>
      <c r="B216" s="4" t="s">
        <v>157</v>
      </c>
      <c r="C216" s="4" t="s">
        <v>12</v>
      </c>
      <c r="D216" s="4" t="s">
        <v>828</v>
      </c>
      <c r="E216">
        <f>MONTH(Employee_Data[[#This Row],[HireDate]])</f>
        <v>8</v>
      </c>
      <c r="F216">
        <f>YEAR(Employee_Data[[#This Row],[HireDate]])</f>
        <v>2022</v>
      </c>
      <c r="G216" s="5">
        <v>44804</v>
      </c>
      <c r="H216">
        <v>4</v>
      </c>
      <c r="I216">
        <v>11</v>
      </c>
      <c r="J216" s="1">
        <v>90532</v>
      </c>
      <c r="K216" s="1">
        <v>1086384</v>
      </c>
    </row>
    <row r="217" spans="1:11" x14ac:dyDescent="0.25">
      <c r="A217" s="3">
        <v>216</v>
      </c>
      <c r="B217" s="4" t="s">
        <v>158</v>
      </c>
      <c r="C217" s="4" t="s">
        <v>423</v>
      </c>
      <c r="D217" s="4" t="s">
        <v>829</v>
      </c>
      <c r="E217">
        <f>MONTH(Employee_Data[[#This Row],[HireDate]])</f>
        <v>10</v>
      </c>
      <c r="F217">
        <f>YEAR(Employee_Data[[#This Row],[HireDate]])</f>
        <v>2017</v>
      </c>
      <c r="G217" s="5">
        <v>43015</v>
      </c>
      <c r="H217">
        <v>5</v>
      </c>
      <c r="I217">
        <v>16</v>
      </c>
      <c r="J217" s="1">
        <v>116147</v>
      </c>
      <c r="K217" s="1">
        <v>1393764</v>
      </c>
    </row>
    <row r="218" spans="1:11" x14ac:dyDescent="0.25">
      <c r="A218" s="3">
        <v>217</v>
      </c>
      <c r="B218" s="4" t="s">
        <v>159</v>
      </c>
      <c r="C218" s="4" t="s">
        <v>521</v>
      </c>
      <c r="D218" s="4" t="s">
        <v>829</v>
      </c>
      <c r="E218">
        <f>MONTH(Employee_Data[[#This Row],[HireDate]])</f>
        <v>4</v>
      </c>
      <c r="F218">
        <f>YEAR(Employee_Data[[#This Row],[HireDate]])</f>
        <v>2016</v>
      </c>
      <c r="G218" s="5">
        <v>42471</v>
      </c>
      <c r="H218">
        <v>1</v>
      </c>
      <c r="I218">
        <v>26</v>
      </c>
      <c r="J218" s="1">
        <v>63154</v>
      </c>
      <c r="K218" s="1">
        <v>757848</v>
      </c>
    </row>
    <row r="219" spans="1:11" x14ac:dyDescent="0.25">
      <c r="A219" s="3">
        <v>218</v>
      </c>
      <c r="B219" s="4" t="s">
        <v>160</v>
      </c>
      <c r="C219" s="4" t="s">
        <v>522</v>
      </c>
      <c r="D219" s="4" t="s">
        <v>829</v>
      </c>
      <c r="E219">
        <f>MONTH(Employee_Data[[#This Row],[HireDate]])</f>
        <v>2</v>
      </c>
      <c r="F219">
        <f>YEAR(Employee_Data[[#This Row],[HireDate]])</f>
        <v>2023</v>
      </c>
      <c r="G219" s="5">
        <v>44983</v>
      </c>
      <c r="H219">
        <v>4</v>
      </c>
      <c r="I219">
        <v>45</v>
      </c>
      <c r="J219" s="1">
        <v>78715</v>
      </c>
      <c r="K219" s="1">
        <v>944580</v>
      </c>
    </row>
    <row r="220" spans="1:11" x14ac:dyDescent="0.25">
      <c r="A220" s="3">
        <v>219</v>
      </c>
      <c r="B220" s="4" t="s">
        <v>27</v>
      </c>
      <c r="C220" s="4" t="s">
        <v>523</v>
      </c>
      <c r="D220" s="4" t="s">
        <v>827</v>
      </c>
      <c r="E220">
        <f>MONTH(Employee_Data[[#This Row],[HireDate]])</f>
        <v>5</v>
      </c>
      <c r="F220">
        <f>YEAR(Employee_Data[[#This Row],[HireDate]])</f>
        <v>2016</v>
      </c>
      <c r="G220" s="5">
        <v>42508</v>
      </c>
      <c r="H220">
        <v>2</v>
      </c>
      <c r="I220">
        <v>43</v>
      </c>
      <c r="J220" s="1">
        <v>75362</v>
      </c>
      <c r="K220" s="1">
        <v>904344</v>
      </c>
    </row>
    <row r="221" spans="1:11" x14ac:dyDescent="0.25">
      <c r="A221" s="3">
        <v>220</v>
      </c>
      <c r="B221" s="4" t="s">
        <v>161</v>
      </c>
      <c r="C221" s="4" t="s">
        <v>396</v>
      </c>
      <c r="D221" s="4" t="s">
        <v>830</v>
      </c>
      <c r="E221">
        <f>MONTH(Employee_Data[[#This Row],[HireDate]])</f>
        <v>12</v>
      </c>
      <c r="F221">
        <f>YEAR(Employee_Data[[#This Row],[HireDate]])</f>
        <v>2018</v>
      </c>
      <c r="G221" s="5">
        <v>43463</v>
      </c>
      <c r="H221">
        <v>3</v>
      </c>
      <c r="I221">
        <v>37</v>
      </c>
      <c r="J221" s="1">
        <v>48880</v>
      </c>
      <c r="K221" s="1">
        <v>586560</v>
      </c>
    </row>
    <row r="222" spans="1:11" x14ac:dyDescent="0.25">
      <c r="A222" s="3">
        <v>221</v>
      </c>
      <c r="B222" s="4" t="s">
        <v>49</v>
      </c>
      <c r="C222" s="4" t="s">
        <v>524</v>
      </c>
      <c r="D222" s="4" t="s">
        <v>828</v>
      </c>
      <c r="E222">
        <f>MONTH(Employee_Data[[#This Row],[HireDate]])</f>
        <v>11</v>
      </c>
      <c r="F222">
        <f>YEAR(Employee_Data[[#This Row],[HireDate]])</f>
        <v>2022</v>
      </c>
      <c r="G222" s="5">
        <v>44886</v>
      </c>
      <c r="H222">
        <v>2</v>
      </c>
      <c r="I222">
        <v>1</v>
      </c>
      <c r="J222" s="1">
        <v>47866</v>
      </c>
      <c r="K222" s="1">
        <v>574392</v>
      </c>
    </row>
    <row r="223" spans="1:11" x14ac:dyDescent="0.25">
      <c r="A223" s="3">
        <v>222</v>
      </c>
      <c r="B223" s="4" t="s">
        <v>59</v>
      </c>
      <c r="C223" s="4" t="s">
        <v>387</v>
      </c>
      <c r="D223" s="4" t="s">
        <v>826</v>
      </c>
      <c r="E223">
        <f>MONTH(Employee_Data[[#This Row],[HireDate]])</f>
        <v>3</v>
      </c>
      <c r="F223">
        <f>YEAR(Employee_Data[[#This Row],[HireDate]])</f>
        <v>2023</v>
      </c>
      <c r="G223" s="5">
        <v>44990</v>
      </c>
      <c r="H223">
        <v>2</v>
      </c>
      <c r="I223">
        <v>20</v>
      </c>
      <c r="J223" s="1">
        <v>92588</v>
      </c>
      <c r="K223" s="1">
        <v>1111056</v>
      </c>
    </row>
    <row r="224" spans="1:11" x14ac:dyDescent="0.25">
      <c r="A224" s="3">
        <v>223</v>
      </c>
      <c r="B224" s="4" t="s">
        <v>121</v>
      </c>
      <c r="C224" s="4" t="s">
        <v>409</v>
      </c>
      <c r="D224" s="4" t="s">
        <v>829</v>
      </c>
      <c r="E224">
        <f>MONTH(Employee_Data[[#This Row],[HireDate]])</f>
        <v>12</v>
      </c>
      <c r="F224">
        <f>YEAR(Employee_Data[[#This Row],[HireDate]])</f>
        <v>2015</v>
      </c>
      <c r="G224" s="5">
        <v>42346</v>
      </c>
      <c r="H224">
        <v>5</v>
      </c>
      <c r="I224">
        <v>18</v>
      </c>
      <c r="J224" s="1">
        <v>59656</v>
      </c>
      <c r="K224" s="1">
        <v>715872</v>
      </c>
    </row>
    <row r="225" spans="1:11" x14ac:dyDescent="0.25">
      <c r="A225" s="3">
        <v>224</v>
      </c>
      <c r="B225" s="4" t="s">
        <v>162</v>
      </c>
      <c r="C225" s="4" t="s">
        <v>489</v>
      </c>
      <c r="D225" s="4" t="s">
        <v>829</v>
      </c>
      <c r="E225">
        <f>MONTH(Employee_Data[[#This Row],[HireDate]])</f>
        <v>2</v>
      </c>
      <c r="F225">
        <f>YEAR(Employee_Data[[#This Row],[HireDate]])</f>
        <v>2024</v>
      </c>
      <c r="G225" s="5">
        <v>45330</v>
      </c>
      <c r="H225">
        <v>5</v>
      </c>
      <c r="I225">
        <v>15</v>
      </c>
      <c r="J225" s="1">
        <v>66897</v>
      </c>
      <c r="K225" s="1">
        <v>802764</v>
      </c>
    </row>
    <row r="226" spans="1:11" x14ac:dyDescent="0.25">
      <c r="A226" s="3">
        <v>225</v>
      </c>
      <c r="B226" s="4" t="s">
        <v>163</v>
      </c>
      <c r="C226" s="4" t="s">
        <v>525</v>
      </c>
      <c r="D226" s="4" t="s">
        <v>826</v>
      </c>
      <c r="E226">
        <f>MONTH(Employee_Data[[#This Row],[HireDate]])</f>
        <v>11</v>
      </c>
      <c r="F226">
        <f>YEAR(Employee_Data[[#This Row],[HireDate]])</f>
        <v>2022</v>
      </c>
      <c r="G226" s="5">
        <v>44887</v>
      </c>
      <c r="H226">
        <v>2</v>
      </c>
      <c r="I226">
        <v>40</v>
      </c>
      <c r="J226" s="1">
        <v>98069</v>
      </c>
      <c r="K226" s="1">
        <v>1176828</v>
      </c>
    </row>
    <row r="227" spans="1:11" x14ac:dyDescent="0.25">
      <c r="A227" s="3">
        <v>226</v>
      </c>
      <c r="B227" s="4" t="s">
        <v>18</v>
      </c>
      <c r="C227" s="4" t="s">
        <v>382</v>
      </c>
      <c r="D227" s="4" t="s">
        <v>828</v>
      </c>
      <c r="E227">
        <f>MONTH(Employee_Data[[#This Row],[HireDate]])</f>
        <v>7</v>
      </c>
      <c r="F227">
        <f>YEAR(Employee_Data[[#This Row],[HireDate]])</f>
        <v>2016</v>
      </c>
      <c r="G227" s="5">
        <v>42560</v>
      </c>
      <c r="H227">
        <v>4</v>
      </c>
      <c r="I227">
        <v>13</v>
      </c>
      <c r="J227" s="1">
        <v>56163</v>
      </c>
      <c r="K227" s="1">
        <v>673956</v>
      </c>
    </row>
    <row r="228" spans="1:11" x14ac:dyDescent="0.25">
      <c r="A228" s="3">
        <v>227</v>
      </c>
      <c r="B228" s="4" t="s">
        <v>35</v>
      </c>
      <c r="C228" s="4" t="s">
        <v>414</v>
      </c>
      <c r="D228" s="4" t="s">
        <v>827</v>
      </c>
      <c r="E228">
        <f>MONTH(Employee_Data[[#This Row],[HireDate]])</f>
        <v>8</v>
      </c>
      <c r="F228">
        <f>YEAR(Employee_Data[[#This Row],[HireDate]])</f>
        <v>2022</v>
      </c>
      <c r="G228" s="5">
        <v>44774</v>
      </c>
      <c r="H228">
        <v>4</v>
      </c>
      <c r="I228">
        <v>17</v>
      </c>
      <c r="J228" s="1">
        <v>72532</v>
      </c>
      <c r="K228" s="1">
        <v>870384</v>
      </c>
    </row>
    <row r="229" spans="1:11" x14ac:dyDescent="0.25">
      <c r="A229" s="3">
        <v>228</v>
      </c>
      <c r="B229" s="4" t="s">
        <v>151</v>
      </c>
      <c r="C229" s="4" t="s">
        <v>226</v>
      </c>
      <c r="D229" s="4" t="s">
        <v>830</v>
      </c>
      <c r="E229">
        <f>MONTH(Employee_Data[[#This Row],[HireDate]])</f>
        <v>11</v>
      </c>
      <c r="F229">
        <f>YEAR(Employee_Data[[#This Row],[HireDate]])</f>
        <v>2017</v>
      </c>
      <c r="G229" s="5">
        <v>43060</v>
      </c>
      <c r="H229">
        <v>5</v>
      </c>
      <c r="I229">
        <v>2</v>
      </c>
      <c r="J229" s="1">
        <v>64045</v>
      </c>
      <c r="K229" s="1">
        <v>768540</v>
      </c>
    </row>
    <row r="230" spans="1:11" x14ac:dyDescent="0.25">
      <c r="A230" s="3">
        <v>229</v>
      </c>
      <c r="B230" s="4" t="s">
        <v>42</v>
      </c>
      <c r="C230" s="4" t="s">
        <v>381</v>
      </c>
      <c r="D230" s="4" t="s">
        <v>828</v>
      </c>
      <c r="E230">
        <f>MONTH(Employee_Data[[#This Row],[HireDate]])</f>
        <v>4</v>
      </c>
      <c r="F230">
        <f>YEAR(Employee_Data[[#This Row],[HireDate]])</f>
        <v>2017</v>
      </c>
      <c r="G230" s="5">
        <v>42843</v>
      </c>
      <c r="H230">
        <v>4</v>
      </c>
      <c r="I230">
        <v>28</v>
      </c>
      <c r="J230" s="1">
        <v>50184</v>
      </c>
      <c r="K230" s="1">
        <v>602208</v>
      </c>
    </row>
    <row r="231" spans="1:11" x14ac:dyDescent="0.25">
      <c r="A231" s="3">
        <v>230</v>
      </c>
      <c r="B231" s="4" t="s">
        <v>164</v>
      </c>
      <c r="C231" s="4" t="s">
        <v>365</v>
      </c>
      <c r="D231" s="4" t="s">
        <v>830</v>
      </c>
      <c r="E231">
        <f>MONTH(Employee_Data[[#This Row],[HireDate]])</f>
        <v>5</v>
      </c>
      <c r="F231">
        <f>YEAR(Employee_Data[[#This Row],[HireDate]])</f>
        <v>2016</v>
      </c>
      <c r="G231" s="5">
        <v>42497</v>
      </c>
      <c r="H231">
        <v>1</v>
      </c>
      <c r="I231">
        <v>4</v>
      </c>
      <c r="J231" s="1">
        <v>22347</v>
      </c>
      <c r="K231" s="1">
        <v>268164</v>
      </c>
    </row>
    <row r="232" spans="1:11" x14ac:dyDescent="0.25">
      <c r="A232" s="3">
        <v>231</v>
      </c>
      <c r="B232" s="4" t="s">
        <v>165</v>
      </c>
      <c r="C232" s="4" t="s">
        <v>526</v>
      </c>
      <c r="D232" s="4" t="s">
        <v>827</v>
      </c>
      <c r="E232">
        <f>MONTH(Employee_Data[[#This Row],[HireDate]])</f>
        <v>7</v>
      </c>
      <c r="F232">
        <f>YEAR(Employee_Data[[#This Row],[HireDate]])</f>
        <v>2017</v>
      </c>
      <c r="G232" s="5">
        <v>42930</v>
      </c>
      <c r="H232">
        <v>3</v>
      </c>
      <c r="I232">
        <v>17</v>
      </c>
      <c r="J232" s="1">
        <v>24115</v>
      </c>
      <c r="K232" s="1">
        <v>289380</v>
      </c>
    </row>
    <row r="233" spans="1:11" x14ac:dyDescent="0.25">
      <c r="A233" s="3">
        <v>232</v>
      </c>
      <c r="B233" s="4" t="s">
        <v>91</v>
      </c>
      <c r="C233" s="4" t="s">
        <v>527</v>
      </c>
      <c r="D233" s="4" t="s">
        <v>826</v>
      </c>
      <c r="E233">
        <f>MONTH(Employee_Data[[#This Row],[HireDate]])</f>
        <v>2</v>
      </c>
      <c r="F233">
        <f>YEAR(Employee_Data[[#This Row],[HireDate]])</f>
        <v>2024</v>
      </c>
      <c r="G233" s="5">
        <v>45340</v>
      </c>
      <c r="H233">
        <v>1</v>
      </c>
      <c r="I233">
        <v>31</v>
      </c>
      <c r="J233" s="1">
        <v>86417</v>
      </c>
      <c r="K233" s="1">
        <v>1037004</v>
      </c>
    </row>
    <row r="234" spans="1:11" x14ac:dyDescent="0.25">
      <c r="A234" s="3">
        <v>233</v>
      </c>
      <c r="B234" s="4" t="s">
        <v>166</v>
      </c>
      <c r="C234" s="4" t="s">
        <v>461</v>
      </c>
      <c r="D234" s="4" t="s">
        <v>829</v>
      </c>
      <c r="E234">
        <f>MONTH(Employee_Data[[#This Row],[HireDate]])</f>
        <v>10</v>
      </c>
      <c r="F234">
        <f>YEAR(Employee_Data[[#This Row],[HireDate]])</f>
        <v>2017</v>
      </c>
      <c r="G234" s="5">
        <v>43018</v>
      </c>
      <c r="H234">
        <v>3</v>
      </c>
      <c r="I234">
        <v>10</v>
      </c>
      <c r="J234" s="1">
        <v>112033</v>
      </c>
      <c r="K234" s="1">
        <v>1344396</v>
      </c>
    </row>
    <row r="235" spans="1:11" x14ac:dyDescent="0.25">
      <c r="A235" s="3">
        <v>234</v>
      </c>
      <c r="B235" s="4" t="s">
        <v>167</v>
      </c>
      <c r="C235" s="4" t="s">
        <v>528</v>
      </c>
      <c r="D235" s="4" t="s">
        <v>830</v>
      </c>
      <c r="E235">
        <f>MONTH(Employee_Data[[#This Row],[HireDate]])</f>
        <v>4</v>
      </c>
      <c r="F235">
        <f>YEAR(Employee_Data[[#This Row],[HireDate]])</f>
        <v>2024</v>
      </c>
      <c r="G235" s="5">
        <v>45400</v>
      </c>
      <c r="H235">
        <v>3</v>
      </c>
      <c r="I235">
        <v>22</v>
      </c>
      <c r="J235" s="1">
        <v>72321</v>
      </c>
      <c r="K235" s="1">
        <v>867852</v>
      </c>
    </row>
    <row r="236" spans="1:11" x14ac:dyDescent="0.25">
      <c r="A236" s="3">
        <v>235</v>
      </c>
      <c r="B236" s="4" t="s">
        <v>168</v>
      </c>
      <c r="C236" s="4" t="s">
        <v>529</v>
      </c>
      <c r="D236" s="4" t="s">
        <v>827</v>
      </c>
      <c r="E236">
        <f>MONTH(Employee_Data[[#This Row],[HireDate]])</f>
        <v>4</v>
      </c>
      <c r="F236">
        <f>YEAR(Employee_Data[[#This Row],[HireDate]])</f>
        <v>2021</v>
      </c>
      <c r="G236" s="5">
        <v>44309</v>
      </c>
      <c r="H236">
        <v>1</v>
      </c>
      <c r="I236">
        <v>6</v>
      </c>
      <c r="J236" s="1">
        <v>110900</v>
      </c>
      <c r="K236" s="1">
        <v>1330800</v>
      </c>
    </row>
    <row r="237" spans="1:11" x14ac:dyDescent="0.25">
      <c r="A237" s="3">
        <v>236</v>
      </c>
      <c r="B237" s="4" t="s">
        <v>169</v>
      </c>
      <c r="C237" s="4" t="s">
        <v>530</v>
      </c>
      <c r="D237" s="4" t="s">
        <v>830</v>
      </c>
      <c r="E237">
        <f>MONTH(Employee_Data[[#This Row],[HireDate]])</f>
        <v>12</v>
      </c>
      <c r="F237">
        <f>YEAR(Employee_Data[[#This Row],[HireDate]])</f>
        <v>2022</v>
      </c>
      <c r="G237" s="5">
        <v>44904</v>
      </c>
      <c r="H237">
        <v>5</v>
      </c>
      <c r="I237">
        <v>20</v>
      </c>
      <c r="J237" s="1">
        <v>64776</v>
      </c>
      <c r="K237" s="1">
        <v>777312</v>
      </c>
    </row>
    <row r="238" spans="1:11" x14ac:dyDescent="0.25">
      <c r="A238" s="3">
        <v>237</v>
      </c>
      <c r="B238" s="4" t="s">
        <v>157</v>
      </c>
      <c r="C238" s="4" t="s">
        <v>178</v>
      </c>
      <c r="D238" s="4" t="s">
        <v>826</v>
      </c>
      <c r="E238">
        <f>MONTH(Employee_Data[[#This Row],[HireDate]])</f>
        <v>2</v>
      </c>
      <c r="F238">
        <f>YEAR(Employee_Data[[#This Row],[HireDate]])</f>
        <v>2021</v>
      </c>
      <c r="G238" s="5">
        <v>44230</v>
      </c>
      <c r="H238">
        <v>1</v>
      </c>
      <c r="I238">
        <v>14</v>
      </c>
      <c r="J238" s="1">
        <v>70530</v>
      </c>
      <c r="K238" s="1">
        <v>846360</v>
      </c>
    </row>
    <row r="239" spans="1:11" x14ac:dyDescent="0.25">
      <c r="A239" s="3">
        <v>238</v>
      </c>
      <c r="B239" s="4" t="s">
        <v>22</v>
      </c>
      <c r="C239" s="4" t="s">
        <v>366</v>
      </c>
      <c r="D239" s="4" t="s">
        <v>828</v>
      </c>
      <c r="E239">
        <f>MONTH(Employee_Data[[#This Row],[HireDate]])</f>
        <v>9</v>
      </c>
      <c r="F239">
        <f>YEAR(Employee_Data[[#This Row],[HireDate]])</f>
        <v>2017</v>
      </c>
      <c r="G239" s="5">
        <v>42984</v>
      </c>
      <c r="H239">
        <v>5</v>
      </c>
      <c r="I239">
        <v>29</v>
      </c>
      <c r="J239" s="1">
        <v>63184</v>
      </c>
      <c r="K239" s="1">
        <v>758208</v>
      </c>
    </row>
    <row r="240" spans="1:11" x14ac:dyDescent="0.25">
      <c r="A240" s="3">
        <v>239</v>
      </c>
      <c r="B240" s="4" t="s">
        <v>133</v>
      </c>
      <c r="C240" s="4" t="s">
        <v>531</v>
      </c>
      <c r="D240" s="4" t="s">
        <v>826</v>
      </c>
      <c r="E240">
        <f>MONTH(Employee_Data[[#This Row],[HireDate]])</f>
        <v>5</v>
      </c>
      <c r="F240">
        <f>YEAR(Employee_Data[[#This Row],[HireDate]])</f>
        <v>2018</v>
      </c>
      <c r="G240" s="5">
        <v>43239</v>
      </c>
      <c r="H240">
        <v>2</v>
      </c>
      <c r="I240">
        <v>28</v>
      </c>
      <c r="J240" s="1">
        <v>61570</v>
      </c>
      <c r="K240" s="1">
        <v>738840</v>
      </c>
    </row>
    <row r="241" spans="1:11" x14ac:dyDescent="0.25">
      <c r="A241" s="3">
        <v>240</v>
      </c>
      <c r="B241" s="4" t="s">
        <v>96</v>
      </c>
      <c r="C241" s="4" t="s">
        <v>532</v>
      </c>
      <c r="D241" s="4" t="s">
        <v>828</v>
      </c>
      <c r="E241">
        <f>MONTH(Employee_Data[[#This Row],[HireDate]])</f>
        <v>7</v>
      </c>
      <c r="F241">
        <f>YEAR(Employee_Data[[#This Row],[HireDate]])</f>
        <v>2019</v>
      </c>
      <c r="G241" s="5">
        <v>43669</v>
      </c>
      <c r="H241">
        <v>4</v>
      </c>
      <c r="I241">
        <v>29</v>
      </c>
      <c r="J241" s="1">
        <v>24005</v>
      </c>
      <c r="K241" s="1">
        <v>288060</v>
      </c>
    </row>
    <row r="242" spans="1:11" x14ac:dyDescent="0.25">
      <c r="A242" s="3">
        <v>241</v>
      </c>
      <c r="B242" s="4" t="s">
        <v>20</v>
      </c>
      <c r="C242" s="4" t="s">
        <v>533</v>
      </c>
      <c r="D242" s="4" t="s">
        <v>827</v>
      </c>
      <c r="E242">
        <f>MONTH(Employee_Data[[#This Row],[HireDate]])</f>
        <v>10</v>
      </c>
      <c r="F242">
        <f>YEAR(Employee_Data[[#This Row],[HireDate]])</f>
        <v>2019</v>
      </c>
      <c r="G242" s="5">
        <v>43764</v>
      </c>
      <c r="H242">
        <v>5</v>
      </c>
      <c r="I242">
        <v>4</v>
      </c>
      <c r="J242" s="1">
        <v>51722</v>
      </c>
      <c r="K242" s="1">
        <v>620664</v>
      </c>
    </row>
    <row r="243" spans="1:11" x14ac:dyDescent="0.25">
      <c r="A243" s="3">
        <v>242</v>
      </c>
      <c r="B243" s="4" t="s">
        <v>35</v>
      </c>
      <c r="C243" s="4" t="s">
        <v>534</v>
      </c>
      <c r="D243" s="4" t="s">
        <v>828</v>
      </c>
      <c r="E243">
        <f>MONTH(Employee_Data[[#This Row],[HireDate]])</f>
        <v>3</v>
      </c>
      <c r="F243">
        <f>YEAR(Employee_Data[[#This Row],[HireDate]])</f>
        <v>2024</v>
      </c>
      <c r="G243" s="5">
        <v>45362</v>
      </c>
      <c r="H243">
        <v>2</v>
      </c>
      <c r="I243">
        <v>29</v>
      </c>
      <c r="J243" s="1">
        <v>22307</v>
      </c>
      <c r="K243" s="1">
        <v>267684</v>
      </c>
    </row>
    <row r="244" spans="1:11" x14ac:dyDescent="0.25">
      <c r="A244" s="3">
        <v>243</v>
      </c>
      <c r="B244" s="4" t="s">
        <v>170</v>
      </c>
      <c r="C244" s="4" t="s">
        <v>535</v>
      </c>
      <c r="D244" s="4" t="s">
        <v>827</v>
      </c>
      <c r="E244">
        <f>MONTH(Employee_Data[[#This Row],[HireDate]])</f>
        <v>8</v>
      </c>
      <c r="F244">
        <f>YEAR(Employee_Data[[#This Row],[HireDate]])</f>
        <v>2019</v>
      </c>
      <c r="G244" s="5">
        <v>43686</v>
      </c>
      <c r="H244">
        <v>2</v>
      </c>
      <c r="I244">
        <v>36</v>
      </c>
      <c r="J244" s="1">
        <v>40133</v>
      </c>
      <c r="K244" s="1">
        <v>481596</v>
      </c>
    </row>
    <row r="245" spans="1:11" x14ac:dyDescent="0.25">
      <c r="A245" s="3">
        <v>244</v>
      </c>
      <c r="B245" s="4" t="s">
        <v>171</v>
      </c>
      <c r="C245" s="4" t="s">
        <v>536</v>
      </c>
      <c r="D245" s="4" t="s">
        <v>826</v>
      </c>
      <c r="E245">
        <f>MONTH(Employee_Data[[#This Row],[HireDate]])</f>
        <v>12</v>
      </c>
      <c r="F245">
        <f>YEAR(Employee_Data[[#This Row],[HireDate]])</f>
        <v>2023</v>
      </c>
      <c r="G245" s="5">
        <v>45268</v>
      </c>
      <c r="H245">
        <v>5</v>
      </c>
      <c r="I245">
        <v>40</v>
      </c>
      <c r="J245" s="1">
        <v>99507</v>
      </c>
      <c r="K245" s="1">
        <v>1194084</v>
      </c>
    </row>
    <row r="246" spans="1:11" x14ac:dyDescent="0.25">
      <c r="A246" s="3">
        <v>245</v>
      </c>
      <c r="B246" s="4" t="s">
        <v>10</v>
      </c>
      <c r="C246" s="4" t="s">
        <v>537</v>
      </c>
      <c r="D246" s="4" t="s">
        <v>828</v>
      </c>
      <c r="E246">
        <f>MONTH(Employee_Data[[#This Row],[HireDate]])</f>
        <v>5</v>
      </c>
      <c r="F246">
        <f>YEAR(Employee_Data[[#This Row],[HireDate]])</f>
        <v>2020</v>
      </c>
      <c r="G246" s="5">
        <v>43970</v>
      </c>
      <c r="H246">
        <v>3</v>
      </c>
      <c r="I246">
        <v>45</v>
      </c>
      <c r="J246" s="1">
        <v>110590</v>
      </c>
      <c r="K246" s="1">
        <v>1327080</v>
      </c>
    </row>
    <row r="247" spans="1:11" x14ac:dyDescent="0.25">
      <c r="A247" s="3">
        <v>246</v>
      </c>
      <c r="B247" s="4" t="s">
        <v>122</v>
      </c>
      <c r="C247" s="4" t="s">
        <v>538</v>
      </c>
      <c r="D247" s="4" t="s">
        <v>827</v>
      </c>
      <c r="E247">
        <f>MONTH(Employee_Data[[#This Row],[HireDate]])</f>
        <v>1</v>
      </c>
      <c r="F247">
        <f>YEAR(Employee_Data[[#This Row],[HireDate]])</f>
        <v>2021</v>
      </c>
      <c r="G247" s="5">
        <v>44198</v>
      </c>
      <c r="H247">
        <v>5</v>
      </c>
      <c r="I247">
        <v>46</v>
      </c>
      <c r="J247" s="1">
        <v>63493</v>
      </c>
      <c r="K247" s="1">
        <v>761916</v>
      </c>
    </row>
    <row r="248" spans="1:11" x14ac:dyDescent="0.25">
      <c r="A248" s="3">
        <v>247</v>
      </c>
      <c r="B248" s="4" t="s">
        <v>172</v>
      </c>
      <c r="C248" s="4" t="s">
        <v>539</v>
      </c>
      <c r="D248" s="4" t="s">
        <v>827</v>
      </c>
      <c r="E248">
        <f>MONTH(Employee_Data[[#This Row],[HireDate]])</f>
        <v>12</v>
      </c>
      <c r="F248">
        <f>YEAR(Employee_Data[[#This Row],[HireDate]])</f>
        <v>2021</v>
      </c>
      <c r="G248" s="5">
        <v>44560</v>
      </c>
      <c r="H248">
        <v>3</v>
      </c>
      <c r="I248">
        <v>10</v>
      </c>
      <c r="J248" s="1">
        <v>64700</v>
      </c>
      <c r="K248" s="1">
        <v>776400</v>
      </c>
    </row>
    <row r="249" spans="1:11" x14ac:dyDescent="0.25">
      <c r="A249" s="3">
        <v>248</v>
      </c>
      <c r="B249" s="4" t="s">
        <v>60</v>
      </c>
      <c r="C249" s="4" t="s">
        <v>443</v>
      </c>
      <c r="D249" s="4" t="s">
        <v>827</v>
      </c>
      <c r="E249">
        <f>MONTH(Employee_Data[[#This Row],[HireDate]])</f>
        <v>5</v>
      </c>
      <c r="F249">
        <f>YEAR(Employee_Data[[#This Row],[HireDate]])</f>
        <v>2023</v>
      </c>
      <c r="G249" s="5">
        <v>45060</v>
      </c>
      <c r="H249">
        <v>4</v>
      </c>
      <c r="I249">
        <v>4</v>
      </c>
      <c r="J249" s="1">
        <v>34410</v>
      </c>
      <c r="K249" s="1">
        <v>412920</v>
      </c>
    </row>
    <row r="250" spans="1:11" x14ac:dyDescent="0.25">
      <c r="A250" s="3">
        <v>249</v>
      </c>
      <c r="B250" s="4" t="s">
        <v>133</v>
      </c>
      <c r="C250" s="4" t="s">
        <v>540</v>
      </c>
      <c r="D250" s="4" t="s">
        <v>826</v>
      </c>
      <c r="E250">
        <f>MONTH(Employee_Data[[#This Row],[HireDate]])</f>
        <v>1</v>
      </c>
      <c r="F250">
        <f>YEAR(Employee_Data[[#This Row],[HireDate]])</f>
        <v>2023</v>
      </c>
      <c r="G250" s="5">
        <v>44927</v>
      </c>
      <c r="H250">
        <v>1</v>
      </c>
      <c r="I250">
        <v>37</v>
      </c>
      <c r="J250" s="1">
        <v>55042</v>
      </c>
      <c r="K250" s="1">
        <v>660504</v>
      </c>
    </row>
    <row r="251" spans="1:11" x14ac:dyDescent="0.25">
      <c r="A251" s="3">
        <v>250</v>
      </c>
      <c r="B251" s="4" t="s">
        <v>18</v>
      </c>
      <c r="C251" s="4" t="s">
        <v>541</v>
      </c>
      <c r="D251" s="4" t="s">
        <v>829</v>
      </c>
      <c r="E251">
        <f>MONTH(Employee_Data[[#This Row],[HireDate]])</f>
        <v>8</v>
      </c>
      <c r="F251">
        <f>YEAR(Employee_Data[[#This Row],[HireDate]])</f>
        <v>2020</v>
      </c>
      <c r="G251" s="5">
        <v>44055</v>
      </c>
      <c r="H251">
        <v>3</v>
      </c>
      <c r="I251">
        <v>9</v>
      </c>
      <c r="J251" s="1">
        <v>52262</v>
      </c>
      <c r="K251" s="1">
        <v>627144</v>
      </c>
    </row>
    <row r="252" spans="1:11" x14ac:dyDescent="0.25">
      <c r="A252" s="3">
        <v>251</v>
      </c>
      <c r="B252" s="4" t="s">
        <v>173</v>
      </c>
      <c r="C252" s="4" t="s">
        <v>542</v>
      </c>
      <c r="D252" s="4" t="s">
        <v>829</v>
      </c>
      <c r="E252">
        <f>MONTH(Employee_Data[[#This Row],[HireDate]])</f>
        <v>11</v>
      </c>
      <c r="F252">
        <f>YEAR(Employee_Data[[#This Row],[HireDate]])</f>
        <v>2019</v>
      </c>
      <c r="G252" s="5">
        <v>43772</v>
      </c>
      <c r="H252">
        <v>2</v>
      </c>
      <c r="I252">
        <v>19</v>
      </c>
      <c r="J252" s="1">
        <v>45181</v>
      </c>
      <c r="K252" s="1">
        <v>542172</v>
      </c>
    </row>
    <row r="253" spans="1:11" x14ac:dyDescent="0.25">
      <c r="A253" s="3">
        <v>252</v>
      </c>
      <c r="B253" s="4" t="s">
        <v>18</v>
      </c>
      <c r="C253" s="4" t="s">
        <v>543</v>
      </c>
      <c r="D253" s="4" t="s">
        <v>826</v>
      </c>
      <c r="E253">
        <f>MONTH(Employee_Data[[#This Row],[HireDate]])</f>
        <v>5</v>
      </c>
      <c r="F253">
        <f>YEAR(Employee_Data[[#This Row],[HireDate]])</f>
        <v>2017</v>
      </c>
      <c r="G253" s="5">
        <v>42873</v>
      </c>
      <c r="H253">
        <v>1</v>
      </c>
      <c r="I253">
        <v>17</v>
      </c>
      <c r="J253" s="1">
        <v>108101</v>
      </c>
      <c r="K253" s="1">
        <v>1297212</v>
      </c>
    </row>
    <row r="254" spans="1:11" x14ac:dyDescent="0.25">
      <c r="A254" s="3">
        <v>253</v>
      </c>
      <c r="B254" s="4" t="s">
        <v>174</v>
      </c>
      <c r="C254" s="4" t="s">
        <v>544</v>
      </c>
      <c r="D254" s="4" t="s">
        <v>828</v>
      </c>
      <c r="E254">
        <f>MONTH(Employee_Data[[#This Row],[HireDate]])</f>
        <v>7</v>
      </c>
      <c r="F254">
        <f>YEAR(Employee_Data[[#This Row],[HireDate]])</f>
        <v>2020</v>
      </c>
      <c r="G254" s="5">
        <v>44043</v>
      </c>
      <c r="H254">
        <v>1</v>
      </c>
      <c r="I254">
        <v>22</v>
      </c>
      <c r="J254" s="1">
        <v>70527</v>
      </c>
      <c r="K254" s="1">
        <v>846324</v>
      </c>
    </row>
    <row r="255" spans="1:11" x14ac:dyDescent="0.25">
      <c r="A255" s="3">
        <v>254</v>
      </c>
      <c r="B255" s="4" t="s">
        <v>175</v>
      </c>
      <c r="C255" s="4" t="s">
        <v>545</v>
      </c>
      <c r="D255" s="4" t="s">
        <v>828</v>
      </c>
      <c r="E255">
        <f>MONTH(Employee_Data[[#This Row],[HireDate]])</f>
        <v>4</v>
      </c>
      <c r="F255">
        <f>YEAR(Employee_Data[[#This Row],[HireDate]])</f>
        <v>2019</v>
      </c>
      <c r="G255" s="5">
        <v>43578</v>
      </c>
      <c r="H255">
        <v>3</v>
      </c>
      <c r="I255">
        <v>44</v>
      </c>
      <c r="J255" s="1">
        <v>49296</v>
      </c>
      <c r="K255" s="1">
        <v>591552</v>
      </c>
    </row>
    <row r="256" spans="1:11" x14ac:dyDescent="0.25">
      <c r="A256" s="3">
        <v>255</v>
      </c>
      <c r="B256" s="4" t="s">
        <v>29</v>
      </c>
      <c r="C256" s="4" t="s">
        <v>546</v>
      </c>
      <c r="D256" s="4" t="s">
        <v>827</v>
      </c>
      <c r="E256">
        <f>MONTH(Employee_Data[[#This Row],[HireDate]])</f>
        <v>7</v>
      </c>
      <c r="F256">
        <f>YEAR(Employee_Data[[#This Row],[HireDate]])</f>
        <v>2016</v>
      </c>
      <c r="G256" s="5">
        <v>42568</v>
      </c>
      <c r="H256">
        <v>5</v>
      </c>
      <c r="I256">
        <v>41</v>
      </c>
      <c r="J256" s="1">
        <v>42845</v>
      </c>
      <c r="K256" s="1">
        <v>514140</v>
      </c>
    </row>
    <row r="257" spans="1:11" x14ac:dyDescent="0.25">
      <c r="A257" s="3">
        <v>256</v>
      </c>
      <c r="B257" s="4" t="s">
        <v>91</v>
      </c>
      <c r="C257" s="4" t="s">
        <v>489</v>
      </c>
      <c r="D257" s="4" t="s">
        <v>830</v>
      </c>
      <c r="E257">
        <f>MONTH(Employee_Data[[#This Row],[HireDate]])</f>
        <v>4</v>
      </c>
      <c r="F257">
        <f>YEAR(Employee_Data[[#This Row],[HireDate]])</f>
        <v>2022</v>
      </c>
      <c r="G257" s="5">
        <v>44655</v>
      </c>
      <c r="H257">
        <v>4</v>
      </c>
      <c r="I257">
        <v>1</v>
      </c>
      <c r="J257" s="1">
        <v>118579</v>
      </c>
      <c r="K257" s="1">
        <v>1422948</v>
      </c>
    </row>
    <row r="258" spans="1:11" x14ac:dyDescent="0.25">
      <c r="A258" s="3">
        <v>257</v>
      </c>
      <c r="B258" s="4" t="s">
        <v>98</v>
      </c>
      <c r="C258" s="4" t="s">
        <v>524</v>
      </c>
      <c r="D258" s="4" t="s">
        <v>829</v>
      </c>
      <c r="E258">
        <f>MONTH(Employee_Data[[#This Row],[HireDate]])</f>
        <v>5</v>
      </c>
      <c r="F258">
        <f>YEAR(Employee_Data[[#This Row],[HireDate]])</f>
        <v>2022</v>
      </c>
      <c r="G258" s="5">
        <v>44692</v>
      </c>
      <c r="H258">
        <v>1</v>
      </c>
      <c r="I258">
        <v>6</v>
      </c>
      <c r="J258" s="1">
        <v>51902</v>
      </c>
      <c r="K258" s="1">
        <v>622824</v>
      </c>
    </row>
    <row r="259" spans="1:11" x14ac:dyDescent="0.25">
      <c r="A259" s="3">
        <v>258</v>
      </c>
      <c r="B259" s="4" t="s">
        <v>87</v>
      </c>
      <c r="C259" s="4" t="s">
        <v>547</v>
      </c>
      <c r="D259" s="4" t="s">
        <v>830</v>
      </c>
      <c r="E259">
        <f>MONTH(Employee_Data[[#This Row],[HireDate]])</f>
        <v>9</v>
      </c>
      <c r="F259">
        <f>YEAR(Employee_Data[[#This Row],[HireDate]])</f>
        <v>2019</v>
      </c>
      <c r="G259" s="5">
        <v>43716</v>
      </c>
      <c r="H259">
        <v>4</v>
      </c>
      <c r="I259">
        <v>48</v>
      </c>
      <c r="J259" s="1">
        <v>35175</v>
      </c>
      <c r="K259" s="1">
        <v>422100</v>
      </c>
    </row>
    <row r="260" spans="1:11" x14ac:dyDescent="0.25">
      <c r="A260" s="3">
        <v>259</v>
      </c>
      <c r="B260" s="4" t="s">
        <v>176</v>
      </c>
      <c r="C260" s="4" t="s">
        <v>548</v>
      </c>
      <c r="D260" s="4" t="s">
        <v>828</v>
      </c>
      <c r="E260">
        <f>MONTH(Employee_Data[[#This Row],[HireDate]])</f>
        <v>8</v>
      </c>
      <c r="F260">
        <f>YEAR(Employee_Data[[#This Row],[HireDate]])</f>
        <v>2018</v>
      </c>
      <c r="G260" s="5">
        <v>43313</v>
      </c>
      <c r="H260">
        <v>4</v>
      </c>
      <c r="I260">
        <v>46</v>
      </c>
      <c r="J260" s="1">
        <v>111288</v>
      </c>
      <c r="K260" s="1">
        <v>1335456</v>
      </c>
    </row>
    <row r="261" spans="1:11" x14ac:dyDescent="0.25">
      <c r="A261" s="3">
        <v>260</v>
      </c>
      <c r="B261" s="4" t="s">
        <v>64</v>
      </c>
      <c r="C261" s="4" t="s">
        <v>549</v>
      </c>
      <c r="D261" s="4" t="s">
        <v>827</v>
      </c>
      <c r="E261">
        <f>MONTH(Employee_Data[[#This Row],[HireDate]])</f>
        <v>10</v>
      </c>
      <c r="F261">
        <f>YEAR(Employee_Data[[#This Row],[HireDate]])</f>
        <v>2021</v>
      </c>
      <c r="G261" s="5">
        <v>44499</v>
      </c>
      <c r="H261">
        <v>1</v>
      </c>
      <c r="I261">
        <v>42</v>
      </c>
      <c r="J261" s="1">
        <v>55583</v>
      </c>
      <c r="K261" s="1">
        <v>666996</v>
      </c>
    </row>
    <row r="262" spans="1:11" x14ac:dyDescent="0.25">
      <c r="A262" s="3">
        <v>261</v>
      </c>
      <c r="B262" s="4" t="s">
        <v>177</v>
      </c>
      <c r="C262" s="4" t="s">
        <v>550</v>
      </c>
      <c r="D262" s="4" t="s">
        <v>826</v>
      </c>
      <c r="E262">
        <f>MONTH(Employee_Data[[#This Row],[HireDate]])</f>
        <v>5</v>
      </c>
      <c r="F262">
        <f>YEAR(Employee_Data[[#This Row],[HireDate]])</f>
        <v>2023</v>
      </c>
      <c r="G262" s="5">
        <v>45071</v>
      </c>
      <c r="H262">
        <v>1</v>
      </c>
      <c r="I262">
        <v>27</v>
      </c>
      <c r="J262" s="1">
        <v>71607</v>
      </c>
      <c r="K262" s="1">
        <v>859284</v>
      </c>
    </row>
    <row r="263" spans="1:11" x14ac:dyDescent="0.25">
      <c r="A263" s="3">
        <v>262</v>
      </c>
      <c r="B263" s="4" t="s">
        <v>144</v>
      </c>
      <c r="C263" s="4" t="s">
        <v>522</v>
      </c>
      <c r="D263" s="4" t="s">
        <v>829</v>
      </c>
      <c r="E263">
        <f>MONTH(Employee_Data[[#This Row],[HireDate]])</f>
        <v>11</v>
      </c>
      <c r="F263">
        <f>YEAR(Employee_Data[[#This Row],[HireDate]])</f>
        <v>2016</v>
      </c>
      <c r="G263" s="5">
        <v>42687</v>
      </c>
      <c r="H263">
        <v>1</v>
      </c>
      <c r="I263">
        <v>29</v>
      </c>
      <c r="J263" s="1">
        <v>50824</v>
      </c>
      <c r="K263" s="1">
        <v>609888</v>
      </c>
    </row>
    <row r="264" spans="1:11" x14ac:dyDescent="0.25">
      <c r="A264" s="3">
        <v>263</v>
      </c>
      <c r="B264" s="4" t="s">
        <v>97</v>
      </c>
      <c r="C264" s="4" t="s">
        <v>538</v>
      </c>
      <c r="D264" s="4" t="s">
        <v>830</v>
      </c>
      <c r="E264">
        <f>MONTH(Employee_Data[[#This Row],[HireDate]])</f>
        <v>3</v>
      </c>
      <c r="F264">
        <f>YEAR(Employee_Data[[#This Row],[HireDate]])</f>
        <v>2023</v>
      </c>
      <c r="G264" s="5">
        <v>44992</v>
      </c>
      <c r="H264">
        <v>2</v>
      </c>
      <c r="I264">
        <v>38</v>
      </c>
      <c r="J264" s="1">
        <v>56186</v>
      </c>
      <c r="K264" s="1">
        <v>674232</v>
      </c>
    </row>
    <row r="265" spans="1:11" x14ac:dyDescent="0.25">
      <c r="A265" s="3">
        <v>264</v>
      </c>
      <c r="B265" s="4" t="s">
        <v>178</v>
      </c>
      <c r="C265" s="4" t="s">
        <v>551</v>
      </c>
      <c r="D265" s="4" t="s">
        <v>829</v>
      </c>
      <c r="E265">
        <f>MONTH(Employee_Data[[#This Row],[HireDate]])</f>
        <v>7</v>
      </c>
      <c r="F265">
        <f>YEAR(Employee_Data[[#This Row],[HireDate]])</f>
        <v>2017</v>
      </c>
      <c r="G265" s="5">
        <v>42923</v>
      </c>
      <c r="H265">
        <v>5</v>
      </c>
      <c r="I265">
        <v>21</v>
      </c>
      <c r="J265" s="1">
        <v>53566</v>
      </c>
      <c r="K265" s="1">
        <v>642792</v>
      </c>
    </row>
    <row r="266" spans="1:11" x14ac:dyDescent="0.25">
      <c r="A266" s="3">
        <v>265</v>
      </c>
      <c r="B266" s="4" t="s">
        <v>179</v>
      </c>
      <c r="C266" s="4" t="s">
        <v>552</v>
      </c>
      <c r="D266" s="4" t="s">
        <v>830</v>
      </c>
      <c r="E266">
        <f>MONTH(Employee_Data[[#This Row],[HireDate]])</f>
        <v>2</v>
      </c>
      <c r="F266">
        <f>YEAR(Employee_Data[[#This Row],[HireDate]])</f>
        <v>2016</v>
      </c>
      <c r="G266" s="5">
        <v>42411</v>
      </c>
      <c r="H266">
        <v>1</v>
      </c>
      <c r="I266">
        <v>5</v>
      </c>
      <c r="J266" s="1">
        <v>52483</v>
      </c>
      <c r="K266" s="1">
        <v>629796</v>
      </c>
    </row>
    <row r="267" spans="1:11" x14ac:dyDescent="0.25">
      <c r="A267" s="3">
        <v>266</v>
      </c>
      <c r="B267" s="4" t="s">
        <v>180</v>
      </c>
      <c r="C267" s="4" t="s">
        <v>107</v>
      </c>
      <c r="D267" s="4" t="s">
        <v>830</v>
      </c>
      <c r="E267">
        <f>MONTH(Employee_Data[[#This Row],[HireDate]])</f>
        <v>12</v>
      </c>
      <c r="F267">
        <f>YEAR(Employee_Data[[#This Row],[HireDate]])</f>
        <v>2023</v>
      </c>
      <c r="G267" s="5">
        <v>45277</v>
      </c>
      <c r="H267">
        <v>5</v>
      </c>
      <c r="I267">
        <v>48</v>
      </c>
      <c r="J267" s="1">
        <v>22603</v>
      </c>
      <c r="K267" s="1">
        <v>271236</v>
      </c>
    </row>
    <row r="268" spans="1:11" x14ac:dyDescent="0.25">
      <c r="A268" s="3">
        <v>267</v>
      </c>
      <c r="B268" s="4" t="s">
        <v>96</v>
      </c>
      <c r="C268" s="4" t="s">
        <v>226</v>
      </c>
      <c r="D268" s="4" t="s">
        <v>830</v>
      </c>
      <c r="E268">
        <f>MONTH(Employee_Data[[#This Row],[HireDate]])</f>
        <v>4</v>
      </c>
      <c r="F268">
        <f>YEAR(Employee_Data[[#This Row],[HireDate]])</f>
        <v>2021</v>
      </c>
      <c r="G268" s="5">
        <v>44310</v>
      </c>
      <c r="H268">
        <v>5</v>
      </c>
      <c r="I268">
        <v>8</v>
      </c>
      <c r="J268" s="1">
        <v>81255</v>
      </c>
      <c r="K268" s="1">
        <v>975060</v>
      </c>
    </row>
    <row r="269" spans="1:11" x14ac:dyDescent="0.25">
      <c r="A269" s="3">
        <v>268</v>
      </c>
      <c r="B269" s="4" t="s">
        <v>75</v>
      </c>
      <c r="C269" s="4" t="s">
        <v>522</v>
      </c>
      <c r="D269" s="4" t="s">
        <v>830</v>
      </c>
      <c r="E269">
        <f>MONTH(Employee_Data[[#This Row],[HireDate]])</f>
        <v>3</v>
      </c>
      <c r="F269">
        <f>YEAR(Employee_Data[[#This Row],[HireDate]])</f>
        <v>2020</v>
      </c>
      <c r="G269" s="5">
        <v>43912</v>
      </c>
      <c r="H269">
        <v>5</v>
      </c>
      <c r="I269">
        <v>47</v>
      </c>
      <c r="J269" s="1">
        <v>118183</v>
      </c>
      <c r="K269" s="1">
        <v>1418196</v>
      </c>
    </row>
    <row r="270" spans="1:11" x14ac:dyDescent="0.25">
      <c r="A270" s="3">
        <v>269</v>
      </c>
      <c r="B270" s="4" t="s">
        <v>181</v>
      </c>
      <c r="C270" s="4" t="s">
        <v>553</v>
      </c>
      <c r="D270" s="4" t="s">
        <v>826</v>
      </c>
      <c r="E270">
        <f>MONTH(Employee_Data[[#This Row],[HireDate]])</f>
        <v>2</v>
      </c>
      <c r="F270">
        <f>YEAR(Employee_Data[[#This Row],[HireDate]])</f>
        <v>2020</v>
      </c>
      <c r="G270" s="5">
        <v>43874</v>
      </c>
      <c r="H270">
        <v>5</v>
      </c>
      <c r="I270">
        <v>44</v>
      </c>
      <c r="J270" s="1">
        <v>57895</v>
      </c>
      <c r="K270" s="1">
        <v>694740</v>
      </c>
    </row>
    <row r="271" spans="1:11" x14ac:dyDescent="0.25">
      <c r="A271" s="3">
        <v>270</v>
      </c>
      <c r="B271" s="4" t="s">
        <v>182</v>
      </c>
      <c r="C271" s="4" t="s">
        <v>554</v>
      </c>
      <c r="D271" s="4" t="s">
        <v>826</v>
      </c>
      <c r="E271">
        <f>MONTH(Employee_Data[[#This Row],[HireDate]])</f>
        <v>4</v>
      </c>
      <c r="F271">
        <f>YEAR(Employee_Data[[#This Row],[HireDate]])</f>
        <v>2024</v>
      </c>
      <c r="G271" s="5">
        <v>45412</v>
      </c>
      <c r="H271">
        <v>5</v>
      </c>
      <c r="I271">
        <v>31</v>
      </c>
      <c r="J271" s="1">
        <v>112710</v>
      </c>
      <c r="K271" s="1">
        <v>1352520</v>
      </c>
    </row>
    <row r="272" spans="1:11" x14ac:dyDescent="0.25">
      <c r="A272" s="3">
        <v>271</v>
      </c>
      <c r="B272" s="4" t="s">
        <v>37</v>
      </c>
      <c r="C272" s="4" t="s">
        <v>74</v>
      </c>
      <c r="D272" s="4" t="s">
        <v>829</v>
      </c>
      <c r="E272">
        <f>MONTH(Employee_Data[[#This Row],[HireDate]])</f>
        <v>9</v>
      </c>
      <c r="F272">
        <f>YEAR(Employee_Data[[#This Row],[HireDate]])</f>
        <v>2020</v>
      </c>
      <c r="G272" s="5">
        <v>44088</v>
      </c>
      <c r="H272">
        <v>5</v>
      </c>
      <c r="I272">
        <v>46</v>
      </c>
      <c r="J272" s="1">
        <v>40657</v>
      </c>
      <c r="K272" s="1">
        <v>487884</v>
      </c>
    </row>
    <row r="273" spans="1:11" x14ac:dyDescent="0.25">
      <c r="A273" s="3">
        <v>272</v>
      </c>
      <c r="B273" s="4" t="s">
        <v>183</v>
      </c>
      <c r="C273" s="4" t="s">
        <v>382</v>
      </c>
      <c r="D273" s="4" t="s">
        <v>829</v>
      </c>
      <c r="E273">
        <f>MONTH(Employee_Data[[#This Row],[HireDate]])</f>
        <v>1</v>
      </c>
      <c r="F273">
        <f>YEAR(Employee_Data[[#This Row],[HireDate]])</f>
        <v>2020</v>
      </c>
      <c r="G273" s="5">
        <v>43844</v>
      </c>
      <c r="H273">
        <v>1</v>
      </c>
      <c r="I273">
        <v>11</v>
      </c>
      <c r="J273" s="1">
        <v>91372</v>
      </c>
      <c r="K273" s="1">
        <v>1096464</v>
      </c>
    </row>
    <row r="274" spans="1:11" x14ac:dyDescent="0.25">
      <c r="A274" s="3">
        <v>273</v>
      </c>
      <c r="B274" s="4" t="s">
        <v>98</v>
      </c>
      <c r="C274" s="4" t="s">
        <v>555</v>
      </c>
      <c r="D274" s="4" t="s">
        <v>826</v>
      </c>
      <c r="E274">
        <f>MONTH(Employee_Data[[#This Row],[HireDate]])</f>
        <v>11</v>
      </c>
      <c r="F274">
        <f>YEAR(Employee_Data[[#This Row],[HireDate]])</f>
        <v>2020</v>
      </c>
      <c r="G274" s="5">
        <v>44145</v>
      </c>
      <c r="H274">
        <v>5</v>
      </c>
      <c r="I274">
        <v>48</v>
      </c>
      <c r="J274" s="1">
        <v>38353</v>
      </c>
      <c r="K274" s="1">
        <v>460236</v>
      </c>
    </row>
    <row r="275" spans="1:11" x14ac:dyDescent="0.25">
      <c r="A275" s="3">
        <v>274</v>
      </c>
      <c r="B275" s="4" t="s">
        <v>117</v>
      </c>
      <c r="C275" s="4" t="s">
        <v>467</v>
      </c>
      <c r="D275" s="4" t="s">
        <v>826</v>
      </c>
      <c r="E275">
        <f>MONTH(Employee_Data[[#This Row],[HireDate]])</f>
        <v>6</v>
      </c>
      <c r="F275">
        <f>YEAR(Employee_Data[[#This Row],[HireDate]])</f>
        <v>2021</v>
      </c>
      <c r="G275" s="5">
        <v>44367</v>
      </c>
      <c r="H275">
        <v>4</v>
      </c>
      <c r="I275">
        <v>37</v>
      </c>
      <c r="J275" s="1">
        <v>20553</v>
      </c>
      <c r="K275" s="1">
        <v>246636</v>
      </c>
    </row>
    <row r="276" spans="1:11" x14ac:dyDescent="0.25">
      <c r="A276" s="3">
        <v>275</v>
      </c>
      <c r="B276" s="4" t="s">
        <v>59</v>
      </c>
      <c r="C276" s="4" t="s">
        <v>426</v>
      </c>
      <c r="D276" s="4" t="s">
        <v>830</v>
      </c>
      <c r="E276">
        <f>MONTH(Employee_Data[[#This Row],[HireDate]])</f>
        <v>1</v>
      </c>
      <c r="F276">
        <f>YEAR(Employee_Data[[#This Row],[HireDate]])</f>
        <v>2023</v>
      </c>
      <c r="G276" s="5">
        <v>44953</v>
      </c>
      <c r="H276">
        <v>2</v>
      </c>
      <c r="I276">
        <v>7</v>
      </c>
      <c r="J276" s="1">
        <v>21044</v>
      </c>
      <c r="K276" s="1">
        <v>252528</v>
      </c>
    </row>
    <row r="277" spans="1:11" x14ac:dyDescent="0.25">
      <c r="A277" s="3">
        <v>276</v>
      </c>
      <c r="B277" s="4" t="s">
        <v>54</v>
      </c>
      <c r="C277" s="4" t="s">
        <v>556</v>
      </c>
      <c r="D277" s="4" t="s">
        <v>826</v>
      </c>
      <c r="E277">
        <f>MONTH(Employee_Data[[#This Row],[HireDate]])</f>
        <v>1</v>
      </c>
      <c r="F277">
        <f>YEAR(Employee_Data[[#This Row],[HireDate]])</f>
        <v>2016</v>
      </c>
      <c r="G277" s="5">
        <v>42372</v>
      </c>
      <c r="H277">
        <v>3</v>
      </c>
      <c r="I277">
        <v>32</v>
      </c>
      <c r="J277" s="1">
        <v>77012</v>
      </c>
      <c r="K277" s="1">
        <v>924144</v>
      </c>
    </row>
    <row r="278" spans="1:11" x14ac:dyDescent="0.25">
      <c r="A278" s="3">
        <v>277</v>
      </c>
      <c r="B278" s="4" t="s">
        <v>27</v>
      </c>
      <c r="C278" s="4" t="s">
        <v>458</v>
      </c>
      <c r="D278" s="4" t="s">
        <v>827</v>
      </c>
      <c r="E278">
        <f>MONTH(Employee_Data[[#This Row],[HireDate]])</f>
        <v>8</v>
      </c>
      <c r="F278">
        <f>YEAR(Employee_Data[[#This Row],[HireDate]])</f>
        <v>2017</v>
      </c>
      <c r="G278" s="5">
        <v>42955</v>
      </c>
      <c r="H278">
        <v>4</v>
      </c>
      <c r="I278">
        <v>20</v>
      </c>
      <c r="J278" s="1">
        <v>80713</v>
      </c>
      <c r="K278" s="1">
        <v>968556</v>
      </c>
    </row>
    <row r="279" spans="1:11" x14ac:dyDescent="0.25">
      <c r="A279" s="3">
        <v>278</v>
      </c>
      <c r="B279" s="4" t="s">
        <v>42</v>
      </c>
      <c r="C279" s="4" t="s">
        <v>557</v>
      </c>
      <c r="D279" s="4" t="s">
        <v>830</v>
      </c>
      <c r="E279">
        <f>MONTH(Employee_Data[[#This Row],[HireDate]])</f>
        <v>1</v>
      </c>
      <c r="F279">
        <f>YEAR(Employee_Data[[#This Row],[HireDate]])</f>
        <v>2021</v>
      </c>
      <c r="G279" s="5">
        <v>44220</v>
      </c>
      <c r="H279">
        <v>4</v>
      </c>
      <c r="I279">
        <v>17</v>
      </c>
      <c r="J279" s="1">
        <v>64127</v>
      </c>
      <c r="K279" s="1">
        <v>769524</v>
      </c>
    </row>
    <row r="280" spans="1:11" x14ac:dyDescent="0.25">
      <c r="A280" s="3">
        <v>279</v>
      </c>
      <c r="B280" s="4" t="s">
        <v>96</v>
      </c>
      <c r="C280" s="4" t="s">
        <v>409</v>
      </c>
      <c r="D280" s="4" t="s">
        <v>830</v>
      </c>
      <c r="E280">
        <f>MONTH(Employee_Data[[#This Row],[HireDate]])</f>
        <v>10</v>
      </c>
      <c r="F280">
        <f>YEAR(Employee_Data[[#This Row],[HireDate]])</f>
        <v>2016</v>
      </c>
      <c r="G280" s="5">
        <v>42645</v>
      </c>
      <c r="H280">
        <v>5</v>
      </c>
      <c r="I280">
        <v>22</v>
      </c>
      <c r="J280" s="1">
        <v>85206</v>
      </c>
      <c r="K280" s="1">
        <v>1022472</v>
      </c>
    </row>
    <row r="281" spans="1:11" x14ac:dyDescent="0.25">
      <c r="A281" s="3">
        <v>280</v>
      </c>
      <c r="B281" s="4" t="s">
        <v>156</v>
      </c>
      <c r="C281" s="4" t="s">
        <v>558</v>
      </c>
      <c r="D281" s="4" t="s">
        <v>827</v>
      </c>
      <c r="E281">
        <f>MONTH(Employee_Data[[#This Row],[HireDate]])</f>
        <v>5</v>
      </c>
      <c r="F281">
        <f>YEAR(Employee_Data[[#This Row],[HireDate]])</f>
        <v>2020</v>
      </c>
      <c r="G281" s="5">
        <v>43978</v>
      </c>
      <c r="H281">
        <v>5</v>
      </c>
      <c r="I281">
        <v>39</v>
      </c>
      <c r="J281" s="1">
        <v>34605</v>
      </c>
      <c r="K281" s="1">
        <v>415260</v>
      </c>
    </row>
    <row r="282" spans="1:11" x14ac:dyDescent="0.25">
      <c r="A282" s="3">
        <v>281</v>
      </c>
      <c r="B282" s="4" t="s">
        <v>184</v>
      </c>
      <c r="C282" s="4" t="s">
        <v>531</v>
      </c>
      <c r="D282" s="4" t="s">
        <v>830</v>
      </c>
      <c r="E282">
        <f>MONTH(Employee_Data[[#This Row],[HireDate]])</f>
        <v>4</v>
      </c>
      <c r="F282">
        <f>YEAR(Employee_Data[[#This Row],[HireDate]])</f>
        <v>2023</v>
      </c>
      <c r="G282" s="5">
        <v>45040</v>
      </c>
      <c r="H282">
        <v>5</v>
      </c>
      <c r="I282">
        <v>1</v>
      </c>
      <c r="J282" s="1">
        <v>112829</v>
      </c>
      <c r="K282" s="1">
        <v>1353948</v>
      </c>
    </row>
    <row r="283" spans="1:11" x14ac:dyDescent="0.25">
      <c r="A283" s="3">
        <v>282</v>
      </c>
      <c r="B283" s="4" t="s">
        <v>119</v>
      </c>
      <c r="C283" s="4" t="s">
        <v>226</v>
      </c>
      <c r="D283" s="4" t="s">
        <v>828</v>
      </c>
      <c r="E283">
        <f>MONTH(Employee_Data[[#This Row],[HireDate]])</f>
        <v>5</v>
      </c>
      <c r="F283">
        <f>YEAR(Employee_Data[[#This Row],[HireDate]])</f>
        <v>2024</v>
      </c>
      <c r="G283" s="5">
        <v>45434</v>
      </c>
      <c r="H283">
        <v>2</v>
      </c>
      <c r="I283">
        <v>29</v>
      </c>
      <c r="J283" s="1">
        <v>119273</v>
      </c>
      <c r="K283" s="1">
        <v>1431276</v>
      </c>
    </row>
    <row r="284" spans="1:11" x14ac:dyDescent="0.25">
      <c r="A284" s="3">
        <v>283</v>
      </c>
      <c r="B284" s="4" t="s">
        <v>164</v>
      </c>
      <c r="C284" s="4" t="s">
        <v>443</v>
      </c>
      <c r="D284" s="4" t="s">
        <v>827</v>
      </c>
      <c r="E284">
        <f>MONTH(Employee_Data[[#This Row],[HireDate]])</f>
        <v>5</v>
      </c>
      <c r="F284">
        <f>YEAR(Employee_Data[[#This Row],[HireDate]])</f>
        <v>2021</v>
      </c>
      <c r="G284" s="5">
        <v>44344</v>
      </c>
      <c r="H284">
        <v>2</v>
      </c>
      <c r="I284">
        <v>32</v>
      </c>
      <c r="J284" s="1">
        <v>60339</v>
      </c>
      <c r="K284" s="1">
        <v>724068</v>
      </c>
    </row>
    <row r="285" spans="1:11" x14ac:dyDescent="0.25">
      <c r="A285" s="3">
        <v>284</v>
      </c>
      <c r="B285" s="4" t="s">
        <v>18</v>
      </c>
      <c r="C285" s="4" t="s">
        <v>382</v>
      </c>
      <c r="D285" s="4" t="s">
        <v>827</v>
      </c>
      <c r="E285">
        <f>MONTH(Employee_Data[[#This Row],[HireDate]])</f>
        <v>6</v>
      </c>
      <c r="F285">
        <f>YEAR(Employee_Data[[#This Row],[HireDate]])</f>
        <v>2016</v>
      </c>
      <c r="G285" s="5">
        <v>42533</v>
      </c>
      <c r="H285">
        <v>5</v>
      </c>
      <c r="I285">
        <v>41</v>
      </c>
      <c r="J285" s="1">
        <v>38471</v>
      </c>
      <c r="K285" s="1">
        <v>461652</v>
      </c>
    </row>
    <row r="286" spans="1:11" x14ac:dyDescent="0.25">
      <c r="A286" s="3">
        <v>285</v>
      </c>
      <c r="B286" s="4" t="s">
        <v>185</v>
      </c>
      <c r="C286" s="4" t="s">
        <v>559</v>
      </c>
      <c r="D286" s="4" t="s">
        <v>827</v>
      </c>
      <c r="E286">
        <f>MONTH(Employee_Data[[#This Row],[HireDate]])</f>
        <v>8</v>
      </c>
      <c r="F286">
        <f>YEAR(Employee_Data[[#This Row],[HireDate]])</f>
        <v>2020</v>
      </c>
      <c r="G286" s="5">
        <v>44044</v>
      </c>
      <c r="H286">
        <v>1</v>
      </c>
      <c r="I286">
        <v>21</v>
      </c>
      <c r="J286" s="1">
        <v>53213</v>
      </c>
      <c r="K286" s="1">
        <v>638556</v>
      </c>
    </row>
    <row r="287" spans="1:11" x14ac:dyDescent="0.25">
      <c r="A287" s="3">
        <v>286</v>
      </c>
      <c r="B287" s="4" t="s">
        <v>111</v>
      </c>
      <c r="C287" s="4" t="s">
        <v>97</v>
      </c>
      <c r="D287" s="4" t="s">
        <v>826</v>
      </c>
      <c r="E287">
        <f>MONTH(Employee_Data[[#This Row],[HireDate]])</f>
        <v>5</v>
      </c>
      <c r="F287">
        <f>YEAR(Employee_Data[[#This Row],[HireDate]])</f>
        <v>2021</v>
      </c>
      <c r="G287" s="5">
        <v>44318</v>
      </c>
      <c r="H287">
        <v>1</v>
      </c>
      <c r="I287">
        <v>36</v>
      </c>
      <c r="J287" s="1">
        <v>102140</v>
      </c>
      <c r="K287" s="1">
        <v>1225680</v>
      </c>
    </row>
    <row r="288" spans="1:11" x14ac:dyDescent="0.25">
      <c r="A288" s="3">
        <v>287</v>
      </c>
      <c r="B288" s="4" t="s">
        <v>91</v>
      </c>
      <c r="C288" s="4" t="s">
        <v>560</v>
      </c>
      <c r="D288" s="4" t="s">
        <v>828</v>
      </c>
      <c r="E288">
        <f>MONTH(Employee_Data[[#This Row],[HireDate]])</f>
        <v>5</v>
      </c>
      <c r="F288">
        <f>YEAR(Employee_Data[[#This Row],[HireDate]])</f>
        <v>2021</v>
      </c>
      <c r="G288" s="5">
        <v>44346</v>
      </c>
      <c r="H288">
        <v>5</v>
      </c>
      <c r="I288">
        <v>38</v>
      </c>
      <c r="J288" s="1">
        <v>32127</v>
      </c>
      <c r="K288" s="1">
        <v>385524</v>
      </c>
    </row>
    <row r="289" spans="1:11" x14ac:dyDescent="0.25">
      <c r="A289" s="3">
        <v>288</v>
      </c>
      <c r="B289" s="4" t="s">
        <v>169</v>
      </c>
      <c r="C289" s="4" t="s">
        <v>281</v>
      </c>
      <c r="D289" s="4" t="s">
        <v>830</v>
      </c>
      <c r="E289">
        <f>MONTH(Employee_Data[[#This Row],[HireDate]])</f>
        <v>10</v>
      </c>
      <c r="F289">
        <f>YEAR(Employee_Data[[#This Row],[HireDate]])</f>
        <v>2016</v>
      </c>
      <c r="G289" s="5">
        <v>42662</v>
      </c>
      <c r="H289">
        <v>5</v>
      </c>
      <c r="I289">
        <v>44</v>
      </c>
      <c r="J289" s="1">
        <v>47480</v>
      </c>
      <c r="K289" s="1">
        <v>569760</v>
      </c>
    </row>
    <row r="290" spans="1:11" x14ac:dyDescent="0.25">
      <c r="A290" s="3">
        <v>289</v>
      </c>
      <c r="B290" s="4" t="s">
        <v>18</v>
      </c>
      <c r="C290" s="4" t="s">
        <v>488</v>
      </c>
      <c r="D290" s="4" t="s">
        <v>829</v>
      </c>
      <c r="E290">
        <f>MONTH(Employee_Data[[#This Row],[HireDate]])</f>
        <v>1</v>
      </c>
      <c r="F290">
        <f>YEAR(Employee_Data[[#This Row],[HireDate]])</f>
        <v>2024</v>
      </c>
      <c r="G290" s="5">
        <v>45298</v>
      </c>
      <c r="H290">
        <v>1</v>
      </c>
      <c r="I290">
        <v>22</v>
      </c>
      <c r="J290" s="1">
        <v>108206</v>
      </c>
      <c r="K290" s="1">
        <v>1298472</v>
      </c>
    </row>
    <row r="291" spans="1:11" x14ac:dyDescent="0.25">
      <c r="A291" s="3">
        <v>290</v>
      </c>
      <c r="B291" s="4" t="s">
        <v>126</v>
      </c>
      <c r="C291" s="4" t="s">
        <v>561</v>
      </c>
      <c r="D291" s="4" t="s">
        <v>828</v>
      </c>
      <c r="E291">
        <f>MONTH(Employee_Data[[#This Row],[HireDate]])</f>
        <v>6</v>
      </c>
      <c r="F291">
        <f>YEAR(Employee_Data[[#This Row],[HireDate]])</f>
        <v>2024</v>
      </c>
      <c r="G291" s="5">
        <v>45457</v>
      </c>
      <c r="H291">
        <v>2</v>
      </c>
      <c r="I291">
        <v>10</v>
      </c>
      <c r="J291" s="1">
        <v>89244</v>
      </c>
      <c r="K291" s="1">
        <v>1070928</v>
      </c>
    </row>
    <row r="292" spans="1:11" x14ac:dyDescent="0.25">
      <c r="A292" s="3">
        <v>291</v>
      </c>
      <c r="B292" s="4" t="s">
        <v>186</v>
      </c>
      <c r="C292" s="4" t="s">
        <v>405</v>
      </c>
      <c r="D292" s="4" t="s">
        <v>826</v>
      </c>
      <c r="E292">
        <f>MONTH(Employee_Data[[#This Row],[HireDate]])</f>
        <v>4</v>
      </c>
      <c r="F292">
        <f>YEAR(Employee_Data[[#This Row],[HireDate]])</f>
        <v>2018</v>
      </c>
      <c r="G292" s="5">
        <v>43194</v>
      </c>
      <c r="H292">
        <v>5</v>
      </c>
      <c r="I292">
        <v>22</v>
      </c>
      <c r="J292" s="1">
        <v>48758</v>
      </c>
      <c r="K292" s="1">
        <v>585096</v>
      </c>
    </row>
    <row r="293" spans="1:11" x14ac:dyDescent="0.25">
      <c r="A293" s="3">
        <v>292</v>
      </c>
      <c r="B293" s="4" t="s">
        <v>187</v>
      </c>
      <c r="C293" s="4" t="s">
        <v>531</v>
      </c>
      <c r="D293" s="4" t="s">
        <v>830</v>
      </c>
      <c r="E293">
        <f>MONTH(Employee_Data[[#This Row],[HireDate]])</f>
        <v>5</v>
      </c>
      <c r="F293">
        <f>YEAR(Employee_Data[[#This Row],[HireDate]])</f>
        <v>2017</v>
      </c>
      <c r="G293" s="5">
        <v>42856</v>
      </c>
      <c r="H293">
        <v>1</v>
      </c>
      <c r="I293">
        <v>17</v>
      </c>
      <c r="J293" s="1">
        <v>27981</v>
      </c>
      <c r="K293" s="1">
        <v>335772</v>
      </c>
    </row>
    <row r="294" spans="1:11" x14ac:dyDescent="0.25">
      <c r="A294" s="3">
        <v>293</v>
      </c>
      <c r="B294" s="4" t="s">
        <v>188</v>
      </c>
      <c r="C294" s="4" t="s">
        <v>367</v>
      </c>
      <c r="D294" s="4" t="s">
        <v>827</v>
      </c>
      <c r="E294">
        <f>MONTH(Employee_Data[[#This Row],[HireDate]])</f>
        <v>5</v>
      </c>
      <c r="F294">
        <f>YEAR(Employee_Data[[#This Row],[HireDate]])</f>
        <v>2019</v>
      </c>
      <c r="G294" s="5">
        <v>43589</v>
      </c>
      <c r="H294">
        <v>5</v>
      </c>
      <c r="I294">
        <v>32</v>
      </c>
      <c r="J294" s="1">
        <v>96850</v>
      </c>
      <c r="K294" s="1">
        <v>1162200</v>
      </c>
    </row>
    <row r="295" spans="1:11" x14ac:dyDescent="0.25">
      <c r="A295" s="3">
        <v>294</v>
      </c>
      <c r="B295" s="4" t="s">
        <v>55</v>
      </c>
      <c r="C295" s="4" t="s">
        <v>416</v>
      </c>
      <c r="D295" s="4" t="s">
        <v>830</v>
      </c>
      <c r="E295">
        <f>MONTH(Employee_Data[[#This Row],[HireDate]])</f>
        <v>4</v>
      </c>
      <c r="F295">
        <f>YEAR(Employee_Data[[#This Row],[HireDate]])</f>
        <v>2020</v>
      </c>
      <c r="G295" s="5">
        <v>43925</v>
      </c>
      <c r="H295">
        <v>2</v>
      </c>
      <c r="I295">
        <v>6</v>
      </c>
      <c r="J295" s="1">
        <v>37891</v>
      </c>
      <c r="K295" s="1">
        <v>454692</v>
      </c>
    </row>
    <row r="296" spans="1:11" x14ac:dyDescent="0.25">
      <c r="A296" s="3">
        <v>295</v>
      </c>
      <c r="B296" s="4" t="s">
        <v>145</v>
      </c>
      <c r="C296" s="4" t="s">
        <v>419</v>
      </c>
      <c r="D296" s="4" t="s">
        <v>827</v>
      </c>
      <c r="E296">
        <f>MONTH(Employee_Data[[#This Row],[HireDate]])</f>
        <v>10</v>
      </c>
      <c r="F296">
        <f>YEAR(Employee_Data[[#This Row],[HireDate]])</f>
        <v>2018</v>
      </c>
      <c r="G296" s="5">
        <v>43378</v>
      </c>
      <c r="H296">
        <v>2</v>
      </c>
      <c r="I296">
        <v>9</v>
      </c>
      <c r="J296" s="1">
        <v>92649</v>
      </c>
      <c r="K296" s="1">
        <v>1111788</v>
      </c>
    </row>
    <row r="297" spans="1:11" x14ac:dyDescent="0.25">
      <c r="A297" s="3">
        <v>296</v>
      </c>
      <c r="B297" s="4" t="s">
        <v>19</v>
      </c>
      <c r="C297" s="4" t="s">
        <v>420</v>
      </c>
      <c r="D297" s="4" t="s">
        <v>829</v>
      </c>
      <c r="E297">
        <f>MONTH(Employee_Data[[#This Row],[HireDate]])</f>
        <v>4</v>
      </c>
      <c r="F297">
        <f>YEAR(Employee_Data[[#This Row],[HireDate]])</f>
        <v>2020</v>
      </c>
      <c r="G297" s="5">
        <v>43922</v>
      </c>
      <c r="H297">
        <v>3</v>
      </c>
      <c r="I297">
        <v>37</v>
      </c>
      <c r="J297" s="1">
        <v>100340</v>
      </c>
      <c r="K297" s="1">
        <v>1204080</v>
      </c>
    </row>
    <row r="298" spans="1:11" x14ac:dyDescent="0.25">
      <c r="A298" s="3">
        <v>297</v>
      </c>
      <c r="B298" s="4" t="s">
        <v>98</v>
      </c>
      <c r="C298" s="4" t="s">
        <v>409</v>
      </c>
      <c r="D298" s="4" t="s">
        <v>829</v>
      </c>
      <c r="E298">
        <f>MONTH(Employee_Data[[#This Row],[HireDate]])</f>
        <v>2</v>
      </c>
      <c r="F298">
        <f>YEAR(Employee_Data[[#This Row],[HireDate]])</f>
        <v>2021</v>
      </c>
      <c r="G298" s="5">
        <v>44253</v>
      </c>
      <c r="H298">
        <v>4</v>
      </c>
      <c r="I298">
        <v>37</v>
      </c>
      <c r="J298" s="1">
        <v>33362</v>
      </c>
      <c r="K298" s="1">
        <v>400344</v>
      </c>
    </row>
    <row r="299" spans="1:11" x14ac:dyDescent="0.25">
      <c r="A299" s="3">
        <v>298</v>
      </c>
      <c r="B299" s="4" t="s">
        <v>54</v>
      </c>
      <c r="C299" s="4" t="s">
        <v>562</v>
      </c>
      <c r="D299" s="4" t="s">
        <v>828</v>
      </c>
      <c r="E299">
        <f>MONTH(Employee_Data[[#This Row],[HireDate]])</f>
        <v>7</v>
      </c>
      <c r="F299">
        <f>YEAR(Employee_Data[[#This Row],[HireDate]])</f>
        <v>2021</v>
      </c>
      <c r="G299" s="5">
        <v>44392</v>
      </c>
      <c r="H299">
        <v>5</v>
      </c>
      <c r="I299">
        <v>21</v>
      </c>
      <c r="J299" s="1">
        <v>47221</v>
      </c>
      <c r="K299" s="1">
        <v>566652</v>
      </c>
    </row>
    <row r="300" spans="1:11" x14ac:dyDescent="0.25">
      <c r="A300" s="3">
        <v>299</v>
      </c>
      <c r="B300" s="4" t="s">
        <v>189</v>
      </c>
      <c r="C300" s="4" t="s">
        <v>428</v>
      </c>
      <c r="D300" s="4" t="s">
        <v>830</v>
      </c>
      <c r="E300">
        <f>MONTH(Employee_Data[[#This Row],[HireDate]])</f>
        <v>7</v>
      </c>
      <c r="F300">
        <f>YEAR(Employee_Data[[#This Row],[HireDate]])</f>
        <v>2020</v>
      </c>
      <c r="G300" s="5">
        <v>44029</v>
      </c>
      <c r="H300">
        <v>4</v>
      </c>
      <c r="I300">
        <v>49</v>
      </c>
      <c r="J300" s="1">
        <v>26028</v>
      </c>
      <c r="K300" s="1">
        <v>312336</v>
      </c>
    </row>
    <row r="301" spans="1:11" x14ac:dyDescent="0.25">
      <c r="A301" s="3">
        <v>300</v>
      </c>
      <c r="B301" s="4" t="s">
        <v>121</v>
      </c>
      <c r="C301" s="4" t="s">
        <v>563</v>
      </c>
      <c r="D301" s="4" t="s">
        <v>826</v>
      </c>
      <c r="E301">
        <f>MONTH(Employee_Data[[#This Row],[HireDate]])</f>
        <v>4</v>
      </c>
      <c r="F301">
        <f>YEAR(Employee_Data[[#This Row],[HireDate]])</f>
        <v>2024</v>
      </c>
      <c r="G301" s="5">
        <v>45411</v>
      </c>
      <c r="H301">
        <v>1</v>
      </c>
      <c r="I301">
        <v>25</v>
      </c>
      <c r="J301" s="1">
        <v>49880</v>
      </c>
      <c r="K301" s="1">
        <v>598560</v>
      </c>
    </row>
    <row r="302" spans="1:11" x14ac:dyDescent="0.25">
      <c r="A302" s="3">
        <v>301</v>
      </c>
      <c r="B302" s="4" t="s">
        <v>190</v>
      </c>
      <c r="C302" s="4" t="s">
        <v>564</v>
      </c>
      <c r="D302" s="4" t="s">
        <v>829</v>
      </c>
      <c r="E302">
        <f>MONTH(Employee_Data[[#This Row],[HireDate]])</f>
        <v>11</v>
      </c>
      <c r="F302">
        <f>YEAR(Employee_Data[[#This Row],[HireDate]])</f>
        <v>2023</v>
      </c>
      <c r="G302" s="5">
        <v>45231</v>
      </c>
      <c r="H302">
        <v>2</v>
      </c>
      <c r="I302">
        <v>47</v>
      </c>
      <c r="J302" s="1">
        <v>91637</v>
      </c>
      <c r="K302" s="1">
        <v>1099644</v>
      </c>
    </row>
    <row r="303" spans="1:11" x14ac:dyDescent="0.25">
      <c r="A303" s="3">
        <v>302</v>
      </c>
      <c r="B303" s="4" t="s">
        <v>191</v>
      </c>
      <c r="C303" s="4" t="s">
        <v>281</v>
      </c>
      <c r="D303" s="4" t="s">
        <v>829</v>
      </c>
      <c r="E303">
        <f>MONTH(Employee_Data[[#This Row],[HireDate]])</f>
        <v>8</v>
      </c>
      <c r="F303">
        <f>YEAR(Employee_Data[[#This Row],[HireDate]])</f>
        <v>2016</v>
      </c>
      <c r="G303" s="5">
        <v>42600</v>
      </c>
      <c r="H303">
        <v>2</v>
      </c>
      <c r="I303">
        <v>45</v>
      </c>
      <c r="J303" s="1">
        <v>26749</v>
      </c>
      <c r="K303" s="1">
        <v>320988</v>
      </c>
    </row>
    <row r="304" spans="1:11" x14ac:dyDescent="0.25">
      <c r="A304" s="3">
        <v>303</v>
      </c>
      <c r="B304" s="4" t="s">
        <v>98</v>
      </c>
      <c r="C304" s="4" t="s">
        <v>565</v>
      </c>
      <c r="D304" s="4" t="s">
        <v>826</v>
      </c>
      <c r="E304">
        <f>MONTH(Employee_Data[[#This Row],[HireDate]])</f>
        <v>12</v>
      </c>
      <c r="F304">
        <f>YEAR(Employee_Data[[#This Row],[HireDate]])</f>
        <v>2020</v>
      </c>
      <c r="G304" s="5">
        <v>44190</v>
      </c>
      <c r="H304">
        <v>5</v>
      </c>
      <c r="I304">
        <v>34</v>
      </c>
      <c r="J304" s="1">
        <v>33002</v>
      </c>
      <c r="K304" s="1">
        <v>396024</v>
      </c>
    </row>
    <row r="305" spans="1:11" x14ac:dyDescent="0.25">
      <c r="A305" s="3">
        <v>304</v>
      </c>
      <c r="B305" s="4" t="s">
        <v>192</v>
      </c>
      <c r="C305" s="4" t="s">
        <v>566</v>
      </c>
      <c r="D305" s="4" t="s">
        <v>829</v>
      </c>
      <c r="E305">
        <f>MONTH(Employee_Data[[#This Row],[HireDate]])</f>
        <v>6</v>
      </c>
      <c r="F305">
        <f>YEAR(Employee_Data[[#This Row],[HireDate]])</f>
        <v>2017</v>
      </c>
      <c r="G305" s="5">
        <v>42916</v>
      </c>
      <c r="H305">
        <v>1</v>
      </c>
      <c r="I305">
        <v>18</v>
      </c>
      <c r="J305" s="1">
        <v>63133</v>
      </c>
      <c r="K305" s="1">
        <v>757596</v>
      </c>
    </row>
    <row r="306" spans="1:11" x14ac:dyDescent="0.25">
      <c r="A306" s="3">
        <v>305</v>
      </c>
      <c r="B306" s="4" t="s">
        <v>54</v>
      </c>
      <c r="C306" s="4" t="s">
        <v>403</v>
      </c>
      <c r="D306" s="4" t="s">
        <v>827</v>
      </c>
      <c r="E306">
        <f>MONTH(Employee_Data[[#This Row],[HireDate]])</f>
        <v>3</v>
      </c>
      <c r="F306">
        <f>YEAR(Employee_Data[[#This Row],[HireDate]])</f>
        <v>2019</v>
      </c>
      <c r="G306" s="5">
        <v>43553</v>
      </c>
      <c r="H306">
        <v>5</v>
      </c>
      <c r="I306">
        <v>37</v>
      </c>
      <c r="J306" s="1">
        <v>93376</v>
      </c>
      <c r="K306" s="1">
        <v>1120512</v>
      </c>
    </row>
    <row r="307" spans="1:11" x14ac:dyDescent="0.25">
      <c r="A307" s="3">
        <v>306</v>
      </c>
      <c r="B307" s="4" t="s">
        <v>193</v>
      </c>
      <c r="C307" s="4" t="s">
        <v>567</v>
      </c>
      <c r="D307" s="4" t="s">
        <v>827</v>
      </c>
      <c r="E307">
        <f>MONTH(Employee_Data[[#This Row],[HireDate]])</f>
        <v>2</v>
      </c>
      <c r="F307">
        <f>YEAR(Employee_Data[[#This Row],[HireDate]])</f>
        <v>2022</v>
      </c>
      <c r="G307" s="5">
        <v>44619</v>
      </c>
      <c r="H307">
        <v>2</v>
      </c>
      <c r="I307">
        <v>28</v>
      </c>
      <c r="J307" s="1">
        <v>84437</v>
      </c>
      <c r="K307" s="1">
        <v>1013244</v>
      </c>
    </row>
    <row r="308" spans="1:11" x14ac:dyDescent="0.25">
      <c r="A308" s="3">
        <v>307</v>
      </c>
      <c r="B308" s="4" t="s">
        <v>150</v>
      </c>
      <c r="C308" s="4" t="s">
        <v>366</v>
      </c>
      <c r="D308" s="4" t="s">
        <v>826</v>
      </c>
      <c r="E308">
        <f>MONTH(Employee_Data[[#This Row],[HireDate]])</f>
        <v>10</v>
      </c>
      <c r="F308">
        <f>YEAR(Employee_Data[[#This Row],[HireDate]])</f>
        <v>2018</v>
      </c>
      <c r="G308" s="5">
        <v>43376</v>
      </c>
      <c r="H308">
        <v>2</v>
      </c>
      <c r="I308">
        <v>29</v>
      </c>
      <c r="J308" s="1">
        <v>25671</v>
      </c>
      <c r="K308" s="1">
        <v>308052</v>
      </c>
    </row>
    <row r="309" spans="1:11" x14ac:dyDescent="0.25">
      <c r="A309" s="3">
        <v>308</v>
      </c>
      <c r="B309" s="4" t="s">
        <v>194</v>
      </c>
      <c r="C309" s="4" t="s">
        <v>527</v>
      </c>
      <c r="D309" s="4" t="s">
        <v>829</v>
      </c>
      <c r="E309">
        <f>MONTH(Employee_Data[[#This Row],[HireDate]])</f>
        <v>1</v>
      </c>
      <c r="F309">
        <f>YEAR(Employee_Data[[#This Row],[HireDate]])</f>
        <v>2019</v>
      </c>
      <c r="G309" s="5">
        <v>43491</v>
      </c>
      <c r="H309">
        <v>5</v>
      </c>
      <c r="I309">
        <v>5</v>
      </c>
      <c r="J309" s="1">
        <v>27451</v>
      </c>
      <c r="K309" s="1">
        <v>329412</v>
      </c>
    </row>
    <row r="310" spans="1:11" x14ac:dyDescent="0.25">
      <c r="A310" s="3">
        <v>309</v>
      </c>
      <c r="B310" s="4" t="s">
        <v>99</v>
      </c>
      <c r="C310" s="4" t="s">
        <v>413</v>
      </c>
      <c r="D310" s="4" t="s">
        <v>828</v>
      </c>
      <c r="E310">
        <f>MONTH(Employee_Data[[#This Row],[HireDate]])</f>
        <v>8</v>
      </c>
      <c r="F310">
        <f>YEAR(Employee_Data[[#This Row],[HireDate]])</f>
        <v>2016</v>
      </c>
      <c r="G310" s="5">
        <v>42612</v>
      </c>
      <c r="H310">
        <v>5</v>
      </c>
      <c r="I310">
        <v>10</v>
      </c>
      <c r="J310" s="1">
        <v>75659</v>
      </c>
      <c r="K310" s="1">
        <v>907908</v>
      </c>
    </row>
    <row r="311" spans="1:11" x14ac:dyDescent="0.25">
      <c r="A311" s="3">
        <v>310</v>
      </c>
      <c r="B311" s="4" t="s">
        <v>59</v>
      </c>
      <c r="C311" s="4" t="s">
        <v>420</v>
      </c>
      <c r="D311" s="4" t="s">
        <v>830</v>
      </c>
      <c r="E311">
        <f>MONTH(Employee_Data[[#This Row],[HireDate]])</f>
        <v>11</v>
      </c>
      <c r="F311">
        <f>YEAR(Employee_Data[[#This Row],[HireDate]])</f>
        <v>2023</v>
      </c>
      <c r="G311" s="5">
        <v>45248</v>
      </c>
      <c r="H311">
        <v>4</v>
      </c>
      <c r="I311">
        <v>14</v>
      </c>
      <c r="J311" s="1">
        <v>113371</v>
      </c>
      <c r="K311" s="1">
        <v>1360452</v>
      </c>
    </row>
    <row r="312" spans="1:11" x14ac:dyDescent="0.25">
      <c r="A312" s="3">
        <v>311</v>
      </c>
      <c r="B312" s="4" t="s">
        <v>107</v>
      </c>
      <c r="C312" s="4" t="s">
        <v>373</v>
      </c>
      <c r="D312" s="4" t="s">
        <v>826</v>
      </c>
      <c r="E312">
        <f>MONTH(Employee_Data[[#This Row],[HireDate]])</f>
        <v>4</v>
      </c>
      <c r="F312">
        <f>YEAR(Employee_Data[[#This Row],[HireDate]])</f>
        <v>2018</v>
      </c>
      <c r="G312" s="5">
        <v>43199</v>
      </c>
      <c r="H312">
        <v>3</v>
      </c>
      <c r="I312">
        <v>38</v>
      </c>
      <c r="J312" s="1">
        <v>117464</v>
      </c>
      <c r="K312" s="1">
        <v>1409568</v>
      </c>
    </row>
    <row r="313" spans="1:11" x14ac:dyDescent="0.25">
      <c r="A313" s="3">
        <v>312</v>
      </c>
      <c r="B313" s="4" t="s">
        <v>195</v>
      </c>
      <c r="C313" s="4" t="s">
        <v>551</v>
      </c>
      <c r="D313" s="4" t="s">
        <v>827</v>
      </c>
      <c r="E313">
        <f>MONTH(Employee_Data[[#This Row],[HireDate]])</f>
        <v>6</v>
      </c>
      <c r="F313">
        <f>YEAR(Employee_Data[[#This Row],[HireDate]])</f>
        <v>2022</v>
      </c>
      <c r="G313" s="5">
        <v>44730</v>
      </c>
      <c r="H313">
        <v>2</v>
      </c>
      <c r="I313">
        <v>22</v>
      </c>
      <c r="J313" s="1">
        <v>24645</v>
      </c>
      <c r="K313" s="1">
        <v>295740</v>
      </c>
    </row>
    <row r="314" spans="1:11" x14ac:dyDescent="0.25">
      <c r="A314" s="3">
        <v>313</v>
      </c>
      <c r="B314" s="4" t="s">
        <v>196</v>
      </c>
      <c r="C314" s="4" t="s">
        <v>568</v>
      </c>
      <c r="D314" s="4" t="s">
        <v>829</v>
      </c>
      <c r="E314">
        <f>MONTH(Employee_Data[[#This Row],[HireDate]])</f>
        <v>6</v>
      </c>
      <c r="F314">
        <f>YEAR(Employee_Data[[#This Row],[HireDate]])</f>
        <v>2019</v>
      </c>
      <c r="G314" s="5">
        <v>43623</v>
      </c>
      <c r="H314">
        <v>3</v>
      </c>
      <c r="I314">
        <v>7</v>
      </c>
      <c r="J314" s="1">
        <v>110837</v>
      </c>
      <c r="K314" s="1">
        <v>1330044</v>
      </c>
    </row>
    <row r="315" spans="1:11" x14ac:dyDescent="0.25">
      <c r="A315" s="3">
        <v>314</v>
      </c>
      <c r="B315" s="4" t="s">
        <v>197</v>
      </c>
      <c r="C315" s="4" t="s">
        <v>399</v>
      </c>
      <c r="D315" s="4" t="s">
        <v>830</v>
      </c>
      <c r="E315">
        <f>MONTH(Employee_Data[[#This Row],[HireDate]])</f>
        <v>6</v>
      </c>
      <c r="F315">
        <f>YEAR(Employee_Data[[#This Row],[HireDate]])</f>
        <v>2024</v>
      </c>
      <c r="G315" s="5">
        <v>45453</v>
      </c>
      <c r="H315">
        <v>1</v>
      </c>
      <c r="I315">
        <v>12</v>
      </c>
      <c r="J315" s="1">
        <v>81209</v>
      </c>
      <c r="K315" s="1">
        <v>974508</v>
      </c>
    </row>
    <row r="316" spans="1:11" x14ac:dyDescent="0.25">
      <c r="A316" s="3">
        <v>315</v>
      </c>
      <c r="B316" s="4" t="s">
        <v>198</v>
      </c>
      <c r="C316" s="4" t="s">
        <v>569</v>
      </c>
      <c r="D316" s="4" t="s">
        <v>827</v>
      </c>
      <c r="E316">
        <f>MONTH(Employee_Data[[#This Row],[HireDate]])</f>
        <v>12</v>
      </c>
      <c r="F316">
        <f>YEAR(Employee_Data[[#This Row],[HireDate]])</f>
        <v>2023</v>
      </c>
      <c r="G316" s="5">
        <v>45261</v>
      </c>
      <c r="H316">
        <v>4</v>
      </c>
      <c r="I316">
        <v>35</v>
      </c>
      <c r="J316" s="1">
        <v>117206</v>
      </c>
      <c r="K316" s="1">
        <v>1406472</v>
      </c>
    </row>
    <row r="317" spans="1:11" x14ac:dyDescent="0.25">
      <c r="A317" s="3">
        <v>316</v>
      </c>
      <c r="B317" s="4" t="s">
        <v>128</v>
      </c>
      <c r="C317" s="4" t="s">
        <v>570</v>
      </c>
      <c r="D317" s="4" t="s">
        <v>828</v>
      </c>
      <c r="E317">
        <f>MONTH(Employee_Data[[#This Row],[HireDate]])</f>
        <v>1</v>
      </c>
      <c r="F317">
        <f>YEAR(Employee_Data[[#This Row],[HireDate]])</f>
        <v>2023</v>
      </c>
      <c r="G317" s="5">
        <v>44955</v>
      </c>
      <c r="H317">
        <v>1</v>
      </c>
      <c r="I317">
        <v>34</v>
      </c>
      <c r="J317" s="1">
        <v>94851</v>
      </c>
      <c r="K317" s="1">
        <v>1138212</v>
      </c>
    </row>
    <row r="318" spans="1:11" x14ac:dyDescent="0.25">
      <c r="A318" s="3">
        <v>317</v>
      </c>
      <c r="B318" s="4" t="s">
        <v>199</v>
      </c>
      <c r="C318" s="4" t="s">
        <v>396</v>
      </c>
      <c r="D318" s="4" t="s">
        <v>827</v>
      </c>
      <c r="E318">
        <f>MONTH(Employee_Data[[#This Row],[HireDate]])</f>
        <v>9</v>
      </c>
      <c r="F318">
        <f>YEAR(Employee_Data[[#This Row],[HireDate]])</f>
        <v>2020</v>
      </c>
      <c r="G318" s="5">
        <v>44091</v>
      </c>
      <c r="H318">
        <v>3</v>
      </c>
      <c r="I318">
        <v>10</v>
      </c>
      <c r="J318" s="1">
        <v>114457</v>
      </c>
      <c r="K318" s="1">
        <v>1373484</v>
      </c>
    </row>
    <row r="319" spans="1:11" x14ac:dyDescent="0.25">
      <c r="A319" s="3">
        <v>318</v>
      </c>
      <c r="B319" s="4" t="s">
        <v>200</v>
      </c>
      <c r="C319" s="4" t="s">
        <v>498</v>
      </c>
      <c r="D319" s="4" t="s">
        <v>826</v>
      </c>
      <c r="E319">
        <f>MONTH(Employee_Data[[#This Row],[HireDate]])</f>
        <v>4</v>
      </c>
      <c r="F319">
        <f>YEAR(Employee_Data[[#This Row],[HireDate]])</f>
        <v>2019</v>
      </c>
      <c r="G319" s="5">
        <v>43557</v>
      </c>
      <c r="H319">
        <v>1</v>
      </c>
      <c r="I319">
        <v>42</v>
      </c>
      <c r="J319" s="1">
        <v>76659</v>
      </c>
      <c r="K319" s="1">
        <v>919908</v>
      </c>
    </row>
    <row r="320" spans="1:11" x14ac:dyDescent="0.25">
      <c r="A320" s="3">
        <v>319</v>
      </c>
      <c r="B320" s="4" t="s">
        <v>157</v>
      </c>
      <c r="C320" s="4" t="s">
        <v>548</v>
      </c>
      <c r="D320" s="4" t="s">
        <v>828</v>
      </c>
      <c r="E320">
        <f>MONTH(Employee_Data[[#This Row],[HireDate]])</f>
        <v>11</v>
      </c>
      <c r="F320">
        <f>YEAR(Employee_Data[[#This Row],[HireDate]])</f>
        <v>2019</v>
      </c>
      <c r="G320" s="5">
        <v>43775</v>
      </c>
      <c r="H320">
        <v>4</v>
      </c>
      <c r="I320">
        <v>23</v>
      </c>
      <c r="J320" s="1">
        <v>104326</v>
      </c>
      <c r="K320" s="1">
        <v>1251912</v>
      </c>
    </row>
    <row r="321" spans="1:11" x14ac:dyDescent="0.25">
      <c r="A321" s="3">
        <v>320</v>
      </c>
      <c r="B321" s="4" t="s">
        <v>90</v>
      </c>
      <c r="C321" s="4" t="s">
        <v>429</v>
      </c>
      <c r="D321" s="4" t="s">
        <v>828</v>
      </c>
      <c r="E321">
        <f>MONTH(Employee_Data[[#This Row],[HireDate]])</f>
        <v>11</v>
      </c>
      <c r="F321">
        <f>YEAR(Employee_Data[[#This Row],[HireDate]])</f>
        <v>2019</v>
      </c>
      <c r="G321" s="5">
        <v>43799</v>
      </c>
      <c r="H321">
        <v>5</v>
      </c>
      <c r="I321">
        <v>30</v>
      </c>
      <c r="J321" s="1">
        <v>94825</v>
      </c>
      <c r="K321" s="1">
        <v>1137900</v>
      </c>
    </row>
    <row r="322" spans="1:11" x14ac:dyDescent="0.25">
      <c r="A322" s="3">
        <v>321</v>
      </c>
      <c r="B322" s="4" t="s">
        <v>201</v>
      </c>
      <c r="C322" s="4" t="s">
        <v>436</v>
      </c>
      <c r="D322" s="4" t="s">
        <v>826</v>
      </c>
      <c r="E322">
        <f>MONTH(Employee_Data[[#This Row],[HireDate]])</f>
        <v>2</v>
      </c>
      <c r="F322">
        <f>YEAR(Employee_Data[[#This Row],[HireDate]])</f>
        <v>2021</v>
      </c>
      <c r="G322" s="5">
        <v>44250</v>
      </c>
      <c r="H322">
        <v>1</v>
      </c>
      <c r="I322">
        <v>37</v>
      </c>
      <c r="J322" s="1">
        <v>48520</v>
      </c>
      <c r="K322" s="1">
        <v>582240</v>
      </c>
    </row>
    <row r="323" spans="1:11" x14ac:dyDescent="0.25">
      <c r="A323" s="3">
        <v>322</v>
      </c>
      <c r="B323" s="4" t="s">
        <v>202</v>
      </c>
      <c r="C323" s="4" t="s">
        <v>409</v>
      </c>
      <c r="D323" s="4" t="s">
        <v>826</v>
      </c>
      <c r="E323">
        <f>MONTH(Employee_Data[[#This Row],[HireDate]])</f>
        <v>10</v>
      </c>
      <c r="F323">
        <f>YEAR(Employee_Data[[#This Row],[HireDate]])</f>
        <v>2016</v>
      </c>
      <c r="G323" s="5">
        <v>42673</v>
      </c>
      <c r="H323">
        <v>5</v>
      </c>
      <c r="I323">
        <v>36</v>
      </c>
      <c r="J323" s="1">
        <v>90259</v>
      </c>
      <c r="K323" s="1">
        <v>1083108</v>
      </c>
    </row>
    <row r="324" spans="1:11" x14ac:dyDescent="0.25">
      <c r="A324" s="3">
        <v>323</v>
      </c>
      <c r="B324" s="4" t="s">
        <v>203</v>
      </c>
      <c r="C324" s="4" t="s">
        <v>571</v>
      </c>
      <c r="D324" s="4" t="s">
        <v>828</v>
      </c>
      <c r="E324">
        <f>MONTH(Employee_Data[[#This Row],[HireDate]])</f>
        <v>10</v>
      </c>
      <c r="F324">
        <f>YEAR(Employee_Data[[#This Row],[HireDate]])</f>
        <v>2020</v>
      </c>
      <c r="G324" s="5">
        <v>44124</v>
      </c>
      <c r="H324">
        <v>2</v>
      </c>
      <c r="I324">
        <v>38</v>
      </c>
      <c r="J324" s="1">
        <v>68489</v>
      </c>
      <c r="K324" s="1">
        <v>821868</v>
      </c>
    </row>
    <row r="325" spans="1:11" x14ac:dyDescent="0.25">
      <c r="A325" s="3">
        <v>324</v>
      </c>
      <c r="B325" s="4" t="s">
        <v>189</v>
      </c>
      <c r="C325" s="4" t="s">
        <v>572</v>
      </c>
      <c r="D325" s="4" t="s">
        <v>830</v>
      </c>
      <c r="E325">
        <f>MONTH(Employee_Data[[#This Row],[HireDate]])</f>
        <v>3</v>
      </c>
      <c r="F325">
        <f>YEAR(Employee_Data[[#This Row],[HireDate]])</f>
        <v>2022</v>
      </c>
      <c r="G325" s="5">
        <v>44626</v>
      </c>
      <c r="H325">
        <v>2</v>
      </c>
      <c r="I325">
        <v>48</v>
      </c>
      <c r="J325" s="1">
        <v>41334</v>
      </c>
      <c r="K325" s="1">
        <v>496008</v>
      </c>
    </row>
    <row r="326" spans="1:11" x14ac:dyDescent="0.25">
      <c r="A326" s="3">
        <v>325</v>
      </c>
      <c r="B326" s="4" t="s">
        <v>204</v>
      </c>
      <c r="C326" s="4" t="s">
        <v>545</v>
      </c>
      <c r="D326" s="4" t="s">
        <v>829</v>
      </c>
      <c r="E326">
        <f>MONTH(Employee_Data[[#This Row],[HireDate]])</f>
        <v>8</v>
      </c>
      <c r="F326">
        <f>YEAR(Employee_Data[[#This Row],[HireDate]])</f>
        <v>2018</v>
      </c>
      <c r="G326" s="5">
        <v>43338</v>
      </c>
      <c r="H326">
        <v>5</v>
      </c>
      <c r="I326">
        <v>10</v>
      </c>
      <c r="J326" s="1">
        <v>96554</v>
      </c>
      <c r="K326" s="1">
        <v>1158648</v>
      </c>
    </row>
    <row r="327" spans="1:11" x14ac:dyDescent="0.25">
      <c r="A327" s="3">
        <v>326</v>
      </c>
      <c r="B327" s="4" t="s">
        <v>94</v>
      </c>
      <c r="C327" s="4" t="s">
        <v>432</v>
      </c>
      <c r="D327" s="4" t="s">
        <v>828</v>
      </c>
      <c r="E327">
        <f>MONTH(Employee_Data[[#This Row],[HireDate]])</f>
        <v>6</v>
      </c>
      <c r="F327">
        <f>YEAR(Employee_Data[[#This Row],[HireDate]])</f>
        <v>2019</v>
      </c>
      <c r="G327" s="5">
        <v>43625</v>
      </c>
      <c r="H327">
        <v>5</v>
      </c>
      <c r="I327">
        <v>7</v>
      </c>
      <c r="J327" s="1">
        <v>76635</v>
      </c>
      <c r="K327" s="1">
        <v>919620</v>
      </c>
    </row>
    <row r="328" spans="1:11" x14ac:dyDescent="0.25">
      <c r="A328" s="3">
        <v>327</v>
      </c>
      <c r="B328" s="4" t="s">
        <v>205</v>
      </c>
      <c r="C328" s="4" t="s">
        <v>573</v>
      </c>
      <c r="D328" s="4" t="s">
        <v>827</v>
      </c>
      <c r="E328">
        <f>MONTH(Employee_Data[[#This Row],[HireDate]])</f>
        <v>12</v>
      </c>
      <c r="F328">
        <f>YEAR(Employee_Data[[#This Row],[HireDate]])</f>
        <v>2017</v>
      </c>
      <c r="G328" s="5">
        <v>43084</v>
      </c>
      <c r="H328">
        <v>2</v>
      </c>
      <c r="I328">
        <v>33</v>
      </c>
      <c r="J328" s="1">
        <v>71211</v>
      </c>
      <c r="K328" s="1">
        <v>854532</v>
      </c>
    </row>
    <row r="329" spans="1:11" x14ac:dyDescent="0.25">
      <c r="A329" s="3">
        <v>328</v>
      </c>
      <c r="B329" s="4" t="s">
        <v>206</v>
      </c>
      <c r="C329" s="4" t="s">
        <v>574</v>
      </c>
      <c r="D329" s="4" t="s">
        <v>826</v>
      </c>
      <c r="E329">
        <f>MONTH(Employee_Data[[#This Row],[HireDate]])</f>
        <v>3</v>
      </c>
      <c r="F329">
        <f>YEAR(Employee_Data[[#This Row],[HireDate]])</f>
        <v>2023</v>
      </c>
      <c r="G329" s="5">
        <v>44998</v>
      </c>
      <c r="H329">
        <v>4</v>
      </c>
      <c r="I329">
        <v>21</v>
      </c>
      <c r="J329" s="1">
        <v>118025</v>
      </c>
      <c r="K329" s="1">
        <v>1416300</v>
      </c>
    </row>
    <row r="330" spans="1:11" x14ac:dyDescent="0.25">
      <c r="A330" s="3">
        <v>329</v>
      </c>
      <c r="B330" s="4" t="s">
        <v>207</v>
      </c>
      <c r="C330" s="4" t="s">
        <v>575</v>
      </c>
      <c r="D330" s="4" t="s">
        <v>828</v>
      </c>
      <c r="E330">
        <f>MONTH(Employee_Data[[#This Row],[HireDate]])</f>
        <v>10</v>
      </c>
      <c r="F330">
        <f>YEAR(Employee_Data[[#This Row],[HireDate]])</f>
        <v>2016</v>
      </c>
      <c r="G330" s="5">
        <v>42664</v>
      </c>
      <c r="H330">
        <v>5</v>
      </c>
      <c r="I330">
        <v>29</v>
      </c>
      <c r="J330" s="1">
        <v>106432</v>
      </c>
      <c r="K330" s="1">
        <v>1277184</v>
      </c>
    </row>
    <row r="331" spans="1:11" x14ac:dyDescent="0.25">
      <c r="A331" s="3">
        <v>330</v>
      </c>
      <c r="B331" s="4" t="s">
        <v>90</v>
      </c>
      <c r="C331" s="4" t="s">
        <v>428</v>
      </c>
      <c r="D331" s="4" t="s">
        <v>828</v>
      </c>
      <c r="E331">
        <f>MONTH(Employee_Data[[#This Row],[HireDate]])</f>
        <v>9</v>
      </c>
      <c r="F331">
        <f>YEAR(Employee_Data[[#This Row],[HireDate]])</f>
        <v>2018</v>
      </c>
      <c r="G331" s="5">
        <v>43352</v>
      </c>
      <c r="H331">
        <v>5</v>
      </c>
      <c r="I331">
        <v>39</v>
      </c>
      <c r="J331" s="1">
        <v>50797</v>
      </c>
      <c r="K331" s="1">
        <v>609564</v>
      </c>
    </row>
    <row r="332" spans="1:11" x14ac:dyDescent="0.25">
      <c r="A332" s="3">
        <v>331</v>
      </c>
      <c r="B332" s="4" t="s">
        <v>208</v>
      </c>
      <c r="C332" s="4" t="s">
        <v>441</v>
      </c>
      <c r="D332" s="4" t="s">
        <v>829</v>
      </c>
      <c r="E332">
        <f>MONTH(Employee_Data[[#This Row],[HireDate]])</f>
        <v>1</v>
      </c>
      <c r="F332">
        <f>YEAR(Employee_Data[[#This Row],[HireDate]])</f>
        <v>2016</v>
      </c>
      <c r="G332" s="5">
        <v>42370</v>
      </c>
      <c r="H332">
        <v>5</v>
      </c>
      <c r="I332">
        <v>43</v>
      </c>
      <c r="J332" s="1">
        <v>79736</v>
      </c>
      <c r="K332" s="1">
        <v>956832</v>
      </c>
    </row>
    <row r="333" spans="1:11" x14ac:dyDescent="0.25">
      <c r="A333" s="3">
        <v>332</v>
      </c>
      <c r="B333" s="4" t="s">
        <v>191</v>
      </c>
      <c r="C333" s="4" t="s">
        <v>384</v>
      </c>
      <c r="D333" s="4" t="s">
        <v>826</v>
      </c>
      <c r="E333">
        <f>MONTH(Employee_Data[[#This Row],[HireDate]])</f>
        <v>9</v>
      </c>
      <c r="F333">
        <f>YEAR(Employee_Data[[#This Row],[HireDate]])</f>
        <v>2023</v>
      </c>
      <c r="G333" s="5">
        <v>45181</v>
      </c>
      <c r="H333">
        <v>2</v>
      </c>
      <c r="I333">
        <v>18</v>
      </c>
      <c r="J333" s="1">
        <v>59581</v>
      </c>
      <c r="K333" s="1">
        <v>714972</v>
      </c>
    </row>
    <row r="334" spans="1:11" x14ac:dyDescent="0.25">
      <c r="A334" s="3">
        <v>333</v>
      </c>
      <c r="B334" s="4" t="s">
        <v>209</v>
      </c>
      <c r="C334" s="4" t="s">
        <v>576</v>
      </c>
      <c r="D334" s="4" t="s">
        <v>829</v>
      </c>
      <c r="E334">
        <f>MONTH(Employee_Data[[#This Row],[HireDate]])</f>
        <v>10</v>
      </c>
      <c r="F334">
        <f>YEAR(Employee_Data[[#This Row],[HireDate]])</f>
        <v>2021</v>
      </c>
      <c r="G334" s="5">
        <v>44482</v>
      </c>
      <c r="H334">
        <v>5</v>
      </c>
      <c r="I334">
        <v>45</v>
      </c>
      <c r="J334" s="1">
        <v>50642</v>
      </c>
      <c r="K334" s="1">
        <v>607704</v>
      </c>
    </row>
    <row r="335" spans="1:11" x14ac:dyDescent="0.25">
      <c r="A335" s="3">
        <v>334</v>
      </c>
      <c r="B335" s="4" t="s">
        <v>210</v>
      </c>
      <c r="C335" s="4" t="s">
        <v>366</v>
      </c>
      <c r="D335" s="4" t="s">
        <v>830</v>
      </c>
      <c r="E335">
        <f>MONTH(Employee_Data[[#This Row],[HireDate]])</f>
        <v>3</v>
      </c>
      <c r="F335">
        <f>YEAR(Employee_Data[[#This Row],[HireDate]])</f>
        <v>2023</v>
      </c>
      <c r="G335" s="5">
        <v>45004</v>
      </c>
      <c r="H335">
        <v>1</v>
      </c>
      <c r="I335">
        <v>6</v>
      </c>
      <c r="J335" s="1">
        <v>79196</v>
      </c>
      <c r="K335" s="1">
        <v>950352</v>
      </c>
    </row>
    <row r="336" spans="1:11" x14ac:dyDescent="0.25">
      <c r="A336" s="3">
        <v>335</v>
      </c>
      <c r="B336" s="4" t="s">
        <v>211</v>
      </c>
      <c r="C336" s="4" t="s">
        <v>405</v>
      </c>
      <c r="D336" s="4" t="s">
        <v>826</v>
      </c>
      <c r="E336">
        <f>MONTH(Employee_Data[[#This Row],[HireDate]])</f>
        <v>7</v>
      </c>
      <c r="F336">
        <f>YEAR(Employee_Data[[#This Row],[HireDate]])</f>
        <v>2023</v>
      </c>
      <c r="G336" s="5">
        <v>45126</v>
      </c>
      <c r="H336">
        <v>1</v>
      </c>
      <c r="I336">
        <v>45</v>
      </c>
      <c r="J336" s="1">
        <v>119614</v>
      </c>
      <c r="K336" s="1">
        <v>1435368</v>
      </c>
    </row>
    <row r="337" spans="1:11" x14ac:dyDescent="0.25">
      <c r="A337" s="3">
        <v>336</v>
      </c>
      <c r="B337" s="4" t="s">
        <v>82</v>
      </c>
      <c r="C337" s="4" t="s">
        <v>556</v>
      </c>
      <c r="D337" s="4" t="s">
        <v>828</v>
      </c>
      <c r="E337">
        <f>MONTH(Employee_Data[[#This Row],[HireDate]])</f>
        <v>11</v>
      </c>
      <c r="F337">
        <f>YEAR(Employee_Data[[#This Row],[HireDate]])</f>
        <v>2018</v>
      </c>
      <c r="G337" s="5">
        <v>43411</v>
      </c>
      <c r="H337">
        <v>5</v>
      </c>
      <c r="I337">
        <v>1</v>
      </c>
      <c r="J337" s="1">
        <v>75034</v>
      </c>
      <c r="K337" s="1">
        <v>900408</v>
      </c>
    </row>
    <row r="338" spans="1:11" x14ac:dyDescent="0.25">
      <c r="A338" s="3">
        <v>337</v>
      </c>
      <c r="B338" s="4" t="s">
        <v>18</v>
      </c>
      <c r="C338" s="4" t="s">
        <v>90</v>
      </c>
      <c r="D338" s="4" t="s">
        <v>828</v>
      </c>
      <c r="E338">
        <f>MONTH(Employee_Data[[#This Row],[HireDate]])</f>
        <v>2</v>
      </c>
      <c r="F338">
        <f>YEAR(Employee_Data[[#This Row],[HireDate]])</f>
        <v>2020</v>
      </c>
      <c r="G338" s="5">
        <v>43878</v>
      </c>
      <c r="H338">
        <v>1</v>
      </c>
      <c r="I338">
        <v>25</v>
      </c>
      <c r="J338" s="1">
        <v>107284</v>
      </c>
      <c r="K338" s="1">
        <v>1287408</v>
      </c>
    </row>
    <row r="339" spans="1:11" x14ac:dyDescent="0.25">
      <c r="A339" s="3">
        <v>338</v>
      </c>
      <c r="B339" s="4" t="s">
        <v>59</v>
      </c>
      <c r="C339" s="4" t="s">
        <v>577</v>
      </c>
      <c r="D339" s="4" t="s">
        <v>829</v>
      </c>
      <c r="E339">
        <f>MONTH(Employee_Data[[#This Row],[HireDate]])</f>
        <v>7</v>
      </c>
      <c r="F339">
        <f>YEAR(Employee_Data[[#This Row],[HireDate]])</f>
        <v>2018</v>
      </c>
      <c r="G339" s="5">
        <v>43302</v>
      </c>
      <c r="H339">
        <v>2</v>
      </c>
      <c r="I339">
        <v>24</v>
      </c>
      <c r="J339" s="1">
        <v>53705</v>
      </c>
      <c r="K339" s="1">
        <v>644460</v>
      </c>
    </row>
    <row r="340" spans="1:11" x14ac:dyDescent="0.25">
      <c r="A340" s="3">
        <v>339</v>
      </c>
      <c r="B340" s="4" t="s">
        <v>42</v>
      </c>
      <c r="C340" s="4" t="s">
        <v>578</v>
      </c>
      <c r="D340" s="4" t="s">
        <v>826</v>
      </c>
      <c r="E340">
        <f>MONTH(Employee_Data[[#This Row],[HireDate]])</f>
        <v>10</v>
      </c>
      <c r="F340">
        <f>YEAR(Employee_Data[[#This Row],[HireDate]])</f>
        <v>2024</v>
      </c>
      <c r="G340" s="5">
        <v>45591</v>
      </c>
      <c r="H340">
        <v>1</v>
      </c>
      <c r="I340">
        <v>37</v>
      </c>
      <c r="J340" s="1">
        <v>82411</v>
      </c>
      <c r="K340" s="1">
        <v>988932</v>
      </c>
    </row>
    <row r="341" spans="1:11" x14ac:dyDescent="0.25">
      <c r="A341" s="3">
        <v>340</v>
      </c>
      <c r="B341" s="4" t="s">
        <v>20</v>
      </c>
      <c r="C341" s="4" t="s">
        <v>579</v>
      </c>
      <c r="D341" s="4" t="s">
        <v>829</v>
      </c>
      <c r="E341">
        <f>MONTH(Employee_Data[[#This Row],[HireDate]])</f>
        <v>4</v>
      </c>
      <c r="F341">
        <f>YEAR(Employee_Data[[#This Row],[HireDate]])</f>
        <v>2020</v>
      </c>
      <c r="G341" s="5">
        <v>43929</v>
      </c>
      <c r="H341">
        <v>3</v>
      </c>
      <c r="I341">
        <v>34</v>
      </c>
      <c r="J341" s="1">
        <v>108861</v>
      </c>
      <c r="K341" s="1">
        <v>1306332</v>
      </c>
    </row>
    <row r="342" spans="1:11" x14ac:dyDescent="0.25">
      <c r="A342" s="3">
        <v>341</v>
      </c>
      <c r="B342" s="4" t="s">
        <v>212</v>
      </c>
      <c r="C342" s="4" t="s">
        <v>580</v>
      </c>
      <c r="D342" s="4" t="s">
        <v>827</v>
      </c>
      <c r="E342">
        <f>MONTH(Employee_Data[[#This Row],[HireDate]])</f>
        <v>5</v>
      </c>
      <c r="F342">
        <f>YEAR(Employee_Data[[#This Row],[HireDate]])</f>
        <v>2018</v>
      </c>
      <c r="G342" s="5">
        <v>43225</v>
      </c>
      <c r="H342">
        <v>3</v>
      </c>
      <c r="I342">
        <v>31</v>
      </c>
      <c r="J342" s="1">
        <v>92254</v>
      </c>
      <c r="K342" s="1">
        <v>1107048</v>
      </c>
    </row>
    <row r="343" spans="1:11" x14ac:dyDescent="0.25">
      <c r="A343" s="3">
        <v>342</v>
      </c>
      <c r="B343" s="4" t="s">
        <v>213</v>
      </c>
      <c r="C343" s="4" t="s">
        <v>207</v>
      </c>
      <c r="D343" s="4" t="s">
        <v>829</v>
      </c>
      <c r="E343">
        <f>MONTH(Employee_Data[[#This Row],[HireDate]])</f>
        <v>1</v>
      </c>
      <c r="F343">
        <f>YEAR(Employee_Data[[#This Row],[HireDate]])</f>
        <v>2019</v>
      </c>
      <c r="G343" s="5">
        <v>43486</v>
      </c>
      <c r="H343">
        <v>5</v>
      </c>
      <c r="I343">
        <v>19</v>
      </c>
      <c r="J343" s="1">
        <v>97570</v>
      </c>
      <c r="K343" s="1">
        <v>1170840</v>
      </c>
    </row>
    <row r="344" spans="1:11" x14ac:dyDescent="0.25">
      <c r="A344" s="3">
        <v>343</v>
      </c>
      <c r="B344" s="4" t="s">
        <v>96</v>
      </c>
      <c r="C344" s="4" t="s">
        <v>457</v>
      </c>
      <c r="D344" s="4" t="s">
        <v>830</v>
      </c>
      <c r="E344">
        <f>MONTH(Employee_Data[[#This Row],[HireDate]])</f>
        <v>5</v>
      </c>
      <c r="F344">
        <f>YEAR(Employee_Data[[#This Row],[HireDate]])</f>
        <v>2016</v>
      </c>
      <c r="G344" s="5">
        <v>42505</v>
      </c>
      <c r="H344">
        <v>1</v>
      </c>
      <c r="I344">
        <v>41</v>
      </c>
      <c r="J344" s="1">
        <v>33718</v>
      </c>
      <c r="K344" s="1">
        <v>404616</v>
      </c>
    </row>
    <row r="345" spans="1:11" x14ac:dyDescent="0.25">
      <c r="A345" s="3">
        <v>344</v>
      </c>
      <c r="B345" s="4" t="s">
        <v>82</v>
      </c>
      <c r="C345" s="4" t="s">
        <v>568</v>
      </c>
      <c r="D345" s="4" t="s">
        <v>826</v>
      </c>
      <c r="E345">
        <f>MONTH(Employee_Data[[#This Row],[HireDate]])</f>
        <v>1</v>
      </c>
      <c r="F345">
        <f>YEAR(Employee_Data[[#This Row],[HireDate]])</f>
        <v>2020</v>
      </c>
      <c r="G345" s="5">
        <v>43846</v>
      </c>
      <c r="H345">
        <v>5</v>
      </c>
      <c r="I345">
        <v>28</v>
      </c>
      <c r="J345" s="1">
        <v>61556</v>
      </c>
      <c r="K345" s="1">
        <v>738672</v>
      </c>
    </row>
    <row r="346" spans="1:11" x14ac:dyDescent="0.25">
      <c r="A346" s="3">
        <v>345</v>
      </c>
      <c r="B346" s="4" t="s">
        <v>105</v>
      </c>
      <c r="C346" s="4" t="s">
        <v>581</v>
      </c>
      <c r="D346" s="4" t="s">
        <v>828</v>
      </c>
      <c r="E346">
        <f>MONTH(Employee_Data[[#This Row],[HireDate]])</f>
        <v>1</v>
      </c>
      <c r="F346">
        <f>YEAR(Employee_Data[[#This Row],[HireDate]])</f>
        <v>2017</v>
      </c>
      <c r="G346" s="5">
        <v>42758</v>
      </c>
      <c r="H346">
        <v>4</v>
      </c>
      <c r="I346">
        <v>35</v>
      </c>
      <c r="J346" s="1">
        <v>119707</v>
      </c>
      <c r="K346" s="1">
        <v>1436484</v>
      </c>
    </row>
    <row r="347" spans="1:11" x14ac:dyDescent="0.25">
      <c r="A347" s="3">
        <v>346</v>
      </c>
      <c r="B347" s="4" t="s">
        <v>96</v>
      </c>
      <c r="C347" s="4" t="s">
        <v>582</v>
      </c>
      <c r="D347" s="4" t="s">
        <v>830</v>
      </c>
      <c r="E347">
        <f>MONTH(Employee_Data[[#This Row],[HireDate]])</f>
        <v>9</v>
      </c>
      <c r="F347">
        <f>YEAR(Employee_Data[[#This Row],[HireDate]])</f>
        <v>2020</v>
      </c>
      <c r="G347" s="5">
        <v>44092</v>
      </c>
      <c r="H347">
        <v>1</v>
      </c>
      <c r="I347">
        <v>44</v>
      </c>
      <c r="J347" s="1">
        <v>110535</v>
      </c>
      <c r="K347" s="1">
        <v>1326420</v>
      </c>
    </row>
    <row r="348" spans="1:11" x14ac:dyDescent="0.25">
      <c r="A348" s="3">
        <v>347</v>
      </c>
      <c r="B348" s="4" t="s">
        <v>96</v>
      </c>
      <c r="C348" s="4" t="s">
        <v>583</v>
      </c>
      <c r="D348" s="4" t="s">
        <v>827</v>
      </c>
      <c r="E348">
        <f>MONTH(Employee_Data[[#This Row],[HireDate]])</f>
        <v>8</v>
      </c>
      <c r="F348">
        <f>YEAR(Employee_Data[[#This Row],[HireDate]])</f>
        <v>2017</v>
      </c>
      <c r="G348" s="5">
        <v>42948</v>
      </c>
      <c r="H348">
        <v>1</v>
      </c>
      <c r="I348">
        <v>24</v>
      </c>
      <c r="J348" s="1">
        <v>45409</v>
      </c>
      <c r="K348" s="1">
        <v>544908</v>
      </c>
    </row>
    <row r="349" spans="1:11" x14ac:dyDescent="0.25">
      <c r="A349" s="3">
        <v>348</v>
      </c>
      <c r="B349" s="4" t="s">
        <v>35</v>
      </c>
      <c r="C349" s="4" t="s">
        <v>584</v>
      </c>
      <c r="D349" s="4" t="s">
        <v>828</v>
      </c>
      <c r="E349">
        <f>MONTH(Employee_Data[[#This Row],[HireDate]])</f>
        <v>6</v>
      </c>
      <c r="F349">
        <f>YEAR(Employee_Data[[#This Row],[HireDate]])</f>
        <v>2019</v>
      </c>
      <c r="G349" s="5">
        <v>43640</v>
      </c>
      <c r="H349">
        <v>4</v>
      </c>
      <c r="I349">
        <v>27</v>
      </c>
      <c r="J349" s="1">
        <v>37403</v>
      </c>
      <c r="K349" s="1">
        <v>448836</v>
      </c>
    </row>
    <row r="350" spans="1:11" x14ac:dyDescent="0.25">
      <c r="A350" s="3">
        <v>349</v>
      </c>
      <c r="B350" s="4" t="s">
        <v>90</v>
      </c>
      <c r="C350" s="4" t="s">
        <v>585</v>
      </c>
      <c r="D350" s="4" t="s">
        <v>827</v>
      </c>
      <c r="E350">
        <f>MONTH(Employee_Data[[#This Row],[HireDate]])</f>
        <v>8</v>
      </c>
      <c r="F350">
        <f>YEAR(Employee_Data[[#This Row],[HireDate]])</f>
        <v>2022</v>
      </c>
      <c r="G350" s="5">
        <v>44777</v>
      </c>
      <c r="H350">
        <v>2</v>
      </c>
      <c r="I350">
        <v>12</v>
      </c>
      <c r="J350" s="1">
        <v>89168</v>
      </c>
      <c r="K350" s="1">
        <v>1070016</v>
      </c>
    </row>
    <row r="351" spans="1:11" x14ac:dyDescent="0.25">
      <c r="A351" s="3">
        <v>350</v>
      </c>
      <c r="B351" s="4" t="s">
        <v>86</v>
      </c>
      <c r="C351" s="4" t="s">
        <v>366</v>
      </c>
      <c r="D351" s="4" t="s">
        <v>828</v>
      </c>
      <c r="E351">
        <f>MONTH(Employee_Data[[#This Row],[HireDate]])</f>
        <v>5</v>
      </c>
      <c r="F351">
        <f>YEAR(Employee_Data[[#This Row],[HireDate]])</f>
        <v>2016</v>
      </c>
      <c r="G351" s="5">
        <v>42520</v>
      </c>
      <c r="H351">
        <v>1</v>
      </c>
      <c r="I351">
        <v>44</v>
      </c>
      <c r="J351" s="1">
        <v>91467</v>
      </c>
      <c r="K351" s="1">
        <v>1097604</v>
      </c>
    </row>
    <row r="352" spans="1:11" x14ac:dyDescent="0.25">
      <c r="A352" s="3">
        <v>351</v>
      </c>
      <c r="B352" s="4" t="s">
        <v>42</v>
      </c>
      <c r="C352" s="4" t="s">
        <v>586</v>
      </c>
      <c r="D352" s="4" t="s">
        <v>826</v>
      </c>
      <c r="E352">
        <f>MONTH(Employee_Data[[#This Row],[HireDate]])</f>
        <v>6</v>
      </c>
      <c r="F352">
        <f>YEAR(Employee_Data[[#This Row],[HireDate]])</f>
        <v>2018</v>
      </c>
      <c r="G352" s="5">
        <v>43281</v>
      </c>
      <c r="H352">
        <v>1</v>
      </c>
      <c r="I352">
        <v>28</v>
      </c>
      <c r="J352" s="1">
        <v>114759</v>
      </c>
      <c r="K352" s="1">
        <v>1377108</v>
      </c>
    </row>
    <row r="353" spans="1:11" x14ac:dyDescent="0.25">
      <c r="A353" s="3">
        <v>352</v>
      </c>
      <c r="B353" s="4" t="s">
        <v>214</v>
      </c>
      <c r="C353" s="4" t="s">
        <v>587</v>
      </c>
      <c r="D353" s="4" t="s">
        <v>827</v>
      </c>
      <c r="E353">
        <f>MONTH(Employee_Data[[#This Row],[HireDate]])</f>
        <v>1</v>
      </c>
      <c r="F353">
        <f>YEAR(Employee_Data[[#This Row],[HireDate]])</f>
        <v>2018</v>
      </c>
      <c r="G353" s="5">
        <v>43115</v>
      </c>
      <c r="H353">
        <v>5</v>
      </c>
      <c r="I353">
        <v>46</v>
      </c>
      <c r="J353" s="1">
        <v>75798</v>
      </c>
      <c r="K353" s="1">
        <v>909576</v>
      </c>
    </row>
    <row r="354" spans="1:11" x14ac:dyDescent="0.25">
      <c r="A354" s="3">
        <v>353</v>
      </c>
      <c r="B354" s="4" t="s">
        <v>45</v>
      </c>
      <c r="C354" s="4" t="s">
        <v>523</v>
      </c>
      <c r="D354" s="4" t="s">
        <v>826</v>
      </c>
      <c r="E354">
        <f>MONTH(Employee_Data[[#This Row],[HireDate]])</f>
        <v>8</v>
      </c>
      <c r="F354">
        <f>YEAR(Employee_Data[[#This Row],[HireDate]])</f>
        <v>2021</v>
      </c>
      <c r="G354" s="5">
        <v>44410</v>
      </c>
      <c r="H354">
        <v>2</v>
      </c>
      <c r="I354">
        <v>7</v>
      </c>
      <c r="J354" s="1">
        <v>88090</v>
      </c>
      <c r="K354" s="1">
        <v>1057080</v>
      </c>
    </row>
    <row r="355" spans="1:11" x14ac:dyDescent="0.25">
      <c r="A355" s="3">
        <v>354</v>
      </c>
      <c r="B355" s="4" t="s">
        <v>12</v>
      </c>
      <c r="C355" s="4" t="s">
        <v>193</v>
      </c>
      <c r="D355" s="4" t="s">
        <v>826</v>
      </c>
      <c r="E355">
        <f>MONTH(Employee_Data[[#This Row],[HireDate]])</f>
        <v>7</v>
      </c>
      <c r="F355">
        <f>YEAR(Employee_Data[[#This Row],[HireDate]])</f>
        <v>2019</v>
      </c>
      <c r="G355" s="5">
        <v>43675</v>
      </c>
      <c r="H355">
        <v>4</v>
      </c>
      <c r="I355">
        <v>1</v>
      </c>
      <c r="J355" s="1">
        <v>40178</v>
      </c>
      <c r="K355" s="1">
        <v>482136</v>
      </c>
    </row>
    <row r="356" spans="1:11" x14ac:dyDescent="0.25">
      <c r="A356" s="3">
        <v>355</v>
      </c>
      <c r="B356" s="4" t="s">
        <v>52</v>
      </c>
      <c r="C356" s="4" t="s">
        <v>588</v>
      </c>
      <c r="D356" s="4" t="s">
        <v>826</v>
      </c>
      <c r="E356">
        <f>MONTH(Employee_Data[[#This Row],[HireDate]])</f>
        <v>8</v>
      </c>
      <c r="F356">
        <f>YEAR(Employee_Data[[#This Row],[HireDate]])</f>
        <v>2020</v>
      </c>
      <c r="G356" s="5">
        <v>44047</v>
      </c>
      <c r="H356">
        <v>3</v>
      </c>
      <c r="I356">
        <v>30</v>
      </c>
      <c r="J356" s="1">
        <v>53012</v>
      </c>
      <c r="K356" s="1">
        <v>636144</v>
      </c>
    </row>
    <row r="357" spans="1:11" x14ac:dyDescent="0.25">
      <c r="A357" s="3">
        <v>356</v>
      </c>
      <c r="B357" s="4" t="s">
        <v>215</v>
      </c>
      <c r="C357" s="4" t="s">
        <v>589</v>
      </c>
      <c r="D357" s="4" t="s">
        <v>828</v>
      </c>
      <c r="E357">
        <f>MONTH(Employee_Data[[#This Row],[HireDate]])</f>
        <v>3</v>
      </c>
      <c r="F357">
        <f>YEAR(Employee_Data[[#This Row],[HireDate]])</f>
        <v>2021</v>
      </c>
      <c r="G357" s="5">
        <v>44260</v>
      </c>
      <c r="H357">
        <v>5</v>
      </c>
      <c r="I357">
        <v>10</v>
      </c>
      <c r="J357" s="1">
        <v>94724</v>
      </c>
      <c r="K357" s="1">
        <v>1136688</v>
      </c>
    </row>
    <row r="358" spans="1:11" x14ac:dyDescent="0.25">
      <c r="A358" s="3">
        <v>357</v>
      </c>
      <c r="B358" s="4" t="s">
        <v>216</v>
      </c>
      <c r="C358" s="4" t="s">
        <v>590</v>
      </c>
      <c r="D358" s="4" t="s">
        <v>827</v>
      </c>
      <c r="E358">
        <f>MONTH(Employee_Data[[#This Row],[HireDate]])</f>
        <v>9</v>
      </c>
      <c r="F358">
        <f>YEAR(Employee_Data[[#This Row],[HireDate]])</f>
        <v>2024</v>
      </c>
      <c r="G358" s="5">
        <v>45537</v>
      </c>
      <c r="H358">
        <v>3</v>
      </c>
      <c r="I358">
        <v>37</v>
      </c>
      <c r="J358" s="1">
        <v>29145</v>
      </c>
      <c r="K358" s="1">
        <v>349740</v>
      </c>
    </row>
    <row r="359" spans="1:11" x14ac:dyDescent="0.25">
      <c r="A359" s="3">
        <v>358</v>
      </c>
      <c r="B359" s="4" t="s">
        <v>217</v>
      </c>
      <c r="C359" s="4" t="s">
        <v>395</v>
      </c>
      <c r="D359" s="4" t="s">
        <v>826</v>
      </c>
      <c r="E359">
        <f>MONTH(Employee_Data[[#This Row],[HireDate]])</f>
        <v>3</v>
      </c>
      <c r="F359">
        <f>YEAR(Employee_Data[[#This Row],[HireDate]])</f>
        <v>2023</v>
      </c>
      <c r="G359" s="5">
        <v>45009</v>
      </c>
      <c r="H359">
        <v>4</v>
      </c>
      <c r="I359">
        <v>11</v>
      </c>
      <c r="J359" s="1">
        <v>86131</v>
      </c>
      <c r="K359" s="1">
        <v>1033572</v>
      </c>
    </row>
    <row r="360" spans="1:11" x14ac:dyDescent="0.25">
      <c r="A360" s="3">
        <v>359</v>
      </c>
      <c r="B360" s="4" t="s">
        <v>90</v>
      </c>
      <c r="C360" s="4" t="s">
        <v>522</v>
      </c>
      <c r="D360" s="4" t="s">
        <v>830</v>
      </c>
      <c r="E360">
        <f>MONTH(Employee_Data[[#This Row],[HireDate]])</f>
        <v>10</v>
      </c>
      <c r="F360">
        <f>YEAR(Employee_Data[[#This Row],[HireDate]])</f>
        <v>2021</v>
      </c>
      <c r="G360" s="5">
        <v>44500</v>
      </c>
      <c r="H360">
        <v>5</v>
      </c>
      <c r="I360">
        <v>47</v>
      </c>
      <c r="J360" s="1">
        <v>61022</v>
      </c>
      <c r="K360" s="1">
        <v>732264</v>
      </c>
    </row>
    <row r="361" spans="1:11" x14ac:dyDescent="0.25">
      <c r="A361" s="3">
        <v>360</v>
      </c>
      <c r="B361" s="4" t="s">
        <v>218</v>
      </c>
      <c r="C361" s="4" t="s">
        <v>591</v>
      </c>
      <c r="D361" s="4" t="s">
        <v>829</v>
      </c>
      <c r="E361">
        <f>MONTH(Employee_Data[[#This Row],[HireDate]])</f>
        <v>2</v>
      </c>
      <c r="F361">
        <f>YEAR(Employee_Data[[#This Row],[HireDate]])</f>
        <v>2019</v>
      </c>
      <c r="G361" s="5">
        <v>43510</v>
      </c>
      <c r="H361">
        <v>4</v>
      </c>
      <c r="I361">
        <v>35</v>
      </c>
      <c r="J361" s="1">
        <v>38666</v>
      </c>
      <c r="K361" s="1">
        <v>463992</v>
      </c>
    </row>
    <row r="362" spans="1:11" x14ac:dyDescent="0.25">
      <c r="A362" s="3">
        <v>361</v>
      </c>
      <c r="B362" s="4" t="s">
        <v>219</v>
      </c>
      <c r="C362" s="4" t="s">
        <v>592</v>
      </c>
      <c r="D362" s="4" t="s">
        <v>826</v>
      </c>
      <c r="E362">
        <f>MONTH(Employee_Data[[#This Row],[HireDate]])</f>
        <v>5</v>
      </c>
      <c r="F362">
        <f>YEAR(Employee_Data[[#This Row],[HireDate]])</f>
        <v>2024</v>
      </c>
      <c r="G362" s="5">
        <v>45437</v>
      </c>
      <c r="H362">
        <v>5</v>
      </c>
      <c r="I362">
        <v>49</v>
      </c>
      <c r="J362" s="1">
        <v>41245</v>
      </c>
      <c r="K362" s="1">
        <v>494940</v>
      </c>
    </row>
    <row r="363" spans="1:11" x14ac:dyDescent="0.25">
      <c r="A363" s="3">
        <v>362</v>
      </c>
      <c r="B363" s="4" t="s">
        <v>220</v>
      </c>
      <c r="C363" s="4" t="s">
        <v>507</v>
      </c>
      <c r="D363" s="4" t="s">
        <v>829</v>
      </c>
      <c r="E363">
        <f>MONTH(Employee_Data[[#This Row],[HireDate]])</f>
        <v>10</v>
      </c>
      <c r="F363">
        <f>YEAR(Employee_Data[[#This Row],[HireDate]])</f>
        <v>2021</v>
      </c>
      <c r="G363" s="5">
        <v>44493</v>
      </c>
      <c r="H363">
        <v>2</v>
      </c>
      <c r="I363">
        <v>39</v>
      </c>
      <c r="J363" s="1">
        <v>51321</v>
      </c>
      <c r="K363" s="1">
        <v>615852</v>
      </c>
    </row>
    <row r="364" spans="1:11" x14ac:dyDescent="0.25">
      <c r="A364" s="3">
        <v>363</v>
      </c>
      <c r="B364" s="4" t="s">
        <v>221</v>
      </c>
      <c r="C364" s="4" t="s">
        <v>381</v>
      </c>
      <c r="D364" s="4" t="s">
        <v>827</v>
      </c>
      <c r="E364">
        <f>MONTH(Employee_Data[[#This Row],[HireDate]])</f>
        <v>8</v>
      </c>
      <c r="F364">
        <f>YEAR(Employee_Data[[#This Row],[HireDate]])</f>
        <v>2021</v>
      </c>
      <c r="G364" s="5">
        <v>44431</v>
      </c>
      <c r="H364">
        <v>1</v>
      </c>
      <c r="I364">
        <v>42</v>
      </c>
      <c r="J364" s="1">
        <v>47582</v>
      </c>
      <c r="K364" s="1">
        <v>570984</v>
      </c>
    </row>
    <row r="365" spans="1:11" x14ac:dyDescent="0.25">
      <c r="A365" s="3">
        <v>364</v>
      </c>
      <c r="B365" s="4" t="s">
        <v>145</v>
      </c>
      <c r="C365" s="4" t="s">
        <v>593</v>
      </c>
      <c r="D365" s="4" t="s">
        <v>830</v>
      </c>
      <c r="E365">
        <f>MONTH(Employee_Data[[#This Row],[HireDate]])</f>
        <v>3</v>
      </c>
      <c r="F365">
        <f>YEAR(Employee_Data[[#This Row],[HireDate]])</f>
        <v>2017</v>
      </c>
      <c r="G365" s="5">
        <v>42810</v>
      </c>
      <c r="H365">
        <v>5</v>
      </c>
      <c r="I365">
        <v>30</v>
      </c>
      <c r="J365" s="1">
        <v>81231</v>
      </c>
      <c r="K365" s="1">
        <v>974772</v>
      </c>
    </row>
    <row r="366" spans="1:11" x14ac:dyDescent="0.25">
      <c r="A366" s="3">
        <v>365</v>
      </c>
      <c r="B366" s="4" t="s">
        <v>18</v>
      </c>
      <c r="C366" s="4" t="s">
        <v>439</v>
      </c>
      <c r="D366" s="4" t="s">
        <v>830</v>
      </c>
      <c r="E366">
        <f>MONTH(Employee_Data[[#This Row],[HireDate]])</f>
        <v>11</v>
      </c>
      <c r="F366">
        <f>YEAR(Employee_Data[[#This Row],[HireDate]])</f>
        <v>2018</v>
      </c>
      <c r="G366" s="5">
        <v>43422</v>
      </c>
      <c r="H366">
        <v>5</v>
      </c>
      <c r="I366">
        <v>18</v>
      </c>
      <c r="J366" s="1">
        <v>79678</v>
      </c>
      <c r="K366" s="1">
        <v>956136</v>
      </c>
    </row>
    <row r="367" spans="1:11" x14ac:dyDescent="0.25">
      <c r="A367" s="3">
        <v>366</v>
      </c>
      <c r="B367" s="4" t="s">
        <v>186</v>
      </c>
      <c r="C367" s="4" t="s">
        <v>416</v>
      </c>
      <c r="D367" s="4" t="s">
        <v>828</v>
      </c>
      <c r="E367">
        <f>MONTH(Employee_Data[[#This Row],[HireDate]])</f>
        <v>8</v>
      </c>
      <c r="F367">
        <f>YEAR(Employee_Data[[#This Row],[HireDate]])</f>
        <v>2024</v>
      </c>
      <c r="G367" s="5">
        <v>45521</v>
      </c>
      <c r="H367">
        <v>3</v>
      </c>
      <c r="I367">
        <v>5</v>
      </c>
      <c r="J367" s="1">
        <v>87510</v>
      </c>
      <c r="K367" s="1">
        <v>1050120</v>
      </c>
    </row>
    <row r="368" spans="1:11" x14ac:dyDescent="0.25">
      <c r="A368" s="3">
        <v>367</v>
      </c>
      <c r="B368" s="4" t="s">
        <v>222</v>
      </c>
      <c r="C368" s="4" t="s">
        <v>573</v>
      </c>
      <c r="D368" s="4" t="s">
        <v>830</v>
      </c>
      <c r="E368">
        <f>MONTH(Employee_Data[[#This Row],[HireDate]])</f>
        <v>8</v>
      </c>
      <c r="F368">
        <f>YEAR(Employee_Data[[#This Row],[HireDate]])</f>
        <v>2019</v>
      </c>
      <c r="G368" s="5">
        <v>43682</v>
      </c>
      <c r="H368">
        <v>2</v>
      </c>
      <c r="I368">
        <v>45</v>
      </c>
      <c r="J368" s="1">
        <v>113168</v>
      </c>
      <c r="K368" s="1">
        <v>1358016</v>
      </c>
    </row>
    <row r="369" spans="1:11" x14ac:dyDescent="0.25">
      <c r="A369" s="3">
        <v>368</v>
      </c>
      <c r="B369" s="4" t="s">
        <v>108</v>
      </c>
      <c r="C369" s="4" t="s">
        <v>594</v>
      </c>
      <c r="D369" s="4" t="s">
        <v>828</v>
      </c>
      <c r="E369">
        <f>MONTH(Employee_Data[[#This Row],[HireDate]])</f>
        <v>4</v>
      </c>
      <c r="F369">
        <f>YEAR(Employee_Data[[#This Row],[HireDate]])</f>
        <v>2018</v>
      </c>
      <c r="G369" s="5">
        <v>43209</v>
      </c>
      <c r="H369">
        <v>3</v>
      </c>
      <c r="I369">
        <v>3</v>
      </c>
      <c r="J369" s="1">
        <v>34695</v>
      </c>
      <c r="K369" s="1">
        <v>416340</v>
      </c>
    </row>
    <row r="370" spans="1:11" x14ac:dyDescent="0.25">
      <c r="A370" s="3">
        <v>369</v>
      </c>
      <c r="B370" s="4" t="s">
        <v>223</v>
      </c>
      <c r="C370" s="4" t="s">
        <v>595</v>
      </c>
      <c r="D370" s="4" t="s">
        <v>830</v>
      </c>
      <c r="E370">
        <f>MONTH(Employee_Data[[#This Row],[HireDate]])</f>
        <v>9</v>
      </c>
      <c r="F370">
        <f>YEAR(Employee_Data[[#This Row],[HireDate]])</f>
        <v>2021</v>
      </c>
      <c r="G370" s="5">
        <v>44458</v>
      </c>
      <c r="H370">
        <v>2</v>
      </c>
      <c r="I370">
        <v>18</v>
      </c>
      <c r="J370" s="1">
        <v>23497</v>
      </c>
      <c r="K370" s="1">
        <v>281964</v>
      </c>
    </row>
    <row r="371" spans="1:11" x14ac:dyDescent="0.25">
      <c r="A371" s="3">
        <v>370</v>
      </c>
      <c r="B371" s="4" t="s">
        <v>191</v>
      </c>
      <c r="C371" s="4" t="s">
        <v>596</v>
      </c>
      <c r="D371" s="4" t="s">
        <v>830</v>
      </c>
      <c r="E371">
        <f>MONTH(Employee_Data[[#This Row],[HireDate]])</f>
        <v>4</v>
      </c>
      <c r="F371">
        <f>YEAR(Employee_Data[[#This Row],[HireDate]])</f>
        <v>2018</v>
      </c>
      <c r="G371" s="5">
        <v>43209</v>
      </c>
      <c r="H371">
        <v>3</v>
      </c>
      <c r="I371">
        <v>13</v>
      </c>
      <c r="J371" s="1">
        <v>47756</v>
      </c>
      <c r="K371" s="1">
        <v>573072</v>
      </c>
    </row>
    <row r="372" spans="1:11" x14ac:dyDescent="0.25">
      <c r="A372" s="3">
        <v>371</v>
      </c>
      <c r="B372" s="4" t="s">
        <v>224</v>
      </c>
      <c r="C372" s="4" t="s">
        <v>537</v>
      </c>
      <c r="D372" s="4" t="s">
        <v>827</v>
      </c>
      <c r="E372">
        <f>MONTH(Employee_Data[[#This Row],[HireDate]])</f>
        <v>9</v>
      </c>
      <c r="F372">
        <f>YEAR(Employee_Data[[#This Row],[HireDate]])</f>
        <v>2023</v>
      </c>
      <c r="G372" s="5">
        <v>45194</v>
      </c>
      <c r="H372">
        <v>4</v>
      </c>
      <c r="I372">
        <v>1</v>
      </c>
      <c r="J372" s="1">
        <v>110495</v>
      </c>
      <c r="K372" s="1">
        <v>1325940</v>
      </c>
    </row>
    <row r="373" spans="1:11" x14ac:dyDescent="0.25">
      <c r="A373" s="3">
        <v>372</v>
      </c>
      <c r="B373" s="4" t="s">
        <v>225</v>
      </c>
      <c r="C373" s="4" t="s">
        <v>464</v>
      </c>
      <c r="D373" s="4" t="s">
        <v>828</v>
      </c>
      <c r="E373">
        <f>MONTH(Employee_Data[[#This Row],[HireDate]])</f>
        <v>8</v>
      </c>
      <c r="F373">
        <f>YEAR(Employee_Data[[#This Row],[HireDate]])</f>
        <v>2019</v>
      </c>
      <c r="G373" s="5">
        <v>43704</v>
      </c>
      <c r="H373">
        <v>4</v>
      </c>
      <c r="I373">
        <v>47</v>
      </c>
      <c r="J373" s="1">
        <v>45601</v>
      </c>
      <c r="K373" s="1">
        <v>547212</v>
      </c>
    </row>
    <row r="374" spans="1:11" x14ac:dyDescent="0.25">
      <c r="A374" s="3">
        <v>373</v>
      </c>
      <c r="B374" s="4" t="s">
        <v>226</v>
      </c>
      <c r="C374" s="4" t="s">
        <v>597</v>
      </c>
      <c r="D374" s="4" t="s">
        <v>827</v>
      </c>
      <c r="E374">
        <f>MONTH(Employee_Data[[#This Row],[HireDate]])</f>
        <v>5</v>
      </c>
      <c r="F374">
        <f>YEAR(Employee_Data[[#This Row],[HireDate]])</f>
        <v>2021</v>
      </c>
      <c r="G374" s="5">
        <v>44331</v>
      </c>
      <c r="H374">
        <v>4</v>
      </c>
      <c r="I374">
        <v>27</v>
      </c>
      <c r="J374" s="1">
        <v>62076</v>
      </c>
      <c r="K374" s="1">
        <v>744912</v>
      </c>
    </row>
    <row r="375" spans="1:11" x14ac:dyDescent="0.25">
      <c r="A375" s="3">
        <v>374</v>
      </c>
      <c r="B375" s="4" t="s">
        <v>54</v>
      </c>
      <c r="C375" s="4" t="s">
        <v>426</v>
      </c>
      <c r="D375" s="4" t="s">
        <v>829</v>
      </c>
      <c r="E375">
        <f>MONTH(Employee_Data[[#This Row],[HireDate]])</f>
        <v>11</v>
      </c>
      <c r="F375">
        <f>YEAR(Employee_Data[[#This Row],[HireDate]])</f>
        <v>2019</v>
      </c>
      <c r="G375" s="5">
        <v>43789</v>
      </c>
      <c r="H375">
        <v>2</v>
      </c>
      <c r="I375">
        <v>47</v>
      </c>
      <c r="J375" s="1">
        <v>96336</v>
      </c>
      <c r="K375" s="1">
        <v>1156032</v>
      </c>
    </row>
    <row r="376" spans="1:11" x14ac:dyDescent="0.25">
      <c r="A376" s="3">
        <v>375</v>
      </c>
      <c r="B376" s="4" t="s">
        <v>73</v>
      </c>
      <c r="C376" s="4" t="s">
        <v>479</v>
      </c>
      <c r="D376" s="4" t="s">
        <v>829</v>
      </c>
      <c r="E376">
        <f>MONTH(Employee_Data[[#This Row],[HireDate]])</f>
        <v>5</v>
      </c>
      <c r="F376">
        <f>YEAR(Employee_Data[[#This Row],[HireDate]])</f>
        <v>2022</v>
      </c>
      <c r="G376" s="5">
        <v>44691</v>
      </c>
      <c r="H376">
        <v>3</v>
      </c>
      <c r="I376">
        <v>31</v>
      </c>
      <c r="J376" s="1">
        <v>56738</v>
      </c>
      <c r="K376" s="1">
        <v>680856</v>
      </c>
    </row>
    <row r="377" spans="1:11" x14ac:dyDescent="0.25">
      <c r="A377" s="3">
        <v>376</v>
      </c>
      <c r="B377" s="4" t="s">
        <v>227</v>
      </c>
      <c r="C377" s="4" t="s">
        <v>384</v>
      </c>
      <c r="D377" s="4" t="s">
        <v>827</v>
      </c>
      <c r="E377">
        <f>MONTH(Employee_Data[[#This Row],[HireDate]])</f>
        <v>9</v>
      </c>
      <c r="F377">
        <f>YEAR(Employee_Data[[#This Row],[HireDate]])</f>
        <v>2020</v>
      </c>
      <c r="G377" s="5">
        <v>44075</v>
      </c>
      <c r="H377">
        <v>3</v>
      </c>
      <c r="I377">
        <v>16</v>
      </c>
      <c r="J377" s="1">
        <v>84165</v>
      </c>
      <c r="K377" s="1">
        <v>1009980</v>
      </c>
    </row>
    <row r="378" spans="1:11" x14ac:dyDescent="0.25">
      <c r="A378" s="3">
        <v>377</v>
      </c>
      <c r="B378" s="4" t="s">
        <v>29</v>
      </c>
      <c r="C378" s="4" t="s">
        <v>77</v>
      </c>
      <c r="D378" s="4" t="s">
        <v>830</v>
      </c>
      <c r="E378">
        <f>MONTH(Employee_Data[[#This Row],[HireDate]])</f>
        <v>9</v>
      </c>
      <c r="F378">
        <f>YEAR(Employee_Data[[#This Row],[HireDate]])</f>
        <v>2023</v>
      </c>
      <c r="G378" s="5">
        <v>45199</v>
      </c>
      <c r="H378">
        <v>4</v>
      </c>
      <c r="I378">
        <v>28</v>
      </c>
      <c r="J378" s="1">
        <v>80929</v>
      </c>
      <c r="K378" s="1">
        <v>971148</v>
      </c>
    </row>
    <row r="379" spans="1:11" x14ac:dyDescent="0.25">
      <c r="A379" s="3">
        <v>378</v>
      </c>
      <c r="B379" s="4" t="s">
        <v>228</v>
      </c>
      <c r="C379" s="4" t="s">
        <v>598</v>
      </c>
      <c r="D379" s="4" t="s">
        <v>826</v>
      </c>
      <c r="E379">
        <f>MONTH(Employee_Data[[#This Row],[HireDate]])</f>
        <v>4</v>
      </c>
      <c r="F379">
        <f>YEAR(Employee_Data[[#This Row],[HireDate]])</f>
        <v>2018</v>
      </c>
      <c r="G379" s="5">
        <v>43214</v>
      </c>
      <c r="H379">
        <v>4</v>
      </c>
      <c r="I379">
        <v>43</v>
      </c>
      <c r="J379" s="1">
        <v>40747</v>
      </c>
      <c r="K379" s="1">
        <v>488964</v>
      </c>
    </row>
    <row r="380" spans="1:11" x14ac:dyDescent="0.25">
      <c r="A380" s="3">
        <v>379</v>
      </c>
      <c r="B380" s="4" t="s">
        <v>39</v>
      </c>
      <c r="C380" s="4" t="s">
        <v>599</v>
      </c>
      <c r="D380" s="4" t="s">
        <v>830</v>
      </c>
      <c r="E380">
        <f>MONTH(Employee_Data[[#This Row],[HireDate]])</f>
        <v>9</v>
      </c>
      <c r="F380">
        <f>YEAR(Employee_Data[[#This Row],[HireDate]])</f>
        <v>2023</v>
      </c>
      <c r="G380" s="5">
        <v>45185</v>
      </c>
      <c r="H380">
        <v>3</v>
      </c>
      <c r="I380">
        <v>49</v>
      </c>
      <c r="J380" s="1">
        <v>30960</v>
      </c>
      <c r="K380" s="1">
        <v>371520</v>
      </c>
    </row>
    <row r="381" spans="1:11" x14ac:dyDescent="0.25">
      <c r="A381" s="3">
        <v>380</v>
      </c>
      <c r="B381" s="4" t="s">
        <v>42</v>
      </c>
      <c r="C381" s="4" t="s">
        <v>600</v>
      </c>
      <c r="D381" s="4" t="s">
        <v>827</v>
      </c>
      <c r="E381">
        <f>MONTH(Employee_Data[[#This Row],[HireDate]])</f>
        <v>11</v>
      </c>
      <c r="F381">
        <f>YEAR(Employee_Data[[#This Row],[HireDate]])</f>
        <v>2017</v>
      </c>
      <c r="G381" s="5">
        <v>43051</v>
      </c>
      <c r="H381">
        <v>4</v>
      </c>
      <c r="I381">
        <v>1</v>
      </c>
      <c r="J381" s="1">
        <v>80151</v>
      </c>
      <c r="K381" s="1">
        <v>961812</v>
      </c>
    </row>
    <row r="382" spans="1:11" x14ac:dyDescent="0.25">
      <c r="A382" s="3">
        <v>381</v>
      </c>
      <c r="B382" s="4" t="s">
        <v>212</v>
      </c>
      <c r="C382" s="4" t="s">
        <v>366</v>
      </c>
      <c r="D382" s="4" t="s">
        <v>829</v>
      </c>
      <c r="E382">
        <f>MONTH(Employee_Data[[#This Row],[HireDate]])</f>
        <v>5</v>
      </c>
      <c r="F382">
        <f>YEAR(Employee_Data[[#This Row],[HireDate]])</f>
        <v>2018</v>
      </c>
      <c r="G382" s="5">
        <v>43246</v>
      </c>
      <c r="H382">
        <v>5</v>
      </c>
      <c r="I382">
        <v>39</v>
      </c>
      <c r="J382" s="1">
        <v>117523</v>
      </c>
      <c r="K382" s="1">
        <v>1410276</v>
      </c>
    </row>
    <row r="383" spans="1:11" x14ac:dyDescent="0.25">
      <c r="A383" s="3">
        <v>382</v>
      </c>
      <c r="B383" s="4" t="s">
        <v>174</v>
      </c>
      <c r="C383" s="4" t="s">
        <v>483</v>
      </c>
      <c r="D383" s="4" t="s">
        <v>830</v>
      </c>
      <c r="E383">
        <f>MONTH(Employee_Data[[#This Row],[HireDate]])</f>
        <v>3</v>
      </c>
      <c r="F383">
        <f>YEAR(Employee_Data[[#This Row],[HireDate]])</f>
        <v>2019</v>
      </c>
      <c r="G383" s="5">
        <v>43526</v>
      </c>
      <c r="H383">
        <v>3</v>
      </c>
      <c r="I383">
        <v>3</v>
      </c>
      <c r="J383" s="1">
        <v>101393</v>
      </c>
      <c r="K383" s="1">
        <v>1216716</v>
      </c>
    </row>
    <row r="384" spans="1:11" x14ac:dyDescent="0.25">
      <c r="A384" s="3">
        <v>383</v>
      </c>
      <c r="B384" s="4" t="s">
        <v>18</v>
      </c>
      <c r="C384" s="4" t="s">
        <v>601</v>
      </c>
      <c r="D384" s="4" t="s">
        <v>826</v>
      </c>
      <c r="E384">
        <f>MONTH(Employee_Data[[#This Row],[HireDate]])</f>
        <v>8</v>
      </c>
      <c r="F384">
        <f>YEAR(Employee_Data[[#This Row],[HireDate]])</f>
        <v>2017</v>
      </c>
      <c r="G384" s="5">
        <v>42971</v>
      </c>
      <c r="H384">
        <v>4</v>
      </c>
      <c r="I384">
        <v>41</v>
      </c>
      <c r="J384" s="1">
        <v>67684</v>
      </c>
      <c r="K384" s="1">
        <v>812208</v>
      </c>
    </row>
    <row r="385" spans="1:11" x14ac:dyDescent="0.25">
      <c r="A385" s="3">
        <v>384</v>
      </c>
      <c r="B385" s="4" t="s">
        <v>229</v>
      </c>
      <c r="C385" s="4" t="s">
        <v>525</v>
      </c>
      <c r="D385" s="4" t="s">
        <v>828</v>
      </c>
      <c r="E385">
        <f>MONTH(Employee_Data[[#This Row],[HireDate]])</f>
        <v>5</v>
      </c>
      <c r="F385">
        <f>YEAR(Employee_Data[[#This Row],[HireDate]])</f>
        <v>2016</v>
      </c>
      <c r="G385" s="5">
        <v>42511</v>
      </c>
      <c r="H385">
        <v>4</v>
      </c>
      <c r="I385">
        <v>18</v>
      </c>
      <c r="J385" s="1">
        <v>22454</v>
      </c>
      <c r="K385" s="1">
        <v>269448</v>
      </c>
    </row>
    <row r="386" spans="1:11" x14ac:dyDescent="0.25">
      <c r="A386" s="3">
        <v>385</v>
      </c>
      <c r="B386" s="4" t="s">
        <v>154</v>
      </c>
      <c r="C386" s="4" t="s">
        <v>365</v>
      </c>
      <c r="D386" s="4" t="s">
        <v>826</v>
      </c>
      <c r="E386">
        <f>MONTH(Employee_Data[[#This Row],[HireDate]])</f>
        <v>12</v>
      </c>
      <c r="F386">
        <f>YEAR(Employee_Data[[#This Row],[HireDate]])</f>
        <v>2019</v>
      </c>
      <c r="G386" s="5">
        <v>43804</v>
      </c>
      <c r="H386">
        <v>4</v>
      </c>
      <c r="I386">
        <v>24</v>
      </c>
      <c r="J386" s="1">
        <v>60790</v>
      </c>
      <c r="K386" s="1">
        <v>729480</v>
      </c>
    </row>
    <row r="387" spans="1:11" x14ac:dyDescent="0.25">
      <c r="A387" s="3">
        <v>386</v>
      </c>
      <c r="B387" s="4" t="s">
        <v>65</v>
      </c>
      <c r="C387" s="4" t="s">
        <v>240</v>
      </c>
      <c r="D387" s="4" t="s">
        <v>826</v>
      </c>
      <c r="E387">
        <f>MONTH(Employee_Data[[#This Row],[HireDate]])</f>
        <v>12</v>
      </c>
      <c r="F387">
        <f>YEAR(Employee_Data[[#This Row],[HireDate]])</f>
        <v>2021</v>
      </c>
      <c r="G387" s="5">
        <v>44546</v>
      </c>
      <c r="H387">
        <v>5</v>
      </c>
      <c r="I387">
        <v>20</v>
      </c>
      <c r="J387" s="1">
        <v>89391</v>
      </c>
      <c r="K387" s="1">
        <v>1072692</v>
      </c>
    </row>
    <row r="388" spans="1:11" x14ac:dyDescent="0.25">
      <c r="A388" s="3">
        <v>387</v>
      </c>
      <c r="B388" s="4" t="s">
        <v>230</v>
      </c>
      <c r="C388" s="4" t="s">
        <v>391</v>
      </c>
      <c r="D388" s="4" t="s">
        <v>830</v>
      </c>
      <c r="E388">
        <f>MONTH(Employee_Data[[#This Row],[HireDate]])</f>
        <v>7</v>
      </c>
      <c r="F388">
        <f>YEAR(Employee_Data[[#This Row],[HireDate]])</f>
        <v>2021</v>
      </c>
      <c r="G388" s="5">
        <v>44379</v>
      </c>
      <c r="H388">
        <v>4</v>
      </c>
      <c r="I388">
        <v>28</v>
      </c>
      <c r="J388" s="1">
        <v>40467</v>
      </c>
      <c r="K388" s="1">
        <v>485604</v>
      </c>
    </row>
    <row r="389" spans="1:11" x14ac:dyDescent="0.25">
      <c r="A389" s="3">
        <v>388</v>
      </c>
      <c r="B389" s="4" t="s">
        <v>231</v>
      </c>
      <c r="C389" s="4" t="s">
        <v>602</v>
      </c>
      <c r="D389" s="4" t="s">
        <v>827</v>
      </c>
      <c r="E389">
        <f>MONTH(Employee_Data[[#This Row],[HireDate]])</f>
        <v>8</v>
      </c>
      <c r="F389">
        <f>YEAR(Employee_Data[[#This Row],[HireDate]])</f>
        <v>2019</v>
      </c>
      <c r="G389" s="5">
        <v>43699</v>
      </c>
      <c r="H389">
        <v>3</v>
      </c>
      <c r="I389">
        <v>35</v>
      </c>
      <c r="J389" s="1">
        <v>26149</v>
      </c>
      <c r="K389" s="1">
        <v>313788</v>
      </c>
    </row>
    <row r="390" spans="1:11" x14ac:dyDescent="0.25">
      <c r="A390" s="3">
        <v>389</v>
      </c>
      <c r="B390" s="4" t="s">
        <v>232</v>
      </c>
      <c r="C390" s="4" t="s">
        <v>416</v>
      </c>
      <c r="D390" s="4" t="s">
        <v>828</v>
      </c>
      <c r="E390">
        <f>MONTH(Employee_Data[[#This Row],[HireDate]])</f>
        <v>6</v>
      </c>
      <c r="F390">
        <f>YEAR(Employee_Data[[#This Row],[HireDate]])</f>
        <v>2021</v>
      </c>
      <c r="G390" s="5">
        <v>44371</v>
      </c>
      <c r="H390">
        <v>4</v>
      </c>
      <c r="I390">
        <v>25</v>
      </c>
      <c r="J390" s="1">
        <v>99526</v>
      </c>
      <c r="K390" s="1">
        <v>1194312</v>
      </c>
    </row>
    <row r="391" spans="1:11" x14ac:dyDescent="0.25">
      <c r="A391" s="3">
        <v>390</v>
      </c>
      <c r="B391" s="4" t="s">
        <v>233</v>
      </c>
      <c r="C391" s="4" t="s">
        <v>603</v>
      </c>
      <c r="D391" s="4" t="s">
        <v>827</v>
      </c>
      <c r="E391">
        <f>MONTH(Employee_Data[[#This Row],[HireDate]])</f>
        <v>4</v>
      </c>
      <c r="F391">
        <f>YEAR(Employee_Data[[#This Row],[HireDate]])</f>
        <v>2020</v>
      </c>
      <c r="G391" s="5">
        <v>43932</v>
      </c>
      <c r="H391">
        <v>2</v>
      </c>
      <c r="I391">
        <v>35</v>
      </c>
      <c r="J391" s="1">
        <v>25251</v>
      </c>
      <c r="K391" s="1">
        <v>303012</v>
      </c>
    </row>
    <row r="392" spans="1:11" x14ac:dyDescent="0.25">
      <c r="A392" s="3">
        <v>391</v>
      </c>
      <c r="B392" s="4" t="s">
        <v>137</v>
      </c>
      <c r="C392" s="4" t="s">
        <v>604</v>
      </c>
      <c r="D392" s="4" t="s">
        <v>827</v>
      </c>
      <c r="E392">
        <f>MONTH(Employee_Data[[#This Row],[HireDate]])</f>
        <v>3</v>
      </c>
      <c r="F392">
        <f>YEAR(Employee_Data[[#This Row],[HireDate]])</f>
        <v>2023</v>
      </c>
      <c r="G392" s="5">
        <v>45000</v>
      </c>
      <c r="H392">
        <v>2</v>
      </c>
      <c r="I392">
        <v>29</v>
      </c>
      <c r="J392" s="1">
        <v>52079</v>
      </c>
      <c r="K392" s="1">
        <v>624948</v>
      </c>
    </row>
    <row r="393" spans="1:11" x14ac:dyDescent="0.25">
      <c r="A393" s="3">
        <v>392</v>
      </c>
      <c r="B393" s="4" t="s">
        <v>135</v>
      </c>
      <c r="C393" s="4" t="s">
        <v>395</v>
      </c>
      <c r="D393" s="4" t="s">
        <v>828</v>
      </c>
      <c r="E393">
        <f>MONTH(Employee_Data[[#This Row],[HireDate]])</f>
        <v>2</v>
      </c>
      <c r="F393">
        <f>YEAR(Employee_Data[[#This Row],[HireDate]])</f>
        <v>2024</v>
      </c>
      <c r="G393" s="5">
        <v>45347</v>
      </c>
      <c r="H393">
        <v>4</v>
      </c>
      <c r="I393">
        <v>49</v>
      </c>
      <c r="J393" s="1">
        <v>53603</v>
      </c>
      <c r="K393" s="1">
        <v>643236</v>
      </c>
    </row>
    <row r="394" spans="1:11" x14ac:dyDescent="0.25">
      <c r="A394" s="3">
        <v>393</v>
      </c>
      <c r="B394" s="4" t="s">
        <v>145</v>
      </c>
      <c r="C394" s="4" t="s">
        <v>605</v>
      </c>
      <c r="D394" s="4" t="s">
        <v>829</v>
      </c>
      <c r="E394">
        <f>MONTH(Employee_Data[[#This Row],[HireDate]])</f>
        <v>11</v>
      </c>
      <c r="F394">
        <f>YEAR(Employee_Data[[#This Row],[HireDate]])</f>
        <v>2017</v>
      </c>
      <c r="G394" s="5">
        <v>43058</v>
      </c>
      <c r="H394">
        <v>3</v>
      </c>
      <c r="I394">
        <v>40</v>
      </c>
      <c r="J394" s="1">
        <v>49241</v>
      </c>
      <c r="K394" s="1">
        <v>590892</v>
      </c>
    </row>
    <row r="395" spans="1:11" x14ac:dyDescent="0.25">
      <c r="A395" s="3">
        <v>394</v>
      </c>
      <c r="B395" s="4" t="s">
        <v>108</v>
      </c>
      <c r="C395" s="4" t="s">
        <v>606</v>
      </c>
      <c r="D395" s="4" t="s">
        <v>830</v>
      </c>
      <c r="E395">
        <f>MONTH(Employee_Data[[#This Row],[HireDate]])</f>
        <v>10</v>
      </c>
      <c r="F395">
        <f>YEAR(Employee_Data[[#This Row],[HireDate]])</f>
        <v>2016</v>
      </c>
      <c r="G395" s="5">
        <v>42658</v>
      </c>
      <c r="H395">
        <v>5</v>
      </c>
      <c r="I395">
        <v>30</v>
      </c>
      <c r="J395" s="1">
        <v>41296</v>
      </c>
      <c r="K395" s="1">
        <v>495552</v>
      </c>
    </row>
    <row r="396" spans="1:11" x14ac:dyDescent="0.25">
      <c r="A396" s="3">
        <v>395</v>
      </c>
      <c r="B396" s="4" t="s">
        <v>193</v>
      </c>
      <c r="C396" s="4" t="s">
        <v>432</v>
      </c>
      <c r="D396" s="4" t="s">
        <v>829</v>
      </c>
      <c r="E396">
        <f>MONTH(Employee_Data[[#This Row],[HireDate]])</f>
        <v>5</v>
      </c>
      <c r="F396">
        <f>YEAR(Employee_Data[[#This Row],[HireDate]])</f>
        <v>2017</v>
      </c>
      <c r="G396" s="5">
        <v>42869</v>
      </c>
      <c r="H396">
        <v>4</v>
      </c>
      <c r="I396">
        <v>10</v>
      </c>
      <c r="J396" s="1">
        <v>77364</v>
      </c>
      <c r="K396" s="1">
        <v>928368</v>
      </c>
    </row>
    <row r="397" spans="1:11" x14ac:dyDescent="0.25">
      <c r="A397" s="3">
        <v>396</v>
      </c>
      <c r="B397" s="4" t="s">
        <v>99</v>
      </c>
      <c r="C397" s="4" t="s">
        <v>568</v>
      </c>
      <c r="D397" s="4" t="s">
        <v>826</v>
      </c>
      <c r="E397">
        <f>MONTH(Employee_Data[[#This Row],[HireDate]])</f>
        <v>1</v>
      </c>
      <c r="F397">
        <f>YEAR(Employee_Data[[#This Row],[HireDate]])</f>
        <v>2019</v>
      </c>
      <c r="G397" s="5">
        <v>43495</v>
      </c>
      <c r="H397">
        <v>4</v>
      </c>
      <c r="I397">
        <v>40</v>
      </c>
      <c r="J397" s="1">
        <v>67257</v>
      </c>
      <c r="K397" s="1">
        <v>807084</v>
      </c>
    </row>
    <row r="398" spans="1:11" x14ac:dyDescent="0.25">
      <c r="A398" s="3">
        <v>397</v>
      </c>
      <c r="B398" s="4" t="s">
        <v>189</v>
      </c>
      <c r="C398" s="4" t="s">
        <v>547</v>
      </c>
      <c r="D398" s="4" t="s">
        <v>830</v>
      </c>
      <c r="E398">
        <f>MONTH(Employee_Data[[#This Row],[HireDate]])</f>
        <v>8</v>
      </c>
      <c r="F398">
        <f>YEAR(Employee_Data[[#This Row],[HireDate]])</f>
        <v>2019</v>
      </c>
      <c r="G398" s="5">
        <v>43708</v>
      </c>
      <c r="H398">
        <v>1</v>
      </c>
      <c r="I398">
        <v>23</v>
      </c>
      <c r="J398" s="1">
        <v>22188</v>
      </c>
      <c r="K398" s="1">
        <v>266256</v>
      </c>
    </row>
    <row r="399" spans="1:11" x14ac:dyDescent="0.25">
      <c r="A399" s="3">
        <v>398</v>
      </c>
      <c r="B399" s="4" t="s">
        <v>91</v>
      </c>
      <c r="C399" s="4" t="s">
        <v>607</v>
      </c>
      <c r="D399" s="4" t="s">
        <v>828</v>
      </c>
      <c r="E399">
        <f>MONTH(Employee_Data[[#This Row],[HireDate]])</f>
        <v>6</v>
      </c>
      <c r="F399">
        <f>YEAR(Employee_Data[[#This Row],[HireDate]])</f>
        <v>2017</v>
      </c>
      <c r="G399" s="5">
        <v>42912</v>
      </c>
      <c r="H399">
        <v>2</v>
      </c>
      <c r="I399">
        <v>43</v>
      </c>
      <c r="J399" s="1">
        <v>46775</v>
      </c>
      <c r="K399" s="1">
        <v>561300</v>
      </c>
    </row>
    <row r="400" spans="1:11" x14ac:dyDescent="0.25">
      <c r="A400" s="3">
        <v>399</v>
      </c>
      <c r="B400" s="4" t="s">
        <v>91</v>
      </c>
      <c r="C400" s="4" t="s">
        <v>596</v>
      </c>
      <c r="D400" s="4" t="s">
        <v>826</v>
      </c>
      <c r="E400">
        <f>MONTH(Employee_Data[[#This Row],[HireDate]])</f>
        <v>3</v>
      </c>
      <c r="F400">
        <f>YEAR(Employee_Data[[#This Row],[HireDate]])</f>
        <v>2021</v>
      </c>
      <c r="G400" s="5">
        <v>44281</v>
      </c>
      <c r="H400">
        <v>5</v>
      </c>
      <c r="I400">
        <v>32</v>
      </c>
      <c r="J400" s="1">
        <v>21968</v>
      </c>
      <c r="K400" s="1">
        <v>263616</v>
      </c>
    </row>
    <row r="401" spans="1:11" x14ac:dyDescent="0.25">
      <c r="A401" s="3">
        <v>400</v>
      </c>
      <c r="B401" s="4" t="s">
        <v>59</v>
      </c>
      <c r="C401" s="4" t="s">
        <v>608</v>
      </c>
      <c r="D401" s="4" t="s">
        <v>830</v>
      </c>
      <c r="E401">
        <f>MONTH(Employee_Data[[#This Row],[HireDate]])</f>
        <v>11</v>
      </c>
      <c r="F401">
        <f>YEAR(Employee_Data[[#This Row],[HireDate]])</f>
        <v>2022</v>
      </c>
      <c r="G401" s="5">
        <v>44868</v>
      </c>
      <c r="H401">
        <v>4</v>
      </c>
      <c r="I401">
        <v>16</v>
      </c>
      <c r="J401" s="1">
        <v>103354</v>
      </c>
      <c r="K401" s="1">
        <v>1240248</v>
      </c>
    </row>
    <row r="402" spans="1:11" x14ac:dyDescent="0.25">
      <c r="A402" s="3">
        <v>401</v>
      </c>
      <c r="B402" s="4" t="s">
        <v>98</v>
      </c>
      <c r="C402" s="4" t="s">
        <v>484</v>
      </c>
      <c r="D402" s="4" t="s">
        <v>826</v>
      </c>
      <c r="E402">
        <f>MONTH(Employee_Data[[#This Row],[HireDate]])</f>
        <v>7</v>
      </c>
      <c r="F402">
        <f>YEAR(Employee_Data[[#This Row],[HireDate]])</f>
        <v>2018</v>
      </c>
      <c r="G402" s="5">
        <v>43301</v>
      </c>
      <c r="H402">
        <v>3</v>
      </c>
      <c r="I402">
        <v>3</v>
      </c>
      <c r="J402" s="1">
        <v>106449</v>
      </c>
      <c r="K402" s="1">
        <v>1277388</v>
      </c>
    </row>
    <row r="403" spans="1:11" x14ac:dyDescent="0.25">
      <c r="A403" s="3">
        <v>402</v>
      </c>
      <c r="B403" s="4" t="s">
        <v>24</v>
      </c>
      <c r="C403" s="4" t="s">
        <v>609</v>
      </c>
      <c r="D403" s="4" t="s">
        <v>827</v>
      </c>
      <c r="E403">
        <f>MONTH(Employee_Data[[#This Row],[HireDate]])</f>
        <v>3</v>
      </c>
      <c r="F403">
        <f>YEAR(Employee_Data[[#This Row],[HireDate]])</f>
        <v>2019</v>
      </c>
      <c r="G403" s="5">
        <v>43528</v>
      </c>
      <c r="H403">
        <v>2</v>
      </c>
      <c r="I403">
        <v>36</v>
      </c>
      <c r="J403" s="1">
        <v>49105</v>
      </c>
      <c r="K403" s="1">
        <v>589260</v>
      </c>
    </row>
    <row r="404" spans="1:11" x14ac:dyDescent="0.25">
      <c r="A404" s="3">
        <v>403</v>
      </c>
      <c r="B404" s="4" t="s">
        <v>121</v>
      </c>
      <c r="C404" s="4" t="s">
        <v>610</v>
      </c>
      <c r="D404" s="4" t="s">
        <v>826</v>
      </c>
      <c r="E404">
        <f>MONTH(Employee_Data[[#This Row],[HireDate]])</f>
        <v>8</v>
      </c>
      <c r="F404">
        <f>YEAR(Employee_Data[[#This Row],[HireDate]])</f>
        <v>2022</v>
      </c>
      <c r="G404" s="5">
        <v>44774</v>
      </c>
      <c r="H404">
        <v>1</v>
      </c>
      <c r="I404">
        <v>22</v>
      </c>
      <c r="J404" s="1">
        <v>74385</v>
      </c>
      <c r="K404" s="1">
        <v>892620</v>
      </c>
    </row>
    <row r="405" spans="1:11" x14ac:dyDescent="0.25">
      <c r="A405" s="3">
        <v>404</v>
      </c>
      <c r="B405" s="4" t="s">
        <v>98</v>
      </c>
      <c r="C405" s="4" t="s">
        <v>611</v>
      </c>
      <c r="D405" s="4" t="s">
        <v>827</v>
      </c>
      <c r="E405">
        <f>MONTH(Employee_Data[[#This Row],[HireDate]])</f>
        <v>9</v>
      </c>
      <c r="F405">
        <f>YEAR(Employee_Data[[#This Row],[HireDate]])</f>
        <v>2023</v>
      </c>
      <c r="G405" s="5">
        <v>45170</v>
      </c>
      <c r="H405">
        <v>5</v>
      </c>
      <c r="I405">
        <v>14</v>
      </c>
      <c r="J405" s="1">
        <v>22366</v>
      </c>
      <c r="K405" s="1">
        <v>268392</v>
      </c>
    </row>
    <row r="406" spans="1:11" x14ac:dyDescent="0.25">
      <c r="A406" s="3">
        <v>405</v>
      </c>
      <c r="B406" s="4" t="s">
        <v>90</v>
      </c>
      <c r="C406" s="4" t="s">
        <v>281</v>
      </c>
      <c r="D406" s="4" t="s">
        <v>830</v>
      </c>
      <c r="E406">
        <f>MONTH(Employee_Data[[#This Row],[HireDate]])</f>
        <v>4</v>
      </c>
      <c r="F406">
        <f>YEAR(Employee_Data[[#This Row],[HireDate]])</f>
        <v>2016</v>
      </c>
      <c r="G406" s="5">
        <v>42462</v>
      </c>
      <c r="H406">
        <v>4</v>
      </c>
      <c r="I406">
        <v>28</v>
      </c>
      <c r="J406" s="1">
        <v>103142</v>
      </c>
      <c r="K406" s="1">
        <v>1237704</v>
      </c>
    </row>
    <row r="407" spans="1:11" x14ac:dyDescent="0.25">
      <c r="A407" s="3">
        <v>406</v>
      </c>
      <c r="B407" s="4" t="s">
        <v>234</v>
      </c>
      <c r="C407" s="4" t="s">
        <v>612</v>
      </c>
      <c r="D407" s="4" t="s">
        <v>826</v>
      </c>
      <c r="E407">
        <f>MONTH(Employee_Data[[#This Row],[HireDate]])</f>
        <v>9</v>
      </c>
      <c r="F407">
        <f>YEAR(Employee_Data[[#This Row],[HireDate]])</f>
        <v>2017</v>
      </c>
      <c r="G407" s="5">
        <v>42997</v>
      </c>
      <c r="H407">
        <v>2</v>
      </c>
      <c r="I407">
        <v>24</v>
      </c>
      <c r="J407" s="1">
        <v>108705</v>
      </c>
      <c r="K407" s="1">
        <v>1304460</v>
      </c>
    </row>
    <row r="408" spans="1:11" x14ac:dyDescent="0.25">
      <c r="A408" s="3">
        <v>407</v>
      </c>
      <c r="B408" s="4" t="s">
        <v>17</v>
      </c>
      <c r="C408" s="4" t="s">
        <v>613</v>
      </c>
      <c r="D408" s="4" t="s">
        <v>826</v>
      </c>
      <c r="E408">
        <f>MONTH(Employee_Data[[#This Row],[HireDate]])</f>
        <v>1</v>
      </c>
      <c r="F408">
        <f>YEAR(Employee_Data[[#This Row],[HireDate]])</f>
        <v>2020</v>
      </c>
      <c r="G408" s="5">
        <v>43858</v>
      </c>
      <c r="H408">
        <v>5</v>
      </c>
      <c r="I408">
        <v>46</v>
      </c>
      <c r="J408" s="1">
        <v>29505</v>
      </c>
      <c r="K408" s="1">
        <v>354060</v>
      </c>
    </row>
    <row r="409" spans="1:11" x14ac:dyDescent="0.25">
      <c r="A409" s="3">
        <v>408</v>
      </c>
      <c r="B409" s="4" t="s">
        <v>235</v>
      </c>
      <c r="C409" s="4" t="s">
        <v>382</v>
      </c>
      <c r="D409" s="4" t="s">
        <v>826</v>
      </c>
      <c r="E409">
        <f>MONTH(Employee_Data[[#This Row],[HireDate]])</f>
        <v>1</v>
      </c>
      <c r="F409">
        <f>YEAR(Employee_Data[[#This Row],[HireDate]])</f>
        <v>2021</v>
      </c>
      <c r="G409" s="5">
        <v>44223</v>
      </c>
      <c r="H409">
        <v>4</v>
      </c>
      <c r="I409">
        <v>18</v>
      </c>
      <c r="J409" s="1">
        <v>32183</v>
      </c>
      <c r="K409" s="1">
        <v>386196</v>
      </c>
    </row>
    <row r="410" spans="1:11" x14ac:dyDescent="0.25">
      <c r="A410" s="3">
        <v>409</v>
      </c>
      <c r="B410" s="4" t="s">
        <v>16</v>
      </c>
      <c r="C410" s="4" t="s">
        <v>522</v>
      </c>
      <c r="D410" s="4" t="s">
        <v>830</v>
      </c>
      <c r="E410">
        <f>MONTH(Employee_Data[[#This Row],[HireDate]])</f>
        <v>1</v>
      </c>
      <c r="F410">
        <f>YEAR(Employee_Data[[#This Row],[HireDate]])</f>
        <v>2023</v>
      </c>
      <c r="G410" s="5">
        <v>44946</v>
      </c>
      <c r="H410">
        <v>5</v>
      </c>
      <c r="I410">
        <v>9</v>
      </c>
      <c r="J410" s="1">
        <v>26945</v>
      </c>
      <c r="K410" s="1">
        <v>323340</v>
      </c>
    </row>
    <row r="411" spans="1:11" x14ac:dyDescent="0.25">
      <c r="A411" s="3">
        <v>410</v>
      </c>
      <c r="B411" s="4" t="s">
        <v>99</v>
      </c>
      <c r="C411" s="4" t="s">
        <v>382</v>
      </c>
      <c r="D411" s="4" t="s">
        <v>829</v>
      </c>
      <c r="E411">
        <f>MONTH(Employee_Data[[#This Row],[HireDate]])</f>
        <v>9</v>
      </c>
      <c r="F411">
        <f>YEAR(Employee_Data[[#This Row],[HireDate]])</f>
        <v>2017</v>
      </c>
      <c r="G411" s="5">
        <v>42988</v>
      </c>
      <c r="H411">
        <v>3</v>
      </c>
      <c r="I411">
        <v>28</v>
      </c>
      <c r="J411" s="1">
        <v>47186</v>
      </c>
      <c r="K411" s="1">
        <v>566232</v>
      </c>
    </row>
    <row r="412" spans="1:11" x14ac:dyDescent="0.25">
      <c r="A412" s="3">
        <v>411</v>
      </c>
      <c r="B412" s="4" t="s">
        <v>108</v>
      </c>
      <c r="C412" s="4" t="s">
        <v>614</v>
      </c>
      <c r="D412" s="4" t="s">
        <v>828</v>
      </c>
      <c r="E412">
        <f>MONTH(Employee_Data[[#This Row],[HireDate]])</f>
        <v>6</v>
      </c>
      <c r="F412">
        <f>YEAR(Employee_Data[[#This Row],[HireDate]])</f>
        <v>2018</v>
      </c>
      <c r="G412" s="5">
        <v>43267</v>
      </c>
      <c r="H412">
        <v>4</v>
      </c>
      <c r="I412">
        <v>9</v>
      </c>
      <c r="J412" s="1">
        <v>81033</v>
      </c>
      <c r="K412" s="1">
        <v>972396</v>
      </c>
    </row>
    <row r="413" spans="1:11" x14ac:dyDescent="0.25">
      <c r="A413" s="3">
        <v>412</v>
      </c>
      <c r="B413" s="4" t="s">
        <v>184</v>
      </c>
      <c r="C413" s="4" t="s">
        <v>537</v>
      </c>
      <c r="D413" s="4" t="s">
        <v>828</v>
      </c>
      <c r="E413">
        <f>MONTH(Employee_Data[[#This Row],[HireDate]])</f>
        <v>8</v>
      </c>
      <c r="F413">
        <f>YEAR(Employee_Data[[#This Row],[HireDate]])</f>
        <v>2023</v>
      </c>
      <c r="G413" s="5">
        <v>45148</v>
      </c>
      <c r="H413">
        <v>1</v>
      </c>
      <c r="I413">
        <v>37</v>
      </c>
      <c r="J413" s="1">
        <v>99364</v>
      </c>
      <c r="K413" s="1">
        <v>1192368</v>
      </c>
    </row>
    <row r="414" spans="1:11" x14ac:dyDescent="0.25">
      <c r="A414" s="3">
        <v>413</v>
      </c>
      <c r="B414" s="4" t="s">
        <v>40</v>
      </c>
      <c r="C414" s="4" t="s">
        <v>269</v>
      </c>
      <c r="D414" s="4" t="s">
        <v>827</v>
      </c>
      <c r="E414">
        <f>MONTH(Employee_Data[[#This Row],[HireDate]])</f>
        <v>2</v>
      </c>
      <c r="F414">
        <f>YEAR(Employee_Data[[#This Row],[HireDate]])</f>
        <v>2018</v>
      </c>
      <c r="G414" s="5">
        <v>43139</v>
      </c>
      <c r="H414">
        <v>4</v>
      </c>
      <c r="I414">
        <v>37</v>
      </c>
      <c r="J414" s="1">
        <v>39416</v>
      </c>
      <c r="K414" s="1">
        <v>472992</v>
      </c>
    </row>
    <row r="415" spans="1:11" x14ac:dyDescent="0.25">
      <c r="A415" s="3">
        <v>414</v>
      </c>
      <c r="B415" s="4" t="s">
        <v>212</v>
      </c>
      <c r="C415" s="4" t="s">
        <v>615</v>
      </c>
      <c r="D415" s="4" t="s">
        <v>828</v>
      </c>
      <c r="E415">
        <f>MONTH(Employee_Data[[#This Row],[HireDate]])</f>
        <v>7</v>
      </c>
      <c r="F415">
        <f>YEAR(Employee_Data[[#This Row],[HireDate]])</f>
        <v>2019</v>
      </c>
      <c r="G415" s="5">
        <v>43669</v>
      </c>
      <c r="H415">
        <v>1</v>
      </c>
      <c r="I415">
        <v>36</v>
      </c>
      <c r="J415" s="1">
        <v>51423</v>
      </c>
      <c r="K415" s="1">
        <v>617076</v>
      </c>
    </row>
    <row r="416" spans="1:11" x14ac:dyDescent="0.25">
      <c r="A416" s="3">
        <v>415</v>
      </c>
      <c r="B416" s="4" t="s">
        <v>236</v>
      </c>
      <c r="C416" s="4" t="s">
        <v>503</v>
      </c>
      <c r="D416" s="4" t="s">
        <v>828</v>
      </c>
      <c r="E416">
        <f>MONTH(Employee_Data[[#This Row],[HireDate]])</f>
        <v>4</v>
      </c>
      <c r="F416">
        <f>YEAR(Employee_Data[[#This Row],[HireDate]])</f>
        <v>2022</v>
      </c>
      <c r="G416" s="5">
        <v>44675</v>
      </c>
      <c r="H416">
        <v>1</v>
      </c>
      <c r="I416">
        <v>27</v>
      </c>
      <c r="J416" s="1">
        <v>93018</v>
      </c>
      <c r="K416" s="1">
        <v>1116216</v>
      </c>
    </row>
    <row r="417" spans="1:11" x14ac:dyDescent="0.25">
      <c r="A417" s="3">
        <v>416</v>
      </c>
      <c r="B417" s="4" t="s">
        <v>115</v>
      </c>
      <c r="C417" s="4" t="s">
        <v>616</v>
      </c>
      <c r="D417" s="4" t="s">
        <v>830</v>
      </c>
      <c r="E417">
        <f>MONTH(Employee_Data[[#This Row],[HireDate]])</f>
        <v>9</v>
      </c>
      <c r="F417">
        <f>YEAR(Employee_Data[[#This Row],[HireDate]])</f>
        <v>2021</v>
      </c>
      <c r="G417" s="5">
        <v>44456</v>
      </c>
      <c r="H417">
        <v>5</v>
      </c>
      <c r="I417">
        <v>1</v>
      </c>
      <c r="J417" s="1">
        <v>82830</v>
      </c>
      <c r="K417" s="1">
        <v>993960</v>
      </c>
    </row>
    <row r="418" spans="1:11" x14ac:dyDescent="0.25">
      <c r="A418" s="3">
        <v>417</v>
      </c>
      <c r="B418" s="4" t="s">
        <v>237</v>
      </c>
      <c r="C418" s="4" t="s">
        <v>617</v>
      </c>
      <c r="D418" s="4" t="s">
        <v>828</v>
      </c>
      <c r="E418">
        <f>MONTH(Employee_Data[[#This Row],[HireDate]])</f>
        <v>1</v>
      </c>
      <c r="F418">
        <f>YEAR(Employee_Data[[#This Row],[HireDate]])</f>
        <v>2016</v>
      </c>
      <c r="G418" s="5">
        <v>42399</v>
      </c>
      <c r="H418">
        <v>3</v>
      </c>
      <c r="I418">
        <v>35</v>
      </c>
      <c r="J418" s="1">
        <v>20961</v>
      </c>
      <c r="K418" s="1">
        <v>251532</v>
      </c>
    </row>
    <row r="419" spans="1:11" x14ac:dyDescent="0.25">
      <c r="A419" s="3">
        <v>418</v>
      </c>
      <c r="B419" s="4" t="s">
        <v>164</v>
      </c>
      <c r="C419" s="4" t="s">
        <v>461</v>
      </c>
      <c r="D419" s="4" t="s">
        <v>828</v>
      </c>
      <c r="E419">
        <f>MONTH(Employee_Data[[#This Row],[HireDate]])</f>
        <v>8</v>
      </c>
      <c r="F419">
        <f>YEAR(Employee_Data[[#This Row],[HireDate]])</f>
        <v>2020</v>
      </c>
      <c r="G419" s="5">
        <v>44050</v>
      </c>
      <c r="H419">
        <v>4</v>
      </c>
      <c r="I419">
        <v>46</v>
      </c>
      <c r="J419" s="1">
        <v>92684</v>
      </c>
      <c r="K419" s="1">
        <v>1112208</v>
      </c>
    </row>
    <row r="420" spans="1:11" x14ac:dyDescent="0.25">
      <c r="A420" s="3">
        <v>419</v>
      </c>
      <c r="B420" s="4" t="s">
        <v>238</v>
      </c>
      <c r="C420" s="4" t="s">
        <v>618</v>
      </c>
      <c r="D420" s="4" t="s">
        <v>830</v>
      </c>
      <c r="E420">
        <f>MONTH(Employee_Data[[#This Row],[HireDate]])</f>
        <v>6</v>
      </c>
      <c r="F420">
        <f>YEAR(Employee_Data[[#This Row],[HireDate]])</f>
        <v>2022</v>
      </c>
      <c r="G420" s="5">
        <v>44737</v>
      </c>
      <c r="H420">
        <v>2</v>
      </c>
      <c r="I420">
        <v>2</v>
      </c>
      <c r="J420" s="1">
        <v>84379</v>
      </c>
      <c r="K420" s="1">
        <v>1012548</v>
      </c>
    </row>
    <row r="421" spans="1:11" x14ac:dyDescent="0.25">
      <c r="A421" s="3">
        <v>420</v>
      </c>
      <c r="B421" s="4" t="s">
        <v>178</v>
      </c>
      <c r="C421" s="4" t="s">
        <v>619</v>
      </c>
      <c r="D421" s="4" t="s">
        <v>829</v>
      </c>
      <c r="E421">
        <f>MONTH(Employee_Data[[#This Row],[HireDate]])</f>
        <v>12</v>
      </c>
      <c r="F421">
        <f>YEAR(Employee_Data[[#This Row],[HireDate]])</f>
        <v>2023</v>
      </c>
      <c r="G421" s="5">
        <v>45278</v>
      </c>
      <c r="H421">
        <v>1</v>
      </c>
      <c r="I421">
        <v>32</v>
      </c>
      <c r="J421" s="1">
        <v>106193</v>
      </c>
      <c r="K421" s="1">
        <v>1274316</v>
      </c>
    </row>
    <row r="422" spans="1:11" x14ac:dyDescent="0.25">
      <c r="A422" s="3">
        <v>421</v>
      </c>
      <c r="B422" s="4" t="s">
        <v>239</v>
      </c>
      <c r="C422" s="4" t="s">
        <v>580</v>
      </c>
      <c r="D422" s="4" t="s">
        <v>830</v>
      </c>
      <c r="E422">
        <f>MONTH(Employee_Data[[#This Row],[HireDate]])</f>
        <v>2</v>
      </c>
      <c r="F422">
        <f>YEAR(Employee_Data[[#This Row],[HireDate]])</f>
        <v>2020</v>
      </c>
      <c r="G422" s="5">
        <v>43879</v>
      </c>
      <c r="H422">
        <v>4</v>
      </c>
      <c r="I422">
        <v>13</v>
      </c>
      <c r="J422" s="1">
        <v>70326</v>
      </c>
      <c r="K422" s="1">
        <v>843912</v>
      </c>
    </row>
    <row r="423" spans="1:11" x14ac:dyDescent="0.25">
      <c r="A423" s="3">
        <v>422</v>
      </c>
      <c r="B423" s="4" t="s">
        <v>73</v>
      </c>
      <c r="C423" s="4" t="s">
        <v>620</v>
      </c>
      <c r="D423" s="4" t="s">
        <v>826</v>
      </c>
      <c r="E423">
        <f>MONTH(Employee_Data[[#This Row],[HireDate]])</f>
        <v>4</v>
      </c>
      <c r="F423">
        <f>YEAR(Employee_Data[[#This Row],[HireDate]])</f>
        <v>2016</v>
      </c>
      <c r="G423" s="5">
        <v>42490</v>
      </c>
      <c r="H423">
        <v>5</v>
      </c>
      <c r="I423">
        <v>1</v>
      </c>
      <c r="J423" s="1">
        <v>90670</v>
      </c>
      <c r="K423" s="1">
        <v>1088040</v>
      </c>
    </row>
    <row r="424" spans="1:11" x14ac:dyDescent="0.25">
      <c r="A424" s="3">
        <v>423</v>
      </c>
      <c r="B424" s="4" t="s">
        <v>221</v>
      </c>
      <c r="C424" s="4" t="s">
        <v>621</v>
      </c>
      <c r="D424" s="4" t="s">
        <v>829</v>
      </c>
      <c r="E424">
        <f>MONTH(Employee_Data[[#This Row],[HireDate]])</f>
        <v>6</v>
      </c>
      <c r="F424">
        <f>YEAR(Employee_Data[[#This Row],[HireDate]])</f>
        <v>2023</v>
      </c>
      <c r="G424" s="5">
        <v>45103</v>
      </c>
      <c r="H424">
        <v>1</v>
      </c>
      <c r="I424">
        <v>18</v>
      </c>
      <c r="J424" s="1">
        <v>70705</v>
      </c>
      <c r="K424" s="1">
        <v>848460</v>
      </c>
    </row>
    <row r="425" spans="1:11" x14ac:dyDescent="0.25">
      <c r="A425" s="3">
        <v>424</v>
      </c>
      <c r="B425" s="4" t="s">
        <v>170</v>
      </c>
      <c r="C425" s="4" t="s">
        <v>226</v>
      </c>
      <c r="D425" s="4" t="s">
        <v>830</v>
      </c>
      <c r="E425">
        <f>MONTH(Employee_Data[[#This Row],[HireDate]])</f>
        <v>12</v>
      </c>
      <c r="F425">
        <f>YEAR(Employee_Data[[#This Row],[HireDate]])</f>
        <v>2019</v>
      </c>
      <c r="G425" s="5">
        <v>43819</v>
      </c>
      <c r="H425">
        <v>3</v>
      </c>
      <c r="I425">
        <v>7</v>
      </c>
      <c r="J425" s="1">
        <v>114427</v>
      </c>
      <c r="K425" s="1">
        <v>1373124</v>
      </c>
    </row>
    <row r="426" spans="1:11" x14ac:dyDescent="0.25">
      <c r="A426" s="3">
        <v>425</v>
      </c>
      <c r="B426" s="4" t="s">
        <v>65</v>
      </c>
      <c r="C426" s="4" t="s">
        <v>622</v>
      </c>
      <c r="D426" s="4" t="s">
        <v>830</v>
      </c>
      <c r="E426">
        <f>MONTH(Employee_Data[[#This Row],[HireDate]])</f>
        <v>10</v>
      </c>
      <c r="F426">
        <f>YEAR(Employee_Data[[#This Row],[HireDate]])</f>
        <v>2018</v>
      </c>
      <c r="G426" s="5">
        <v>43384</v>
      </c>
      <c r="H426">
        <v>2</v>
      </c>
      <c r="I426">
        <v>18</v>
      </c>
      <c r="J426" s="1">
        <v>96260</v>
      </c>
      <c r="K426" s="1">
        <v>1155120</v>
      </c>
    </row>
    <row r="427" spans="1:11" x14ac:dyDescent="0.25">
      <c r="A427" s="3">
        <v>426</v>
      </c>
      <c r="B427" s="4" t="s">
        <v>240</v>
      </c>
      <c r="C427" s="4" t="s">
        <v>369</v>
      </c>
      <c r="D427" s="4" t="s">
        <v>826</v>
      </c>
      <c r="E427">
        <f>MONTH(Employee_Data[[#This Row],[HireDate]])</f>
        <v>1</v>
      </c>
      <c r="F427">
        <f>YEAR(Employee_Data[[#This Row],[HireDate]])</f>
        <v>2024</v>
      </c>
      <c r="G427" s="5">
        <v>45321</v>
      </c>
      <c r="H427">
        <v>5</v>
      </c>
      <c r="I427">
        <v>7</v>
      </c>
      <c r="J427" s="1">
        <v>45446</v>
      </c>
      <c r="K427" s="1">
        <v>545352</v>
      </c>
    </row>
    <row r="428" spans="1:11" x14ac:dyDescent="0.25">
      <c r="A428" s="3">
        <v>427</v>
      </c>
      <c r="B428" s="4" t="s">
        <v>90</v>
      </c>
      <c r="C428" s="4" t="s">
        <v>623</v>
      </c>
      <c r="D428" s="4" t="s">
        <v>826</v>
      </c>
      <c r="E428">
        <f>MONTH(Employee_Data[[#This Row],[HireDate]])</f>
        <v>3</v>
      </c>
      <c r="F428">
        <f>YEAR(Employee_Data[[#This Row],[HireDate]])</f>
        <v>2024</v>
      </c>
      <c r="G428" s="5">
        <v>45357</v>
      </c>
      <c r="H428">
        <v>5</v>
      </c>
      <c r="I428">
        <v>31</v>
      </c>
      <c r="J428" s="1">
        <v>90338</v>
      </c>
      <c r="K428" s="1">
        <v>1084056</v>
      </c>
    </row>
    <row r="429" spans="1:11" x14ac:dyDescent="0.25">
      <c r="A429" s="3">
        <v>428</v>
      </c>
      <c r="B429" s="4" t="s">
        <v>12</v>
      </c>
      <c r="C429" s="4" t="s">
        <v>614</v>
      </c>
      <c r="D429" s="4" t="s">
        <v>827</v>
      </c>
      <c r="E429">
        <f>MONTH(Employee_Data[[#This Row],[HireDate]])</f>
        <v>12</v>
      </c>
      <c r="F429">
        <f>YEAR(Employee_Data[[#This Row],[HireDate]])</f>
        <v>2018</v>
      </c>
      <c r="G429" s="5">
        <v>43465</v>
      </c>
      <c r="H429">
        <v>2</v>
      </c>
      <c r="I429">
        <v>11</v>
      </c>
      <c r="J429" s="1">
        <v>93025</v>
      </c>
      <c r="K429" s="1">
        <v>1116300</v>
      </c>
    </row>
    <row r="430" spans="1:11" x14ac:dyDescent="0.25">
      <c r="A430" s="3">
        <v>429</v>
      </c>
      <c r="B430" s="4" t="s">
        <v>241</v>
      </c>
      <c r="C430" s="4" t="s">
        <v>548</v>
      </c>
      <c r="D430" s="4" t="s">
        <v>829</v>
      </c>
      <c r="E430">
        <f>MONTH(Employee_Data[[#This Row],[HireDate]])</f>
        <v>1</v>
      </c>
      <c r="F430">
        <f>YEAR(Employee_Data[[#This Row],[HireDate]])</f>
        <v>2021</v>
      </c>
      <c r="G430" s="5">
        <v>44223</v>
      </c>
      <c r="H430">
        <v>2</v>
      </c>
      <c r="I430">
        <v>30</v>
      </c>
      <c r="J430" s="1">
        <v>75788</v>
      </c>
      <c r="K430" s="1">
        <v>909456</v>
      </c>
    </row>
    <row r="431" spans="1:11" x14ac:dyDescent="0.25">
      <c r="A431" s="3">
        <v>430</v>
      </c>
      <c r="B431" s="4" t="s">
        <v>17</v>
      </c>
      <c r="C431" s="4" t="s">
        <v>407</v>
      </c>
      <c r="D431" s="4" t="s">
        <v>830</v>
      </c>
      <c r="E431">
        <f>MONTH(Employee_Data[[#This Row],[HireDate]])</f>
        <v>3</v>
      </c>
      <c r="F431">
        <f>YEAR(Employee_Data[[#This Row],[HireDate]])</f>
        <v>2023</v>
      </c>
      <c r="G431" s="5">
        <v>44995</v>
      </c>
      <c r="H431">
        <v>1</v>
      </c>
      <c r="I431">
        <v>1</v>
      </c>
      <c r="J431" s="1">
        <v>71905</v>
      </c>
      <c r="K431" s="1">
        <v>862860</v>
      </c>
    </row>
    <row r="432" spans="1:11" x14ac:dyDescent="0.25">
      <c r="A432" s="3">
        <v>431</v>
      </c>
      <c r="B432" s="4" t="s">
        <v>36</v>
      </c>
      <c r="C432" s="4" t="s">
        <v>624</v>
      </c>
      <c r="D432" s="4" t="s">
        <v>828</v>
      </c>
      <c r="E432">
        <f>MONTH(Employee_Data[[#This Row],[HireDate]])</f>
        <v>4</v>
      </c>
      <c r="F432">
        <f>YEAR(Employee_Data[[#This Row],[HireDate]])</f>
        <v>2020</v>
      </c>
      <c r="G432" s="5">
        <v>43951</v>
      </c>
      <c r="H432">
        <v>3</v>
      </c>
      <c r="I432">
        <v>1</v>
      </c>
      <c r="J432" s="1">
        <v>118007</v>
      </c>
      <c r="K432" s="1">
        <v>1416084</v>
      </c>
    </row>
    <row r="433" spans="1:11" x14ac:dyDescent="0.25">
      <c r="A433" s="3">
        <v>432</v>
      </c>
      <c r="B433" s="4" t="s">
        <v>98</v>
      </c>
      <c r="C433" s="4" t="s">
        <v>409</v>
      </c>
      <c r="D433" s="4" t="s">
        <v>829</v>
      </c>
      <c r="E433">
        <f>MONTH(Employee_Data[[#This Row],[HireDate]])</f>
        <v>7</v>
      </c>
      <c r="F433">
        <f>YEAR(Employee_Data[[#This Row],[HireDate]])</f>
        <v>2020</v>
      </c>
      <c r="G433" s="5">
        <v>44037</v>
      </c>
      <c r="H433">
        <v>2</v>
      </c>
      <c r="I433">
        <v>33</v>
      </c>
      <c r="J433" s="1">
        <v>113908</v>
      </c>
      <c r="K433" s="1">
        <v>1366896</v>
      </c>
    </row>
    <row r="434" spans="1:11" x14ac:dyDescent="0.25">
      <c r="A434" s="3">
        <v>433</v>
      </c>
      <c r="B434" s="4" t="s">
        <v>242</v>
      </c>
      <c r="C434" s="4" t="s">
        <v>259</v>
      </c>
      <c r="D434" s="4" t="s">
        <v>830</v>
      </c>
      <c r="E434">
        <f>MONTH(Employee_Data[[#This Row],[HireDate]])</f>
        <v>10</v>
      </c>
      <c r="F434">
        <f>YEAR(Employee_Data[[#This Row],[HireDate]])</f>
        <v>2023</v>
      </c>
      <c r="G434" s="5">
        <v>45200</v>
      </c>
      <c r="H434">
        <v>3</v>
      </c>
      <c r="I434">
        <v>48</v>
      </c>
      <c r="J434" s="1">
        <v>101276</v>
      </c>
      <c r="K434" s="1">
        <v>1215312</v>
      </c>
    </row>
    <row r="435" spans="1:11" x14ac:dyDescent="0.25">
      <c r="A435" s="3">
        <v>434</v>
      </c>
      <c r="B435" s="4" t="s">
        <v>243</v>
      </c>
      <c r="C435" s="4" t="s">
        <v>625</v>
      </c>
      <c r="D435" s="4" t="s">
        <v>829</v>
      </c>
      <c r="E435">
        <f>MONTH(Employee_Data[[#This Row],[HireDate]])</f>
        <v>12</v>
      </c>
      <c r="F435">
        <f>YEAR(Employee_Data[[#This Row],[HireDate]])</f>
        <v>2016</v>
      </c>
      <c r="G435" s="5">
        <v>42727</v>
      </c>
      <c r="H435">
        <v>3</v>
      </c>
      <c r="I435">
        <v>2</v>
      </c>
      <c r="J435" s="1">
        <v>64914</v>
      </c>
      <c r="K435" s="1">
        <v>778968</v>
      </c>
    </row>
    <row r="436" spans="1:11" x14ac:dyDescent="0.25">
      <c r="A436" s="3">
        <v>435</v>
      </c>
      <c r="B436" s="4" t="s">
        <v>56</v>
      </c>
      <c r="C436" s="4" t="s">
        <v>388</v>
      </c>
      <c r="D436" s="4" t="s">
        <v>827</v>
      </c>
      <c r="E436">
        <f>MONTH(Employee_Data[[#This Row],[HireDate]])</f>
        <v>6</v>
      </c>
      <c r="F436">
        <f>YEAR(Employee_Data[[#This Row],[HireDate]])</f>
        <v>2016</v>
      </c>
      <c r="G436" s="5">
        <v>42533</v>
      </c>
      <c r="H436">
        <v>1</v>
      </c>
      <c r="I436">
        <v>5</v>
      </c>
      <c r="J436" s="1">
        <v>57746</v>
      </c>
      <c r="K436" s="1">
        <v>692952</v>
      </c>
    </row>
    <row r="437" spans="1:11" x14ac:dyDescent="0.25">
      <c r="A437" s="3">
        <v>436</v>
      </c>
      <c r="B437" s="4" t="s">
        <v>210</v>
      </c>
      <c r="C437" s="4" t="s">
        <v>478</v>
      </c>
      <c r="D437" s="4" t="s">
        <v>830</v>
      </c>
      <c r="E437">
        <f>MONTH(Employee_Data[[#This Row],[HireDate]])</f>
        <v>4</v>
      </c>
      <c r="F437">
        <f>YEAR(Employee_Data[[#This Row],[HireDate]])</f>
        <v>2021</v>
      </c>
      <c r="G437" s="5">
        <v>44304</v>
      </c>
      <c r="H437">
        <v>5</v>
      </c>
      <c r="I437">
        <v>36</v>
      </c>
      <c r="J437" s="1">
        <v>99614</v>
      </c>
      <c r="K437" s="1">
        <v>1195368</v>
      </c>
    </row>
    <row r="438" spans="1:11" x14ac:dyDescent="0.25">
      <c r="A438" s="3">
        <v>437</v>
      </c>
      <c r="B438" s="4" t="s">
        <v>213</v>
      </c>
      <c r="C438" s="4" t="s">
        <v>626</v>
      </c>
      <c r="D438" s="4" t="s">
        <v>828</v>
      </c>
      <c r="E438">
        <f>MONTH(Employee_Data[[#This Row],[HireDate]])</f>
        <v>7</v>
      </c>
      <c r="F438">
        <f>YEAR(Employee_Data[[#This Row],[HireDate]])</f>
        <v>2016</v>
      </c>
      <c r="G438" s="5">
        <v>42560</v>
      </c>
      <c r="H438">
        <v>4</v>
      </c>
      <c r="I438">
        <v>43</v>
      </c>
      <c r="J438" s="1">
        <v>110279</v>
      </c>
      <c r="K438" s="1">
        <v>1323348</v>
      </c>
    </row>
    <row r="439" spans="1:11" x14ac:dyDescent="0.25">
      <c r="A439" s="3">
        <v>438</v>
      </c>
      <c r="B439" s="4" t="s">
        <v>133</v>
      </c>
      <c r="C439" s="4" t="s">
        <v>627</v>
      </c>
      <c r="D439" s="4" t="s">
        <v>829</v>
      </c>
      <c r="E439">
        <f>MONTH(Employee_Data[[#This Row],[HireDate]])</f>
        <v>8</v>
      </c>
      <c r="F439">
        <f>YEAR(Employee_Data[[#This Row],[HireDate]])</f>
        <v>2019</v>
      </c>
      <c r="G439" s="5">
        <v>43699</v>
      </c>
      <c r="H439">
        <v>2</v>
      </c>
      <c r="I439">
        <v>41</v>
      </c>
      <c r="J439" s="1">
        <v>39258</v>
      </c>
      <c r="K439" s="1">
        <v>471096</v>
      </c>
    </row>
    <row r="440" spans="1:11" x14ac:dyDescent="0.25">
      <c r="A440" s="3">
        <v>439</v>
      </c>
      <c r="B440" s="4" t="s">
        <v>224</v>
      </c>
      <c r="C440" s="4" t="s">
        <v>402</v>
      </c>
      <c r="D440" s="4" t="s">
        <v>828</v>
      </c>
      <c r="E440">
        <f>MONTH(Employee_Data[[#This Row],[HireDate]])</f>
        <v>11</v>
      </c>
      <c r="F440">
        <f>YEAR(Employee_Data[[#This Row],[HireDate]])</f>
        <v>2023</v>
      </c>
      <c r="G440" s="5">
        <v>45259</v>
      </c>
      <c r="H440">
        <v>3</v>
      </c>
      <c r="I440">
        <v>2</v>
      </c>
      <c r="J440" s="1">
        <v>54886</v>
      </c>
      <c r="K440" s="1">
        <v>658632</v>
      </c>
    </row>
    <row r="441" spans="1:11" x14ac:dyDescent="0.25">
      <c r="A441" s="3">
        <v>440</v>
      </c>
      <c r="B441" s="4" t="s">
        <v>244</v>
      </c>
      <c r="C441" s="4" t="s">
        <v>230</v>
      </c>
      <c r="D441" s="4" t="s">
        <v>830</v>
      </c>
      <c r="E441">
        <f>MONTH(Employee_Data[[#This Row],[HireDate]])</f>
        <v>8</v>
      </c>
      <c r="F441">
        <f>YEAR(Employee_Data[[#This Row],[HireDate]])</f>
        <v>2022</v>
      </c>
      <c r="G441" s="5">
        <v>44786</v>
      </c>
      <c r="H441">
        <v>1</v>
      </c>
      <c r="I441">
        <v>29</v>
      </c>
      <c r="J441" s="1">
        <v>100666</v>
      </c>
      <c r="K441" s="1">
        <v>1207992</v>
      </c>
    </row>
    <row r="442" spans="1:11" x14ac:dyDescent="0.25">
      <c r="A442" s="3">
        <v>441</v>
      </c>
      <c r="B442" s="4" t="s">
        <v>133</v>
      </c>
      <c r="C442" s="4" t="s">
        <v>431</v>
      </c>
      <c r="D442" s="4" t="s">
        <v>830</v>
      </c>
      <c r="E442">
        <f>MONTH(Employee_Data[[#This Row],[HireDate]])</f>
        <v>4</v>
      </c>
      <c r="F442">
        <f>YEAR(Employee_Data[[#This Row],[HireDate]])</f>
        <v>2021</v>
      </c>
      <c r="G442" s="5">
        <v>44309</v>
      </c>
      <c r="H442">
        <v>4</v>
      </c>
      <c r="I442">
        <v>5</v>
      </c>
      <c r="J442" s="1">
        <v>105351</v>
      </c>
      <c r="K442" s="1">
        <v>1264212</v>
      </c>
    </row>
    <row r="443" spans="1:11" x14ac:dyDescent="0.25">
      <c r="A443" s="3">
        <v>442</v>
      </c>
      <c r="B443" s="4" t="s">
        <v>245</v>
      </c>
      <c r="C443" s="4" t="s">
        <v>403</v>
      </c>
      <c r="D443" s="4" t="s">
        <v>826</v>
      </c>
      <c r="E443">
        <f>MONTH(Employee_Data[[#This Row],[HireDate]])</f>
        <v>9</v>
      </c>
      <c r="F443">
        <f>YEAR(Employee_Data[[#This Row],[HireDate]])</f>
        <v>2018</v>
      </c>
      <c r="G443" s="5">
        <v>43371</v>
      </c>
      <c r="H443">
        <v>4</v>
      </c>
      <c r="I443">
        <v>31</v>
      </c>
      <c r="J443" s="1">
        <v>20737</v>
      </c>
      <c r="K443" s="1">
        <v>248844</v>
      </c>
    </row>
    <row r="444" spans="1:11" x14ac:dyDescent="0.25">
      <c r="A444" s="3">
        <v>443</v>
      </c>
      <c r="B444" s="4" t="s">
        <v>246</v>
      </c>
      <c r="C444" s="4" t="s">
        <v>614</v>
      </c>
      <c r="D444" s="4" t="s">
        <v>826</v>
      </c>
      <c r="E444">
        <f>MONTH(Employee_Data[[#This Row],[HireDate]])</f>
        <v>7</v>
      </c>
      <c r="F444">
        <f>YEAR(Employee_Data[[#This Row],[HireDate]])</f>
        <v>2023</v>
      </c>
      <c r="G444" s="5">
        <v>45111</v>
      </c>
      <c r="H444">
        <v>4</v>
      </c>
      <c r="I444">
        <v>12</v>
      </c>
      <c r="J444" s="1">
        <v>39617</v>
      </c>
      <c r="K444" s="1">
        <v>475404</v>
      </c>
    </row>
    <row r="445" spans="1:11" x14ac:dyDescent="0.25">
      <c r="A445" s="3">
        <v>444</v>
      </c>
      <c r="B445" s="4" t="s">
        <v>150</v>
      </c>
      <c r="C445" s="4" t="s">
        <v>536</v>
      </c>
      <c r="D445" s="4" t="s">
        <v>826</v>
      </c>
      <c r="E445">
        <f>MONTH(Employee_Data[[#This Row],[HireDate]])</f>
        <v>3</v>
      </c>
      <c r="F445">
        <f>YEAR(Employee_Data[[#This Row],[HireDate]])</f>
        <v>2018</v>
      </c>
      <c r="G445" s="5">
        <v>43175</v>
      </c>
      <c r="H445">
        <v>5</v>
      </c>
      <c r="I445">
        <v>32</v>
      </c>
      <c r="J445" s="1">
        <v>86561</v>
      </c>
      <c r="K445" s="1">
        <v>1038732</v>
      </c>
    </row>
    <row r="446" spans="1:11" x14ac:dyDescent="0.25">
      <c r="A446" s="3">
        <v>445</v>
      </c>
      <c r="B446" s="4" t="s">
        <v>247</v>
      </c>
      <c r="C446" s="4" t="s">
        <v>469</v>
      </c>
      <c r="D446" s="4" t="s">
        <v>828</v>
      </c>
      <c r="E446">
        <f>MONTH(Employee_Data[[#This Row],[HireDate]])</f>
        <v>3</v>
      </c>
      <c r="F446">
        <f>YEAR(Employee_Data[[#This Row],[HireDate]])</f>
        <v>2020</v>
      </c>
      <c r="G446" s="5">
        <v>43905</v>
      </c>
      <c r="H446">
        <v>1</v>
      </c>
      <c r="I446">
        <v>27</v>
      </c>
      <c r="J446" s="1">
        <v>58470</v>
      </c>
      <c r="K446" s="1">
        <v>701640</v>
      </c>
    </row>
    <row r="447" spans="1:11" x14ac:dyDescent="0.25">
      <c r="A447" s="3">
        <v>446</v>
      </c>
      <c r="B447" s="4" t="s">
        <v>45</v>
      </c>
      <c r="C447" s="4" t="s">
        <v>628</v>
      </c>
      <c r="D447" s="4" t="s">
        <v>827</v>
      </c>
      <c r="E447">
        <f>MONTH(Employee_Data[[#This Row],[HireDate]])</f>
        <v>1</v>
      </c>
      <c r="F447">
        <f>YEAR(Employee_Data[[#This Row],[HireDate]])</f>
        <v>2021</v>
      </c>
      <c r="G447" s="5">
        <v>44203</v>
      </c>
      <c r="H447">
        <v>4</v>
      </c>
      <c r="I447">
        <v>17</v>
      </c>
      <c r="J447" s="1">
        <v>114542</v>
      </c>
      <c r="K447" s="1">
        <v>1374504</v>
      </c>
    </row>
    <row r="448" spans="1:11" x14ac:dyDescent="0.25">
      <c r="A448" s="3">
        <v>447</v>
      </c>
      <c r="B448" s="4" t="s">
        <v>248</v>
      </c>
      <c r="C448" s="4" t="s">
        <v>407</v>
      </c>
      <c r="D448" s="4" t="s">
        <v>828</v>
      </c>
      <c r="E448">
        <f>MONTH(Employee_Data[[#This Row],[HireDate]])</f>
        <v>10</v>
      </c>
      <c r="F448">
        <f>YEAR(Employee_Data[[#This Row],[HireDate]])</f>
        <v>2024</v>
      </c>
      <c r="G448" s="5">
        <v>45578</v>
      </c>
      <c r="H448">
        <v>2</v>
      </c>
      <c r="I448">
        <v>5</v>
      </c>
      <c r="J448" s="1">
        <v>87957</v>
      </c>
      <c r="K448" s="1">
        <v>1055484</v>
      </c>
    </row>
    <row r="449" spans="1:11" x14ac:dyDescent="0.25">
      <c r="A449" s="3">
        <v>448</v>
      </c>
      <c r="B449" s="4" t="s">
        <v>136</v>
      </c>
      <c r="C449" s="4" t="s">
        <v>629</v>
      </c>
      <c r="D449" s="4" t="s">
        <v>828</v>
      </c>
      <c r="E449">
        <f>MONTH(Employee_Data[[#This Row],[HireDate]])</f>
        <v>3</v>
      </c>
      <c r="F449">
        <f>YEAR(Employee_Data[[#This Row],[HireDate]])</f>
        <v>2017</v>
      </c>
      <c r="G449" s="5">
        <v>42809</v>
      </c>
      <c r="H449">
        <v>5</v>
      </c>
      <c r="I449">
        <v>46</v>
      </c>
      <c r="J449" s="1">
        <v>114760</v>
      </c>
      <c r="K449" s="1">
        <v>1377120</v>
      </c>
    </row>
    <row r="450" spans="1:11" x14ac:dyDescent="0.25">
      <c r="A450" s="3">
        <v>449</v>
      </c>
      <c r="B450" s="4" t="s">
        <v>249</v>
      </c>
      <c r="C450" s="4" t="s">
        <v>630</v>
      </c>
      <c r="D450" s="4" t="s">
        <v>828</v>
      </c>
      <c r="E450">
        <f>MONTH(Employee_Data[[#This Row],[HireDate]])</f>
        <v>8</v>
      </c>
      <c r="F450">
        <f>YEAR(Employee_Data[[#This Row],[HireDate]])</f>
        <v>2018</v>
      </c>
      <c r="G450" s="5">
        <v>43334</v>
      </c>
      <c r="H450">
        <v>4</v>
      </c>
      <c r="I450">
        <v>17</v>
      </c>
      <c r="J450" s="1">
        <v>91153</v>
      </c>
      <c r="K450" s="1">
        <v>1093836</v>
      </c>
    </row>
    <row r="451" spans="1:11" x14ac:dyDescent="0.25">
      <c r="A451" s="3">
        <v>450</v>
      </c>
      <c r="B451" s="4" t="s">
        <v>20</v>
      </c>
      <c r="C451" s="4" t="s">
        <v>631</v>
      </c>
      <c r="D451" s="4" t="s">
        <v>826</v>
      </c>
      <c r="E451">
        <f>MONTH(Employee_Data[[#This Row],[HireDate]])</f>
        <v>5</v>
      </c>
      <c r="F451">
        <f>YEAR(Employee_Data[[#This Row],[HireDate]])</f>
        <v>2017</v>
      </c>
      <c r="G451" s="5">
        <v>42879</v>
      </c>
      <c r="H451">
        <v>1</v>
      </c>
      <c r="I451">
        <v>6</v>
      </c>
      <c r="J451" s="1">
        <v>31191</v>
      </c>
      <c r="K451" s="1">
        <v>374292</v>
      </c>
    </row>
    <row r="452" spans="1:11" x14ac:dyDescent="0.25">
      <c r="A452" s="3">
        <v>451</v>
      </c>
      <c r="B452" s="4" t="s">
        <v>138</v>
      </c>
      <c r="C452" s="4" t="s">
        <v>632</v>
      </c>
      <c r="D452" s="4" t="s">
        <v>829</v>
      </c>
      <c r="E452">
        <f>MONTH(Employee_Data[[#This Row],[HireDate]])</f>
        <v>4</v>
      </c>
      <c r="F452">
        <f>YEAR(Employee_Data[[#This Row],[HireDate]])</f>
        <v>2024</v>
      </c>
      <c r="G452" s="5">
        <v>45387</v>
      </c>
      <c r="H452">
        <v>5</v>
      </c>
      <c r="I452">
        <v>12</v>
      </c>
      <c r="J452" s="1">
        <v>107108</v>
      </c>
      <c r="K452" s="1">
        <v>1285296</v>
      </c>
    </row>
    <row r="453" spans="1:11" x14ac:dyDescent="0.25">
      <c r="A453" s="3">
        <v>452</v>
      </c>
      <c r="B453" s="4" t="s">
        <v>250</v>
      </c>
      <c r="C453" s="4" t="s">
        <v>523</v>
      </c>
      <c r="D453" s="4" t="s">
        <v>830</v>
      </c>
      <c r="E453">
        <f>MONTH(Employee_Data[[#This Row],[HireDate]])</f>
        <v>3</v>
      </c>
      <c r="F453">
        <f>YEAR(Employee_Data[[#This Row],[HireDate]])</f>
        <v>2020</v>
      </c>
      <c r="G453" s="5">
        <v>43902</v>
      </c>
      <c r="H453">
        <v>4</v>
      </c>
      <c r="I453">
        <v>40</v>
      </c>
      <c r="J453" s="1">
        <v>33076</v>
      </c>
      <c r="K453" s="1">
        <v>396912</v>
      </c>
    </row>
    <row r="454" spans="1:11" x14ac:dyDescent="0.25">
      <c r="A454" s="3">
        <v>453</v>
      </c>
      <c r="B454" s="4" t="s">
        <v>251</v>
      </c>
      <c r="C454" s="4" t="s">
        <v>633</v>
      </c>
      <c r="D454" s="4" t="s">
        <v>826</v>
      </c>
      <c r="E454">
        <f>MONTH(Employee_Data[[#This Row],[HireDate]])</f>
        <v>12</v>
      </c>
      <c r="F454">
        <f>YEAR(Employee_Data[[#This Row],[HireDate]])</f>
        <v>2021</v>
      </c>
      <c r="G454" s="5">
        <v>44560</v>
      </c>
      <c r="H454">
        <v>5</v>
      </c>
      <c r="I454">
        <v>34</v>
      </c>
      <c r="J454" s="1">
        <v>63228</v>
      </c>
      <c r="K454" s="1">
        <v>758736</v>
      </c>
    </row>
    <row r="455" spans="1:11" x14ac:dyDescent="0.25">
      <c r="A455" s="3">
        <v>454</v>
      </c>
      <c r="B455" s="4" t="s">
        <v>252</v>
      </c>
      <c r="C455" s="4" t="s">
        <v>634</v>
      </c>
      <c r="D455" s="4" t="s">
        <v>829</v>
      </c>
      <c r="E455">
        <f>MONTH(Employee_Data[[#This Row],[HireDate]])</f>
        <v>1</v>
      </c>
      <c r="F455">
        <f>YEAR(Employee_Data[[#This Row],[HireDate]])</f>
        <v>2023</v>
      </c>
      <c r="G455" s="5">
        <v>44956</v>
      </c>
      <c r="H455">
        <v>3</v>
      </c>
      <c r="I455">
        <v>12</v>
      </c>
      <c r="J455" s="1">
        <v>75753</v>
      </c>
      <c r="K455" s="1">
        <v>909036</v>
      </c>
    </row>
    <row r="456" spans="1:11" x14ac:dyDescent="0.25">
      <c r="A456" s="3">
        <v>455</v>
      </c>
      <c r="B456" s="4" t="s">
        <v>27</v>
      </c>
      <c r="C456" s="4" t="s">
        <v>635</v>
      </c>
      <c r="D456" s="4" t="s">
        <v>830</v>
      </c>
      <c r="E456">
        <f>MONTH(Employee_Data[[#This Row],[HireDate]])</f>
        <v>8</v>
      </c>
      <c r="F456">
        <f>YEAR(Employee_Data[[#This Row],[HireDate]])</f>
        <v>2022</v>
      </c>
      <c r="G456" s="5">
        <v>44800</v>
      </c>
      <c r="H456">
        <v>2</v>
      </c>
      <c r="I456">
        <v>21</v>
      </c>
      <c r="J456" s="1">
        <v>30735</v>
      </c>
      <c r="K456" s="1">
        <v>368820</v>
      </c>
    </row>
    <row r="457" spans="1:11" x14ac:dyDescent="0.25">
      <c r="A457" s="3">
        <v>456</v>
      </c>
      <c r="B457" s="4" t="s">
        <v>253</v>
      </c>
      <c r="C457" s="4" t="s">
        <v>372</v>
      </c>
      <c r="D457" s="4" t="s">
        <v>828</v>
      </c>
      <c r="E457">
        <f>MONTH(Employee_Data[[#This Row],[HireDate]])</f>
        <v>2</v>
      </c>
      <c r="F457">
        <f>YEAR(Employee_Data[[#This Row],[HireDate]])</f>
        <v>2017</v>
      </c>
      <c r="G457" s="5">
        <v>42783</v>
      </c>
      <c r="H457">
        <v>1</v>
      </c>
      <c r="I457">
        <v>46</v>
      </c>
      <c r="J457" s="1">
        <v>86315</v>
      </c>
      <c r="K457" s="1">
        <v>1035780</v>
      </c>
    </row>
    <row r="458" spans="1:11" x14ac:dyDescent="0.25">
      <c r="A458" s="3">
        <v>457</v>
      </c>
      <c r="B458" s="4" t="s">
        <v>173</v>
      </c>
      <c r="C458" s="4" t="s">
        <v>636</v>
      </c>
      <c r="D458" s="4" t="s">
        <v>828</v>
      </c>
      <c r="E458">
        <f>MONTH(Employee_Data[[#This Row],[HireDate]])</f>
        <v>3</v>
      </c>
      <c r="F458">
        <f>YEAR(Employee_Data[[#This Row],[HireDate]])</f>
        <v>2023</v>
      </c>
      <c r="G458" s="5">
        <v>44994</v>
      </c>
      <c r="H458">
        <v>2</v>
      </c>
      <c r="I458">
        <v>34</v>
      </c>
      <c r="J458" s="1">
        <v>66362</v>
      </c>
      <c r="K458" s="1">
        <v>796344</v>
      </c>
    </row>
    <row r="459" spans="1:11" x14ac:dyDescent="0.25">
      <c r="A459" s="3">
        <v>458</v>
      </c>
      <c r="B459" s="4" t="s">
        <v>14</v>
      </c>
      <c r="C459" s="4" t="s">
        <v>574</v>
      </c>
      <c r="D459" s="4" t="s">
        <v>827</v>
      </c>
      <c r="E459">
        <f>MONTH(Employee_Data[[#This Row],[HireDate]])</f>
        <v>2</v>
      </c>
      <c r="F459">
        <f>YEAR(Employee_Data[[#This Row],[HireDate]])</f>
        <v>2024</v>
      </c>
      <c r="G459" s="5">
        <v>45325</v>
      </c>
      <c r="H459">
        <v>1</v>
      </c>
      <c r="I459">
        <v>46</v>
      </c>
      <c r="J459" s="1">
        <v>46087</v>
      </c>
      <c r="K459" s="1">
        <v>553044</v>
      </c>
    </row>
    <row r="460" spans="1:11" x14ac:dyDescent="0.25">
      <c r="A460" s="3">
        <v>459</v>
      </c>
      <c r="B460" s="4" t="s">
        <v>98</v>
      </c>
      <c r="C460" s="4" t="s">
        <v>637</v>
      </c>
      <c r="D460" s="4" t="s">
        <v>829</v>
      </c>
      <c r="E460">
        <f>MONTH(Employee_Data[[#This Row],[HireDate]])</f>
        <v>7</v>
      </c>
      <c r="F460">
        <f>YEAR(Employee_Data[[#This Row],[HireDate]])</f>
        <v>2018</v>
      </c>
      <c r="G460" s="5">
        <v>43304</v>
      </c>
      <c r="H460">
        <v>1</v>
      </c>
      <c r="I460">
        <v>37</v>
      </c>
      <c r="J460" s="1">
        <v>68314</v>
      </c>
      <c r="K460" s="1">
        <v>819768</v>
      </c>
    </row>
    <row r="461" spans="1:11" x14ac:dyDescent="0.25">
      <c r="A461" s="3">
        <v>460</v>
      </c>
      <c r="B461" s="4" t="s">
        <v>134</v>
      </c>
      <c r="C461" s="4" t="s">
        <v>541</v>
      </c>
      <c r="D461" s="4" t="s">
        <v>828</v>
      </c>
      <c r="E461">
        <f>MONTH(Employee_Data[[#This Row],[HireDate]])</f>
        <v>3</v>
      </c>
      <c r="F461">
        <f>YEAR(Employee_Data[[#This Row],[HireDate]])</f>
        <v>2021</v>
      </c>
      <c r="G461" s="5">
        <v>44263</v>
      </c>
      <c r="H461">
        <v>4</v>
      </c>
      <c r="I461">
        <v>9</v>
      </c>
      <c r="J461" s="1">
        <v>87925</v>
      </c>
      <c r="K461" s="1">
        <v>1055100</v>
      </c>
    </row>
    <row r="462" spans="1:11" x14ac:dyDescent="0.25">
      <c r="A462" s="3">
        <v>461</v>
      </c>
      <c r="B462" s="4" t="s">
        <v>254</v>
      </c>
      <c r="C462" s="4" t="s">
        <v>281</v>
      </c>
      <c r="D462" s="4" t="s">
        <v>828</v>
      </c>
      <c r="E462">
        <f>MONTH(Employee_Data[[#This Row],[HireDate]])</f>
        <v>7</v>
      </c>
      <c r="F462">
        <f>YEAR(Employee_Data[[#This Row],[HireDate]])</f>
        <v>2018</v>
      </c>
      <c r="G462" s="5">
        <v>43309</v>
      </c>
      <c r="H462">
        <v>2</v>
      </c>
      <c r="I462">
        <v>34</v>
      </c>
      <c r="J462" s="1">
        <v>66931</v>
      </c>
      <c r="K462" s="1">
        <v>803172</v>
      </c>
    </row>
    <row r="463" spans="1:11" x14ac:dyDescent="0.25">
      <c r="A463" s="3">
        <v>462</v>
      </c>
      <c r="B463" s="4" t="s">
        <v>85</v>
      </c>
      <c r="C463" s="4" t="s">
        <v>413</v>
      </c>
      <c r="D463" s="4" t="s">
        <v>829</v>
      </c>
      <c r="E463">
        <f>MONTH(Employee_Data[[#This Row],[HireDate]])</f>
        <v>12</v>
      </c>
      <c r="F463">
        <f>YEAR(Employee_Data[[#This Row],[HireDate]])</f>
        <v>2017</v>
      </c>
      <c r="G463" s="5">
        <v>43075</v>
      </c>
      <c r="H463">
        <v>2</v>
      </c>
      <c r="I463">
        <v>28</v>
      </c>
      <c r="J463" s="1">
        <v>40689</v>
      </c>
      <c r="K463" s="1">
        <v>488268</v>
      </c>
    </row>
    <row r="464" spans="1:11" x14ac:dyDescent="0.25">
      <c r="A464" s="3">
        <v>463</v>
      </c>
      <c r="B464" s="4" t="s">
        <v>182</v>
      </c>
      <c r="C464" s="4" t="s">
        <v>638</v>
      </c>
      <c r="D464" s="4" t="s">
        <v>827</v>
      </c>
      <c r="E464">
        <f>MONTH(Employee_Data[[#This Row],[HireDate]])</f>
        <v>9</v>
      </c>
      <c r="F464">
        <f>YEAR(Employee_Data[[#This Row],[HireDate]])</f>
        <v>2019</v>
      </c>
      <c r="G464" s="5">
        <v>43736</v>
      </c>
      <c r="H464">
        <v>2</v>
      </c>
      <c r="I464">
        <v>29</v>
      </c>
      <c r="J464" s="1">
        <v>50279</v>
      </c>
      <c r="K464" s="1">
        <v>603348</v>
      </c>
    </row>
    <row r="465" spans="1:11" x14ac:dyDescent="0.25">
      <c r="A465" s="3">
        <v>464</v>
      </c>
      <c r="B465" s="4" t="s">
        <v>255</v>
      </c>
      <c r="C465" s="4" t="s">
        <v>639</v>
      </c>
      <c r="D465" s="4" t="s">
        <v>830</v>
      </c>
      <c r="E465">
        <f>MONTH(Employee_Data[[#This Row],[HireDate]])</f>
        <v>3</v>
      </c>
      <c r="F465">
        <f>YEAR(Employee_Data[[#This Row],[HireDate]])</f>
        <v>2017</v>
      </c>
      <c r="G465" s="5">
        <v>42823</v>
      </c>
      <c r="H465">
        <v>5</v>
      </c>
      <c r="I465">
        <v>28</v>
      </c>
      <c r="J465" s="1">
        <v>119933</v>
      </c>
      <c r="K465" s="1">
        <v>1439196</v>
      </c>
    </row>
    <row r="466" spans="1:11" x14ac:dyDescent="0.25">
      <c r="A466" s="3">
        <v>465</v>
      </c>
      <c r="B466" s="4" t="s">
        <v>256</v>
      </c>
      <c r="C466" s="4" t="s">
        <v>570</v>
      </c>
      <c r="D466" s="4" t="s">
        <v>829</v>
      </c>
      <c r="E466">
        <f>MONTH(Employee_Data[[#This Row],[HireDate]])</f>
        <v>5</v>
      </c>
      <c r="F466">
        <f>YEAR(Employee_Data[[#This Row],[HireDate]])</f>
        <v>2022</v>
      </c>
      <c r="G466" s="5">
        <v>44712</v>
      </c>
      <c r="H466">
        <v>5</v>
      </c>
      <c r="I466">
        <v>43</v>
      </c>
      <c r="J466" s="1">
        <v>72289</v>
      </c>
      <c r="K466" s="1">
        <v>867468</v>
      </c>
    </row>
    <row r="467" spans="1:11" x14ac:dyDescent="0.25">
      <c r="A467" s="3">
        <v>466</v>
      </c>
      <c r="B467" s="4" t="s">
        <v>257</v>
      </c>
      <c r="C467" s="4" t="s">
        <v>17</v>
      </c>
      <c r="D467" s="4" t="s">
        <v>828</v>
      </c>
      <c r="E467">
        <f>MONTH(Employee_Data[[#This Row],[HireDate]])</f>
        <v>5</v>
      </c>
      <c r="F467">
        <f>YEAR(Employee_Data[[#This Row],[HireDate]])</f>
        <v>2019</v>
      </c>
      <c r="G467" s="5">
        <v>43604</v>
      </c>
      <c r="H467">
        <v>4</v>
      </c>
      <c r="I467">
        <v>33</v>
      </c>
      <c r="J467" s="1">
        <v>22076</v>
      </c>
      <c r="K467" s="1">
        <v>264912</v>
      </c>
    </row>
    <row r="468" spans="1:11" x14ac:dyDescent="0.25">
      <c r="A468" s="3">
        <v>467</v>
      </c>
      <c r="B468" s="4" t="s">
        <v>91</v>
      </c>
      <c r="C468" s="4" t="s">
        <v>640</v>
      </c>
      <c r="D468" s="4" t="s">
        <v>829</v>
      </c>
      <c r="E468">
        <f>MONTH(Employee_Data[[#This Row],[HireDate]])</f>
        <v>1</v>
      </c>
      <c r="F468">
        <f>YEAR(Employee_Data[[#This Row],[HireDate]])</f>
        <v>2016</v>
      </c>
      <c r="G468" s="5">
        <v>42391</v>
      </c>
      <c r="H468">
        <v>1</v>
      </c>
      <c r="I468">
        <v>33</v>
      </c>
      <c r="J468" s="1">
        <v>57733</v>
      </c>
      <c r="K468" s="1">
        <v>692796</v>
      </c>
    </row>
    <row r="469" spans="1:11" x14ac:dyDescent="0.25">
      <c r="A469" s="3">
        <v>468</v>
      </c>
      <c r="B469" s="4" t="s">
        <v>73</v>
      </c>
      <c r="C469" s="4" t="s">
        <v>590</v>
      </c>
      <c r="D469" s="4" t="s">
        <v>827</v>
      </c>
      <c r="E469">
        <f>MONTH(Employee_Data[[#This Row],[HireDate]])</f>
        <v>11</v>
      </c>
      <c r="F469">
        <f>YEAR(Employee_Data[[#This Row],[HireDate]])</f>
        <v>2019</v>
      </c>
      <c r="G469" s="5">
        <v>43792</v>
      </c>
      <c r="H469">
        <v>4</v>
      </c>
      <c r="I469">
        <v>9</v>
      </c>
      <c r="J469" s="1">
        <v>80972</v>
      </c>
      <c r="K469" s="1">
        <v>971664</v>
      </c>
    </row>
    <row r="470" spans="1:11" x14ac:dyDescent="0.25">
      <c r="A470" s="3">
        <v>469</v>
      </c>
      <c r="B470" s="4" t="s">
        <v>201</v>
      </c>
      <c r="C470" s="4" t="s">
        <v>409</v>
      </c>
      <c r="D470" s="4" t="s">
        <v>826</v>
      </c>
      <c r="E470">
        <f>MONTH(Employee_Data[[#This Row],[HireDate]])</f>
        <v>4</v>
      </c>
      <c r="F470">
        <f>YEAR(Employee_Data[[#This Row],[HireDate]])</f>
        <v>2024</v>
      </c>
      <c r="G470" s="5">
        <v>45401</v>
      </c>
      <c r="H470">
        <v>2</v>
      </c>
      <c r="I470">
        <v>47</v>
      </c>
      <c r="J470" s="1">
        <v>46322</v>
      </c>
      <c r="K470" s="1">
        <v>555864</v>
      </c>
    </row>
    <row r="471" spans="1:11" x14ac:dyDescent="0.25">
      <c r="A471" s="3">
        <v>470</v>
      </c>
      <c r="B471" s="4" t="s">
        <v>258</v>
      </c>
      <c r="C471" s="4" t="s">
        <v>641</v>
      </c>
      <c r="D471" s="4" t="s">
        <v>830</v>
      </c>
      <c r="E471">
        <f>MONTH(Employee_Data[[#This Row],[HireDate]])</f>
        <v>7</v>
      </c>
      <c r="F471">
        <f>YEAR(Employee_Data[[#This Row],[HireDate]])</f>
        <v>2019</v>
      </c>
      <c r="G471" s="5">
        <v>43675</v>
      </c>
      <c r="H471">
        <v>2</v>
      </c>
      <c r="I471">
        <v>31</v>
      </c>
      <c r="J471" s="1">
        <v>62582</v>
      </c>
      <c r="K471" s="1">
        <v>750984</v>
      </c>
    </row>
    <row r="472" spans="1:11" x14ac:dyDescent="0.25">
      <c r="A472" s="3">
        <v>471</v>
      </c>
      <c r="B472" s="4" t="s">
        <v>187</v>
      </c>
      <c r="C472" s="4" t="s">
        <v>642</v>
      </c>
      <c r="D472" s="4" t="s">
        <v>830</v>
      </c>
      <c r="E472">
        <f>MONTH(Employee_Data[[#This Row],[HireDate]])</f>
        <v>7</v>
      </c>
      <c r="F472">
        <f>YEAR(Employee_Data[[#This Row],[HireDate]])</f>
        <v>2022</v>
      </c>
      <c r="G472" s="5">
        <v>44750</v>
      </c>
      <c r="H472">
        <v>3</v>
      </c>
      <c r="I472">
        <v>34</v>
      </c>
      <c r="J472" s="1">
        <v>38707</v>
      </c>
      <c r="K472" s="1">
        <v>464484</v>
      </c>
    </row>
    <row r="473" spans="1:11" x14ac:dyDescent="0.25">
      <c r="A473" s="3">
        <v>472</v>
      </c>
      <c r="B473" s="4" t="s">
        <v>259</v>
      </c>
      <c r="C473" s="4" t="s">
        <v>479</v>
      </c>
      <c r="D473" s="4" t="s">
        <v>830</v>
      </c>
      <c r="E473">
        <f>MONTH(Employee_Data[[#This Row],[HireDate]])</f>
        <v>9</v>
      </c>
      <c r="F473">
        <f>YEAR(Employee_Data[[#This Row],[HireDate]])</f>
        <v>2018</v>
      </c>
      <c r="G473" s="5">
        <v>43344</v>
      </c>
      <c r="H473">
        <v>5</v>
      </c>
      <c r="I473">
        <v>26</v>
      </c>
      <c r="J473" s="1">
        <v>80343</v>
      </c>
      <c r="K473" s="1">
        <v>964116</v>
      </c>
    </row>
    <row r="474" spans="1:11" x14ac:dyDescent="0.25">
      <c r="A474" s="3">
        <v>473</v>
      </c>
      <c r="B474" s="4" t="s">
        <v>32</v>
      </c>
      <c r="C474" s="4" t="s">
        <v>399</v>
      </c>
      <c r="D474" s="4" t="s">
        <v>829</v>
      </c>
      <c r="E474">
        <f>MONTH(Employee_Data[[#This Row],[HireDate]])</f>
        <v>8</v>
      </c>
      <c r="F474">
        <f>YEAR(Employee_Data[[#This Row],[HireDate]])</f>
        <v>2019</v>
      </c>
      <c r="G474" s="5">
        <v>43690</v>
      </c>
      <c r="H474">
        <v>3</v>
      </c>
      <c r="I474">
        <v>39</v>
      </c>
      <c r="J474" s="1">
        <v>81572</v>
      </c>
      <c r="K474" s="1">
        <v>978864</v>
      </c>
    </row>
    <row r="475" spans="1:11" x14ac:dyDescent="0.25">
      <c r="A475" s="3">
        <v>474</v>
      </c>
      <c r="B475" s="4" t="s">
        <v>21</v>
      </c>
      <c r="C475" s="4" t="s">
        <v>643</v>
      </c>
      <c r="D475" s="4" t="s">
        <v>829</v>
      </c>
      <c r="E475">
        <f>MONTH(Employee_Data[[#This Row],[HireDate]])</f>
        <v>11</v>
      </c>
      <c r="F475">
        <f>YEAR(Employee_Data[[#This Row],[HireDate]])</f>
        <v>2023</v>
      </c>
      <c r="G475" s="5">
        <v>45259</v>
      </c>
      <c r="H475">
        <v>5</v>
      </c>
      <c r="I475">
        <v>17</v>
      </c>
      <c r="J475" s="1">
        <v>109537</v>
      </c>
      <c r="K475" s="1">
        <v>1314444</v>
      </c>
    </row>
    <row r="476" spans="1:11" x14ac:dyDescent="0.25">
      <c r="A476" s="3">
        <v>475</v>
      </c>
      <c r="B476" s="4" t="s">
        <v>260</v>
      </c>
      <c r="C476" s="4" t="s">
        <v>644</v>
      </c>
      <c r="D476" s="4" t="s">
        <v>828</v>
      </c>
      <c r="E476">
        <f>MONTH(Employee_Data[[#This Row],[HireDate]])</f>
        <v>4</v>
      </c>
      <c r="F476">
        <f>YEAR(Employee_Data[[#This Row],[HireDate]])</f>
        <v>2022</v>
      </c>
      <c r="G476" s="5">
        <v>44667</v>
      </c>
      <c r="H476">
        <v>4</v>
      </c>
      <c r="I476">
        <v>14</v>
      </c>
      <c r="J476" s="1">
        <v>32630</v>
      </c>
      <c r="K476" s="1">
        <v>391560</v>
      </c>
    </row>
    <row r="477" spans="1:11" x14ac:dyDescent="0.25">
      <c r="A477" s="3">
        <v>476</v>
      </c>
      <c r="B477" s="4" t="s">
        <v>30</v>
      </c>
      <c r="C477" s="4" t="s">
        <v>645</v>
      </c>
      <c r="D477" s="4" t="s">
        <v>826</v>
      </c>
      <c r="E477">
        <f>MONTH(Employee_Data[[#This Row],[HireDate]])</f>
        <v>4</v>
      </c>
      <c r="F477">
        <f>YEAR(Employee_Data[[#This Row],[HireDate]])</f>
        <v>2021</v>
      </c>
      <c r="G477" s="5">
        <v>44310</v>
      </c>
      <c r="H477">
        <v>5</v>
      </c>
      <c r="I477">
        <v>8</v>
      </c>
      <c r="J477" s="1">
        <v>49244</v>
      </c>
      <c r="K477" s="1">
        <v>590928</v>
      </c>
    </row>
    <row r="478" spans="1:11" x14ac:dyDescent="0.25">
      <c r="A478" s="3">
        <v>477</v>
      </c>
      <c r="B478" s="4" t="s">
        <v>261</v>
      </c>
      <c r="C478" s="4" t="s">
        <v>646</v>
      </c>
      <c r="D478" s="4" t="s">
        <v>829</v>
      </c>
      <c r="E478">
        <f>MONTH(Employee_Data[[#This Row],[HireDate]])</f>
        <v>7</v>
      </c>
      <c r="F478">
        <f>YEAR(Employee_Data[[#This Row],[HireDate]])</f>
        <v>2018</v>
      </c>
      <c r="G478" s="5">
        <v>43310</v>
      </c>
      <c r="H478">
        <v>5</v>
      </c>
      <c r="I478">
        <v>6</v>
      </c>
      <c r="J478" s="1">
        <v>25376</v>
      </c>
      <c r="K478" s="1">
        <v>304512</v>
      </c>
    </row>
    <row r="479" spans="1:11" x14ac:dyDescent="0.25">
      <c r="A479" s="3">
        <v>478</v>
      </c>
      <c r="B479" s="4" t="s">
        <v>118</v>
      </c>
      <c r="C479" s="4" t="s">
        <v>393</v>
      </c>
      <c r="D479" s="4" t="s">
        <v>829</v>
      </c>
      <c r="E479">
        <f>MONTH(Employee_Data[[#This Row],[HireDate]])</f>
        <v>5</v>
      </c>
      <c r="F479">
        <f>YEAR(Employee_Data[[#This Row],[HireDate]])</f>
        <v>2023</v>
      </c>
      <c r="G479" s="5">
        <v>45058</v>
      </c>
      <c r="H479">
        <v>2</v>
      </c>
      <c r="I479">
        <v>10</v>
      </c>
      <c r="J479" s="1">
        <v>94653</v>
      </c>
      <c r="K479" s="1">
        <v>1135836</v>
      </c>
    </row>
    <row r="480" spans="1:11" x14ac:dyDescent="0.25">
      <c r="A480" s="3">
        <v>479</v>
      </c>
      <c r="B480" s="4" t="s">
        <v>262</v>
      </c>
      <c r="C480" s="4" t="s">
        <v>642</v>
      </c>
      <c r="D480" s="4" t="s">
        <v>830</v>
      </c>
      <c r="E480">
        <f>MONTH(Employee_Data[[#This Row],[HireDate]])</f>
        <v>7</v>
      </c>
      <c r="F480">
        <f>YEAR(Employee_Data[[#This Row],[HireDate]])</f>
        <v>2019</v>
      </c>
      <c r="G480" s="5">
        <v>43659</v>
      </c>
      <c r="H480">
        <v>5</v>
      </c>
      <c r="I480">
        <v>27</v>
      </c>
      <c r="J480" s="1">
        <v>116624</v>
      </c>
      <c r="K480" s="1">
        <v>1399488</v>
      </c>
    </row>
    <row r="481" spans="1:11" x14ac:dyDescent="0.25">
      <c r="A481" s="3">
        <v>480</v>
      </c>
      <c r="B481" s="4" t="s">
        <v>263</v>
      </c>
      <c r="C481" s="4" t="s">
        <v>281</v>
      </c>
      <c r="D481" s="4" t="s">
        <v>826</v>
      </c>
      <c r="E481">
        <f>MONTH(Employee_Data[[#This Row],[HireDate]])</f>
        <v>5</v>
      </c>
      <c r="F481">
        <f>YEAR(Employee_Data[[#This Row],[HireDate]])</f>
        <v>2018</v>
      </c>
      <c r="G481" s="5">
        <v>43239</v>
      </c>
      <c r="H481">
        <v>5</v>
      </c>
      <c r="I481">
        <v>8</v>
      </c>
      <c r="J481" s="1">
        <v>27006</v>
      </c>
      <c r="K481" s="1">
        <v>324072</v>
      </c>
    </row>
    <row r="482" spans="1:11" x14ac:dyDescent="0.25">
      <c r="A482" s="3">
        <v>481</v>
      </c>
      <c r="B482" s="4" t="s">
        <v>259</v>
      </c>
      <c r="C482" s="4" t="s">
        <v>647</v>
      </c>
      <c r="D482" s="4" t="s">
        <v>826</v>
      </c>
      <c r="E482">
        <f>MONTH(Employee_Data[[#This Row],[HireDate]])</f>
        <v>1</v>
      </c>
      <c r="F482">
        <f>YEAR(Employee_Data[[#This Row],[HireDate]])</f>
        <v>2024</v>
      </c>
      <c r="G482" s="5">
        <v>45293</v>
      </c>
      <c r="H482">
        <v>5</v>
      </c>
      <c r="I482">
        <v>16</v>
      </c>
      <c r="J482" s="1">
        <v>41141</v>
      </c>
      <c r="K482" s="1">
        <v>493692</v>
      </c>
    </row>
    <row r="483" spans="1:11" x14ac:dyDescent="0.25">
      <c r="A483" s="3">
        <v>482</v>
      </c>
      <c r="B483" s="4" t="s">
        <v>17</v>
      </c>
      <c r="C483" s="4" t="s">
        <v>409</v>
      </c>
      <c r="D483" s="4" t="s">
        <v>828</v>
      </c>
      <c r="E483">
        <f>MONTH(Employee_Data[[#This Row],[HireDate]])</f>
        <v>7</v>
      </c>
      <c r="F483">
        <f>YEAR(Employee_Data[[#This Row],[HireDate]])</f>
        <v>2024</v>
      </c>
      <c r="G483" s="5">
        <v>45479</v>
      </c>
      <c r="H483">
        <v>3</v>
      </c>
      <c r="I483">
        <v>27</v>
      </c>
      <c r="J483" s="1">
        <v>52597</v>
      </c>
      <c r="K483" s="1">
        <v>631164</v>
      </c>
    </row>
    <row r="484" spans="1:11" x14ac:dyDescent="0.25">
      <c r="A484" s="3">
        <v>483</v>
      </c>
      <c r="B484" s="4" t="s">
        <v>264</v>
      </c>
      <c r="C484" s="4" t="s">
        <v>408</v>
      </c>
      <c r="D484" s="4" t="s">
        <v>830</v>
      </c>
      <c r="E484">
        <f>MONTH(Employee_Data[[#This Row],[HireDate]])</f>
        <v>4</v>
      </c>
      <c r="F484">
        <f>YEAR(Employee_Data[[#This Row],[HireDate]])</f>
        <v>2016</v>
      </c>
      <c r="G484" s="5">
        <v>42461</v>
      </c>
      <c r="H484">
        <v>1</v>
      </c>
      <c r="I484">
        <v>42</v>
      </c>
      <c r="J484" s="1">
        <v>67020</v>
      </c>
      <c r="K484" s="1">
        <v>804240</v>
      </c>
    </row>
    <row r="485" spans="1:11" x14ac:dyDescent="0.25">
      <c r="A485" s="3">
        <v>484</v>
      </c>
      <c r="B485" s="4" t="s">
        <v>103</v>
      </c>
      <c r="C485" s="4" t="s">
        <v>622</v>
      </c>
      <c r="D485" s="4" t="s">
        <v>829</v>
      </c>
      <c r="E485">
        <f>MONTH(Employee_Data[[#This Row],[HireDate]])</f>
        <v>8</v>
      </c>
      <c r="F485">
        <f>YEAR(Employee_Data[[#This Row],[HireDate]])</f>
        <v>2016</v>
      </c>
      <c r="G485" s="5">
        <v>42610</v>
      </c>
      <c r="H485">
        <v>5</v>
      </c>
      <c r="I485">
        <v>39</v>
      </c>
      <c r="J485" s="1">
        <v>110227</v>
      </c>
      <c r="K485" s="1">
        <v>1322724</v>
      </c>
    </row>
    <row r="486" spans="1:11" x14ac:dyDescent="0.25">
      <c r="A486" s="3">
        <v>485</v>
      </c>
      <c r="B486" s="4" t="s">
        <v>265</v>
      </c>
      <c r="C486" s="4" t="s">
        <v>648</v>
      </c>
      <c r="D486" s="4" t="s">
        <v>828</v>
      </c>
      <c r="E486">
        <f>MONTH(Employee_Data[[#This Row],[HireDate]])</f>
        <v>6</v>
      </c>
      <c r="F486">
        <f>YEAR(Employee_Data[[#This Row],[HireDate]])</f>
        <v>2021</v>
      </c>
      <c r="G486" s="5">
        <v>44358</v>
      </c>
      <c r="H486">
        <v>4</v>
      </c>
      <c r="I486">
        <v>46</v>
      </c>
      <c r="J486" s="1">
        <v>85784</v>
      </c>
      <c r="K486" s="1">
        <v>1029408</v>
      </c>
    </row>
    <row r="487" spans="1:11" x14ac:dyDescent="0.25">
      <c r="A487" s="3">
        <v>486</v>
      </c>
      <c r="B487" s="4" t="s">
        <v>18</v>
      </c>
      <c r="C487" s="4" t="s">
        <v>382</v>
      </c>
      <c r="D487" s="4" t="s">
        <v>830</v>
      </c>
      <c r="E487">
        <f>MONTH(Employee_Data[[#This Row],[HireDate]])</f>
        <v>10</v>
      </c>
      <c r="F487">
        <f>YEAR(Employee_Data[[#This Row],[HireDate]])</f>
        <v>2019</v>
      </c>
      <c r="G487" s="5">
        <v>43743</v>
      </c>
      <c r="H487">
        <v>2</v>
      </c>
      <c r="I487">
        <v>48</v>
      </c>
      <c r="J487" s="1">
        <v>80878</v>
      </c>
      <c r="K487" s="1">
        <v>970536</v>
      </c>
    </row>
    <row r="488" spans="1:11" x14ac:dyDescent="0.25">
      <c r="A488" s="3">
        <v>487</v>
      </c>
      <c r="B488" s="4" t="s">
        <v>74</v>
      </c>
      <c r="C488" s="4" t="s">
        <v>649</v>
      </c>
      <c r="D488" s="4" t="s">
        <v>826</v>
      </c>
      <c r="E488">
        <f>MONTH(Employee_Data[[#This Row],[HireDate]])</f>
        <v>5</v>
      </c>
      <c r="F488">
        <f>YEAR(Employee_Data[[#This Row],[HireDate]])</f>
        <v>2020</v>
      </c>
      <c r="G488" s="5">
        <v>43968</v>
      </c>
      <c r="H488">
        <v>3</v>
      </c>
      <c r="I488">
        <v>16</v>
      </c>
      <c r="J488" s="1">
        <v>84656</v>
      </c>
      <c r="K488" s="1">
        <v>1015872</v>
      </c>
    </row>
    <row r="489" spans="1:11" x14ac:dyDescent="0.25">
      <c r="A489" s="3">
        <v>488</v>
      </c>
      <c r="B489" s="4" t="s">
        <v>64</v>
      </c>
      <c r="C489" s="4" t="s">
        <v>650</v>
      </c>
      <c r="D489" s="4" t="s">
        <v>828</v>
      </c>
      <c r="E489">
        <f>MONTH(Employee_Data[[#This Row],[HireDate]])</f>
        <v>7</v>
      </c>
      <c r="F489">
        <f>YEAR(Employee_Data[[#This Row],[HireDate]])</f>
        <v>2019</v>
      </c>
      <c r="G489" s="5">
        <v>43651</v>
      </c>
      <c r="H489">
        <v>4</v>
      </c>
      <c r="I489">
        <v>20</v>
      </c>
      <c r="J489" s="1">
        <v>55601</v>
      </c>
      <c r="K489" s="1">
        <v>667212</v>
      </c>
    </row>
    <row r="490" spans="1:11" x14ac:dyDescent="0.25">
      <c r="A490" s="3">
        <v>489</v>
      </c>
      <c r="B490" s="4" t="s">
        <v>126</v>
      </c>
      <c r="C490" s="4" t="s">
        <v>537</v>
      </c>
      <c r="D490" s="4" t="s">
        <v>826</v>
      </c>
      <c r="E490">
        <f>MONTH(Employee_Data[[#This Row],[HireDate]])</f>
        <v>1</v>
      </c>
      <c r="F490">
        <f>YEAR(Employee_Data[[#This Row],[HireDate]])</f>
        <v>2022</v>
      </c>
      <c r="G490" s="5">
        <v>44576</v>
      </c>
      <c r="H490">
        <v>3</v>
      </c>
      <c r="I490">
        <v>32</v>
      </c>
      <c r="J490" s="1">
        <v>78684</v>
      </c>
      <c r="K490" s="1">
        <v>944208</v>
      </c>
    </row>
    <row r="491" spans="1:11" x14ac:dyDescent="0.25">
      <c r="A491" s="3">
        <v>490</v>
      </c>
      <c r="B491" s="4" t="s">
        <v>266</v>
      </c>
      <c r="C491" s="4" t="s">
        <v>431</v>
      </c>
      <c r="D491" s="4" t="s">
        <v>826</v>
      </c>
      <c r="E491">
        <f>MONTH(Employee_Data[[#This Row],[HireDate]])</f>
        <v>10</v>
      </c>
      <c r="F491">
        <f>YEAR(Employee_Data[[#This Row],[HireDate]])</f>
        <v>2021</v>
      </c>
      <c r="G491" s="5">
        <v>44477</v>
      </c>
      <c r="H491">
        <v>4</v>
      </c>
      <c r="I491">
        <v>46</v>
      </c>
      <c r="J491" s="1">
        <v>116790</v>
      </c>
      <c r="K491" s="1">
        <v>1401480</v>
      </c>
    </row>
    <row r="492" spans="1:11" x14ac:dyDescent="0.25">
      <c r="A492" s="3">
        <v>491</v>
      </c>
      <c r="B492" s="4" t="s">
        <v>20</v>
      </c>
      <c r="C492" s="4" t="s">
        <v>598</v>
      </c>
      <c r="D492" s="4" t="s">
        <v>828</v>
      </c>
      <c r="E492">
        <f>MONTH(Employee_Data[[#This Row],[HireDate]])</f>
        <v>11</v>
      </c>
      <c r="F492">
        <f>YEAR(Employee_Data[[#This Row],[HireDate]])</f>
        <v>2016</v>
      </c>
      <c r="G492" s="5">
        <v>42680</v>
      </c>
      <c r="H492">
        <v>1</v>
      </c>
      <c r="I492">
        <v>19</v>
      </c>
      <c r="J492" s="1">
        <v>23826</v>
      </c>
      <c r="K492" s="1">
        <v>285912</v>
      </c>
    </row>
    <row r="493" spans="1:11" x14ac:dyDescent="0.25">
      <c r="A493" s="3">
        <v>492</v>
      </c>
      <c r="B493" s="4" t="s">
        <v>33</v>
      </c>
      <c r="C493" s="4" t="s">
        <v>651</v>
      </c>
      <c r="D493" s="4" t="s">
        <v>826</v>
      </c>
      <c r="E493">
        <f>MONTH(Employee_Data[[#This Row],[HireDate]])</f>
        <v>12</v>
      </c>
      <c r="F493">
        <f>YEAR(Employee_Data[[#This Row],[HireDate]])</f>
        <v>2019</v>
      </c>
      <c r="G493" s="5">
        <v>43800</v>
      </c>
      <c r="H493">
        <v>1</v>
      </c>
      <c r="I493">
        <v>26</v>
      </c>
      <c r="J493" s="1">
        <v>28962</v>
      </c>
      <c r="K493" s="1">
        <v>347544</v>
      </c>
    </row>
    <row r="494" spans="1:11" x14ac:dyDescent="0.25">
      <c r="A494" s="3">
        <v>493</v>
      </c>
      <c r="B494" s="4" t="s">
        <v>267</v>
      </c>
      <c r="C494" s="4" t="s">
        <v>652</v>
      </c>
      <c r="D494" s="4" t="s">
        <v>830</v>
      </c>
      <c r="E494">
        <f>MONTH(Employee_Data[[#This Row],[HireDate]])</f>
        <v>5</v>
      </c>
      <c r="F494">
        <f>YEAR(Employee_Data[[#This Row],[HireDate]])</f>
        <v>2017</v>
      </c>
      <c r="G494" s="5">
        <v>42880</v>
      </c>
      <c r="H494">
        <v>2</v>
      </c>
      <c r="I494">
        <v>24</v>
      </c>
      <c r="J494" s="1">
        <v>115702</v>
      </c>
      <c r="K494" s="1">
        <v>1388424</v>
      </c>
    </row>
    <row r="495" spans="1:11" x14ac:dyDescent="0.25">
      <c r="A495" s="3">
        <v>494</v>
      </c>
      <c r="B495" s="4" t="s">
        <v>268</v>
      </c>
      <c r="C495" s="4" t="s">
        <v>464</v>
      </c>
      <c r="D495" s="4" t="s">
        <v>827</v>
      </c>
      <c r="E495">
        <f>MONTH(Employee_Data[[#This Row],[HireDate]])</f>
        <v>8</v>
      </c>
      <c r="F495">
        <f>YEAR(Employee_Data[[#This Row],[HireDate]])</f>
        <v>2024</v>
      </c>
      <c r="G495" s="5">
        <v>45519</v>
      </c>
      <c r="H495">
        <v>1</v>
      </c>
      <c r="I495">
        <v>32</v>
      </c>
      <c r="J495" s="1">
        <v>78279</v>
      </c>
      <c r="K495" s="1">
        <v>939348</v>
      </c>
    </row>
    <row r="496" spans="1:11" x14ac:dyDescent="0.25">
      <c r="A496" s="3">
        <v>495</v>
      </c>
      <c r="B496" s="4" t="s">
        <v>269</v>
      </c>
      <c r="C496" s="4" t="s">
        <v>640</v>
      </c>
      <c r="D496" s="4" t="s">
        <v>829</v>
      </c>
      <c r="E496">
        <f>MONTH(Employee_Data[[#This Row],[HireDate]])</f>
        <v>3</v>
      </c>
      <c r="F496">
        <f>YEAR(Employee_Data[[#This Row],[HireDate]])</f>
        <v>2018</v>
      </c>
      <c r="G496" s="5">
        <v>43160</v>
      </c>
      <c r="H496">
        <v>3</v>
      </c>
      <c r="I496">
        <v>39</v>
      </c>
      <c r="J496" s="1">
        <v>22672</v>
      </c>
      <c r="K496" s="1">
        <v>272064</v>
      </c>
    </row>
    <row r="497" spans="1:11" x14ac:dyDescent="0.25">
      <c r="A497" s="3">
        <v>496</v>
      </c>
      <c r="B497" s="4" t="s">
        <v>35</v>
      </c>
      <c r="C497" s="4" t="s">
        <v>653</v>
      </c>
      <c r="D497" s="4" t="s">
        <v>827</v>
      </c>
      <c r="E497">
        <f>MONTH(Employee_Data[[#This Row],[HireDate]])</f>
        <v>3</v>
      </c>
      <c r="F497">
        <f>YEAR(Employee_Data[[#This Row],[HireDate]])</f>
        <v>2016</v>
      </c>
      <c r="G497" s="5">
        <v>42458</v>
      </c>
      <c r="H497">
        <v>5</v>
      </c>
      <c r="I497">
        <v>6</v>
      </c>
      <c r="J497" s="1">
        <v>101028</v>
      </c>
      <c r="K497" s="1">
        <v>1212336</v>
      </c>
    </row>
    <row r="498" spans="1:11" x14ac:dyDescent="0.25">
      <c r="A498" s="3">
        <v>497</v>
      </c>
      <c r="B498" s="4" t="s">
        <v>99</v>
      </c>
      <c r="C498" s="4" t="s">
        <v>320</v>
      </c>
      <c r="D498" s="4" t="s">
        <v>829</v>
      </c>
      <c r="E498">
        <f>MONTH(Employee_Data[[#This Row],[HireDate]])</f>
        <v>10</v>
      </c>
      <c r="F498">
        <f>YEAR(Employee_Data[[#This Row],[HireDate]])</f>
        <v>2017</v>
      </c>
      <c r="G498" s="5">
        <v>43035</v>
      </c>
      <c r="H498">
        <v>5</v>
      </c>
      <c r="I498">
        <v>2</v>
      </c>
      <c r="J498" s="1">
        <v>91773</v>
      </c>
      <c r="K498" s="1">
        <v>1101276</v>
      </c>
    </row>
    <row r="499" spans="1:11" x14ac:dyDescent="0.25">
      <c r="A499" s="3">
        <v>498</v>
      </c>
      <c r="B499" s="4" t="s">
        <v>94</v>
      </c>
      <c r="C499" s="4" t="s">
        <v>405</v>
      </c>
      <c r="D499" s="4" t="s">
        <v>828</v>
      </c>
      <c r="E499">
        <f>MONTH(Employee_Data[[#This Row],[HireDate]])</f>
        <v>6</v>
      </c>
      <c r="F499">
        <f>YEAR(Employee_Data[[#This Row],[HireDate]])</f>
        <v>2018</v>
      </c>
      <c r="G499" s="5">
        <v>43257</v>
      </c>
      <c r="H499">
        <v>2</v>
      </c>
      <c r="I499">
        <v>47</v>
      </c>
      <c r="J499" s="1">
        <v>61651</v>
      </c>
      <c r="K499" s="1">
        <v>739812</v>
      </c>
    </row>
    <row r="500" spans="1:11" x14ac:dyDescent="0.25">
      <c r="A500" s="3">
        <v>499</v>
      </c>
      <c r="B500" s="4" t="s">
        <v>270</v>
      </c>
      <c r="C500" s="4" t="s">
        <v>373</v>
      </c>
      <c r="D500" s="4" t="s">
        <v>829</v>
      </c>
      <c r="E500">
        <f>MONTH(Employee_Data[[#This Row],[HireDate]])</f>
        <v>11</v>
      </c>
      <c r="F500">
        <f>YEAR(Employee_Data[[#This Row],[HireDate]])</f>
        <v>2018</v>
      </c>
      <c r="G500" s="5">
        <v>43429</v>
      </c>
      <c r="H500">
        <v>3</v>
      </c>
      <c r="I500">
        <v>43</v>
      </c>
      <c r="J500" s="1">
        <v>108577</v>
      </c>
      <c r="K500" s="1">
        <v>1302924</v>
      </c>
    </row>
    <row r="501" spans="1:11" x14ac:dyDescent="0.25">
      <c r="A501" s="3">
        <v>500</v>
      </c>
      <c r="B501" s="4" t="s">
        <v>45</v>
      </c>
      <c r="C501" s="4" t="s">
        <v>556</v>
      </c>
      <c r="D501" s="4" t="s">
        <v>830</v>
      </c>
      <c r="E501">
        <f>MONTH(Employee_Data[[#This Row],[HireDate]])</f>
        <v>1</v>
      </c>
      <c r="F501">
        <f>YEAR(Employee_Data[[#This Row],[HireDate]])</f>
        <v>2018</v>
      </c>
      <c r="G501" s="5">
        <v>43104</v>
      </c>
      <c r="H501">
        <v>5</v>
      </c>
      <c r="I501">
        <v>13</v>
      </c>
      <c r="J501" s="1">
        <v>81764</v>
      </c>
      <c r="K501" s="1">
        <v>981168</v>
      </c>
    </row>
    <row r="502" spans="1:11" x14ac:dyDescent="0.25">
      <c r="A502" s="3">
        <v>501</v>
      </c>
      <c r="B502" s="4" t="s">
        <v>271</v>
      </c>
      <c r="C502" s="4" t="s">
        <v>107</v>
      </c>
      <c r="D502" s="4" t="s">
        <v>826</v>
      </c>
      <c r="E502">
        <f>MONTH(Employee_Data[[#This Row],[HireDate]])</f>
        <v>3</v>
      </c>
      <c r="F502">
        <f>YEAR(Employee_Data[[#This Row],[HireDate]])</f>
        <v>2018</v>
      </c>
      <c r="G502" s="5">
        <v>43163</v>
      </c>
      <c r="H502">
        <v>4</v>
      </c>
      <c r="I502">
        <v>12</v>
      </c>
      <c r="J502" s="1">
        <v>68714</v>
      </c>
      <c r="K502" s="1">
        <v>824568</v>
      </c>
    </row>
    <row r="503" spans="1:11" x14ac:dyDescent="0.25">
      <c r="A503" s="3">
        <v>502</v>
      </c>
      <c r="B503" s="4" t="s">
        <v>245</v>
      </c>
      <c r="C503" s="4" t="s">
        <v>654</v>
      </c>
      <c r="D503" s="4" t="s">
        <v>829</v>
      </c>
      <c r="E503">
        <f>MONTH(Employee_Data[[#This Row],[HireDate]])</f>
        <v>11</v>
      </c>
      <c r="F503">
        <f>YEAR(Employee_Data[[#This Row],[HireDate]])</f>
        <v>2023</v>
      </c>
      <c r="G503" s="5">
        <v>45243</v>
      </c>
      <c r="H503">
        <v>3</v>
      </c>
      <c r="I503">
        <v>24</v>
      </c>
      <c r="J503" s="1">
        <v>92465</v>
      </c>
      <c r="K503" s="1">
        <v>1109580</v>
      </c>
    </row>
    <row r="504" spans="1:11" x14ac:dyDescent="0.25">
      <c r="A504" s="3">
        <v>503</v>
      </c>
      <c r="B504" s="4" t="s">
        <v>42</v>
      </c>
      <c r="C504" s="4" t="s">
        <v>634</v>
      </c>
      <c r="D504" s="4" t="s">
        <v>829</v>
      </c>
      <c r="E504">
        <f>MONTH(Employee_Data[[#This Row],[HireDate]])</f>
        <v>11</v>
      </c>
      <c r="F504">
        <f>YEAR(Employee_Data[[#This Row],[HireDate]])</f>
        <v>2019</v>
      </c>
      <c r="G504" s="5">
        <v>43785</v>
      </c>
      <c r="H504">
        <v>4</v>
      </c>
      <c r="I504">
        <v>19</v>
      </c>
      <c r="J504" s="1">
        <v>31229</v>
      </c>
      <c r="K504" s="1">
        <v>374748</v>
      </c>
    </row>
    <row r="505" spans="1:11" x14ac:dyDescent="0.25">
      <c r="A505" s="3">
        <v>504</v>
      </c>
      <c r="B505" s="4" t="s">
        <v>272</v>
      </c>
      <c r="C505" s="4" t="s">
        <v>655</v>
      </c>
      <c r="D505" s="4" t="s">
        <v>830</v>
      </c>
      <c r="E505">
        <f>MONTH(Employee_Data[[#This Row],[HireDate]])</f>
        <v>2</v>
      </c>
      <c r="F505">
        <f>YEAR(Employee_Data[[#This Row],[HireDate]])</f>
        <v>2020</v>
      </c>
      <c r="G505" s="5">
        <v>43868</v>
      </c>
      <c r="H505">
        <v>1</v>
      </c>
      <c r="I505">
        <v>35</v>
      </c>
      <c r="J505" s="1">
        <v>112600</v>
      </c>
      <c r="K505" s="1">
        <v>1351200</v>
      </c>
    </row>
    <row r="506" spans="1:11" x14ac:dyDescent="0.25">
      <c r="A506" s="3">
        <v>505</v>
      </c>
      <c r="B506" s="4" t="s">
        <v>62</v>
      </c>
      <c r="C506" s="4" t="s">
        <v>443</v>
      </c>
      <c r="D506" s="4" t="s">
        <v>827</v>
      </c>
      <c r="E506">
        <f>MONTH(Employee_Data[[#This Row],[HireDate]])</f>
        <v>8</v>
      </c>
      <c r="F506">
        <f>YEAR(Employee_Data[[#This Row],[HireDate]])</f>
        <v>2021</v>
      </c>
      <c r="G506" s="5">
        <v>44414</v>
      </c>
      <c r="H506">
        <v>4</v>
      </c>
      <c r="I506">
        <v>20</v>
      </c>
      <c r="J506" s="1">
        <v>71401</v>
      </c>
      <c r="K506" s="1">
        <v>856812</v>
      </c>
    </row>
    <row r="507" spans="1:11" x14ac:dyDescent="0.25">
      <c r="A507" s="3">
        <v>506</v>
      </c>
      <c r="B507" s="4" t="s">
        <v>91</v>
      </c>
      <c r="C507" s="4" t="s">
        <v>656</v>
      </c>
      <c r="D507" s="4" t="s">
        <v>829</v>
      </c>
      <c r="E507">
        <f>MONTH(Employee_Data[[#This Row],[HireDate]])</f>
        <v>5</v>
      </c>
      <c r="F507">
        <f>YEAR(Employee_Data[[#This Row],[HireDate]])</f>
        <v>2017</v>
      </c>
      <c r="G507" s="5">
        <v>42886</v>
      </c>
      <c r="H507">
        <v>4</v>
      </c>
      <c r="I507">
        <v>33</v>
      </c>
      <c r="J507" s="1">
        <v>76423</v>
      </c>
      <c r="K507" s="1">
        <v>917076</v>
      </c>
    </row>
    <row r="508" spans="1:11" x14ac:dyDescent="0.25">
      <c r="A508" s="3">
        <v>507</v>
      </c>
      <c r="B508" s="4" t="s">
        <v>30</v>
      </c>
      <c r="C508" s="4" t="s">
        <v>427</v>
      </c>
      <c r="D508" s="4" t="s">
        <v>826</v>
      </c>
      <c r="E508">
        <f>MONTH(Employee_Data[[#This Row],[HireDate]])</f>
        <v>8</v>
      </c>
      <c r="F508">
        <f>YEAR(Employee_Data[[#This Row],[HireDate]])</f>
        <v>2018</v>
      </c>
      <c r="G508" s="5">
        <v>43334</v>
      </c>
      <c r="H508">
        <v>3</v>
      </c>
      <c r="I508">
        <v>7</v>
      </c>
      <c r="J508" s="1">
        <v>40943</v>
      </c>
      <c r="K508" s="1">
        <v>491316</v>
      </c>
    </row>
    <row r="509" spans="1:11" x14ac:dyDescent="0.25">
      <c r="A509" s="3">
        <v>508</v>
      </c>
      <c r="B509" s="4" t="s">
        <v>265</v>
      </c>
      <c r="C509" s="4" t="s">
        <v>483</v>
      </c>
      <c r="D509" s="4" t="s">
        <v>829</v>
      </c>
      <c r="E509">
        <f>MONTH(Employee_Data[[#This Row],[HireDate]])</f>
        <v>5</v>
      </c>
      <c r="F509">
        <f>YEAR(Employee_Data[[#This Row],[HireDate]])</f>
        <v>2021</v>
      </c>
      <c r="G509" s="5">
        <v>44338</v>
      </c>
      <c r="H509">
        <v>1</v>
      </c>
      <c r="I509">
        <v>6</v>
      </c>
      <c r="J509" s="1">
        <v>114160</v>
      </c>
      <c r="K509" s="1">
        <v>1369920</v>
      </c>
    </row>
    <row r="510" spans="1:11" x14ac:dyDescent="0.25">
      <c r="A510" s="3">
        <v>509</v>
      </c>
      <c r="B510" s="4" t="s">
        <v>137</v>
      </c>
      <c r="C510" s="4" t="s">
        <v>585</v>
      </c>
      <c r="D510" s="4" t="s">
        <v>827</v>
      </c>
      <c r="E510">
        <f>MONTH(Employee_Data[[#This Row],[HireDate]])</f>
        <v>11</v>
      </c>
      <c r="F510">
        <f>YEAR(Employee_Data[[#This Row],[HireDate]])</f>
        <v>2023</v>
      </c>
      <c r="G510" s="5">
        <v>45232</v>
      </c>
      <c r="H510">
        <v>1</v>
      </c>
      <c r="I510">
        <v>2</v>
      </c>
      <c r="J510" s="1">
        <v>71823</v>
      </c>
      <c r="K510" s="1">
        <v>861876</v>
      </c>
    </row>
    <row r="511" spans="1:11" x14ac:dyDescent="0.25">
      <c r="A511" s="3">
        <v>510</v>
      </c>
      <c r="B511" s="4" t="s">
        <v>128</v>
      </c>
      <c r="C511" s="4" t="s">
        <v>657</v>
      </c>
      <c r="D511" s="4" t="s">
        <v>827</v>
      </c>
      <c r="E511">
        <f>MONTH(Employee_Data[[#This Row],[HireDate]])</f>
        <v>12</v>
      </c>
      <c r="F511">
        <f>YEAR(Employee_Data[[#This Row],[HireDate]])</f>
        <v>2022</v>
      </c>
      <c r="G511" s="5">
        <v>44920</v>
      </c>
      <c r="H511">
        <v>4</v>
      </c>
      <c r="I511">
        <v>12</v>
      </c>
      <c r="J511" s="1">
        <v>70719</v>
      </c>
      <c r="K511" s="1">
        <v>848628</v>
      </c>
    </row>
    <row r="512" spans="1:11" x14ac:dyDescent="0.25">
      <c r="A512" s="3">
        <v>511</v>
      </c>
      <c r="B512" s="4" t="s">
        <v>121</v>
      </c>
      <c r="C512" s="4" t="s">
        <v>658</v>
      </c>
      <c r="D512" s="4" t="s">
        <v>829</v>
      </c>
      <c r="E512">
        <f>MONTH(Employee_Data[[#This Row],[HireDate]])</f>
        <v>8</v>
      </c>
      <c r="F512">
        <f>YEAR(Employee_Data[[#This Row],[HireDate]])</f>
        <v>2024</v>
      </c>
      <c r="G512" s="5">
        <v>45530</v>
      </c>
      <c r="H512">
        <v>3</v>
      </c>
      <c r="I512">
        <v>1</v>
      </c>
      <c r="J512" s="1">
        <v>26172</v>
      </c>
      <c r="K512" s="1">
        <v>314064</v>
      </c>
    </row>
    <row r="513" spans="1:11" x14ac:dyDescent="0.25">
      <c r="A513" s="3">
        <v>512</v>
      </c>
      <c r="B513" s="4" t="s">
        <v>47</v>
      </c>
      <c r="C513" s="4" t="s">
        <v>659</v>
      </c>
      <c r="D513" s="4" t="s">
        <v>829</v>
      </c>
      <c r="E513">
        <f>MONTH(Employee_Data[[#This Row],[HireDate]])</f>
        <v>9</v>
      </c>
      <c r="F513">
        <f>YEAR(Employee_Data[[#This Row],[HireDate]])</f>
        <v>2016</v>
      </c>
      <c r="G513" s="5">
        <v>42627</v>
      </c>
      <c r="H513">
        <v>1</v>
      </c>
      <c r="I513">
        <v>23</v>
      </c>
      <c r="J513" s="1">
        <v>89489</v>
      </c>
      <c r="K513" s="1">
        <v>1073868</v>
      </c>
    </row>
    <row r="514" spans="1:11" x14ac:dyDescent="0.25">
      <c r="A514" s="3">
        <v>513</v>
      </c>
      <c r="B514" s="4" t="s">
        <v>96</v>
      </c>
      <c r="C514" s="4" t="s">
        <v>399</v>
      </c>
      <c r="D514" s="4" t="s">
        <v>829</v>
      </c>
      <c r="E514">
        <f>MONTH(Employee_Data[[#This Row],[HireDate]])</f>
        <v>6</v>
      </c>
      <c r="F514">
        <f>YEAR(Employee_Data[[#This Row],[HireDate]])</f>
        <v>2022</v>
      </c>
      <c r="G514" s="5">
        <v>44714</v>
      </c>
      <c r="H514">
        <v>3</v>
      </c>
      <c r="I514">
        <v>7</v>
      </c>
      <c r="J514" s="1">
        <v>110850</v>
      </c>
      <c r="K514" s="1">
        <v>1330200</v>
      </c>
    </row>
    <row r="515" spans="1:11" x14ac:dyDescent="0.25">
      <c r="A515" s="3">
        <v>514</v>
      </c>
      <c r="B515" s="4" t="s">
        <v>18</v>
      </c>
      <c r="C515" s="4" t="s">
        <v>91</v>
      </c>
      <c r="D515" s="4" t="s">
        <v>826</v>
      </c>
      <c r="E515">
        <f>MONTH(Employee_Data[[#This Row],[HireDate]])</f>
        <v>1</v>
      </c>
      <c r="F515">
        <f>YEAR(Employee_Data[[#This Row],[HireDate]])</f>
        <v>2016</v>
      </c>
      <c r="G515" s="5">
        <v>42395</v>
      </c>
      <c r="H515">
        <v>1</v>
      </c>
      <c r="I515">
        <v>44</v>
      </c>
      <c r="J515" s="1">
        <v>102234</v>
      </c>
      <c r="K515" s="1">
        <v>1226808</v>
      </c>
    </row>
    <row r="516" spans="1:11" x14ac:dyDescent="0.25">
      <c r="A516" s="3">
        <v>515</v>
      </c>
      <c r="B516" s="4" t="s">
        <v>98</v>
      </c>
      <c r="C516" s="4" t="s">
        <v>660</v>
      </c>
      <c r="D516" s="4" t="s">
        <v>830</v>
      </c>
      <c r="E516">
        <f>MONTH(Employee_Data[[#This Row],[HireDate]])</f>
        <v>11</v>
      </c>
      <c r="F516">
        <f>YEAR(Employee_Data[[#This Row],[HireDate]])</f>
        <v>2020</v>
      </c>
      <c r="G516" s="5">
        <v>44148</v>
      </c>
      <c r="H516">
        <v>5</v>
      </c>
      <c r="I516">
        <v>18</v>
      </c>
      <c r="J516" s="1">
        <v>116062</v>
      </c>
      <c r="K516" s="1">
        <v>1392744</v>
      </c>
    </row>
    <row r="517" spans="1:11" x14ac:dyDescent="0.25">
      <c r="A517" s="3">
        <v>516</v>
      </c>
      <c r="B517" s="4" t="s">
        <v>198</v>
      </c>
      <c r="C517" s="4" t="s">
        <v>382</v>
      </c>
      <c r="D517" s="4" t="s">
        <v>829</v>
      </c>
      <c r="E517">
        <f>MONTH(Employee_Data[[#This Row],[HireDate]])</f>
        <v>5</v>
      </c>
      <c r="F517">
        <f>YEAR(Employee_Data[[#This Row],[HireDate]])</f>
        <v>2017</v>
      </c>
      <c r="G517" s="5">
        <v>42861</v>
      </c>
      <c r="H517">
        <v>2</v>
      </c>
      <c r="I517">
        <v>43</v>
      </c>
      <c r="J517" s="1">
        <v>69960</v>
      </c>
      <c r="K517" s="1">
        <v>839520</v>
      </c>
    </row>
    <row r="518" spans="1:11" x14ac:dyDescent="0.25">
      <c r="A518" s="3">
        <v>517</v>
      </c>
      <c r="B518" s="4" t="s">
        <v>139</v>
      </c>
      <c r="C518" s="4" t="s">
        <v>366</v>
      </c>
      <c r="D518" s="4" t="s">
        <v>830</v>
      </c>
      <c r="E518">
        <f>MONTH(Employee_Data[[#This Row],[HireDate]])</f>
        <v>5</v>
      </c>
      <c r="F518">
        <f>YEAR(Employee_Data[[#This Row],[HireDate]])</f>
        <v>2024</v>
      </c>
      <c r="G518" s="5">
        <v>45439</v>
      </c>
      <c r="H518">
        <v>2</v>
      </c>
      <c r="I518">
        <v>8</v>
      </c>
      <c r="J518" s="1">
        <v>67241</v>
      </c>
      <c r="K518" s="1">
        <v>806892</v>
      </c>
    </row>
    <row r="519" spans="1:11" x14ac:dyDescent="0.25">
      <c r="A519" s="3">
        <v>518</v>
      </c>
      <c r="B519" s="4" t="s">
        <v>273</v>
      </c>
      <c r="C519" s="4" t="s">
        <v>495</v>
      </c>
      <c r="D519" s="4" t="s">
        <v>826</v>
      </c>
      <c r="E519">
        <f>MONTH(Employee_Data[[#This Row],[HireDate]])</f>
        <v>12</v>
      </c>
      <c r="F519">
        <f>YEAR(Employee_Data[[#This Row],[HireDate]])</f>
        <v>2016</v>
      </c>
      <c r="G519" s="5">
        <v>42719</v>
      </c>
      <c r="H519">
        <v>3</v>
      </c>
      <c r="I519">
        <v>18</v>
      </c>
      <c r="J519" s="1">
        <v>44269</v>
      </c>
      <c r="K519" s="1">
        <v>531228</v>
      </c>
    </row>
    <row r="520" spans="1:11" x14ac:dyDescent="0.25">
      <c r="A520" s="3">
        <v>519</v>
      </c>
      <c r="B520" s="4" t="s">
        <v>274</v>
      </c>
      <c r="C520" s="4" t="s">
        <v>366</v>
      </c>
      <c r="D520" s="4" t="s">
        <v>829</v>
      </c>
      <c r="E520">
        <f>MONTH(Employee_Data[[#This Row],[HireDate]])</f>
        <v>11</v>
      </c>
      <c r="F520">
        <f>YEAR(Employee_Data[[#This Row],[HireDate]])</f>
        <v>2022</v>
      </c>
      <c r="G520" s="5">
        <v>44867</v>
      </c>
      <c r="H520">
        <v>1</v>
      </c>
      <c r="I520">
        <v>45</v>
      </c>
      <c r="J520" s="1">
        <v>27757</v>
      </c>
      <c r="K520" s="1">
        <v>333084</v>
      </c>
    </row>
    <row r="521" spans="1:11" x14ac:dyDescent="0.25">
      <c r="A521" s="3">
        <v>520</v>
      </c>
      <c r="B521" s="4" t="s">
        <v>125</v>
      </c>
      <c r="C521" s="4" t="s">
        <v>661</v>
      </c>
      <c r="D521" s="4" t="s">
        <v>828</v>
      </c>
      <c r="E521">
        <f>MONTH(Employee_Data[[#This Row],[HireDate]])</f>
        <v>12</v>
      </c>
      <c r="F521">
        <f>YEAR(Employee_Data[[#This Row],[HireDate]])</f>
        <v>2022</v>
      </c>
      <c r="G521" s="5">
        <v>44910</v>
      </c>
      <c r="H521">
        <v>1</v>
      </c>
      <c r="I521">
        <v>32</v>
      </c>
      <c r="J521" s="1">
        <v>32648</v>
      </c>
      <c r="K521" s="1">
        <v>391776</v>
      </c>
    </row>
    <row r="522" spans="1:11" x14ac:dyDescent="0.25">
      <c r="A522" s="3">
        <v>521</v>
      </c>
      <c r="B522" s="4" t="s">
        <v>275</v>
      </c>
      <c r="C522" s="4" t="s">
        <v>207</v>
      </c>
      <c r="D522" s="4" t="s">
        <v>827</v>
      </c>
      <c r="E522">
        <f>MONTH(Employee_Data[[#This Row],[HireDate]])</f>
        <v>6</v>
      </c>
      <c r="F522">
        <f>YEAR(Employee_Data[[#This Row],[HireDate]])</f>
        <v>2023</v>
      </c>
      <c r="G522" s="5">
        <v>45088</v>
      </c>
      <c r="H522">
        <v>4</v>
      </c>
      <c r="I522">
        <v>30</v>
      </c>
      <c r="J522" s="1">
        <v>28806</v>
      </c>
      <c r="K522" s="1">
        <v>345672</v>
      </c>
    </row>
    <row r="523" spans="1:11" x14ac:dyDescent="0.25">
      <c r="A523" s="3">
        <v>522</v>
      </c>
      <c r="B523" s="4" t="s">
        <v>24</v>
      </c>
      <c r="C523" s="4" t="s">
        <v>431</v>
      </c>
      <c r="D523" s="4" t="s">
        <v>830</v>
      </c>
      <c r="E523">
        <f>MONTH(Employee_Data[[#This Row],[HireDate]])</f>
        <v>9</v>
      </c>
      <c r="F523">
        <f>YEAR(Employee_Data[[#This Row],[HireDate]])</f>
        <v>2023</v>
      </c>
      <c r="G523" s="5">
        <v>45190</v>
      </c>
      <c r="H523">
        <v>4</v>
      </c>
      <c r="I523">
        <v>46</v>
      </c>
      <c r="J523" s="1">
        <v>113069</v>
      </c>
      <c r="K523" s="1">
        <v>1356828</v>
      </c>
    </row>
    <row r="524" spans="1:11" x14ac:dyDescent="0.25">
      <c r="A524" s="3">
        <v>523</v>
      </c>
      <c r="B524" s="4" t="s">
        <v>159</v>
      </c>
      <c r="C524" s="4" t="s">
        <v>662</v>
      </c>
      <c r="D524" s="4" t="s">
        <v>827</v>
      </c>
      <c r="E524">
        <f>MONTH(Employee_Data[[#This Row],[HireDate]])</f>
        <v>4</v>
      </c>
      <c r="F524">
        <f>YEAR(Employee_Data[[#This Row],[HireDate]])</f>
        <v>2024</v>
      </c>
      <c r="G524" s="5">
        <v>45412</v>
      </c>
      <c r="H524">
        <v>1</v>
      </c>
      <c r="I524">
        <v>18</v>
      </c>
      <c r="J524" s="1">
        <v>44239</v>
      </c>
      <c r="K524" s="1">
        <v>530868</v>
      </c>
    </row>
    <row r="525" spans="1:11" x14ac:dyDescent="0.25">
      <c r="A525" s="3">
        <v>524</v>
      </c>
      <c r="B525" s="4" t="s">
        <v>36</v>
      </c>
      <c r="C525" s="4" t="s">
        <v>529</v>
      </c>
      <c r="D525" s="4" t="s">
        <v>829</v>
      </c>
      <c r="E525">
        <f>MONTH(Employee_Data[[#This Row],[HireDate]])</f>
        <v>9</v>
      </c>
      <c r="F525">
        <f>YEAR(Employee_Data[[#This Row],[HireDate]])</f>
        <v>2023</v>
      </c>
      <c r="G525" s="5">
        <v>45178</v>
      </c>
      <c r="H525">
        <v>1</v>
      </c>
      <c r="I525">
        <v>23</v>
      </c>
      <c r="J525" s="1">
        <v>105151</v>
      </c>
      <c r="K525" s="1">
        <v>1261812</v>
      </c>
    </row>
    <row r="526" spans="1:11" x14ac:dyDescent="0.25">
      <c r="A526" s="3">
        <v>525</v>
      </c>
      <c r="B526" s="4" t="s">
        <v>10</v>
      </c>
      <c r="C526" s="4" t="s">
        <v>579</v>
      </c>
      <c r="D526" s="4" t="s">
        <v>827</v>
      </c>
      <c r="E526">
        <f>MONTH(Employee_Data[[#This Row],[HireDate]])</f>
        <v>12</v>
      </c>
      <c r="F526">
        <f>YEAR(Employee_Data[[#This Row],[HireDate]])</f>
        <v>2022</v>
      </c>
      <c r="G526" s="5">
        <v>44918</v>
      </c>
      <c r="H526">
        <v>3</v>
      </c>
      <c r="I526">
        <v>33</v>
      </c>
      <c r="J526" s="1">
        <v>63756</v>
      </c>
      <c r="K526" s="1">
        <v>765072</v>
      </c>
    </row>
    <row r="527" spans="1:11" x14ac:dyDescent="0.25">
      <c r="A527" s="3">
        <v>526</v>
      </c>
      <c r="B527" s="4" t="s">
        <v>17</v>
      </c>
      <c r="C527" s="4" t="s">
        <v>663</v>
      </c>
      <c r="D527" s="4" t="s">
        <v>827</v>
      </c>
      <c r="E527">
        <f>MONTH(Employee_Data[[#This Row],[HireDate]])</f>
        <v>3</v>
      </c>
      <c r="F527">
        <f>YEAR(Employee_Data[[#This Row],[HireDate]])</f>
        <v>2017</v>
      </c>
      <c r="G527" s="5">
        <v>42821</v>
      </c>
      <c r="H527">
        <v>4</v>
      </c>
      <c r="I527">
        <v>32</v>
      </c>
      <c r="J527" s="1">
        <v>78991</v>
      </c>
      <c r="K527" s="1">
        <v>947892</v>
      </c>
    </row>
    <row r="528" spans="1:11" x14ac:dyDescent="0.25">
      <c r="A528" s="3">
        <v>527</v>
      </c>
      <c r="B528" s="4" t="s">
        <v>201</v>
      </c>
      <c r="C528" s="4" t="s">
        <v>664</v>
      </c>
      <c r="D528" s="4" t="s">
        <v>827</v>
      </c>
      <c r="E528">
        <f>MONTH(Employee_Data[[#This Row],[HireDate]])</f>
        <v>1</v>
      </c>
      <c r="F528">
        <f>YEAR(Employee_Data[[#This Row],[HireDate]])</f>
        <v>2021</v>
      </c>
      <c r="G528" s="5">
        <v>44221</v>
      </c>
      <c r="H528">
        <v>1</v>
      </c>
      <c r="I528">
        <v>1</v>
      </c>
      <c r="J528" s="1">
        <v>27449</v>
      </c>
      <c r="K528" s="1">
        <v>329388</v>
      </c>
    </row>
    <row r="529" spans="1:11" x14ac:dyDescent="0.25">
      <c r="A529" s="3">
        <v>528</v>
      </c>
      <c r="B529" s="4" t="s">
        <v>131</v>
      </c>
      <c r="C529" s="4" t="s">
        <v>346</v>
      </c>
      <c r="D529" s="4" t="s">
        <v>827</v>
      </c>
      <c r="E529">
        <f>MONTH(Employee_Data[[#This Row],[HireDate]])</f>
        <v>6</v>
      </c>
      <c r="F529">
        <f>YEAR(Employee_Data[[#This Row],[HireDate]])</f>
        <v>2016</v>
      </c>
      <c r="G529" s="5">
        <v>42526</v>
      </c>
      <c r="H529">
        <v>3</v>
      </c>
      <c r="I529">
        <v>21</v>
      </c>
      <c r="J529" s="1">
        <v>34667</v>
      </c>
      <c r="K529" s="1">
        <v>416004</v>
      </c>
    </row>
    <row r="530" spans="1:11" x14ac:dyDescent="0.25">
      <c r="A530" s="3">
        <v>529</v>
      </c>
      <c r="B530" s="4" t="s">
        <v>177</v>
      </c>
      <c r="C530" s="4" t="s">
        <v>665</v>
      </c>
      <c r="D530" s="4" t="s">
        <v>826</v>
      </c>
      <c r="E530">
        <f>MONTH(Employee_Data[[#This Row],[HireDate]])</f>
        <v>11</v>
      </c>
      <c r="F530">
        <f>YEAR(Employee_Data[[#This Row],[HireDate]])</f>
        <v>2015</v>
      </c>
      <c r="G530" s="5">
        <v>42315</v>
      </c>
      <c r="H530">
        <v>5</v>
      </c>
      <c r="I530">
        <v>28</v>
      </c>
      <c r="J530" s="1">
        <v>103923</v>
      </c>
      <c r="K530" s="1">
        <v>1247076</v>
      </c>
    </row>
    <row r="531" spans="1:11" x14ac:dyDescent="0.25">
      <c r="A531" s="3">
        <v>530</v>
      </c>
      <c r="B531" s="4" t="s">
        <v>276</v>
      </c>
      <c r="C531" s="4" t="s">
        <v>643</v>
      </c>
      <c r="D531" s="4" t="s">
        <v>826</v>
      </c>
      <c r="E531">
        <f>MONTH(Employee_Data[[#This Row],[HireDate]])</f>
        <v>4</v>
      </c>
      <c r="F531">
        <f>YEAR(Employee_Data[[#This Row],[HireDate]])</f>
        <v>2016</v>
      </c>
      <c r="G531" s="5">
        <v>42461</v>
      </c>
      <c r="H531">
        <v>3</v>
      </c>
      <c r="I531">
        <v>42</v>
      </c>
      <c r="J531" s="1">
        <v>78529</v>
      </c>
      <c r="K531" s="1">
        <v>942348</v>
      </c>
    </row>
    <row r="532" spans="1:11" x14ac:dyDescent="0.25">
      <c r="A532" s="3">
        <v>531</v>
      </c>
      <c r="B532" s="4" t="s">
        <v>69</v>
      </c>
      <c r="C532" s="4" t="s">
        <v>226</v>
      </c>
      <c r="D532" s="4" t="s">
        <v>828</v>
      </c>
      <c r="E532">
        <f>MONTH(Employee_Data[[#This Row],[HireDate]])</f>
        <v>7</v>
      </c>
      <c r="F532">
        <f>YEAR(Employee_Data[[#This Row],[HireDate]])</f>
        <v>2021</v>
      </c>
      <c r="G532" s="5">
        <v>44383</v>
      </c>
      <c r="H532">
        <v>5</v>
      </c>
      <c r="I532">
        <v>48</v>
      </c>
      <c r="J532" s="1">
        <v>60698</v>
      </c>
      <c r="K532" s="1">
        <v>728376</v>
      </c>
    </row>
    <row r="533" spans="1:11" x14ac:dyDescent="0.25">
      <c r="A533" s="3">
        <v>532</v>
      </c>
      <c r="B533" s="4" t="s">
        <v>35</v>
      </c>
      <c r="C533" s="4" t="s">
        <v>580</v>
      </c>
      <c r="D533" s="4" t="s">
        <v>830</v>
      </c>
      <c r="E533">
        <f>MONTH(Employee_Data[[#This Row],[HireDate]])</f>
        <v>3</v>
      </c>
      <c r="F533">
        <f>YEAR(Employee_Data[[#This Row],[HireDate]])</f>
        <v>2021</v>
      </c>
      <c r="G533" s="5">
        <v>44259</v>
      </c>
      <c r="H533">
        <v>5</v>
      </c>
      <c r="I533">
        <v>2</v>
      </c>
      <c r="J533" s="1">
        <v>117422</v>
      </c>
      <c r="K533" s="1">
        <v>1409064</v>
      </c>
    </row>
    <row r="534" spans="1:11" x14ac:dyDescent="0.25">
      <c r="A534" s="3">
        <v>533</v>
      </c>
      <c r="B534" s="4" t="s">
        <v>277</v>
      </c>
      <c r="C534" s="4" t="s">
        <v>666</v>
      </c>
      <c r="D534" s="4" t="s">
        <v>828</v>
      </c>
      <c r="E534">
        <f>MONTH(Employee_Data[[#This Row],[HireDate]])</f>
        <v>12</v>
      </c>
      <c r="F534">
        <f>YEAR(Employee_Data[[#This Row],[HireDate]])</f>
        <v>2022</v>
      </c>
      <c r="G534" s="5">
        <v>44905</v>
      </c>
      <c r="H534">
        <v>2</v>
      </c>
      <c r="I534">
        <v>17</v>
      </c>
      <c r="J534" s="1">
        <v>119678</v>
      </c>
      <c r="K534" s="1">
        <v>1436136</v>
      </c>
    </row>
    <row r="535" spans="1:11" x14ac:dyDescent="0.25">
      <c r="A535" s="3">
        <v>534</v>
      </c>
      <c r="B535" s="4" t="s">
        <v>192</v>
      </c>
      <c r="C535" s="4" t="s">
        <v>667</v>
      </c>
      <c r="D535" s="4" t="s">
        <v>829</v>
      </c>
      <c r="E535">
        <f>MONTH(Employee_Data[[#This Row],[HireDate]])</f>
        <v>1</v>
      </c>
      <c r="F535">
        <f>YEAR(Employee_Data[[#This Row],[HireDate]])</f>
        <v>2023</v>
      </c>
      <c r="G535" s="5">
        <v>44929</v>
      </c>
      <c r="H535">
        <v>4</v>
      </c>
      <c r="I535">
        <v>11</v>
      </c>
      <c r="J535" s="1">
        <v>26188</v>
      </c>
      <c r="K535" s="1">
        <v>314256</v>
      </c>
    </row>
    <row r="536" spans="1:11" x14ac:dyDescent="0.25">
      <c r="A536" s="3">
        <v>535</v>
      </c>
      <c r="B536" s="4" t="s">
        <v>185</v>
      </c>
      <c r="C536" s="4" t="s">
        <v>487</v>
      </c>
      <c r="D536" s="4" t="s">
        <v>830</v>
      </c>
      <c r="E536">
        <f>MONTH(Employee_Data[[#This Row],[HireDate]])</f>
        <v>6</v>
      </c>
      <c r="F536">
        <f>YEAR(Employee_Data[[#This Row],[HireDate]])</f>
        <v>2016</v>
      </c>
      <c r="G536" s="5">
        <v>42549</v>
      </c>
      <c r="H536">
        <v>2</v>
      </c>
      <c r="I536">
        <v>12</v>
      </c>
      <c r="J536" s="1">
        <v>119134</v>
      </c>
      <c r="K536" s="1">
        <v>1429608</v>
      </c>
    </row>
    <row r="537" spans="1:11" x14ac:dyDescent="0.25">
      <c r="A537" s="3">
        <v>536</v>
      </c>
      <c r="B537" s="4" t="s">
        <v>278</v>
      </c>
      <c r="C537" s="4" t="s">
        <v>371</v>
      </c>
      <c r="D537" s="4" t="s">
        <v>830</v>
      </c>
      <c r="E537">
        <f>MONTH(Employee_Data[[#This Row],[HireDate]])</f>
        <v>12</v>
      </c>
      <c r="F537">
        <f>YEAR(Employee_Data[[#This Row],[HireDate]])</f>
        <v>2016</v>
      </c>
      <c r="G537" s="5">
        <v>42718</v>
      </c>
      <c r="H537">
        <v>5</v>
      </c>
      <c r="I537">
        <v>38</v>
      </c>
      <c r="J537" s="1">
        <v>26734</v>
      </c>
      <c r="K537" s="1">
        <v>320808</v>
      </c>
    </row>
    <row r="538" spans="1:11" x14ac:dyDescent="0.25">
      <c r="A538" s="3">
        <v>537</v>
      </c>
      <c r="B538" s="4" t="s">
        <v>279</v>
      </c>
      <c r="C538" s="4" t="s">
        <v>382</v>
      </c>
      <c r="D538" s="4" t="s">
        <v>830</v>
      </c>
      <c r="E538">
        <f>MONTH(Employee_Data[[#This Row],[HireDate]])</f>
        <v>8</v>
      </c>
      <c r="F538">
        <f>YEAR(Employee_Data[[#This Row],[HireDate]])</f>
        <v>2021</v>
      </c>
      <c r="G538" s="5">
        <v>44436</v>
      </c>
      <c r="H538">
        <v>5</v>
      </c>
      <c r="I538">
        <v>43</v>
      </c>
      <c r="J538" s="1">
        <v>44550</v>
      </c>
      <c r="K538" s="1">
        <v>534600</v>
      </c>
    </row>
    <row r="539" spans="1:11" x14ac:dyDescent="0.25">
      <c r="A539" s="3">
        <v>538</v>
      </c>
      <c r="B539" s="4" t="s">
        <v>208</v>
      </c>
      <c r="C539" s="4" t="s">
        <v>259</v>
      </c>
      <c r="D539" s="4" t="s">
        <v>826</v>
      </c>
      <c r="E539">
        <f>MONTH(Employee_Data[[#This Row],[HireDate]])</f>
        <v>2</v>
      </c>
      <c r="F539">
        <f>YEAR(Employee_Data[[#This Row],[HireDate]])</f>
        <v>2016</v>
      </c>
      <c r="G539" s="5">
        <v>42428</v>
      </c>
      <c r="H539">
        <v>1</v>
      </c>
      <c r="I539">
        <v>33</v>
      </c>
      <c r="J539" s="1">
        <v>96552</v>
      </c>
      <c r="K539" s="1">
        <v>1158624</v>
      </c>
    </row>
    <row r="540" spans="1:11" x14ac:dyDescent="0.25">
      <c r="A540" s="3">
        <v>539</v>
      </c>
      <c r="B540" s="4" t="s">
        <v>10</v>
      </c>
      <c r="C540" s="4" t="s">
        <v>668</v>
      </c>
      <c r="D540" s="4" t="s">
        <v>828</v>
      </c>
      <c r="E540">
        <f>MONTH(Employee_Data[[#This Row],[HireDate]])</f>
        <v>8</v>
      </c>
      <c r="F540">
        <f>YEAR(Employee_Data[[#This Row],[HireDate]])</f>
        <v>2020</v>
      </c>
      <c r="G540" s="5">
        <v>44044</v>
      </c>
      <c r="H540">
        <v>3</v>
      </c>
      <c r="I540">
        <v>23</v>
      </c>
      <c r="J540" s="1">
        <v>26157</v>
      </c>
      <c r="K540" s="1">
        <v>313884</v>
      </c>
    </row>
    <row r="541" spans="1:11" x14ac:dyDescent="0.25">
      <c r="A541" s="3">
        <v>540</v>
      </c>
      <c r="B541" s="4" t="s">
        <v>280</v>
      </c>
      <c r="C541" s="4" t="s">
        <v>573</v>
      </c>
      <c r="D541" s="4" t="s">
        <v>830</v>
      </c>
      <c r="E541">
        <f>MONTH(Employee_Data[[#This Row],[HireDate]])</f>
        <v>10</v>
      </c>
      <c r="F541">
        <f>YEAR(Employee_Data[[#This Row],[HireDate]])</f>
        <v>2021</v>
      </c>
      <c r="G541" s="5">
        <v>44485</v>
      </c>
      <c r="H541">
        <v>2</v>
      </c>
      <c r="I541">
        <v>9</v>
      </c>
      <c r="J541" s="1">
        <v>101462</v>
      </c>
      <c r="K541" s="1">
        <v>1217544</v>
      </c>
    </row>
    <row r="542" spans="1:11" x14ac:dyDescent="0.25">
      <c r="A542" s="3">
        <v>541</v>
      </c>
      <c r="B542" s="4" t="s">
        <v>90</v>
      </c>
      <c r="C542" s="4" t="s">
        <v>669</v>
      </c>
      <c r="D542" s="4" t="s">
        <v>830</v>
      </c>
      <c r="E542">
        <f>MONTH(Employee_Data[[#This Row],[HireDate]])</f>
        <v>9</v>
      </c>
      <c r="F542">
        <f>YEAR(Employee_Data[[#This Row],[HireDate]])</f>
        <v>2017</v>
      </c>
      <c r="G542" s="5">
        <v>42979</v>
      </c>
      <c r="H542">
        <v>4</v>
      </c>
      <c r="I542">
        <v>39</v>
      </c>
      <c r="J542" s="1">
        <v>68934</v>
      </c>
      <c r="K542" s="1">
        <v>827208</v>
      </c>
    </row>
    <row r="543" spans="1:11" x14ac:dyDescent="0.25">
      <c r="A543" s="3">
        <v>542</v>
      </c>
      <c r="B543" s="4" t="s">
        <v>21</v>
      </c>
      <c r="C543" s="4" t="s">
        <v>670</v>
      </c>
      <c r="D543" s="4" t="s">
        <v>829</v>
      </c>
      <c r="E543">
        <f>MONTH(Employee_Data[[#This Row],[HireDate]])</f>
        <v>6</v>
      </c>
      <c r="F543">
        <f>YEAR(Employee_Data[[#This Row],[HireDate]])</f>
        <v>2019</v>
      </c>
      <c r="G543" s="5">
        <v>43626</v>
      </c>
      <c r="H543">
        <v>1</v>
      </c>
      <c r="I543">
        <v>26</v>
      </c>
      <c r="J543" s="1">
        <v>60932</v>
      </c>
      <c r="K543" s="1">
        <v>731184</v>
      </c>
    </row>
    <row r="544" spans="1:11" x14ac:dyDescent="0.25">
      <c r="A544" s="3">
        <v>543</v>
      </c>
      <c r="B544" s="4" t="s">
        <v>30</v>
      </c>
      <c r="C544" s="4" t="s">
        <v>396</v>
      </c>
      <c r="D544" s="4" t="s">
        <v>830</v>
      </c>
      <c r="E544">
        <f>MONTH(Employee_Data[[#This Row],[HireDate]])</f>
        <v>2</v>
      </c>
      <c r="F544">
        <f>YEAR(Employee_Data[[#This Row],[HireDate]])</f>
        <v>2020</v>
      </c>
      <c r="G544" s="5">
        <v>43869</v>
      </c>
      <c r="H544">
        <v>1</v>
      </c>
      <c r="I544">
        <v>5</v>
      </c>
      <c r="J544" s="1">
        <v>105799</v>
      </c>
      <c r="K544" s="1">
        <v>1269588</v>
      </c>
    </row>
    <row r="545" spans="1:11" x14ac:dyDescent="0.25">
      <c r="A545" s="3">
        <v>544</v>
      </c>
      <c r="B545" s="4" t="s">
        <v>130</v>
      </c>
      <c r="C545" s="4" t="s">
        <v>655</v>
      </c>
      <c r="D545" s="4" t="s">
        <v>827</v>
      </c>
      <c r="E545">
        <f>MONTH(Employee_Data[[#This Row],[HireDate]])</f>
        <v>12</v>
      </c>
      <c r="F545">
        <f>YEAR(Employee_Data[[#This Row],[HireDate]])</f>
        <v>2021</v>
      </c>
      <c r="G545" s="5">
        <v>44541</v>
      </c>
      <c r="H545">
        <v>2</v>
      </c>
      <c r="I545">
        <v>24</v>
      </c>
      <c r="J545" s="1">
        <v>32753</v>
      </c>
      <c r="K545" s="1">
        <v>393036</v>
      </c>
    </row>
    <row r="546" spans="1:11" x14ac:dyDescent="0.25">
      <c r="A546" s="3">
        <v>545</v>
      </c>
      <c r="B546" s="4" t="s">
        <v>258</v>
      </c>
      <c r="C546" s="4" t="s">
        <v>382</v>
      </c>
      <c r="D546" s="4" t="s">
        <v>830</v>
      </c>
      <c r="E546">
        <f>MONTH(Employee_Data[[#This Row],[HireDate]])</f>
        <v>11</v>
      </c>
      <c r="F546">
        <f>YEAR(Employee_Data[[#This Row],[HireDate]])</f>
        <v>2022</v>
      </c>
      <c r="G546" s="5">
        <v>44890</v>
      </c>
      <c r="H546">
        <v>4</v>
      </c>
      <c r="I546">
        <v>40</v>
      </c>
      <c r="J546" s="1">
        <v>43042</v>
      </c>
      <c r="K546" s="1">
        <v>516504</v>
      </c>
    </row>
    <row r="547" spans="1:11" x14ac:dyDescent="0.25">
      <c r="A547" s="3">
        <v>546</v>
      </c>
      <c r="B547" s="4" t="s">
        <v>105</v>
      </c>
      <c r="C547" s="4" t="s">
        <v>671</v>
      </c>
      <c r="D547" s="4" t="s">
        <v>827</v>
      </c>
      <c r="E547">
        <f>MONTH(Employee_Data[[#This Row],[HireDate]])</f>
        <v>8</v>
      </c>
      <c r="F547">
        <f>YEAR(Employee_Data[[#This Row],[HireDate]])</f>
        <v>2024</v>
      </c>
      <c r="G547" s="5">
        <v>45529</v>
      </c>
      <c r="H547">
        <v>4</v>
      </c>
      <c r="I547">
        <v>14</v>
      </c>
      <c r="J547" s="1">
        <v>100280</v>
      </c>
      <c r="K547" s="1">
        <v>1203360</v>
      </c>
    </row>
    <row r="548" spans="1:11" x14ac:dyDescent="0.25">
      <c r="A548" s="3">
        <v>547</v>
      </c>
      <c r="B548" s="4" t="s">
        <v>128</v>
      </c>
      <c r="C548" s="4" t="s">
        <v>430</v>
      </c>
      <c r="D548" s="4" t="s">
        <v>829</v>
      </c>
      <c r="E548">
        <f>MONTH(Employee_Data[[#This Row],[HireDate]])</f>
        <v>4</v>
      </c>
      <c r="F548">
        <f>YEAR(Employee_Data[[#This Row],[HireDate]])</f>
        <v>2017</v>
      </c>
      <c r="G548" s="5">
        <v>42853</v>
      </c>
      <c r="H548">
        <v>4</v>
      </c>
      <c r="I548">
        <v>32</v>
      </c>
      <c r="J548" s="1">
        <v>56582</v>
      </c>
      <c r="K548" s="1">
        <v>678984</v>
      </c>
    </row>
    <row r="549" spans="1:11" x14ac:dyDescent="0.25">
      <c r="A549" s="3">
        <v>548</v>
      </c>
      <c r="B549" s="4" t="s">
        <v>110</v>
      </c>
      <c r="C549" s="4" t="s">
        <v>382</v>
      </c>
      <c r="D549" s="4" t="s">
        <v>828</v>
      </c>
      <c r="E549">
        <f>MONTH(Employee_Data[[#This Row],[HireDate]])</f>
        <v>12</v>
      </c>
      <c r="F549">
        <f>YEAR(Employee_Data[[#This Row],[HireDate]])</f>
        <v>2023</v>
      </c>
      <c r="G549" s="5">
        <v>45278</v>
      </c>
      <c r="H549">
        <v>3</v>
      </c>
      <c r="I549">
        <v>36</v>
      </c>
      <c r="J549" s="1">
        <v>65783</v>
      </c>
      <c r="K549" s="1">
        <v>789396</v>
      </c>
    </row>
    <row r="550" spans="1:11" x14ac:dyDescent="0.25">
      <c r="A550" s="3">
        <v>549</v>
      </c>
      <c r="B550" s="4" t="s">
        <v>281</v>
      </c>
      <c r="C550" s="4" t="s">
        <v>672</v>
      </c>
      <c r="D550" s="4" t="s">
        <v>828</v>
      </c>
      <c r="E550">
        <f>MONTH(Employee_Data[[#This Row],[HireDate]])</f>
        <v>5</v>
      </c>
      <c r="F550">
        <f>YEAR(Employee_Data[[#This Row],[HireDate]])</f>
        <v>2016</v>
      </c>
      <c r="G550" s="5">
        <v>42521</v>
      </c>
      <c r="H550">
        <v>5</v>
      </c>
      <c r="I550">
        <v>36</v>
      </c>
      <c r="J550" s="1">
        <v>48089</v>
      </c>
      <c r="K550" s="1">
        <v>577068</v>
      </c>
    </row>
    <row r="551" spans="1:11" x14ac:dyDescent="0.25">
      <c r="A551" s="3">
        <v>550</v>
      </c>
      <c r="B551" s="4" t="s">
        <v>193</v>
      </c>
      <c r="C551" s="4" t="s">
        <v>456</v>
      </c>
      <c r="D551" s="4" t="s">
        <v>829</v>
      </c>
      <c r="E551">
        <f>MONTH(Employee_Data[[#This Row],[HireDate]])</f>
        <v>4</v>
      </c>
      <c r="F551">
        <f>YEAR(Employee_Data[[#This Row],[HireDate]])</f>
        <v>2023</v>
      </c>
      <c r="G551" s="5">
        <v>45019</v>
      </c>
      <c r="H551">
        <v>3</v>
      </c>
      <c r="I551">
        <v>11</v>
      </c>
      <c r="J551" s="1">
        <v>102472</v>
      </c>
      <c r="K551" s="1">
        <v>1229664</v>
      </c>
    </row>
    <row r="552" spans="1:11" x14ac:dyDescent="0.25">
      <c r="A552" s="3">
        <v>551</v>
      </c>
      <c r="B552" s="4" t="s">
        <v>282</v>
      </c>
      <c r="C552" s="4" t="s">
        <v>673</v>
      </c>
      <c r="D552" s="4" t="s">
        <v>829</v>
      </c>
      <c r="E552">
        <f>MONTH(Employee_Data[[#This Row],[HireDate]])</f>
        <v>1</v>
      </c>
      <c r="F552">
        <f>YEAR(Employee_Data[[#This Row],[HireDate]])</f>
        <v>2019</v>
      </c>
      <c r="G552" s="5">
        <v>43496</v>
      </c>
      <c r="H552">
        <v>1</v>
      </c>
      <c r="I552">
        <v>43</v>
      </c>
      <c r="J552" s="1">
        <v>38215</v>
      </c>
      <c r="K552" s="1">
        <v>458580</v>
      </c>
    </row>
    <row r="553" spans="1:11" x14ac:dyDescent="0.25">
      <c r="A553" s="3">
        <v>552</v>
      </c>
      <c r="B553" s="4" t="s">
        <v>283</v>
      </c>
      <c r="C553" s="4" t="s">
        <v>399</v>
      </c>
      <c r="D553" s="4" t="s">
        <v>830</v>
      </c>
      <c r="E553">
        <f>MONTH(Employee_Data[[#This Row],[HireDate]])</f>
        <v>12</v>
      </c>
      <c r="F553">
        <f>YEAR(Employee_Data[[#This Row],[HireDate]])</f>
        <v>2016</v>
      </c>
      <c r="G553" s="5">
        <v>42731</v>
      </c>
      <c r="H553">
        <v>4</v>
      </c>
      <c r="I553">
        <v>5</v>
      </c>
      <c r="J553" s="1">
        <v>41370</v>
      </c>
      <c r="K553" s="1">
        <v>496440</v>
      </c>
    </row>
    <row r="554" spans="1:11" x14ac:dyDescent="0.25">
      <c r="A554" s="3">
        <v>553</v>
      </c>
      <c r="B554" s="4" t="s">
        <v>54</v>
      </c>
      <c r="C554" s="4" t="s">
        <v>608</v>
      </c>
      <c r="D554" s="4" t="s">
        <v>830</v>
      </c>
      <c r="E554">
        <f>MONTH(Employee_Data[[#This Row],[HireDate]])</f>
        <v>7</v>
      </c>
      <c r="F554">
        <f>YEAR(Employee_Data[[#This Row],[HireDate]])</f>
        <v>2017</v>
      </c>
      <c r="G554" s="5">
        <v>42918</v>
      </c>
      <c r="H554">
        <v>1</v>
      </c>
      <c r="I554">
        <v>18</v>
      </c>
      <c r="J554" s="1">
        <v>41205</v>
      </c>
      <c r="K554" s="1">
        <v>494460</v>
      </c>
    </row>
    <row r="555" spans="1:11" x14ac:dyDescent="0.25">
      <c r="A555" s="3">
        <v>554</v>
      </c>
      <c r="B555" s="4" t="s">
        <v>126</v>
      </c>
      <c r="C555" s="4" t="s">
        <v>226</v>
      </c>
      <c r="D555" s="4" t="s">
        <v>828</v>
      </c>
      <c r="E555">
        <f>MONTH(Employee_Data[[#This Row],[HireDate]])</f>
        <v>5</v>
      </c>
      <c r="F555">
        <f>YEAR(Employee_Data[[#This Row],[HireDate]])</f>
        <v>2019</v>
      </c>
      <c r="G555" s="5">
        <v>43596</v>
      </c>
      <c r="H555">
        <v>1</v>
      </c>
      <c r="I555">
        <v>36</v>
      </c>
      <c r="J555" s="1">
        <v>72232</v>
      </c>
      <c r="K555" s="1">
        <v>866784</v>
      </c>
    </row>
    <row r="556" spans="1:11" x14ac:dyDescent="0.25">
      <c r="A556" s="3">
        <v>555</v>
      </c>
      <c r="B556" s="4" t="s">
        <v>284</v>
      </c>
      <c r="C556" s="4" t="s">
        <v>674</v>
      </c>
      <c r="D556" s="4" t="s">
        <v>826</v>
      </c>
      <c r="E556">
        <f>MONTH(Employee_Data[[#This Row],[HireDate]])</f>
        <v>9</v>
      </c>
      <c r="F556">
        <f>YEAR(Employee_Data[[#This Row],[HireDate]])</f>
        <v>2018</v>
      </c>
      <c r="G556" s="5">
        <v>43360</v>
      </c>
      <c r="H556">
        <v>1</v>
      </c>
      <c r="I556">
        <v>40</v>
      </c>
      <c r="J556" s="1">
        <v>67561</v>
      </c>
      <c r="K556" s="1">
        <v>810732</v>
      </c>
    </row>
    <row r="557" spans="1:11" x14ac:dyDescent="0.25">
      <c r="A557" s="3">
        <v>556</v>
      </c>
      <c r="B557" s="4" t="s">
        <v>200</v>
      </c>
      <c r="C557" s="4" t="s">
        <v>54</v>
      </c>
      <c r="D557" s="4" t="s">
        <v>830</v>
      </c>
      <c r="E557">
        <f>MONTH(Employee_Data[[#This Row],[HireDate]])</f>
        <v>2</v>
      </c>
      <c r="F557">
        <f>YEAR(Employee_Data[[#This Row],[HireDate]])</f>
        <v>2022</v>
      </c>
      <c r="G557" s="5">
        <v>44620</v>
      </c>
      <c r="H557">
        <v>4</v>
      </c>
      <c r="I557">
        <v>36</v>
      </c>
      <c r="J557" s="1">
        <v>118687</v>
      </c>
      <c r="K557" s="1">
        <v>1424244</v>
      </c>
    </row>
    <row r="558" spans="1:11" x14ac:dyDescent="0.25">
      <c r="A558" s="3">
        <v>557</v>
      </c>
      <c r="B558" s="4" t="s">
        <v>135</v>
      </c>
      <c r="C558" s="4" t="s">
        <v>435</v>
      </c>
      <c r="D558" s="4" t="s">
        <v>830</v>
      </c>
      <c r="E558">
        <f>MONTH(Employee_Data[[#This Row],[HireDate]])</f>
        <v>12</v>
      </c>
      <c r="F558">
        <f>YEAR(Employee_Data[[#This Row],[HireDate]])</f>
        <v>2022</v>
      </c>
      <c r="G558" s="5">
        <v>44926</v>
      </c>
      <c r="H558">
        <v>1</v>
      </c>
      <c r="I558">
        <v>22</v>
      </c>
      <c r="J558" s="1">
        <v>113688</v>
      </c>
      <c r="K558" s="1">
        <v>1364256</v>
      </c>
    </row>
    <row r="559" spans="1:11" x14ac:dyDescent="0.25">
      <c r="A559" s="3">
        <v>558</v>
      </c>
      <c r="B559" s="4" t="s">
        <v>91</v>
      </c>
      <c r="C559" s="4" t="s">
        <v>382</v>
      </c>
      <c r="D559" s="4" t="s">
        <v>826</v>
      </c>
      <c r="E559">
        <f>MONTH(Employee_Data[[#This Row],[HireDate]])</f>
        <v>5</v>
      </c>
      <c r="F559">
        <f>YEAR(Employee_Data[[#This Row],[HireDate]])</f>
        <v>2023</v>
      </c>
      <c r="G559" s="5">
        <v>45053</v>
      </c>
      <c r="H559">
        <v>3</v>
      </c>
      <c r="I559">
        <v>44</v>
      </c>
      <c r="J559" s="1">
        <v>109080</v>
      </c>
      <c r="K559" s="1">
        <v>1308960</v>
      </c>
    </row>
    <row r="560" spans="1:11" x14ac:dyDescent="0.25">
      <c r="A560" s="3">
        <v>559</v>
      </c>
      <c r="B560" s="4" t="s">
        <v>186</v>
      </c>
      <c r="C560" s="4" t="s">
        <v>635</v>
      </c>
      <c r="D560" s="4" t="s">
        <v>829</v>
      </c>
      <c r="E560">
        <f>MONTH(Employee_Data[[#This Row],[HireDate]])</f>
        <v>4</v>
      </c>
      <c r="F560">
        <f>YEAR(Employee_Data[[#This Row],[HireDate]])</f>
        <v>2020</v>
      </c>
      <c r="G560" s="5">
        <v>43950</v>
      </c>
      <c r="H560">
        <v>5</v>
      </c>
      <c r="I560">
        <v>23</v>
      </c>
      <c r="J560" s="1">
        <v>117583</v>
      </c>
      <c r="K560" s="1">
        <v>1410996</v>
      </c>
    </row>
    <row r="561" spans="1:11" x14ac:dyDescent="0.25">
      <c r="A561" s="3">
        <v>560</v>
      </c>
      <c r="B561" s="4" t="s">
        <v>40</v>
      </c>
      <c r="C561" s="4" t="s">
        <v>675</v>
      </c>
      <c r="D561" s="4" t="s">
        <v>829</v>
      </c>
      <c r="E561">
        <f>MONTH(Employee_Data[[#This Row],[HireDate]])</f>
        <v>9</v>
      </c>
      <c r="F561">
        <f>YEAR(Employee_Data[[#This Row],[HireDate]])</f>
        <v>2024</v>
      </c>
      <c r="G561" s="5">
        <v>45541</v>
      </c>
      <c r="H561">
        <v>3</v>
      </c>
      <c r="I561">
        <v>41</v>
      </c>
      <c r="J561" s="1">
        <v>84851</v>
      </c>
      <c r="K561" s="1">
        <v>1018212</v>
      </c>
    </row>
    <row r="562" spans="1:11" x14ac:dyDescent="0.25">
      <c r="A562" s="3">
        <v>561</v>
      </c>
      <c r="B562" s="4" t="s">
        <v>133</v>
      </c>
      <c r="C562" s="4" t="s">
        <v>676</v>
      </c>
      <c r="D562" s="4" t="s">
        <v>828</v>
      </c>
      <c r="E562">
        <f>MONTH(Employee_Data[[#This Row],[HireDate]])</f>
        <v>6</v>
      </c>
      <c r="F562">
        <f>YEAR(Employee_Data[[#This Row],[HireDate]])</f>
        <v>2022</v>
      </c>
      <c r="G562" s="5">
        <v>44731</v>
      </c>
      <c r="H562">
        <v>1</v>
      </c>
      <c r="I562">
        <v>23</v>
      </c>
      <c r="J562" s="1">
        <v>56355</v>
      </c>
      <c r="K562" s="1">
        <v>676260</v>
      </c>
    </row>
    <row r="563" spans="1:11" x14ac:dyDescent="0.25">
      <c r="A563" s="3">
        <v>562</v>
      </c>
      <c r="B563" s="4" t="s">
        <v>92</v>
      </c>
      <c r="C563" s="4" t="s">
        <v>434</v>
      </c>
      <c r="D563" s="4" t="s">
        <v>828</v>
      </c>
      <c r="E563">
        <f>MONTH(Employee_Data[[#This Row],[HireDate]])</f>
        <v>8</v>
      </c>
      <c r="F563">
        <f>YEAR(Employee_Data[[#This Row],[HireDate]])</f>
        <v>2016</v>
      </c>
      <c r="G563" s="5">
        <v>42591</v>
      </c>
      <c r="H563">
        <v>2</v>
      </c>
      <c r="I563">
        <v>8</v>
      </c>
      <c r="J563" s="1">
        <v>62388</v>
      </c>
      <c r="K563" s="1">
        <v>748656</v>
      </c>
    </row>
    <row r="564" spans="1:11" x14ac:dyDescent="0.25">
      <c r="A564" s="3">
        <v>563</v>
      </c>
      <c r="B564" s="4" t="s">
        <v>14</v>
      </c>
      <c r="C564" s="4" t="s">
        <v>574</v>
      </c>
      <c r="D564" s="4" t="s">
        <v>826</v>
      </c>
      <c r="E564">
        <f>MONTH(Employee_Data[[#This Row],[HireDate]])</f>
        <v>7</v>
      </c>
      <c r="F564">
        <f>YEAR(Employee_Data[[#This Row],[HireDate]])</f>
        <v>2017</v>
      </c>
      <c r="G564" s="5">
        <v>42936</v>
      </c>
      <c r="H564">
        <v>1</v>
      </c>
      <c r="I564">
        <v>39</v>
      </c>
      <c r="J564" s="1">
        <v>64471</v>
      </c>
      <c r="K564" s="1">
        <v>773652</v>
      </c>
    </row>
    <row r="565" spans="1:11" x14ac:dyDescent="0.25">
      <c r="A565" s="3">
        <v>564</v>
      </c>
      <c r="B565" s="4" t="s">
        <v>18</v>
      </c>
      <c r="C565" s="4" t="s">
        <v>537</v>
      </c>
      <c r="D565" s="4" t="s">
        <v>826</v>
      </c>
      <c r="E565">
        <f>MONTH(Employee_Data[[#This Row],[HireDate]])</f>
        <v>10</v>
      </c>
      <c r="F565">
        <f>YEAR(Employee_Data[[#This Row],[HireDate]])</f>
        <v>2021</v>
      </c>
      <c r="G565" s="5">
        <v>44474</v>
      </c>
      <c r="H565">
        <v>1</v>
      </c>
      <c r="I565">
        <v>47</v>
      </c>
      <c r="J565" s="1">
        <v>88877</v>
      </c>
      <c r="K565" s="1">
        <v>1066524</v>
      </c>
    </row>
    <row r="566" spans="1:11" x14ac:dyDescent="0.25">
      <c r="A566" s="3">
        <v>565</v>
      </c>
      <c r="B566" s="4" t="s">
        <v>172</v>
      </c>
      <c r="C566" s="4" t="s">
        <v>677</v>
      </c>
      <c r="D566" s="4" t="s">
        <v>828</v>
      </c>
      <c r="E566">
        <f>MONTH(Employee_Data[[#This Row],[HireDate]])</f>
        <v>6</v>
      </c>
      <c r="F566">
        <f>YEAR(Employee_Data[[#This Row],[HireDate]])</f>
        <v>2023</v>
      </c>
      <c r="G566" s="5">
        <v>45084</v>
      </c>
      <c r="H566">
        <v>5</v>
      </c>
      <c r="I566">
        <v>2</v>
      </c>
      <c r="J566" s="1">
        <v>107131</v>
      </c>
      <c r="K566" s="1">
        <v>1285572</v>
      </c>
    </row>
    <row r="567" spans="1:11" x14ac:dyDescent="0.25">
      <c r="A567" s="3">
        <v>566</v>
      </c>
      <c r="B567" s="4" t="s">
        <v>85</v>
      </c>
      <c r="C567" s="4" t="s">
        <v>537</v>
      </c>
      <c r="D567" s="4" t="s">
        <v>830</v>
      </c>
      <c r="E567">
        <f>MONTH(Employee_Data[[#This Row],[HireDate]])</f>
        <v>3</v>
      </c>
      <c r="F567">
        <f>YEAR(Employee_Data[[#This Row],[HireDate]])</f>
        <v>2021</v>
      </c>
      <c r="G567" s="5">
        <v>44261</v>
      </c>
      <c r="H567">
        <v>3</v>
      </c>
      <c r="I567">
        <v>25</v>
      </c>
      <c r="J567" s="1">
        <v>111667</v>
      </c>
      <c r="K567" s="1">
        <v>1340004</v>
      </c>
    </row>
    <row r="568" spans="1:11" x14ac:dyDescent="0.25">
      <c r="A568" s="3">
        <v>567</v>
      </c>
      <c r="B568" s="4" t="s">
        <v>285</v>
      </c>
      <c r="C568" s="4" t="s">
        <v>396</v>
      </c>
      <c r="D568" s="4" t="s">
        <v>830</v>
      </c>
      <c r="E568">
        <f>MONTH(Employee_Data[[#This Row],[HireDate]])</f>
        <v>9</v>
      </c>
      <c r="F568">
        <f>YEAR(Employee_Data[[#This Row],[HireDate]])</f>
        <v>2022</v>
      </c>
      <c r="G568" s="5">
        <v>44807</v>
      </c>
      <c r="H568">
        <v>3</v>
      </c>
      <c r="I568">
        <v>41</v>
      </c>
      <c r="J568" s="1">
        <v>81692</v>
      </c>
      <c r="K568" s="1">
        <v>980304</v>
      </c>
    </row>
    <row r="569" spans="1:11" x14ac:dyDescent="0.25">
      <c r="A569" s="3">
        <v>568</v>
      </c>
      <c r="B569" s="4" t="s">
        <v>16</v>
      </c>
      <c r="C569" s="4" t="s">
        <v>678</v>
      </c>
      <c r="D569" s="4" t="s">
        <v>828</v>
      </c>
      <c r="E569">
        <f>MONTH(Employee_Data[[#This Row],[HireDate]])</f>
        <v>8</v>
      </c>
      <c r="F569">
        <f>YEAR(Employee_Data[[#This Row],[HireDate]])</f>
        <v>2020</v>
      </c>
      <c r="G569" s="5">
        <v>44068</v>
      </c>
      <c r="H569">
        <v>2</v>
      </c>
      <c r="I569">
        <v>12</v>
      </c>
      <c r="J569" s="1">
        <v>36311</v>
      </c>
      <c r="K569" s="1">
        <v>435732</v>
      </c>
    </row>
    <row r="570" spans="1:11" x14ac:dyDescent="0.25">
      <c r="A570" s="3">
        <v>569</v>
      </c>
      <c r="B570" s="4" t="s">
        <v>37</v>
      </c>
      <c r="C570" s="4" t="s">
        <v>679</v>
      </c>
      <c r="D570" s="4" t="s">
        <v>828</v>
      </c>
      <c r="E570">
        <f>MONTH(Employee_Data[[#This Row],[HireDate]])</f>
        <v>9</v>
      </c>
      <c r="F570">
        <f>YEAR(Employee_Data[[#This Row],[HireDate]])</f>
        <v>2023</v>
      </c>
      <c r="G570" s="5">
        <v>45173</v>
      </c>
      <c r="H570">
        <v>1</v>
      </c>
      <c r="I570">
        <v>3</v>
      </c>
      <c r="J570" s="1">
        <v>112734</v>
      </c>
      <c r="K570" s="1">
        <v>1352808</v>
      </c>
    </row>
    <row r="571" spans="1:11" x14ac:dyDescent="0.25">
      <c r="A571" s="3">
        <v>570</v>
      </c>
      <c r="B571" s="4" t="s">
        <v>102</v>
      </c>
      <c r="C571" s="4" t="s">
        <v>680</v>
      </c>
      <c r="D571" s="4" t="s">
        <v>828</v>
      </c>
      <c r="E571">
        <f>MONTH(Employee_Data[[#This Row],[HireDate]])</f>
        <v>5</v>
      </c>
      <c r="F571">
        <f>YEAR(Employee_Data[[#This Row],[HireDate]])</f>
        <v>2020</v>
      </c>
      <c r="G571" s="5">
        <v>43970</v>
      </c>
      <c r="H571">
        <v>1</v>
      </c>
      <c r="I571">
        <v>9</v>
      </c>
      <c r="J571" s="1">
        <v>36380</v>
      </c>
      <c r="K571" s="1">
        <v>436560</v>
      </c>
    </row>
    <row r="572" spans="1:11" x14ac:dyDescent="0.25">
      <c r="A572" s="3">
        <v>571</v>
      </c>
      <c r="B572" s="4" t="s">
        <v>72</v>
      </c>
      <c r="C572" s="4" t="s">
        <v>440</v>
      </c>
      <c r="D572" s="4" t="s">
        <v>830</v>
      </c>
      <c r="E572">
        <f>MONTH(Employee_Data[[#This Row],[HireDate]])</f>
        <v>7</v>
      </c>
      <c r="F572">
        <f>YEAR(Employee_Data[[#This Row],[HireDate]])</f>
        <v>2019</v>
      </c>
      <c r="G572" s="5">
        <v>43648</v>
      </c>
      <c r="H572">
        <v>2</v>
      </c>
      <c r="I572">
        <v>39</v>
      </c>
      <c r="J572" s="1">
        <v>77586</v>
      </c>
      <c r="K572" s="1">
        <v>931032</v>
      </c>
    </row>
    <row r="573" spans="1:11" x14ac:dyDescent="0.25">
      <c r="A573" s="3">
        <v>572</v>
      </c>
      <c r="B573" s="4" t="s">
        <v>108</v>
      </c>
      <c r="C573" s="4" t="s">
        <v>366</v>
      </c>
      <c r="D573" s="4" t="s">
        <v>828</v>
      </c>
      <c r="E573">
        <f>MONTH(Employee_Data[[#This Row],[HireDate]])</f>
        <v>7</v>
      </c>
      <c r="F573">
        <f>YEAR(Employee_Data[[#This Row],[HireDate]])</f>
        <v>2022</v>
      </c>
      <c r="G573" s="5">
        <v>44746</v>
      </c>
      <c r="H573">
        <v>5</v>
      </c>
      <c r="I573">
        <v>12</v>
      </c>
      <c r="J573" s="1">
        <v>111150</v>
      </c>
      <c r="K573" s="1">
        <v>1333800</v>
      </c>
    </row>
    <row r="574" spans="1:11" x14ac:dyDescent="0.25">
      <c r="A574" s="3">
        <v>573</v>
      </c>
      <c r="B574" s="4" t="s">
        <v>27</v>
      </c>
      <c r="C574" s="4" t="s">
        <v>681</v>
      </c>
      <c r="D574" s="4" t="s">
        <v>830</v>
      </c>
      <c r="E574">
        <f>MONTH(Employee_Data[[#This Row],[HireDate]])</f>
        <v>9</v>
      </c>
      <c r="F574">
        <f>YEAR(Employee_Data[[#This Row],[HireDate]])</f>
        <v>2021</v>
      </c>
      <c r="G574" s="5">
        <v>44441</v>
      </c>
      <c r="H574">
        <v>4</v>
      </c>
      <c r="I574">
        <v>39</v>
      </c>
      <c r="J574" s="1">
        <v>70137</v>
      </c>
      <c r="K574" s="1">
        <v>841644</v>
      </c>
    </row>
    <row r="575" spans="1:11" x14ac:dyDescent="0.25">
      <c r="A575" s="3">
        <v>574</v>
      </c>
      <c r="B575" s="4" t="s">
        <v>286</v>
      </c>
      <c r="C575" s="4" t="s">
        <v>496</v>
      </c>
      <c r="D575" s="4" t="s">
        <v>826</v>
      </c>
      <c r="E575">
        <f>MONTH(Employee_Data[[#This Row],[HireDate]])</f>
        <v>7</v>
      </c>
      <c r="F575">
        <f>YEAR(Employee_Data[[#This Row],[HireDate]])</f>
        <v>2024</v>
      </c>
      <c r="G575" s="5">
        <v>45483</v>
      </c>
      <c r="H575">
        <v>1</v>
      </c>
      <c r="I575">
        <v>7</v>
      </c>
      <c r="J575" s="1">
        <v>72655</v>
      </c>
      <c r="K575" s="1">
        <v>871860</v>
      </c>
    </row>
    <row r="576" spans="1:11" x14ac:dyDescent="0.25">
      <c r="A576" s="3">
        <v>575</v>
      </c>
      <c r="B576" s="4" t="s">
        <v>90</v>
      </c>
      <c r="C576" s="4" t="s">
        <v>682</v>
      </c>
      <c r="D576" s="4" t="s">
        <v>827</v>
      </c>
      <c r="E576">
        <f>MONTH(Employee_Data[[#This Row],[HireDate]])</f>
        <v>12</v>
      </c>
      <c r="F576">
        <f>YEAR(Employee_Data[[#This Row],[HireDate]])</f>
        <v>2021</v>
      </c>
      <c r="G576" s="5">
        <v>44560</v>
      </c>
      <c r="H576">
        <v>1</v>
      </c>
      <c r="I576">
        <v>6</v>
      </c>
      <c r="J576" s="1">
        <v>44716</v>
      </c>
      <c r="K576" s="1">
        <v>536592</v>
      </c>
    </row>
    <row r="577" spans="1:11" x14ac:dyDescent="0.25">
      <c r="A577" s="3">
        <v>576</v>
      </c>
      <c r="B577" s="4" t="s">
        <v>227</v>
      </c>
      <c r="C577" s="4" t="s">
        <v>683</v>
      </c>
      <c r="D577" s="4" t="s">
        <v>826</v>
      </c>
      <c r="E577">
        <f>MONTH(Employee_Data[[#This Row],[HireDate]])</f>
        <v>7</v>
      </c>
      <c r="F577">
        <f>YEAR(Employee_Data[[#This Row],[HireDate]])</f>
        <v>2024</v>
      </c>
      <c r="G577" s="5">
        <v>45482</v>
      </c>
      <c r="H577">
        <v>3</v>
      </c>
      <c r="I577">
        <v>21</v>
      </c>
      <c r="J577" s="1">
        <v>87647</v>
      </c>
      <c r="K577" s="1">
        <v>1051764</v>
      </c>
    </row>
    <row r="578" spans="1:11" x14ac:dyDescent="0.25">
      <c r="A578" s="3">
        <v>577</v>
      </c>
      <c r="B578" s="4" t="s">
        <v>190</v>
      </c>
      <c r="C578" s="4" t="s">
        <v>590</v>
      </c>
      <c r="D578" s="4" t="s">
        <v>828</v>
      </c>
      <c r="E578">
        <f>MONTH(Employee_Data[[#This Row],[HireDate]])</f>
        <v>2</v>
      </c>
      <c r="F578">
        <f>YEAR(Employee_Data[[#This Row],[HireDate]])</f>
        <v>2023</v>
      </c>
      <c r="G578" s="5">
        <v>44961</v>
      </c>
      <c r="H578">
        <v>2</v>
      </c>
      <c r="I578">
        <v>6</v>
      </c>
      <c r="J578" s="1">
        <v>102929</v>
      </c>
      <c r="K578" s="1">
        <v>1235148</v>
      </c>
    </row>
    <row r="579" spans="1:11" x14ac:dyDescent="0.25">
      <c r="A579" s="3">
        <v>578</v>
      </c>
      <c r="B579" s="4" t="s">
        <v>96</v>
      </c>
      <c r="C579" s="4" t="s">
        <v>623</v>
      </c>
      <c r="D579" s="4" t="s">
        <v>829</v>
      </c>
      <c r="E579">
        <f>MONTH(Employee_Data[[#This Row],[HireDate]])</f>
        <v>5</v>
      </c>
      <c r="F579">
        <f>YEAR(Employee_Data[[#This Row],[HireDate]])</f>
        <v>2019</v>
      </c>
      <c r="G579" s="5">
        <v>43616</v>
      </c>
      <c r="H579">
        <v>1</v>
      </c>
      <c r="I579">
        <v>18</v>
      </c>
      <c r="J579" s="1">
        <v>66599</v>
      </c>
      <c r="K579" s="1">
        <v>799188</v>
      </c>
    </row>
    <row r="580" spans="1:11" x14ac:dyDescent="0.25">
      <c r="A580" s="3">
        <v>579</v>
      </c>
      <c r="B580" s="4" t="s">
        <v>119</v>
      </c>
      <c r="C580" s="4" t="s">
        <v>684</v>
      </c>
      <c r="D580" s="4" t="s">
        <v>829</v>
      </c>
      <c r="E580">
        <f>MONTH(Employee_Data[[#This Row],[HireDate]])</f>
        <v>2</v>
      </c>
      <c r="F580">
        <f>YEAR(Employee_Data[[#This Row],[HireDate]])</f>
        <v>2022</v>
      </c>
      <c r="G580" s="5">
        <v>44616</v>
      </c>
      <c r="H580">
        <v>3</v>
      </c>
      <c r="I580">
        <v>7</v>
      </c>
      <c r="J580" s="1">
        <v>109375</v>
      </c>
      <c r="K580" s="1">
        <v>1312500</v>
      </c>
    </row>
    <row r="581" spans="1:11" x14ac:dyDescent="0.25">
      <c r="A581" s="3">
        <v>580</v>
      </c>
      <c r="B581" s="4" t="s">
        <v>83</v>
      </c>
      <c r="C581" s="4" t="s">
        <v>682</v>
      </c>
      <c r="D581" s="4" t="s">
        <v>829</v>
      </c>
      <c r="E581">
        <f>MONTH(Employee_Data[[#This Row],[HireDate]])</f>
        <v>12</v>
      </c>
      <c r="F581">
        <f>YEAR(Employee_Data[[#This Row],[HireDate]])</f>
        <v>2015</v>
      </c>
      <c r="G581" s="5">
        <v>42339</v>
      </c>
      <c r="H581">
        <v>3</v>
      </c>
      <c r="I581">
        <v>17</v>
      </c>
      <c r="J581" s="1">
        <v>26846</v>
      </c>
      <c r="K581" s="1">
        <v>322152</v>
      </c>
    </row>
    <row r="582" spans="1:11" x14ac:dyDescent="0.25">
      <c r="A582" s="3">
        <v>581</v>
      </c>
      <c r="B582" s="4" t="s">
        <v>287</v>
      </c>
      <c r="C582" s="4" t="s">
        <v>107</v>
      </c>
      <c r="D582" s="4" t="s">
        <v>826</v>
      </c>
      <c r="E582">
        <f>MONTH(Employee_Data[[#This Row],[HireDate]])</f>
        <v>6</v>
      </c>
      <c r="F582">
        <f>YEAR(Employee_Data[[#This Row],[HireDate]])</f>
        <v>2021</v>
      </c>
      <c r="G582" s="5">
        <v>44364</v>
      </c>
      <c r="H582">
        <v>3</v>
      </c>
      <c r="I582">
        <v>44</v>
      </c>
      <c r="J582" s="1">
        <v>91014</v>
      </c>
      <c r="K582" s="1">
        <v>1092168</v>
      </c>
    </row>
    <row r="583" spans="1:11" x14ac:dyDescent="0.25">
      <c r="A583" s="3">
        <v>582</v>
      </c>
      <c r="B583" s="4" t="s">
        <v>184</v>
      </c>
      <c r="C583" s="4" t="s">
        <v>685</v>
      </c>
      <c r="D583" s="4" t="s">
        <v>827</v>
      </c>
      <c r="E583">
        <f>MONTH(Employee_Data[[#This Row],[HireDate]])</f>
        <v>2</v>
      </c>
      <c r="F583">
        <f>YEAR(Employee_Data[[#This Row],[HireDate]])</f>
        <v>2018</v>
      </c>
      <c r="G583" s="5">
        <v>43148</v>
      </c>
      <c r="H583">
        <v>2</v>
      </c>
      <c r="I583">
        <v>15</v>
      </c>
      <c r="J583" s="1">
        <v>28791</v>
      </c>
      <c r="K583" s="1">
        <v>345492</v>
      </c>
    </row>
    <row r="584" spans="1:11" x14ac:dyDescent="0.25">
      <c r="A584" s="3">
        <v>583</v>
      </c>
      <c r="B584" s="4" t="s">
        <v>111</v>
      </c>
      <c r="C584" s="4" t="s">
        <v>686</v>
      </c>
      <c r="D584" s="4" t="s">
        <v>829</v>
      </c>
      <c r="E584">
        <f>MONTH(Employee_Data[[#This Row],[HireDate]])</f>
        <v>9</v>
      </c>
      <c r="F584">
        <f>YEAR(Employee_Data[[#This Row],[HireDate]])</f>
        <v>2020</v>
      </c>
      <c r="G584" s="5">
        <v>44087</v>
      </c>
      <c r="H584">
        <v>2</v>
      </c>
      <c r="I584">
        <v>14</v>
      </c>
      <c r="J584" s="1">
        <v>48520</v>
      </c>
      <c r="K584" s="1">
        <v>582240</v>
      </c>
    </row>
    <row r="585" spans="1:11" x14ac:dyDescent="0.25">
      <c r="A585" s="3">
        <v>584</v>
      </c>
      <c r="B585" s="4" t="s">
        <v>61</v>
      </c>
      <c r="C585" s="4" t="s">
        <v>687</v>
      </c>
      <c r="D585" s="4" t="s">
        <v>830</v>
      </c>
      <c r="E585">
        <f>MONTH(Employee_Data[[#This Row],[HireDate]])</f>
        <v>5</v>
      </c>
      <c r="F585">
        <f>YEAR(Employee_Data[[#This Row],[HireDate]])</f>
        <v>2018</v>
      </c>
      <c r="G585" s="5">
        <v>43242</v>
      </c>
      <c r="H585">
        <v>2</v>
      </c>
      <c r="I585">
        <v>18</v>
      </c>
      <c r="J585" s="1">
        <v>65521</v>
      </c>
      <c r="K585" s="1">
        <v>786252</v>
      </c>
    </row>
    <row r="586" spans="1:11" x14ac:dyDescent="0.25">
      <c r="A586" s="3">
        <v>585</v>
      </c>
      <c r="B586" s="4" t="s">
        <v>96</v>
      </c>
      <c r="C586" s="4" t="s">
        <v>537</v>
      </c>
      <c r="D586" s="4" t="s">
        <v>830</v>
      </c>
      <c r="E586">
        <f>MONTH(Employee_Data[[#This Row],[HireDate]])</f>
        <v>1</v>
      </c>
      <c r="F586">
        <f>YEAR(Employee_Data[[#This Row],[HireDate]])</f>
        <v>2023</v>
      </c>
      <c r="G586" s="5">
        <v>44929</v>
      </c>
      <c r="H586">
        <v>5</v>
      </c>
      <c r="I586">
        <v>9</v>
      </c>
      <c r="J586" s="1">
        <v>40379</v>
      </c>
      <c r="K586" s="1">
        <v>484548</v>
      </c>
    </row>
    <row r="587" spans="1:11" x14ac:dyDescent="0.25">
      <c r="A587" s="3">
        <v>586</v>
      </c>
      <c r="B587" s="4" t="s">
        <v>133</v>
      </c>
      <c r="C587" s="4" t="s">
        <v>447</v>
      </c>
      <c r="D587" s="4" t="s">
        <v>829</v>
      </c>
      <c r="E587">
        <f>MONTH(Employee_Data[[#This Row],[HireDate]])</f>
        <v>10</v>
      </c>
      <c r="F587">
        <f>YEAR(Employee_Data[[#This Row],[HireDate]])</f>
        <v>2021</v>
      </c>
      <c r="G587" s="5">
        <v>44478</v>
      </c>
      <c r="H587">
        <v>5</v>
      </c>
      <c r="I587">
        <v>4</v>
      </c>
      <c r="J587" s="1">
        <v>93225</v>
      </c>
      <c r="K587" s="1">
        <v>1118700</v>
      </c>
    </row>
    <row r="588" spans="1:11" x14ac:dyDescent="0.25">
      <c r="A588" s="3">
        <v>587</v>
      </c>
      <c r="B588" s="4" t="s">
        <v>288</v>
      </c>
      <c r="C588" s="4" t="s">
        <v>688</v>
      </c>
      <c r="D588" s="4" t="s">
        <v>828</v>
      </c>
      <c r="E588">
        <f>MONTH(Employee_Data[[#This Row],[HireDate]])</f>
        <v>1</v>
      </c>
      <c r="F588">
        <f>YEAR(Employee_Data[[#This Row],[HireDate]])</f>
        <v>2021</v>
      </c>
      <c r="G588" s="5">
        <v>44209</v>
      </c>
      <c r="H588">
        <v>3</v>
      </c>
      <c r="I588">
        <v>22</v>
      </c>
      <c r="J588" s="1">
        <v>86891</v>
      </c>
      <c r="K588" s="1">
        <v>1042692</v>
      </c>
    </row>
    <row r="589" spans="1:11" x14ac:dyDescent="0.25">
      <c r="A589" s="3">
        <v>588</v>
      </c>
      <c r="B589" s="4" t="s">
        <v>289</v>
      </c>
      <c r="C589" s="4" t="s">
        <v>686</v>
      </c>
      <c r="D589" s="4" t="s">
        <v>828</v>
      </c>
      <c r="E589">
        <f>MONTH(Employee_Data[[#This Row],[HireDate]])</f>
        <v>1</v>
      </c>
      <c r="F589">
        <f>YEAR(Employee_Data[[#This Row],[HireDate]])</f>
        <v>2023</v>
      </c>
      <c r="G589" s="5">
        <v>44947</v>
      </c>
      <c r="H589">
        <v>2</v>
      </c>
      <c r="I589">
        <v>1</v>
      </c>
      <c r="J589" s="1">
        <v>71961</v>
      </c>
      <c r="K589" s="1">
        <v>863532</v>
      </c>
    </row>
    <row r="590" spans="1:11" x14ac:dyDescent="0.25">
      <c r="A590" s="3">
        <v>589</v>
      </c>
      <c r="B590" s="4" t="s">
        <v>149</v>
      </c>
      <c r="C590" s="4" t="s">
        <v>417</v>
      </c>
      <c r="D590" s="4" t="s">
        <v>830</v>
      </c>
      <c r="E590">
        <f>MONTH(Employee_Data[[#This Row],[HireDate]])</f>
        <v>5</v>
      </c>
      <c r="F590">
        <f>YEAR(Employee_Data[[#This Row],[HireDate]])</f>
        <v>2021</v>
      </c>
      <c r="G590" s="5">
        <v>44346</v>
      </c>
      <c r="H590">
        <v>1</v>
      </c>
      <c r="I590">
        <v>15</v>
      </c>
      <c r="J590" s="1">
        <v>93190</v>
      </c>
      <c r="K590" s="1">
        <v>1118280</v>
      </c>
    </row>
    <row r="591" spans="1:11" x14ac:dyDescent="0.25">
      <c r="A591" s="3">
        <v>590</v>
      </c>
      <c r="B591" s="4" t="s">
        <v>290</v>
      </c>
      <c r="C591" s="4" t="s">
        <v>689</v>
      </c>
      <c r="D591" s="4" t="s">
        <v>828</v>
      </c>
      <c r="E591">
        <f>MONTH(Employee_Data[[#This Row],[HireDate]])</f>
        <v>11</v>
      </c>
      <c r="F591">
        <f>YEAR(Employee_Data[[#This Row],[HireDate]])</f>
        <v>2015</v>
      </c>
      <c r="G591" s="5">
        <v>42336</v>
      </c>
      <c r="H591">
        <v>5</v>
      </c>
      <c r="I591">
        <v>30</v>
      </c>
      <c r="J591" s="1">
        <v>49915</v>
      </c>
      <c r="K591" s="1">
        <v>598980</v>
      </c>
    </row>
    <row r="592" spans="1:11" x14ac:dyDescent="0.25">
      <c r="A592" s="3">
        <v>591</v>
      </c>
      <c r="B592" s="4" t="s">
        <v>33</v>
      </c>
      <c r="C592" s="4" t="s">
        <v>537</v>
      </c>
      <c r="D592" s="4" t="s">
        <v>827</v>
      </c>
      <c r="E592">
        <f>MONTH(Employee_Data[[#This Row],[HireDate]])</f>
        <v>9</v>
      </c>
      <c r="F592">
        <f>YEAR(Employee_Data[[#This Row],[HireDate]])</f>
        <v>2021</v>
      </c>
      <c r="G592" s="5">
        <v>44457</v>
      </c>
      <c r="H592">
        <v>1</v>
      </c>
      <c r="I592">
        <v>16</v>
      </c>
      <c r="J592" s="1">
        <v>48563</v>
      </c>
      <c r="K592" s="1">
        <v>582756</v>
      </c>
    </row>
    <row r="593" spans="1:11" x14ac:dyDescent="0.25">
      <c r="A593" s="3">
        <v>592</v>
      </c>
      <c r="B593" s="4" t="s">
        <v>291</v>
      </c>
      <c r="C593" s="4" t="s">
        <v>690</v>
      </c>
      <c r="D593" s="4" t="s">
        <v>826</v>
      </c>
      <c r="E593">
        <f>MONTH(Employee_Data[[#This Row],[HireDate]])</f>
        <v>9</v>
      </c>
      <c r="F593">
        <f>YEAR(Employee_Data[[#This Row],[HireDate]])</f>
        <v>2016</v>
      </c>
      <c r="G593" s="5">
        <v>42642</v>
      </c>
      <c r="H593">
        <v>1</v>
      </c>
      <c r="I593">
        <v>26</v>
      </c>
      <c r="J593" s="1">
        <v>75327</v>
      </c>
      <c r="K593" s="1">
        <v>903924</v>
      </c>
    </row>
    <row r="594" spans="1:11" x14ac:dyDescent="0.25">
      <c r="A594" s="3">
        <v>593</v>
      </c>
      <c r="B594" s="4" t="s">
        <v>292</v>
      </c>
      <c r="C594" s="4" t="s">
        <v>553</v>
      </c>
      <c r="D594" s="4" t="s">
        <v>827</v>
      </c>
      <c r="E594">
        <f>MONTH(Employee_Data[[#This Row],[HireDate]])</f>
        <v>8</v>
      </c>
      <c r="F594">
        <f>YEAR(Employee_Data[[#This Row],[HireDate]])</f>
        <v>2021</v>
      </c>
      <c r="G594" s="5">
        <v>44424</v>
      </c>
      <c r="H594">
        <v>4</v>
      </c>
      <c r="I594">
        <v>22</v>
      </c>
      <c r="J594" s="1">
        <v>91336</v>
      </c>
      <c r="K594" s="1">
        <v>1096032</v>
      </c>
    </row>
    <row r="595" spans="1:11" x14ac:dyDescent="0.25">
      <c r="A595" s="3">
        <v>594</v>
      </c>
      <c r="B595" s="4" t="s">
        <v>118</v>
      </c>
      <c r="C595" s="4" t="s">
        <v>671</v>
      </c>
      <c r="D595" s="4" t="s">
        <v>829</v>
      </c>
      <c r="E595">
        <f>MONTH(Employee_Data[[#This Row],[HireDate]])</f>
        <v>12</v>
      </c>
      <c r="F595">
        <f>YEAR(Employee_Data[[#This Row],[HireDate]])</f>
        <v>2018</v>
      </c>
      <c r="G595" s="5">
        <v>43454</v>
      </c>
      <c r="H595">
        <v>2</v>
      </c>
      <c r="I595">
        <v>18</v>
      </c>
      <c r="J595" s="1">
        <v>96560</v>
      </c>
      <c r="K595" s="1">
        <v>1158720</v>
      </c>
    </row>
    <row r="596" spans="1:11" x14ac:dyDescent="0.25">
      <c r="A596" s="3">
        <v>595</v>
      </c>
      <c r="B596" s="4" t="s">
        <v>293</v>
      </c>
      <c r="C596" s="4" t="s">
        <v>365</v>
      </c>
      <c r="D596" s="4" t="s">
        <v>827</v>
      </c>
      <c r="E596">
        <f>MONTH(Employee_Data[[#This Row],[HireDate]])</f>
        <v>9</v>
      </c>
      <c r="F596">
        <f>YEAR(Employee_Data[[#This Row],[HireDate]])</f>
        <v>2020</v>
      </c>
      <c r="G596" s="5">
        <v>44088</v>
      </c>
      <c r="H596">
        <v>3</v>
      </c>
      <c r="I596">
        <v>8</v>
      </c>
      <c r="J596" s="1">
        <v>65564</v>
      </c>
      <c r="K596" s="1">
        <v>786768</v>
      </c>
    </row>
    <row r="597" spans="1:11" x14ac:dyDescent="0.25">
      <c r="A597" s="3">
        <v>596</v>
      </c>
      <c r="B597" s="4" t="s">
        <v>294</v>
      </c>
      <c r="C597" s="4" t="s">
        <v>691</v>
      </c>
      <c r="D597" s="4" t="s">
        <v>826</v>
      </c>
      <c r="E597">
        <f>MONTH(Employee_Data[[#This Row],[HireDate]])</f>
        <v>12</v>
      </c>
      <c r="F597">
        <f>YEAR(Employee_Data[[#This Row],[HireDate]])</f>
        <v>2017</v>
      </c>
      <c r="G597" s="5">
        <v>43096</v>
      </c>
      <c r="H597">
        <v>3</v>
      </c>
      <c r="I597">
        <v>42</v>
      </c>
      <c r="J597" s="1">
        <v>46553</v>
      </c>
      <c r="K597" s="1">
        <v>558636</v>
      </c>
    </row>
    <row r="598" spans="1:11" x14ac:dyDescent="0.25">
      <c r="A598" s="3">
        <v>597</v>
      </c>
      <c r="B598" s="4" t="s">
        <v>24</v>
      </c>
      <c r="C598" s="4" t="s">
        <v>692</v>
      </c>
      <c r="D598" s="4" t="s">
        <v>828</v>
      </c>
      <c r="E598">
        <f>MONTH(Employee_Data[[#This Row],[HireDate]])</f>
        <v>3</v>
      </c>
      <c r="F598">
        <f>YEAR(Employee_Data[[#This Row],[HireDate]])</f>
        <v>2024</v>
      </c>
      <c r="G598" s="5">
        <v>45356</v>
      </c>
      <c r="H598">
        <v>3</v>
      </c>
      <c r="I598">
        <v>27</v>
      </c>
      <c r="J598" s="1">
        <v>102524</v>
      </c>
      <c r="K598" s="1">
        <v>1230288</v>
      </c>
    </row>
    <row r="599" spans="1:11" x14ac:dyDescent="0.25">
      <c r="A599" s="3">
        <v>598</v>
      </c>
      <c r="B599" s="4" t="s">
        <v>90</v>
      </c>
      <c r="C599" s="4" t="s">
        <v>674</v>
      </c>
      <c r="D599" s="4" t="s">
        <v>829</v>
      </c>
      <c r="E599">
        <f>MONTH(Employee_Data[[#This Row],[HireDate]])</f>
        <v>4</v>
      </c>
      <c r="F599">
        <f>YEAR(Employee_Data[[#This Row],[HireDate]])</f>
        <v>2016</v>
      </c>
      <c r="G599" s="5">
        <v>42475</v>
      </c>
      <c r="H599">
        <v>2</v>
      </c>
      <c r="I599">
        <v>33</v>
      </c>
      <c r="J599" s="1">
        <v>41930</v>
      </c>
      <c r="K599" s="1">
        <v>503160</v>
      </c>
    </row>
    <row r="600" spans="1:11" x14ac:dyDescent="0.25">
      <c r="A600" s="3">
        <v>599</v>
      </c>
      <c r="B600" s="4" t="s">
        <v>14</v>
      </c>
      <c r="C600" s="4" t="s">
        <v>549</v>
      </c>
      <c r="D600" s="4" t="s">
        <v>828</v>
      </c>
      <c r="E600">
        <f>MONTH(Employee_Data[[#This Row],[HireDate]])</f>
        <v>6</v>
      </c>
      <c r="F600">
        <f>YEAR(Employee_Data[[#This Row],[HireDate]])</f>
        <v>2021</v>
      </c>
      <c r="G600" s="5">
        <v>44369</v>
      </c>
      <c r="H600">
        <v>5</v>
      </c>
      <c r="I600">
        <v>32</v>
      </c>
      <c r="J600" s="1">
        <v>84711</v>
      </c>
      <c r="K600" s="1">
        <v>1016532</v>
      </c>
    </row>
    <row r="601" spans="1:11" x14ac:dyDescent="0.25">
      <c r="A601" s="3">
        <v>600</v>
      </c>
      <c r="B601" s="4" t="s">
        <v>159</v>
      </c>
      <c r="C601" s="4" t="s">
        <v>483</v>
      </c>
      <c r="D601" s="4" t="s">
        <v>827</v>
      </c>
      <c r="E601">
        <f>MONTH(Employee_Data[[#This Row],[HireDate]])</f>
        <v>9</v>
      </c>
      <c r="F601">
        <f>YEAR(Employee_Data[[#This Row],[HireDate]])</f>
        <v>2023</v>
      </c>
      <c r="G601" s="5">
        <v>45188</v>
      </c>
      <c r="H601">
        <v>5</v>
      </c>
      <c r="I601">
        <v>43</v>
      </c>
      <c r="J601" s="1">
        <v>43851</v>
      </c>
      <c r="K601" s="1">
        <v>526212</v>
      </c>
    </row>
    <row r="602" spans="1:11" x14ac:dyDescent="0.25">
      <c r="A602" s="3">
        <v>601</v>
      </c>
      <c r="B602" s="4" t="s">
        <v>100</v>
      </c>
      <c r="C602" s="4" t="s">
        <v>450</v>
      </c>
      <c r="D602" s="4" t="s">
        <v>828</v>
      </c>
      <c r="E602">
        <f>MONTH(Employee_Data[[#This Row],[HireDate]])</f>
        <v>2</v>
      </c>
      <c r="F602">
        <f>YEAR(Employee_Data[[#This Row],[HireDate]])</f>
        <v>2019</v>
      </c>
      <c r="G602" s="5">
        <v>43507</v>
      </c>
      <c r="H602">
        <v>3</v>
      </c>
      <c r="I602">
        <v>39</v>
      </c>
      <c r="J602" s="1">
        <v>27577</v>
      </c>
      <c r="K602" s="1">
        <v>330924</v>
      </c>
    </row>
    <row r="603" spans="1:11" x14ac:dyDescent="0.25">
      <c r="A603" s="3">
        <v>602</v>
      </c>
      <c r="B603" s="4" t="s">
        <v>295</v>
      </c>
      <c r="C603" s="4" t="s">
        <v>693</v>
      </c>
      <c r="D603" s="4" t="s">
        <v>829</v>
      </c>
      <c r="E603">
        <f>MONTH(Employee_Data[[#This Row],[HireDate]])</f>
        <v>5</v>
      </c>
      <c r="F603">
        <f>YEAR(Employee_Data[[#This Row],[HireDate]])</f>
        <v>2024</v>
      </c>
      <c r="G603" s="5">
        <v>45440</v>
      </c>
      <c r="H603">
        <v>3</v>
      </c>
      <c r="I603">
        <v>1</v>
      </c>
      <c r="J603" s="1">
        <v>29334</v>
      </c>
      <c r="K603" s="1">
        <v>352008</v>
      </c>
    </row>
    <row r="604" spans="1:11" x14ac:dyDescent="0.25">
      <c r="A604" s="3">
        <v>603</v>
      </c>
      <c r="B604" s="4" t="s">
        <v>296</v>
      </c>
      <c r="C604" s="4" t="s">
        <v>694</v>
      </c>
      <c r="D604" s="4" t="s">
        <v>828</v>
      </c>
      <c r="E604">
        <f>MONTH(Employee_Data[[#This Row],[HireDate]])</f>
        <v>10</v>
      </c>
      <c r="F604">
        <f>YEAR(Employee_Data[[#This Row],[HireDate]])</f>
        <v>2022</v>
      </c>
      <c r="G604" s="5">
        <v>44845</v>
      </c>
      <c r="H604">
        <v>5</v>
      </c>
      <c r="I604">
        <v>15</v>
      </c>
      <c r="J604" s="1">
        <v>103064</v>
      </c>
      <c r="K604" s="1">
        <v>1236768</v>
      </c>
    </row>
    <row r="605" spans="1:11" x14ac:dyDescent="0.25">
      <c r="A605" s="3">
        <v>604</v>
      </c>
      <c r="B605" s="4" t="s">
        <v>184</v>
      </c>
      <c r="C605" s="4" t="s">
        <v>695</v>
      </c>
      <c r="D605" s="4" t="s">
        <v>827</v>
      </c>
      <c r="E605">
        <f>MONTH(Employee_Data[[#This Row],[HireDate]])</f>
        <v>11</v>
      </c>
      <c r="F605">
        <f>YEAR(Employee_Data[[#This Row],[HireDate]])</f>
        <v>2017</v>
      </c>
      <c r="G605" s="5">
        <v>43067</v>
      </c>
      <c r="H605">
        <v>2</v>
      </c>
      <c r="I605">
        <v>11</v>
      </c>
      <c r="J605" s="1">
        <v>41739</v>
      </c>
      <c r="K605" s="1">
        <v>500868</v>
      </c>
    </row>
    <row r="606" spans="1:11" x14ac:dyDescent="0.25">
      <c r="A606" s="3">
        <v>605</v>
      </c>
      <c r="B606" s="4" t="s">
        <v>297</v>
      </c>
      <c r="C606" s="4" t="s">
        <v>696</v>
      </c>
      <c r="D606" s="4" t="s">
        <v>827</v>
      </c>
      <c r="E606">
        <f>MONTH(Employee_Data[[#This Row],[HireDate]])</f>
        <v>12</v>
      </c>
      <c r="F606">
        <f>YEAR(Employee_Data[[#This Row],[HireDate]])</f>
        <v>2020</v>
      </c>
      <c r="G606" s="5">
        <v>44181</v>
      </c>
      <c r="H606">
        <v>3</v>
      </c>
      <c r="I606">
        <v>15</v>
      </c>
      <c r="J606" s="1">
        <v>100990</v>
      </c>
      <c r="K606" s="1">
        <v>1211880</v>
      </c>
    </row>
    <row r="607" spans="1:11" x14ac:dyDescent="0.25">
      <c r="A607" s="3">
        <v>606</v>
      </c>
      <c r="B607" s="4" t="s">
        <v>16</v>
      </c>
      <c r="C607" s="4" t="s">
        <v>447</v>
      </c>
      <c r="D607" s="4" t="s">
        <v>829</v>
      </c>
      <c r="E607">
        <f>MONTH(Employee_Data[[#This Row],[HireDate]])</f>
        <v>8</v>
      </c>
      <c r="F607">
        <f>YEAR(Employee_Data[[#This Row],[HireDate]])</f>
        <v>2022</v>
      </c>
      <c r="G607" s="5">
        <v>44777</v>
      </c>
      <c r="H607">
        <v>5</v>
      </c>
      <c r="I607">
        <v>14</v>
      </c>
      <c r="J607" s="1">
        <v>81274</v>
      </c>
      <c r="K607" s="1">
        <v>975288</v>
      </c>
    </row>
    <row r="608" spans="1:11" x14ac:dyDescent="0.25">
      <c r="A608" s="3">
        <v>607</v>
      </c>
      <c r="B608" s="4" t="s">
        <v>108</v>
      </c>
      <c r="C608" s="4" t="s">
        <v>415</v>
      </c>
      <c r="D608" s="4" t="s">
        <v>829</v>
      </c>
      <c r="E608">
        <f>MONTH(Employee_Data[[#This Row],[HireDate]])</f>
        <v>4</v>
      </c>
      <c r="F608">
        <f>YEAR(Employee_Data[[#This Row],[HireDate]])</f>
        <v>2016</v>
      </c>
      <c r="G608" s="5">
        <v>42462</v>
      </c>
      <c r="H608">
        <v>4</v>
      </c>
      <c r="I608">
        <v>20</v>
      </c>
      <c r="J608" s="1">
        <v>80198</v>
      </c>
      <c r="K608" s="1">
        <v>962376</v>
      </c>
    </row>
    <row r="609" spans="1:11" x14ac:dyDescent="0.25">
      <c r="A609" s="3">
        <v>608</v>
      </c>
      <c r="B609" s="4" t="s">
        <v>298</v>
      </c>
      <c r="C609" s="4" t="s">
        <v>489</v>
      </c>
      <c r="D609" s="4" t="s">
        <v>826</v>
      </c>
      <c r="E609">
        <f>MONTH(Employee_Data[[#This Row],[HireDate]])</f>
        <v>9</v>
      </c>
      <c r="F609">
        <f>YEAR(Employee_Data[[#This Row],[HireDate]])</f>
        <v>2018</v>
      </c>
      <c r="G609" s="5">
        <v>43367</v>
      </c>
      <c r="H609">
        <v>5</v>
      </c>
      <c r="I609">
        <v>37</v>
      </c>
      <c r="J609" s="1">
        <v>76262</v>
      </c>
      <c r="K609" s="1">
        <v>915144</v>
      </c>
    </row>
    <row r="610" spans="1:11" x14ac:dyDescent="0.25">
      <c r="A610" s="3">
        <v>609</v>
      </c>
      <c r="B610" s="4" t="s">
        <v>299</v>
      </c>
      <c r="C610" s="4" t="s">
        <v>697</v>
      </c>
      <c r="D610" s="4" t="s">
        <v>826</v>
      </c>
      <c r="E610">
        <f>MONTH(Employee_Data[[#This Row],[HireDate]])</f>
        <v>3</v>
      </c>
      <c r="F610">
        <f>YEAR(Employee_Data[[#This Row],[HireDate]])</f>
        <v>2018</v>
      </c>
      <c r="G610" s="5">
        <v>43190</v>
      </c>
      <c r="H610">
        <v>4</v>
      </c>
      <c r="I610">
        <v>22</v>
      </c>
      <c r="J610" s="1">
        <v>114893</v>
      </c>
      <c r="K610" s="1">
        <v>1378716</v>
      </c>
    </row>
    <row r="611" spans="1:11" x14ac:dyDescent="0.25">
      <c r="A611" s="3">
        <v>610</v>
      </c>
      <c r="B611" s="4" t="s">
        <v>265</v>
      </c>
      <c r="C611" s="4" t="s">
        <v>534</v>
      </c>
      <c r="D611" s="4" t="s">
        <v>827</v>
      </c>
      <c r="E611">
        <f>MONTH(Employee_Data[[#This Row],[HireDate]])</f>
        <v>12</v>
      </c>
      <c r="F611">
        <f>YEAR(Employee_Data[[#This Row],[HireDate]])</f>
        <v>2019</v>
      </c>
      <c r="G611" s="5">
        <v>43808</v>
      </c>
      <c r="H611">
        <v>3</v>
      </c>
      <c r="I611">
        <v>12</v>
      </c>
      <c r="J611" s="1">
        <v>27834</v>
      </c>
      <c r="K611" s="1">
        <v>334008</v>
      </c>
    </row>
    <row r="612" spans="1:11" x14ac:dyDescent="0.25">
      <c r="A612" s="3">
        <v>611</v>
      </c>
      <c r="B612" s="4" t="s">
        <v>266</v>
      </c>
      <c r="C612" s="4" t="s">
        <v>382</v>
      </c>
      <c r="D612" s="4" t="s">
        <v>830</v>
      </c>
      <c r="E612">
        <f>MONTH(Employee_Data[[#This Row],[HireDate]])</f>
        <v>8</v>
      </c>
      <c r="F612">
        <f>YEAR(Employee_Data[[#This Row],[HireDate]])</f>
        <v>2019</v>
      </c>
      <c r="G612" s="5">
        <v>43699</v>
      </c>
      <c r="H612">
        <v>4</v>
      </c>
      <c r="I612">
        <v>37</v>
      </c>
      <c r="J612" s="1">
        <v>106717</v>
      </c>
      <c r="K612" s="1">
        <v>1280604</v>
      </c>
    </row>
    <row r="613" spans="1:11" x14ac:dyDescent="0.25">
      <c r="A613" s="3">
        <v>612</v>
      </c>
      <c r="B613" s="4" t="s">
        <v>20</v>
      </c>
      <c r="C613" s="4" t="s">
        <v>698</v>
      </c>
      <c r="D613" s="4" t="s">
        <v>829</v>
      </c>
      <c r="E613">
        <f>MONTH(Employee_Data[[#This Row],[HireDate]])</f>
        <v>7</v>
      </c>
      <c r="F613">
        <f>YEAR(Employee_Data[[#This Row],[HireDate]])</f>
        <v>2017</v>
      </c>
      <c r="G613" s="5">
        <v>42929</v>
      </c>
      <c r="H613">
        <v>4</v>
      </c>
      <c r="I613">
        <v>48</v>
      </c>
      <c r="J613" s="1">
        <v>57095</v>
      </c>
      <c r="K613" s="1">
        <v>685140</v>
      </c>
    </row>
    <row r="614" spans="1:11" x14ac:dyDescent="0.25">
      <c r="A614" s="3">
        <v>613</v>
      </c>
      <c r="B614" s="4" t="s">
        <v>300</v>
      </c>
      <c r="C614" s="4" t="s">
        <v>699</v>
      </c>
      <c r="D614" s="4" t="s">
        <v>826</v>
      </c>
      <c r="E614">
        <f>MONTH(Employee_Data[[#This Row],[HireDate]])</f>
        <v>3</v>
      </c>
      <c r="F614">
        <f>YEAR(Employee_Data[[#This Row],[HireDate]])</f>
        <v>2024</v>
      </c>
      <c r="G614" s="5">
        <v>45370</v>
      </c>
      <c r="H614">
        <v>1</v>
      </c>
      <c r="I614">
        <v>16</v>
      </c>
      <c r="J614" s="1">
        <v>56864</v>
      </c>
      <c r="K614" s="1">
        <v>682368</v>
      </c>
    </row>
    <row r="615" spans="1:11" x14ac:dyDescent="0.25">
      <c r="A615" s="3">
        <v>614</v>
      </c>
      <c r="B615" s="4" t="s">
        <v>213</v>
      </c>
      <c r="C615" s="4" t="s">
        <v>700</v>
      </c>
      <c r="D615" s="4" t="s">
        <v>829</v>
      </c>
      <c r="E615">
        <f>MONTH(Employee_Data[[#This Row],[HireDate]])</f>
        <v>4</v>
      </c>
      <c r="F615">
        <f>YEAR(Employee_Data[[#This Row],[HireDate]])</f>
        <v>2022</v>
      </c>
      <c r="G615" s="5">
        <v>44678</v>
      </c>
      <c r="H615">
        <v>3</v>
      </c>
      <c r="I615">
        <v>35</v>
      </c>
      <c r="J615" s="1">
        <v>45507</v>
      </c>
      <c r="K615" s="1">
        <v>546084</v>
      </c>
    </row>
    <row r="616" spans="1:11" x14ac:dyDescent="0.25">
      <c r="A616" s="3">
        <v>615</v>
      </c>
      <c r="B616" s="4" t="s">
        <v>161</v>
      </c>
      <c r="C616" s="4" t="s">
        <v>396</v>
      </c>
      <c r="D616" s="4" t="s">
        <v>826</v>
      </c>
      <c r="E616">
        <f>MONTH(Employee_Data[[#This Row],[HireDate]])</f>
        <v>3</v>
      </c>
      <c r="F616">
        <f>YEAR(Employee_Data[[#This Row],[HireDate]])</f>
        <v>2017</v>
      </c>
      <c r="G616" s="5">
        <v>42817</v>
      </c>
      <c r="H616">
        <v>2</v>
      </c>
      <c r="I616">
        <v>7</v>
      </c>
      <c r="J616" s="1">
        <v>46790</v>
      </c>
      <c r="K616" s="1">
        <v>561480</v>
      </c>
    </row>
    <row r="617" spans="1:11" x14ac:dyDescent="0.25">
      <c r="A617" s="3">
        <v>616</v>
      </c>
      <c r="B617" s="4" t="s">
        <v>162</v>
      </c>
      <c r="C617" s="4" t="s">
        <v>432</v>
      </c>
      <c r="D617" s="4" t="s">
        <v>830</v>
      </c>
      <c r="E617">
        <f>MONTH(Employee_Data[[#This Row],[HireDate]])</f>
        <v>1</v>
      </c>
      <c r="F617">
        <f>YEAR(Employee_Data[[#This Row],[HireDate]])</f>
        <v>2023</v>
      </c>
      <c r="G617" s="5">
        <v>44936</v>
      </c>
      <c r="H617">
        <v>4</v>
      </c>
      <c r="I617">
        <v>26</v>
      </c>
      <c r="J617" s="1">
        <v>89936</v>
      </c>
      <c r="K617" s="1">
        <v>1079232</v>
      </c>
    </row>
    <row r="618" spans="1:11" x14ac:dyDescent="0.25">
      <c r="A618" s="3">
        <v>617</v>
      </c>
      <c r="B618" s="4" t="s">
        <v>207</v>
      </c>
      <c r="C618" s="4" t="s">
        <v>701</v>
      </c>
      <c r="D618" s="4" t="s">
        <v>829</v>
      </c>
      <c r="E618">
        <f>MONTH(Employee_Data[[#This Row],[HireDate]])</f>
        <v>8</v>
      </c>
      <c r="F618">
        <f>YEAR(Employee_Data[[#This Row],[HireDate]])</f>
        <v>2018</v>
      </c>
      <c r="G618" s="5">
        <v>43324</v>
      </c>
      <c r="H618">
        <v>2</v>
      </c>
      <c r="I618">
        <v>25</v>
      </c>
      <c r="J618" s="1">
        <v>54346</v>
      </c>
      <c r="K618" s="1">
        <v>652152</v>
      </c>
    </row>
    <row r="619" spans="1:11" x14ac:dyDescent="0.25">
      <c r="A619" s="3">
        <v>618</v>
      </c>
      <c r="B619" s="4" t="s">
        <v>65</v>
      </c>
      <c r="C619" s="4" t="s">
        <v>397</v>
      </c>
      <c r="D619" s="4" t="s">
        <v>826</v>
      </c>
      <c r="E619">
        <f>MONTH(Employee_Data[[#This Row],[HireDate]])</f>
        <v>11</v>
      </c>
      <c r="F619">
        <f>YEAR(Employee_Data[[#This Row],[HireDate]])</f>
        <v>2020</v>
      </c>
      <c r="G619" s="5">
        <v>44153</v>
      </c>
      <c r="H619">
        <v>2</v>
      </c>
      <c r="I619">
        <v>2</v>
      </c>
      <c r="J619" s="1">
        <v>70890</v>
      </c>
      <c r="K619" s="1">
        <v>850680</v>
      </c>
    </row>
    <row r="620" spans="1:11" x14ac:dyDescent="0.25">
      <c r="A620" s="3">
        <v>619</v>
      </c>
      <c r="B620" s="4" t="s">
        <v>91</v>
      </c>
      <c r="C620" s="4" t="s">
        <v>399</v>
      </c>
      <c r="D620" s="4" t="s">
        <v>830</v>
      </c>
      <c r="E620">
        <f>MONTH(Employee_Data[[#This Row],[HireDate]])</f>
        <v>11</v>
      </c>
      <c r="F620">
        <f>YEAR(Employee_Data[[#This Row],[HireDate]])</f>
        <v>2016</v>
      </c>
      <c r="G620" s="5">
        <v>42676</v>
      </c>
      <c r="H620">
        <v>3</v>
      </c>
      <c r="I620">
        <v>41</v>
      </c>
      <c r="J620" s="1">
        <v>86794</v>
      </c>
      <c r="K620" s="1">
        <v>1041528</v>
      </c>
    </row>
    <row r="621" spans="1:11" x14ac:dyDescent="0.25">
      <c r="A621" s="3">
        <v>620</v>
      </c>
      <c r="B621" s="4" t="s">
        <v>301</v>
      </c>
      <c r="C621" s="4" t="s">
        <v>702</v>
      </c>
      <c r="D621" s="4" t="s">
        <v>828</v>
      </c>
      <c r="E621">
        <f>MONTH(Employee_Data[[#This Row],[HireDate]])</f>
        <v>1</v>
      </c>
      <c r="F621">
        <f>YEAR(Employee_Data[[#This Row],[HireDate]])</f>
        <v>2018</v>
      </c>
      <c r="G621" s="5">
        <v>43123</v>
      </c>
      <c r="H621">
        <v>3</v>
      </c>
      <c r="I621">
        <v>23</v>
      </c>
      <c r="J621" s="1">
        <v>84672</v>
      </c>
      <c r="K621" s="1">
        <v>1016064</v>
      </c>
    </row>
    <row r="622" spans="1:11" x14ac:dyDescent="0.25">
      <c r="A622" s="3">
        <v>621</v>
      </c>
      <c r="B622" s="4" t="s">
        <v>184</v>
      </c>
      <c r="C622" s="4" t="s">
        <v>521</v>
      </c>
      <c r="D622" s="4" t="s">
        <v>829</v>
      </c>
      <c r="E622">
        <f>MONTH(Employee_Data[[#This Row],[HireDate]])</f>
        <v>2</v>
      </c>
      <c r="F622">
        <f>YEAR(Employee_Data[[#This Row],[HireDate]])</f>
        <v>2022</v>
      </c>
      <c r="G622" s="5">
        <v>44598</v>
      </c>
      <c r="H622">
        <v>1</v>
      </c>
      <c r="I622">
        <v>33</v>
      </c>
      <c r="J622" s="1">
        <v>107613</v>
      </c>
      <c r="K622" s="1">
        <v>1291356</v>
      </c>
    </row>
    <row r="623" spans="1:11" x14ac:dyDescent="0.25">
      <c r="A623" s="3">
        <v>622</v>
      </c>
      <c r="B623" s="4" t="s">
        <v>104</v>
      </c>
      <c r="C623" s="4" t="s">
        <v>703</v>
      </c>
      <c r="D623" s="4" t="s">
        <v>827</v>
      </c>
      <c r="E623">
        <f>MONTH(Employee_Data[[#This Row],[HireDate]])</f>
        <v>10</v>
      </c>
      <c r="F623">
        <f>YEAR(Employee_Data[[#This Row],[HireDate]])</f>
        <v>2024</v>
      </c>
      <c r="G623" s="5">
        <v>45574</v>
      </c>
      <c r="H623">
        <v>3</v>
      </c>
      <c r="I623">
        <v>18</v>
      </c>
      <c r="J623" s="1">
        <v>27340</v>
      </c>
      <c r="K623" s="1">
        <v>328080</v>
      </c>
    </row>
    <row r="624" spans="1:11" x14ac:dyDescent="0.25">
      <c r="A624" s="3">
        <v>623</v>
      </c>
      <c r="B624" s="4" t="s">
        <v>302</v>
      </c>
      <c r="C624" s="4" t="s">
        <v>531</v>
      </c>
      <c r="D624" s="4" t="s">
        <v>829</v>
      </c>
      <c r="E624">
        <f>MONTH(Employee_Data[[#This Row],[HireDate]])</f>
        <v>10</v>
      </c>
      <c r="F624">
        <f>YEAR(Employee_Data[[#This Row],[HireDate]])</f>
        <v>2022</v>
      </c>
      <c r="G624" s="5">
        <v>44858</v>
      </c>
      <c r="H624">
        <v>2</v>
      </c>
      <c r="I624">
        <v>30</v>
      </c>
      <c r="J624" s="1">
        <v>26805</v>
      </c>
      <c r="K624" s="1">
        <v>321660</v>
      </c>
    </row>
    <row r="625" spans="1:11" x14ac:dyDescent="0.25">
      <c r="A625" s="3">
        <v>624</v>
      </c>
      <c r="B625" s="4" t="s">
        <v>186</v>
      </c>
      <c r="C625" s="4" t="s">
        <v>704</v>
      </c>
      <c r="D625" s="4" t="s">
        <v>829</v>
      </c>
      <c r="E625">
        <f>MONTH(Employee_Data[[#This Row],[HireDate]])</f>
        <v>8</v>
      </c>
      <c r="F625">
        <f>YEAR(Employee_Data[[#This Row],[HireDate]])</f>
        <v>2022</v>
      </c>
      <c r="G625" s="5">
        <v>44803</v>
      </c>
      <c r="H625">
        <v>4</v>
      </c>
      <c r="I625">
        <v>13</v>
      </c>
      <c r="J625" s="1">
        <v>52215</v>
      </c>
      <c r="K625" s="1">
        <v>626580</v>
      </c>
    </row>
    <row r="626" spans="1:11" x14ac:dyDescent="0.25">
      <c r="A626" s="3">
        <v>625</v>
      </c>
      <c r="B626" s="4" t="s">
        <v>30</v>
      </c>
      <c r="C626" s="4" t="s">
        <v>498</v>
      </c>
      <c r="D626" s="4" t="s">
        <v>827</v>
      </c>
      <c r="E626">
        <f>MONTH(Employee_Data[[#This Row],[HireDate]])</f>
        <v>6</v>
      </c>
      <c r="F626">
        <f>YEAR(Employee_Data[[#This Row],[HireDate]])</f>
        <v>2024</v>
      </c>
      <c r="G626" s="5">
        <v>45456</v>
      </c>
      <c r="H626">
        <v>5</v>
      </c>
      <c r="I626">
        <v>28</v>
      </c>
      <c r="J626" s="1">
        <v>93140</v>
      </c>
      <c r="K626" s="1">
        <v>1117680</v>
      </c>
    </row>
    <row r="627" spans="1:11" x14ac:dyDescent="0.25">
      <c r="A627" s="3">
        <v>626</v>
      </c>
      <c r="B627" s="4" t="s">
        <v>144</v>
      </c>
      <c r="C627" s="4" t="s">
        <v>705</v>
      </c>
      <c r="D627" s="4" t="s">
        <v>829</v>
      </c>
      <c r="E627">
        <f>MONTH(Employee_Data[[#This Row],[HireDate]])</f>
        <v>8</v>
      </c>
      <c r="F627">
        <f>YEAR(Employee_Data[[#This Row],[HireDate]])</f>
        <v>2021</v>
      </c>
      <c r="G627" s="5">
        <v>44414</v>
      </c>
      <c r="H627">
        <v>1</v>
      </c>
      <c r="I627">
        <v>11</v>
      </c>
      <c r="J627" s="1">
        <v>28141</v>
      </c>
      <c r="K627" s="1">
        <v>337692</v>
      </c>
    </row>
    <row r="628" spans="1:11" x14ac:dyDescent="0.25">
      <c r="A628" s="3">
        <v>627</v>
      </c>
      <c r="B628" s="4" t="s">
        <v>174</v>
      </c>
      <c r="C628" s="4" t="s">
        <v>382</v>
      </c>
      <c r="D628" s="4" t="s">
        <v>828</v>
      </c>
      <c r="E628">
        <f>MONTH(Employee_Data[[#This Row],[HireDate]])</f>
        <v>2</v>
      </c>
      <c r="F628">
        <f>YEAR(Employee_Data[[#This Row],[HireDate]])</f>
        <v>2017</v>
      </c>
      <c r="G628" s="5">
        <v>42781</v>
      </c>
      <c r="H628">
        <v>2</v>
      </c>
      <c r="I628">
        <v>44</v>
      </c>
      <c r="J628" s="1">
        <v>36612</v>
      </c>
      <c r="K628" s="1">
        <v>439344</v>
      </c>
    </row>
    <row r="629" spans="1:11" x14ac:dyDescent="0.25">
      <c r="A629" s="3">
        <v>628</v>
      </c>
      <c r="B629" s="4" t="s">
        <v>301</v>
      </c>
      <c r="C629" s="4" t="s">
        <v>547</v>
      </c>
      <c r="D629" s="4" t="s">
        <v>830</v>
      </c>
      <c r="E629">
        <f>MONTH(Employee_Data[[#This Row],[HireDate]])</f>
        <v>3</v>
      </c>
      <c r="F629">
        <f>YEAR(Employee_Data[[#This Row],[HireDate]])</f>
        <v>2016</v>
      </c>
      <c r="G629" s="5">
        <v>42431</v>
      </c>
      <c r="H629">
        <v>4</v>
      </c>
      <c r="I629">
        <v>20</v>
      </c>
      <c r="J629" s="1">
        <v>113361</v>
      </c>
      <c r="K629" s="1">
        <v>1360332</v>
      </c>
    </row>
    <row r="630" spans="1:11" x14ac:dyDescent="0.25">
      <c r="A630" s="3">
        <v>629</v>
      </c>
      <c r="B630" s="4" t="s">
        <v>18</v>
      </c>
      <c r="C630" s="4" t="s">
        <v>564</v>
      </c>
      <c r="D630" s="4" t="s">
        <v>828</v>
      </c>
      <c r="E630">
        <f>MONTH(Employee_Data[[#This Row],[HireDate]])</f>
        <v>7</v>
      </c>
      <c r="F630">
        <f>YEAR(Employee_Data[[#This Row],[HireDate]])</f>
        <v>2021</v>
      </c>
      <c r="G630" s="5">
        <v>44383</v>
      </c>
      <c r="H630">
        <v>2</v>
      </c>
      <c r="I630">
        <v>18</v>
      </c>
      <c r="J630" s="1">
        <v>103102</v>
      </c>
      <c r="K630" s="1">
        <v>1237224</v>
      </c>
    </row>
    <row r="631" spans="1:11" x14ac:dyDescent="0.25">
      <c r="A631" s="3">
        <v>630</v>
      </c>
      <c r="B631" s="4" t="s">
        <v>296</v>
      </c>
      <c r="C631" s="4" t="s">
        <v>529</v>
      </c>
      <c r="D631" s="4" t="s">
        <v>829</v>
      </c>
      <c r="E631">
        <f>MONTH(Employee_Data[[#This Row],[HireDate]])</f>
        <v>3</v>
      </c>
      <c r="F631">
        <f>YEAR(Employee_Data[[#This Row],[HireDate]])</f>
        <v>2023</v>
      </c>
      <c r="G631" s="5">
        <v>45011</v>
      </c>
      <c r="H631">
        <v>5</v>
      </c>
      <c r="I631">
        <v>12</v>
      </c>
      <c r="J631" s="1">
        <v>89825</v>
      </c>
      <c r="K631" s="1">
        <v>1077900</v>
      </c>
    </row>
    <row r="632" spans="1:11" x14ac:dyDescent="0.25">
      <c r="A632" s="3">
        <v>631</v>
      </c>
      <c r="B632" s="4" t="s">
        <v>303</v>
      </c>
      <c r="C632" s="4" t="s">
        <v>487</v>
      </c>
      <c r="D632" s="4" t="s">
        <v>827</v>
      </c>
      <c r="E632">
        <f>MONTH(Employee_Data[[#This Row],[HireDate]])</f>
        <v>10</v>
      </c>
      <c r="F632">
        <f>YEAR(Employee_Data[[#This Row],[HireDate]])</f>
        <v>2023</v>
      </c>
      <c r="G632" s="5">
        <v>45228</v>
      </c>
      <c r="H632">
        <v>1</v>
      </c>
      <c r="I632">
        <v>23</v>
      </c>
      <c r="J632" s="1">
        <v>45750</v>
      </c>
      <c r="K632" s="1">
        <v>549000</v>
      </c>
    </row>
    <row r="633" spans="1:11" x14ac:dyDescent="0.25">
      <c r="A633" s="3">
        <v>632</v>
      </c>
      <c r="B633" s="4" t="s">
        <v>144</v>
      </c>
      <c r="C633" s="4" t="s">
        <v>464</v>
      </c>
      <c r="D633" s="4" t="s">
        <v>829</v>
      </c>
      <c r="E633">
        <f>MONTH(Employee_Data[[#This Row],[HireDate]])</f>
        <v>1</v>
      </c>
      <c r="F633">
        <f>YEAR(Employee_Data[[#This Row],[HireDate]])</f>
        <v>2024</v>
      </c>
      <c r="G633" s="5">
        <v>45313</v>
      </c>
      <c r="H633">
        <v>4</v>
      </c>
      <c r="I633">
        <v>26</v>
      </c>
      <c r="J633" s="1">
        <v>30289</v>
      </c>
      <c r="K633" s="1">
        <v>363468</v>
      </c>
    </row>
    <row r="634" spans="1:11" x14ac:dyDescent="0.25">
      <c r="A634" s="3">
        <v>633</v>
      </c>
      <c r="B634" s="4" t="s">
        <v>13</v>
      </c>
      <c r="C634" s="4" t="s">
        <v>706</v>
      </c>
      <c r="D634" s="4" t="s">
        <v>826</v>
      </c>
      <c r="E634">
        <f>MONTH(Employee_Data[[#This Row],[HireDate]])</f>
        <v>11</v>
      </c>
      <c r="F634">
        <f>YEAR(Employee_Data[[#This Row],[HireDate]])</f>
        <v>2022</v>
      </c>
      <c r="G634" s="5">
        <v>44875</v>
      </c>
      <c r="H634">
        <v>3</v>
      </c>
      <c r="I634">
        <v>46</v>
      </c>
      <c r="J634" s="1">
        <v>85134</v>
      </c>
      <c r="K634" s="1">
        <v>1021608</v>
      </c>
    </row>
    <row r="635" spans="1:11" x14ac:dyDescent="0.25">
      <c r="A635" s="3">
        <v>634</v>
      </c>
      <c r="B635" s="4" t="s">
        <v>145</v>
      </c>
      <c r="C635" s="4" t="s">
        <v>688</v>
      </c>
      <c r="D635" s="4" t="s">
        <v>829</v>
      </c>
      <c r="E635">
        <f>MONTH(Employee_Data[[#This Row],[HireDate]])</f>
        <v>9</v>
      </c>
      <c r="F635">
        <f>YEAR(Employee_Data[[#This Row],[HireDate]])</f>
        <v>2018</v>
      </c>
      <c r="G635" s="5">
        <v>43364</v>
      </c>
      <c r="H635">
        <v>4</v>
      </c>
      <c r="I635">
        <v>1</v>
      </c>
      <c r="J635" s="1">
        <v>83278</v>
      </c>
      <c r="K635" s="1">
        <v>999336</v>
      </c>
    </row>
    <row r="636" spans="1:11" x14ac:dyDescent="0.25">
      <c r="A636" s="3">
        <v>635</v>
      </c>
      <c r="B636" s="4" t="s">
        <v>128</v>
      </c>
      <c r="C636" s="4" t="s">
        <v>537</v>
      </c>
      <c r="D636" s="4" t="s">
        <v>826</v>
      </c>
      <c r="E636">
        <f>MONTH(Employee_Data[[#This Row],[HireDate]])</f>
        <v>9</v>
      </c>
      <c r="F636">
        <f>YEAR(Employee_Data[[#This Row],[HireDate]])</f>
        <v>2019</v>
      </c>
      <c r="G636" s="5">
        <v>43710</v>
      </c>
      <c r="H636">
        <v>2</v>
      </c>
      <c r="I636">
        <v>43</v>
      </c>
      <c r="J636" s="1">
        <v>62105</v>
      </c>
      <c r="K636" s="1">
        <v>745260</v>
      </c>
    </row>
    <row r="637" spans="1:11" x14ac:dyDescent="0.25">
      <c r="A637" s="3">
        <v>636</v>
      </c>
      <c r="B637" s="4" t="s">
        <v>91</v>
      </c>
      <c r="C637" s="4" t="s">
        <v>707</v>
      </c>
      <c r="D637" s="4" t="s">
        <v>826</v>
      </c>
      <c r="E637">
        <f>MONTH(Employee_Data[[#This Row],[HireDate]])</f>
        <v>6</v>
      </c>
      <c r="F637">
        <f>YEAR(Employee_Data[[#This Row],[HireDate]])</f>
        <v>2020</v>
      </c>
      <c r="G637" s="5">
        <v>44006</v>
      </c>
      <c r="H637">
        <v>4</v>
      </c>
      <c r="I637">
        <v>1</v>
      </c>
      <c r="J637" s="1">
        <v>103912</v>
      </c>
      <c r="K637" s="1">
        <v>1246944</v>
      </c>
    </row>
    <row r="638" spans="1:11" x14ac:dyDescent="0.25">
      <c r="A638" s="3">
        <v>637</v>
      </c>
      <c r="B638" s="4" t="s">
        <v>57</v>
      </c>
      <c r="C638" s="4" t="s">
        <v>441</v>
      </c>
      <c r="D638" s="4" t="s">
        <v>830</v>
      </c>
      <c r="E638">
        <f>MONTH(Employee_Data[[#This Row],[HireDate]])</f>
        <v>12</v>
      </c>
      <c r="F638">
        <f>YEAR(Employee_Data[[#This Row],[HireDate]])</f>
        <v>2022</v>
      </c>
      <c r="G638" s="5">
        <v>44903</v>
      </c>
      <c r="H638">
        <v>2</v>
      </c>
      <c r="I638">
        <v>34</v>
      </c>
      <c r="J638" s="1">
        <v>38072</v>
      </c>
      <c r="K638" s="1">
        <v>456864</v>
      </c>
    </row>
    <row r="639" spans="1:11" x14ac:dyDescent="0.25">
      <c r="A639" s="3">
        <v>638</v>
      </c>
      <c r="B639" s="4" t="s">
        <v>145</v>
      </c>
      <c r="C639" s="4" t="s">
        <v>644</v>
      </c>
      <c r="D639" s="4" t="s">
        <v>830</v>
      </c>
      <c r="E639">
        <f>MONTH(Employee_Data[[#This Row],[HireDate]])</f>
        <v>6</v>
      </c>
      <c r="F639">
        <f>YEAR(Employee_Data[[#This Row],[HireDate]])</f>
        <v>2022</v>
      </c>
      <c r="G639" s="5">
        <v>44740</v>
      </c>
      <c r="H639">
        <v>5</v>
      </c>
      <c r="I639">
        <v>44</v>
      </c>
      <c r="J639" s="1">
        <v>55507</v>
      </c>
      <c r="K639" s="1">
        <v>666084</v>
      </c>
    </row>
    <row r="640" spans="1:11" x14ac:dyDescent="0.25">
      <c r="A640" s="3">
        <v>639</v>
      </c>
      <c r="B640" s="4" t="s">
        <v>304</v>
      </c>
      <c r="C640" s="4" t="s">
        <v>522</v>
      </c>
      <c r="D640" s="4" t="s">
        <v>827</v>
      </c>
      <c r="E640">
        <f>MONTH(Employee_Data[[#This Row],[HireDate]])</f>
        <v>10</v>
      </c>
      <c r="F640">
        <f>YEAR(Employee_Data[[#This Row],[HireDate]])</f>
        <v>2019</v>
      </c>
      <c r="G640" s="5">
        <v>43755</v>
      </c>
      <c r="H640">
        <v>3</v>
      </c>
      <c r="I640">
        <v>36</v>
      </c>
      <c r="J640" s="1">
        <v>66900</v>
      </c>
      <c r="K640" s="1">
        <v>802800</v>
      </c>
    </row>
    <row r="641" spans="1:11" x14ac:dyDescent="0.25">
      <c r="A641" s="3">
        <v>640</v>
      </c>
      <c r="B641" s="4" t="s">
        <v>130</v>
      </c>
      <c r="C641" s="4" t="s">
        <v>382</v>
      </c>
      <c r="D641" s="4" t="s">
        <v>830</v>
      </c>
      <c r="E641">
        <f>MONTH(Employee_Data[[#This Row],[HireDate]])</f>
        <v>2</v>
      </c>
      <c r="F641">
        <f>YEAR(Employee_Data[[#This Row],[HireDate]])</f>
        <v>2021</v>
      </c>
      <c r="G641" s="5">
        <v>44253</v>
      </c>
      <c r="H641">
        <v>3</v>
      </c>
      <c r="I641">
        <v>44</v>
      </c>
      <c r="J641" s="1">
        <v>32404</v>
      </c>
      <c r="K641" s="1">
        <v>388848</v>
      </c>
    </row>
    <row r="642" spans="1:11" x14ac:dyDescent="0.25">
      <c r="A642" s="3">
        <v>641</v>
      </c>
      <c r="B642" s="4" t="s">
        <v>21</v>
      </c>
      <c r="C642" s="4" t="s">
        <v>501</v>
      </c>
      <c r="D642" s="4" t="s">
        <v>829</v>
      </c>
      <c r="E642">
        <f>MONTH(Employee_Data[[#This Row],[HireDate]])</f>
        <v>11</v>
      </c>
      <c r="F642">
        <f>YEAR(Employee_Data[[#This Row],[HireDate]])</f>
        <v>2015</v>
      </c>
      <c r="G642" s="5">
        <v>42322</v>
      </c>
      <c r="H642">
        <v>4</v>
      </c>
      <c r="I642">
        <v>13</v>
      </c>
      <c r="J642" s="1">
        <v>118213</v>
      </c>
      <c r="K642" s="1">
        <v>1418556</v>
      </c>
    </row>
    <row r="643" spans="1:11" x14ac:dyDescent="0.25">
      <c r="A643" s="3">
        <v>642</v>
      </c>
      <c r="B643" s="4" t="s">
        <v>145</v>
      </c>
      <c r="C643" s="4" t="s">
        <v>708</v>
      </c>
      <c r="D643" s="4" t="s">
        <v>829</v>
      </c>
      <c r="E643">
        <f>MONTH(Employee_Data[[#This Row],[HireDate]])</f>
        <v>9</v>
      </c>
      <c r="F643">
        <f>YEAR(Employee_Data[[#This Row],[HireDate]])</f>
        <v>2023</v>
      </c>
      <c r="G643" s="5">
        <v>45193</v>
      </c>
      <c r="H643">
        <v>1</v>
      </c>
      <c r="I643">
        <v>15</v>
      </c>
      <c r="J643" s="1">
        <v>118224</v>
      </c>
      <c r="K643" s="1">
        <v>1418688</v>
      </c>
    </row>
    <row r="644" spans="1:11" x14ac:dyDescent="0.25">
      <c r="A644" s="3">
        <v>643</v>
      </c>
      <c r="B644" s="4" t="s">
        <v>305</v>
      </c>
      <c r="C644" s="4" t="s">
        <v>709</v>
      </c>
      <c r="D644" s="4" t="s">
        <v>826</v>
      </c>
      <c r="E644">
        <f>MONTH(Employee_Data[[#This Row],[HireDate]])</f>
        <v>10</v>
      </c>
      <c r="F644">
        <f>YEAR(Employee_Data[[#This Row],[HireDate]])</f>
        <v>2022</v>
      </c>
      <c r="G644" s="5">
        <v>44851</v>
      </c>
      <c r="H644">
        <v>2</v>
      </c>
      <c r="I644">
        <v>44</v>
      </c>
      <c r="J644" s="1">
        <v>118569</v>
      </c>
      <c r="K644" s="1">
        <v>1422828</v>
      </c>
    </row>
    <row r="645" spans="1:11" x14ac:dyDescent="0.25">
      <c r="A645" s="3">
        <v>644</v>
      </c>
      <c r="B645" s="4" t="s">
        <v>61</v>
      </c>
      <c r="C645" s="4" t="s">
        <v>710</v>
      </c>
      <c r="D645" s="4" t="s">
        <v>826</v>
      </c>
      <c r="E645">
        <f>MONTH(Employee_Data[[#This Row],[HireDate]])</f>
        <v>3</v>
      </c>
      <c r="F645">
        <f>YEAR(Employee_Data[[#This Row],[HireDate]])</f>
        <v>2020</v>
      </c>
      <c r="G645" s="5">
        <v>43897</v>
      </c>
      <c r="H645">
        <v>5</v>
      </c>
      <c r="I645">
        <v>5</v>
      </c>
      <c r="J645" s="1">
        <v>96190</v>
      </c>
      <c r="K645" s="1">
        <v>1154280</v>
      </c>
    </row>
    <row r="646" spans="1:11" x14ac:dyDescent="0.25">
      <c r="A646" s="3">
        <v>645</v>
      </c>
      <c r="B646" s="4" t="s">
        <v>189</v>
      </c>
      <c r="C646" s="4" t="s">
        <v>711</v>
      </c>
      <c r="D646" s="4" t="s">
        <v>830</v>
      </c>
      <c r="E646">
        <f>MONTH(Employee_Data[[#This Row],[HireDate]])</f>
        <v>11</v>
      </c>
      <c r="F646">
        <f>YEAR(Employee_Data[[#This Row],[HireDate]])</f>
        <v>2022</v>
      </c>
      <c r="G646" s="5">
        <v>44884</v>
      </c>
      <c r="H646">
        <v>2</v>
      </c>
      <c r="I646">
        <v>23</v>
      </c>
      <c r="J646" s="1">
        <v>89678</v>
      </c>
      <c r="K646" s="1">
        <v>1076136</v>
      </c>
    </row>
    <row r="647" spans="1:11" x14ac:dyDescent="0.25">
      <c r="A647" s="3">
        <v>646</v>
      </c>
      <c r="B647" s="4" t="s">
        <v>22</v>
      </c>
      <c r="C647" s="4" t="s">
        <v>712</v>
      </c>
      <c r="D647" s="4" t="s">
        <v>827</v>
      </c>
      <c r="E647">
        <f>MONTH(Employee_Data[[#This Row],[HireDate]])</f>
        <v>1</v>
      </c>
      <c r="F647">
        <f>YEAR(Employee_Data[[#This Row],[HireDate]])</f>
        <v>2024</v>
      </c>
      <c r="G647" s="5">
        <v>45319</v>
      </c>
      <c r="H647">
        <v>1</v>
      </c>
      <c r="I647">
        <v>30</v>
      </c>
      <c r="J647" s="1">
        <v>22085</v>
      </c>
      <c r="K647" s="1">
        <v>265020</v>
      </c>
    </row>
    <row r="648" spans="1:11" x14ac:dyDescent="0.25">
      <c r="A648" s="3">
        <v>647</v>
      </c>
      <c r="B648" s="4" t="s">
        <v>230</v>
      </c>
      <c r="C648" s="4" t="s">
        <v>498</v>
      </c>
      <c r="D648" s="4" t="s">
        <v>826</v>
      </c>
      <c r="E648">
        <f>MONTH(Employee_Data[[#This Row],[HireDate]])</f>
        <v>3</v>
      </c>
      <c r="F648">
        <f>YEAR(Employee_Data[[#This Row],[HireDate]])</f>
        <v>2020</v>
      </c>
      <c r="G648" s="5">
        <v>43908</v>
      </c>
      <c r="H648">
        <v>4</v>
      </c>
      <c r="I648">
        <v>15</v>
      </c>
      <c r="J648" s="1">
        <v>20567</v>
      </c>
      <c r="K648" s="1">
        <v>246804</v>
      </c>
    </row>
    <row r="649" spans="1:11" x14ac:dyDescent="0.25">
      <c r="A649" s="3">
        <v>648</v>
      </c>
      <c r="B649" s="4" t="s">
        <v>304</v>
      </c>
      <c r="C649" s="4" t="s">
        <v>218</v>
      </c>
      <c r="D649" s="4" t="s">
        <v>828</v>
      </c>
      <c r="E649">
        <f>MONTH(Employee_Data[[#This Row],[HireDate]])</f>
        <v>8</v>
      </c>
      <c r="F649">
        <f>YEAR(Employee_Data[[#This Row],[HireDate]])</f>
        <v>2021</v>
      </c>
      <c r="G649" s="5">
        <v>44438</v>
      </c>
      <c r="H649">
        <v>2</v>
      </c>
      <c r="I649">
        <v>12</v>
      </c>
      <c r="J649" s="1">
        <v>109368</v>
      </c>
      <c r="K649" s="1">
        <v>1312416</v>
      </c>
    </row>
    <row r="650" spans="1:11" x14ac:dyDescent="0.25">
      <c r="A650" s="3">
        <v>649</v>
      </c>
      <c r="B650" s="4" t="s">
        <v>167</v>
      </c>
      <c r="C650" s="4" t="s">
        <v>382</v>
      </c>
      <c r="D650" s="4" t="s">
        <v>829</v>
      </c>
      <c r="E650">
        <f>MONTH(Employee_Data[[#This Row],[HireDate]])</f>
        <v>7</v>
      </c>
      <c r="F650">
        <f>YEAR(Employee_Data[[#This Row],[HireDate]])</f>
        <v>2024</v>
      </c>
      <c r="G650" s="5">
        <v>45476</v>
      </c>
      <c r="H650">
        <v>5</v>
      </c>
      <c r="I650">
        <v>14</v>
      </c>
      <c r="J650" s="1">
        <v>92698</v>
      </c>
      <c r="K650" s="1">
        <v>1112376</v>
      </c>
    </row>
    <row r="651" spans="1:11" x14ac:dyDescent="0.25">
      <c r="A651" s="3">
        <v>650</v>
      </c>
      <c r="B651" s="4" t="s">
        <v>133</v>
      </c>
      <c r="C651" s="4" t="s">
        <v>296</v>
      </c>
      <c r="D651" s="4" t="s">
        <v>826</v>
      </c>
      <c r="E651">
        <f>MONTH(Employee_Data[[#This Row],[HireDate]])</f>
        <v>2</v>
      </c>
      <c r="F651">
        <f>YEAR(Employee_Data[[#This Row],[HireDate]])</f>
        <v>2024</v>
      </c>
      <c r="G651" s="5">
        <v>45347</v>
      </c>
      <c r="H651">
        <v>3</v>
      </c>
      <c r="I651">
        <v>29</v>
      </c>
      <c r="J651" s="1">
        <v>116657</v>
      </c>
      <c r="K651" s="1">
        <v>1399884</v>
      </c>
    </row>
    <row r="652" spans="1:11" x14ac:dyDescent="0.25">
      <c r="A652" s="3">
        <v>651</v>
      </c>
      <c r="B652" s="4" t="s">
        <v>126</v>
      </c>
      <c r="C652" s="4" t="s">
        <v>713</v>
      </c>
      <c r="D652" s="4" t="s">
        <v>826</v>
      </c>
      <c r="E652">
        <f>MONTH(Employee_Data[[#This Row],[HireDate]])</f>
        <v>9</v>
      </c>
      <c r="F652">
        <f>YEAR(Employee_Data[[#This Row],[HireDate]])</f>
        <v>2024</v>
      </c>
      <c r="G652" s="5">
        <v>45556</v>
      </c>
      <c r="H652">
        <v>1</v>
      </c>
      <c r="I652">
        <v>10</v>
      </c>
      <c r="J652" s="1">
        <v>87226</v>
      </c>
      <c r="K652" s="1">
        <v>1046712</v>
      </c>
    </row>
    <row r="653" spans="1:11" x14ac:dyDescent="0.25">
      <c r="A653" s="3">
        <v>652</v>
      </c>
      <c r="B653" s="4" t="s">
        <v>18</v>
      </c>
      <c r="C653" s="4" t="s">
        <v>617</v>
      </c>
      <c r="D653" s="4" t="s">
        <v>826</v>
      </c>
      <c r="E653">
        <f>MONTH(Employee_Data[[#This Row],[HireDate]])</f>
        <v>3</v>
      </c>
      <c r="F653">
        <f>YEAR(Employee_Data[[#This Row],[HireDate]])</f>
        <v>2022</v>
      </c>
      <c r="G653" s="5">
        <v>44625</v>
      </c>
      <c r="H653">
        <v>2</v>
      </c>
      <c r="I653">
        <v>1</v>
      </c>
      <c r="J653" s="1">
        <v>90057</v>
      </c>
      <c r="K653" s="1">
        <v>1080684</v>
      </c>
    </row>
    <row r="654" spans="1:11" x14ac:dyDescent="0.25">
      <c r="A654" s="3">
        <v>653</v>
      </c>
      <c r="B654" s="4" t="s">
        <v>81</v>
      </c>
      <c r="C654" s="4" t="s">
        <v>366</v>
      </c>
      <c r="D654" s="4" t="s">
        <v>830</v>
      </c>
      <c r="E654">
        <f>MONTH(Employee_Data[[#This Row],[HireDate]])</f>
        <v>6</v>
      </c>
      <c r="F654">
        <f>YEAR(Employee_Data[[#This Row],[HireDate]])</f>
        <v>2021</v>
      </c>
      <c r="G654" s="5">
        <v>44349</v>
      </c>
      <c r="H654">
        <v>5</v>
      </c>
      <c r="I654">
        <v>23</v>
      </c>
      <c r="J654" s="1">
        <v>30764</v>
      </c>
      <c r="K654" s="1">
        <v>369168</v>
      </c>
    </row>
    <row r="655" spans="1:11" x14ac:dyDescent="0.25">
      <c r="A655" s="3">
        <v>654</v>
      </c>
      <c r="B655" s="4" t="s">
        <v>306</v>
      </c>
      <c r="C655" s="4" t="s">
        <v>379</v>
      </c>
      <c r="D655" s="4" t="s">
        <v>830</v>
      </c>
      <c r="E655">
        <f>MONTH(Employee_Data[[#This Row],[HireDate]])</f>
        <v>8</v>
      </c>
      <c r="F655">
        <f>YEAR(Employee_Data[[#This Row],[HireDate]])</f>
        <v>2024</v>
      </c>
      <c r="G655" s="5">
        <v>45524</v>
      </c>
      <c r="H655">
        <v>2</v>
      </c>
      <c r="I655">
        <v>42</v>
      </c>
      <c r="J655" s="1">
        <v>65955</v>
      </c>
      <c r="K655" s="1">
        <v>791460</v>
      </c>
    </row>
    <row r="656" spans="1:11" x14ac:dyDescent="0.25">
      <c r="A656" s="3">
        <v>655</v>
      </c>
      <c r="B656" s="4" t="s">
        <v>47</v>
      </c>
      <c r="C656" s="4" t="s">
        <v>714</v>
      </c>
      <c r="D656" s="4" t="s">
        <v>830</v>
      </c>
      <c r="E656">
        <f>MONTH(Employee_Data[[#This Row],[HireDate]])</f>
        <v>3</v>
      </c>
      <c r="F656">
        <f>YEAR(Employee_Data[[#This Row],[HireDate]])</f>
        <v>2021</v>
      </c>
      <c r="G656" s="5">
        <v>44274</v>
      </c>
      <c r="H656">
        <v>1</v>
      </c>
      <c r="I656">
        <v>47</v>
      </c>
      <c r="J656" s="1">
        <v>40407</v>
      </c>
      <c r="K656" s="1">
        <v>484884</v>
      </c>
    </row>
    <row r="657" spans="1:11" x14ac:dyDescent="0.25">
      <c r="A657" s="3">
        <v>656</v>
      </c>
      <c r="B657" s="4" t="s">
        <v>45</v>
      </c>
      <c r="C657" s="4" t="s">
        <v>366</v>
      </c>
      <c r="D657" s="4" t="s">
        <v>826</v>
      </c>
      <c r="E657">
        <f>MONTH(Employee_Data[[#This Row],[HireDate]])</f>
        <v>2</v>
      </c>
      <c r="F657">
        <f>YEAR(Employee_Data[[#This Row],[HireDate]])</f>
        <v>2019</v>
      </c>
      <c r="G657" s="5">
        <v>43520</v>
      </c>
      <c r="H657">
        <v>4</v>
      </c>
      <c r="I657">
        <v>39</v>
      </c>
      <c r="J657" s="1">
        <v>39422</v>
      </c>
      <c r="K657" s="1">
        <v>473064</v>
      </c>
    </row>
    <row r="658" spans="1:11" x14ac:dyDescent="0.25">
      <c r="A658" s="3">
        <v>657</v>
      </c>
      <c r="B658" s="4" t="s">
        <v>148</v>
      </c>
      <c r="C658" s="4" t="s">
        <v>715</v>
      </c>
      <c r="D658" s="4" t="s">
        <v>830</v>
      </c>
      <c r="E658">
        <f>MONTH(Employee_Data[[#This Row],[HireDate]])</f>
        <v>2</v>
      </c>
      <c r="F658">
        <f>YEAR(Employee_Data[[#This Row],[HireDate]])</f>
        <v>2021</v>
      </c>
      <c r="G658" s="5">
        <v>44228</v>
      </c>
      <c r="H658">
        <v>5</v>
      </c>
      <c r="I658">
        <v>37</v>
      </c>
      <c r="J658" s="1">
        <v>71763</v>
      </c>
      <c r="K658" s="1">
        <v>861156</v>
      </c>
    </row>
    <row r="659" spans="1:11" x14ac:dyDescent="0.25">
      <c r="A659" s="3">
        <v>658</v>
      </c>
      <c r="B659" s="4" t="s">
        <v>307</v>
      </c>
      <c r="C659" s="4" t="s">
        <v>447</v>
      </c>
      <c r="D659" s="4" t="s">
        <v>828</v>
      </c>
      <c r="E659">
        <f>MONTH(Employee_Data[[#This Row],[HireDate]])</f>
        <v>12</v>
      </c>
      <c r="F659">
        <f>YEAR(Employee_Data[[#This Row],[HireDate]])</f>
        <v>2017</v>
      </c>
      <c r="G659" s="5">
        <v>43085</v>
      </c>
      <c r="H659">
        <v>1</v>
      </c>
      <c r="I659">
        <v>27</v>
      </c>
      <c r="J659" s="1">
        <v>63868</v>
      </c>
      <c r="K659" s="1">
        <v>766416</v>
      </c>
    </row>
    <row r="660" spans="1:11" x14ac:dyDescent="0.25">
      <c r="A660" s="3">
        <v>659</v>
      </c>
      <c r="B660" s="4" t="s">
        <v>105</v>
      </c>
      <c r="C660" s="4" t="s">
        <v>432</v>
      </c>
      <c r="D660" s="4" t="s">
        <v>826</v>
      </c>
      <c r="E660">
        <f>MONTH(Employee_Data[[#This Row],[HireDate]])</f>
        <v>10</v>
      </c>
      <c r="F660">
        <f>YEAR(Employee_Data[[#This Row],[HireDate]])</f>
        <v>2022</v>
      </c>
      <c r="G660" s="5">
        <v>44836</v>
      </c>
      <c r="H660">
        <v>3</v>
      </c>
      <c r="I660">
        <v>30</v>
      </c>
      <c r="J660" s="1">
        <v>111047</v>
      </c>
      <c r="K660" s="1">
        <v>1332564</v>
      </c>
    </row>
    <row r="661" spans="1:11" x14ac:dyDescent="0.25">
      <c r="A661" s="3">
        <v>660</v>
      </c>
      <c r="B661" s="4" t="s">
        <v>258</v>
      </c>
      <c r="C661" s="4" t="s">
        <v>440</v>
      </c>
      <c r="D661" s="4" t="s">
        <v>830</v>
      </c>
      <c r="E661">
        <f>MONTH(Employee_Data[[#This Row],[HireDate]])</f>
        <v>4</v>
      </c>
      <c r="F661">
        <f>YEAR(Employee_Data[[#This Row],[HireDate]])</f>
        <v>2023</v>
      </c>
      <c r="G661" s="5">
        <v>45024</v>
      </c>
      <c r="H661">
        <v>2</v>
      </c>
      <c r="I661">
        <v>47</v>
      </c>
      <c r="J661" s="1">
        <v>79656</v>
      </c>
      <c r="K661" s="1">
        <v>955872</v>
      </c>
    </row>
    <row r="662" spans="1:11" x14ac:dyDescent="0.25">
      <c r="A662" s="3">
        <v>661</v>
      </c>
      <c r="B662" s="4" t="s">
        <v>308</v>
      </c>
      <c r="C662" s="4" t="s">
        <v>674</v>
      </c>
      <c r="D662" s="4" t="s">
        <v>829</v>
      </c>
      <c r="E662">
        <f>MONTH(Employee_Data[[#This Row],[HireDate]])</f>
        <v>4</v>
      </c>
      <c r="F662">
        <f>YEAR(Employee_Data[[#This Row],[HireDate]])</f>
        <v>2018</v>
      </c>
      <c r="G662" s="5">
        <v>43217</v>
      </c>
      <c r="H662">
        <v>1</v>
      </c>
      <c r="I662">
        <v>10</v>
      </c>
      <c r="J662" s="1">
        <v>73884</v>
      </c>
      <c r="K662" s="1">
        <v>886608</v>
      </c>
    </row>
    <row r="663" spans="1:11" x14ac:dyDescent="0.25">
      <c r="A663" s="3">
        <v>662</v>
      </c>
      <c r="B663" s="4" t="s">
        <v>309</v>
      </c>
      <c r="C663" s="4" t="s">
        <v>716</v>
      </c>
      <c r="D663" s="4" t="s">
        <v>827</v>
      </c>
      <c r="E663">
        <f>MONTH(Employee_Data[[#This Row],[HireDate]])</f>
        <v>3</v>
      </c>
      <c r="F663">
        <f>YEAR(Employee_Data[[#This Row],[HireDate]])</f>
        <v>2023</v>
      </c>
      <c r="G663" s="5">
        <v>44998</v>
      </c>
      <c r="H663">
        <v>5</v>
      </c>
      <c r="I663">
        <v>24</v>
      </c>
      <c r="J663" s="1">
        <v>58871</v>
      </c>
      <c r="K663" s="1">
        <v>706452</v>
      </c>
    </row>
    <row r="664" spans="1:11" x14ac:dyDescent="0.25">
      <c r="A664" s="3">
        <v>663</v>
      </c>
      <c r="B664" s="4" t="s">
        <v>239</v>
      </c>
      <c r="C664" s="4" t="s">
        <v>717</v>
      </c>
      <c r="D664" s="4" t="s">
        <v>829</v>
      </c>
      <c r="E664">
        <f>MONTH(Employee_Data[[#This Row],[HireDate]])</f>
        <v>4</v>
      </c>
      <c r="F664">
        <f>YEAR(Employee_Data[[#This Row],[HireDate]])</f>
        <v>2023</v>
      </c>
      <c r="G664" s="5">
        <v>45035</v>
      </c>
      <c r="H664">
        <v>2</v>
      </c>
      <c r="I664">
        <v>25</v>
      </c>
      <c r="J664" s="1">
        <v>23668</v>
      </c>
      <c r="K664" s="1">
        <v>284016</v>
      </c>
    </row>
    <row r="665" spans="1:11" x14ac:dyDescent="0.25">
      <c r="A665" s="3">
        <v>664</v>
      </c>
      <c r="B665" s="4" t="s">
        <v>222</v>
      </c>
      <c r="C665" s="4" t="s">
        <v>718</v>
      </c>
      <c r="D665" s="4" t="s">
        <v>829</v>
      </c>
      <c r="E665">
        <f>MONTH(Employee_Data[[#This Row],[HireDate]])</f>
        <v>5</v>
      </c>
      <c r="F665">
        <f>YEAR(Employee_Data[[#This Row],[HireDate]])</f>
        <v>2021</v>
      </c>
      <c r="G665" s="5">
        <v>44321</v>
      </c>
      <c r="H665">
        <v>4</v>
      </c>
      <c r="I665">
        <v>44</v>
      </c>
      <c r="J665" s="1">
        <v>100153</v>
      </c>
      <c r="K665" s="1">
        <v>1201836</v>
      </c>
    </row>
    <row r="666" spans="1:11" x14ac:dyDescent="0.25">
      <c r="A666" s="3">
        <v>665</v>
      </c>
      <c r="B666" s="4" t="s">
        <v>128</v>
      </c>
      <c r="C666" s="4" t="s">
        <v>719</v>
      </c>
      <c r="D666" s="4" t="s">
        <v>829</v>
      </c>
      <c r="E666">
        <f>MONTH(Employee_Data[[#This Row],[HireDate]])</f>
        <v>11</v>
      </c>
      <c r="F666">
        <f>YEAR(Employee_Data[[#This Row],[HireDate]])</f>
        <v>2023</v>
      </c>
      <c r="G666" s="5">
        <v>45246</v>
      </c>
      <c r="H666">
        <v>1</v>
      </c>
      <c r="I666">
        <v>27</v>
      </c>
      <c r="J666" s="1">
        <v>84315</v>
      </c>
      <c r="K666" s="1">
        <v>1011780</v>
      </c>
    </row>
    <row r="667" spans="1:11" x14ac:dyDescent="0.25">
      <c r="A667" s="3">
        <v>666</v>
      </c>
      <c r="B667" s="4" t="s">
        <v>91</v>
      </c>
      <c r="C667" s="4" t="s">
        <v>720</v>
      </c>
      <c r="D667" s="4" t="s">
        <v>829</v>
      </c>
      <c r="E667">
        <f>MONTH(Employee_Data[[#This Row],[HireDate]])</f>
        <v>11</v>
      </c>
      <c r="F667">
        <f>YEAR(Employee_Data[[#This Row],[HireDate]])</f>
        <v>2020</v>
      </c>
      <c r="G667" s="5">
        <v>44142</v>
      </c>
      <c r="H667">
        <v>3</v>
      </c>
      <c r="I667">
        <v>42</v>
      </c>
      <c r="J667" s="1">
        <v>82186</v>
      </c>
      <c r="K667" s="1">
        <v>986232</v>
      </c>
    </row>
    <row r="668" spans="1:11" x14ac:dyDescent="0.25">
      <c r="A668" s="3">
        <v>667</v>
      </c>
      <c r="B668" s="4" t="s">
        <v>310</v>
      </c>
      <c r="C668" s="4" t="s">
        <v>721</v>
      </c>
      <c r="D668" s="4" t="s">
        <v>830</v>
      </c>
      <c r="E668">
        <f>MONTH(Employee_Data[[#This Row],[HireDate]])</f>
        <v>7</v>
      </c>
      <c r="F668">
        <f>YEAR(Employee_Data[[#This Row],[HireDate]])</f>
        <v>2023</v>
      </c>
      <c r="G668" s="5">
        <v>45123</v>
      </c>
      <c r="H668">
        <v>3</v>
      </c>
      <c r="I668">
        <v>36</v>
      </c>
      <c r="J668" s="1">
        <v>115898</v>
      </c>
      <c r="K668" s="1">
        <v>1390776</v>
      </c>
    </row>
    <row r="669" spans="1:11" x14ac:dyDescent="0.25">
      <c r="A669" s="3">
        <v>668</v>
      </c>
      <c r="B669" s="4" t="s">
        <v>20</v>
      </c>
      <c r="C669" s="4" t="s">
        <v>722</v>
      </c>
      <c r="D669" s="4" t="s">
        <v>828</v>
      </c>
      <c r="E669">
        <f>MONTH(Employee_Data[[#This Row],[HireDate]])</f>
        <v>10</v>
      </c>
      <c r="F669">
        <f>YEAR(Employee_Data[[#This Row],[HireDate]])</f>
        <v>2024</v>
      </c>
      <c r="G669" s="5">
        <v>45592</v>
      </c>
      <c r="H669">
        <v>4</v>
      </c>
      <c r="I669">
        <v>44</v>
      </c>
      <c r="J669" s="1">
        <v>74415</v>
      </c>
      <c r="K669" s="1">
        <v>892980</v>
      </c>
    </row>
    <row r="670" spans="1:11" x14ac:dyDescent="0.25">
      <c r="A670" s="3">
        <v>669</v>
      </c>
      <c r="B670" s="4" t="s">
        <v>311</v>
      </c>
      <c r="C670" s="4" t="s">
        <v>723</v>
      </c>
      <c r="D670" s="4" t="s">
        <v>830</v>
      </c>
      <c r="E670">
        <f>MONTH(Employee_Data[[#This Row],[HireDate]])</f>
        <v>2</v>
      </c>
      <c r="F670">
        <f>YEAR(Employee_Data[[#This Row],[HireDate]])</f>
        <v>2022</v>
      </c>
      <c r="G670" s="5">
        <v>44604</v>
      </c>
      <c r="H670">
        <v>3</v>
      </c>
      <c r="I670">
        <v>41</v>
      </c>
      <c r="J670" s="1">
        <v>70727</v>
      </c>
      <c r="K670" s="1">
        <v>848724</v>
      </c>
    </row>
    <row r="671" spans="1:11" x14ac:dyDescent="0.25">
      <c r="A671" s="3">
        <v>670</v>
      </c>
      <c r="B671" s="4" t="s">
        <v>42</v>
      </c>
      <c r="C671" s="4" t="s">
        <v>724</v>
      </c>
      <c r="D671" s="4" t="s">
        <v>827</v>
      </c>
      <c r="E671">
        <f>MONTH(Employee_Data[[#This Row],[HireDate]])</f>
        <v>7</v>
      </c>
      <c r="F671">
        <f>YEAR(Employee_Data[[#This Row],[HireDate]])</f>
        <v>2016</v>
      </c>
      <c r="G671" s="5">
        <v>42559</v>
      </c>
      <c r="H671">
        <v>3</v>
      </c>
      <c r="I671">
        <v>47</v>
      </c>
      <c r="J671" s="1">
        <v>44282</v>
      </c>
      <c r="K671" s="1">
        <v>531384</v>
      </c>
    </row>
    <row r="672" spans="1:11" x14ac:dyDescent="0.25">
      <c r="A672" s="3">
        <v>671</v>
      </c>
      <c r="B672" s="4" t="s">
        <v>230</v>
      </c>
      <c r="C672" s="4" t="s">
        <v>402</v>
      </c>
      <c r="D672" s="4" t="s">
        <v>829</v>
      </c>
      <c r="E672">
        <f>MONTH(Employee_Data[[#This Row],[HireDate]])</f>
        <v>5</v>
      </c>
      <c r="F672">
        <f>YEAR(Employee_Data[[#This Row],[HireDate]])</f>
        <v>2024</v>
      </c>
      <c r="G672" s="5">
        <v>45425</v>
      </c>
      <c r="H672">
        <v>3</v>
      </c>
      <c r="I672">
        <v>48</v>
      </c>
      <c r="J672" s="1">
        <v>61162</v>
      </c>
      <c r="K672" s="1">
        <v>733944</v>
      </c>
    </row>
    <row r="673" spans="1:11" x14ac:dyDescent="0.25">
      <c r="A673" s="3">
        <v>672</v>
      </c>
      <c r="B673" s="4" t="s">
        <v>62</v>
      </c>
      <c r="C673" s="4" t="s">
        <v>590</v>
      </c>
      <c r="D673" s="4" t="s">
        <v>828</v>
      </c>
      <c r="E673">
        <f>MONTH(Employee_Data[[#This Row],[HireDate]])</f>
        <v>5</v>
      </c>
      <c r="F673">
        <f>YEAR(Employee_Data[[#This Row],[HireDate]])</f>
        <v>2016</v>
      </c>
      <c r="G673" s="5">
        <v>42506</v>
      </c>
      <c r="H673">
        <v>1</v>
      </c>
      <c r="I673">
        <v>21</v>
      </c>
      <c r="J673" s="1">
        <v>65959</v>
      </c>
      <c r="K673" s="1">
        <v>791508</v>
      </c>
    </row>
    <row r="674" spans="1:11" x14ac:dyDescent="0.25">
      <c r="A674" s="3">
        <v>673</v>
      </c>
      <c r="B674" s="4" t="s">
        <v>90</v>
      </c>
      <c r="C674" s="4" t="s">
        <v>385</v>
      </c>
      <c r="D674" s="4" t="s">
        <v>827</v>
      </c>
      <c r="E674">
        <f>MONTH(Employee_Data[[#This Row],[HireDate]])</f>
        <v>7</v>
      </c>
      <c r="F674">
        <f>YEAR(Employee_Data[[#This Row],[HireDate]])</f>
        <v>2017</v>
      </c>
      <c r="G674" s="5">
        <v>42942</v>
      </c>
      <c r="H674">
        <v>1</v>
      </c>
      <c r="I674">
        <v>8</v>
      </c>
      <c r="J674" s="1">
        <v>25741</v>
      </c>
      <c r="K674" s="1">
        <v>308892</v>
      </c>
    </row>
    <row r="675" spans="1:11" x14ac:dyDescent="0.25">
      <c r="A675" s="3">
        <v>674</v>
      </c>
      <c r="B675" s="4" t="s">
        <v>295</v>
      </c>
      <c r="C675" s="4" t="s">
        <v>617</v>
      </c>
      <c r="D675" s="4" t="s">
        <v>827</v>
      </c>
      <c r="E675">
        <f>MONTH(Employee_Data[[#This Row],[HireDate]])</f>
        <v>8</v>
      </c>
      <c r="F675">
        <f>YEAR(Employee_Data[[#This Row],[HireDate]])</f>
        <v>2016</v>
      </c>
      <c r="G675" s="5">
        <v>42590</v>
      </c>
      <c r="H675">
        <v>1</v>
      </c>
      <c r="I675">
        <v>14</v>
      </c>
      <c r="J675" s="1">
        <v>42626</v>
      </c>
      <c r="K675" s="1">
        <v>511512</v>
      </c>
    </row>
    <row r="676" spans="1:11" x14ac:dyDescent="0.25">
      <c r="A676" s="3">
        <v>675</v>
      </c>
      <c r="B676" s="4" t="s">
        <v>91</v>
      </c>
      <c r="C676" s="4" t="s">
        <v>552</v>
      </c>
      <c r="D676" s="4" t="s">
        <v>830</v>
      </c>
      <c r="E676">
        <f>MONTH(Employee_Data[[#This Row],[HireDate]])</f>
        <v>1</v>
      </c>
      <c r="F676">
        <f>YEAR(Employee_Data[[#This Row],[HireDate]])</f>
        <v>2020</v>
      </c>
      <c r="G676" s="5">
        <v>43847</v>
      </c>
      <c r="H676">
        <v>3</v>
      </c>
      <c r="I676">
        <v>32</v>
      </c>
      <c r="J676" s="1">
        <v>79407</v>
      </c>
      <c r="K676" s="1">
        <v>952884</v>
      </c>
    </row>
    <row r="677" spans="1:11" x14ac:dyDescent="0.25">
      <c r="A677" s="3">
        <v>676</v>
      </c>
      <c r="B677" s="4" t="s">
        <v>193</v>
      </c>
      <c r="C677" s="4" t="s">
        <v>725</v>
      </c>
      <c r="D677" s="4" t="s">
        <v>829</v>
      </c>
      <c r="E677">
        <f>MONTH(Employee_Data[[#This Row],[HireDate]])</f>
        <v>12</v>
      </c>
      <c r="F677">
        <f>YEAR(Employee_Data[[#This Row],[HireDate]])</f>
        <v>2020</v>
      </c>
      <c r="G677" s="5">
        <v>44168</v>
      </c>
      <c r="H677">
        <v>1</v>
      </c>
      <c r="I677">
        <v>27</v>
      </c>
      <c r="J677" s="1">
        <v>40374</v>
      </c>
      <c r="K677" s="1">
        <v>484488</v>
      </c>
    </row>
    <row r="678" spans="1:11" x14ac:dyDescent="0.25">
      <c r="A678" s="3">
        <v>677</v>
      </c>
      <c r="B678" s="4" t="s">
        <v>102</v>
      </c>
      <c r="C678" s="4" t="s">
        <v>682</v>
      </c>
      <c r="D678" s="4" t="s">
        <v>830</v>
      </c>
      <c r="E678">
        <f>MONTH(Employee_Data[[#This Row],[HireDate]])</f>
        <v>5</v>
      </c>
      <c r="F678">
        <f>YEAR(Employee_Data[[#This Row],[HireDate]])</f>
        <v>2022</v>
      </c>
      <c r="G678" s="5">
        <v>44689</v>
      </c>
      <c r="H678">
        <v>5</v>
      </c>
      <c r="I678">
        <v>29</v>
      </c>
      <c r="J678" s="1">
        <v>47964</v>
      </c>
      <c r="K678" s="1">
        <v>575568</v>
      </c>
    </row>
    <row r="679" spans="1:11" x14ac:dyDescent="0.25">
      <c r="A679" s="3">
        <v>678</v>
      </c>
      <c r="B679" s="4" t="s">
        <v>44</v>
      </c>
      <c r="C679" s="4" t="s">
        <v>726</v>
      </c>
      <c r="D679" s="4" t="s">
        <v>830</v>
      </c>
      <c r="E679">
        <f>MONTH(Employee_Data[[#This Row],[HireDate]])</f>
        <v>6</v>
      </c>
      <c r="F679">
        <f>YEAR(Employee_Data[[#This Row],[HireDate]])</f>
        <v>2021</v>
      </c>
      <c r="G679" s="5">
        <v>44365</v>
      </c>
      <c r="H679">
        <v>5</v>
      </c>
      <c r="I679">
        <v>10</v>
      </c>
      <c r="J679" s="1">
        <v>46285</v>
      </c>
      <c r="K679" s="1">
        <v>555420</v>
      </c>
    </row>
    <row r="680" spans="1:11" x14ac:dyDescent="0.25">
      <c r="A680" s="3">
        <v>679</v>
      </c>
      <c r="B680" s="4" t="s">
        <v>54</v>
      </c>
      <c r="C680" s="4" t="s">
        <v>382</v>
      </c>
      <c r="D680" s="4" t="s">
        <v>828</v>
      </c>
      <c r="E680">
        <f>MONTH(Employee_Data[[#This Row],[HireDate]])</f>
        <v>3</v>
      </c>
      <c r="F680">
        <f>YEAR(Employee_Data[[#This Row],[HireDate]])</f>
        <v>2019</v>
      </c>
      <c r="G680" s="5">
        <v>43544</v>
      </c>
      <c r="H680">
        <v>1</v>
      </c>
      <c r="I680">
        <v>21</v>
      </c>
      <c r="J680" s="1">
        <v>74345</v>
      </c>
      <c r="K680" s="1">
        <v>892140</v>
      </c>
    </row>
    <row r="681" spans="1:11" x14ac:dyDescent="0.25">
      <c r="A681" s="3">
        <v>680</v>
      </c>
      <c r="B681" s="4" t="s">
        <v>21</v>
      </c>
      <c r="C681" s="4" t="s">
        <v>226</v>
      </c>
      <c r="D681" s="4" t="s">
        <v>829</v>
      </c>
      <c r="E681">
        <f>MONTH(Employee_Data[[#This Row],[HireDate]])</f>
        <v>9</v>
      </c>
      <c r="F681">
        <f>YEAR(Employee_Data[[#This Row],[HireDate]])</f>
        <v>2019</v>
      </c>
      <c r="G681" s="5">
        <v>43732</v>
      </c>
      <c r="H681">
        <v>1</v>
      </c>
      <c r="I681">
        <v>11</v>
      </c>
      <c r="J681" s="1">
        <v>119201</v>
      </c>
      <c r="K681" s="1">
        <v>1430412</v>
      </c>
    </row>
    <row r="682" spans="1:11" x14ac:dyDescent="0.25">
      <c r="A682" s="3">
        <v>681</v>
      </c>
      <c r="B682" s="4" t="s">
        <v>130</v>
      </c>
      <c r="C682" s="4" t="s">
        <v>469</v>
      </c>
      <c r="D682" s="4" t="s">
        <v>830</v>
      </c>
      <c r="E682">
        <f>MONTH(Employee_Data[[#This Row],[HireDate]])</f>
        <v>1</v>
      </c>
      <c r="F682">
        <f>YEAR(Employee_Data[[#This Row],[HireDate]])</f>
        <v>2018</v>
      </c>
      <c r="G682" s="5">
        <v>43119</v>
      </c>
      <c r="H682">
        <v>2</v>
      </c>
      <c r="I682">
        <v>14</v>
      </c>
      <c r="J682" s="1">
        <v>45688</v>
      </c>
      <c r="K682" s="1">
        <v>548256</v>
      </c>
    </row>
    <row r="683" spans="1:11" x14ac:dyDescent="0.25">
      <c r="A683" s="3">
        <v>682</v>
      </c>
      <c r="B683" s="4" t="s">
        <v>312</v>
      </c>
      <c r="C683" s="4" t="s">
        <v>727</v>
      </c>
      <c r="D683" s="4" t="s">
        <v>826</v>
      </c>
      <c r="E683">
        <f>MONTH(Employee_Data[[#This Row],[HireDate]])</f>
        <v>12</v>
      </c>
      <c r="F683">
        <f>YEAR(Employee_Data[[#This Row],[HireDate]])</f>
        <v>2019</v>
      </c>
      <c r="G683" s="5">
        <v>43819</v>
      </c>
      <c r="H683">
        <v>5</v>
      </c>
      <c r="I683">
        <v>21</v>
      </c>
      <c r="J683" s="1">
        <v>47669</v>
      </c>
      <c r="K683" s="1">
        <v>572028</v>
      </c>
    </row>
    <row r="684" spans="1:11" x14ac:dyDescent="0.25">
      <c r="A684" s="3">
        <v>683</v>
      </c>
      <c r="B684" s="4" t="s">
        <v>158</v>
      </c>
      <c r="C684" s="4" t="s">
        <v>392</v>
      </c>
      <c r="D684" s="4" t="s">
        <v>829</v>
      </c>
      <c r="E684">
        <f>MONTH(Employee_Data[[#This Row],[HireDate]])</f>
        <v>2</v>
      </c>
      <c r="F684">
        <f>YEAR(Employee_Data[[#This Row],[HireDate]])</f>
        <v>2021</v>
      </c>
      <c r="G684" s="5">
        <v>44243</v>
      </c>
      <c r="H684">
        <v>2</v>
      </c>
      <c r="I684">
        <v>1</v>
      </c>
      <c r="J684" s="1">
        <v>101034</v>
      </c>
      <c r="K684" s="1">
        <v>1212408</v>
      </c>
    </row>
    <row r="685" spans="1:11" x14ac:dyDescent="0.25">
      <c r="A685" s="3">
        <v>684</v>
      </c>
      <c r="B685" s="4" t="s">
        <v>128</v>
      </c>
      <c r="C685" s="4" t="s">
        <v>717</v>
      </c>
      <c r="D685" s="4" t="s">
        <v>830</v>
      </c>
      <c r="E685">
        <f>MONTH(Employee_Data[[#This Row],[HireDate]])</f>
        <v>4</v>
      </c>
      <c r="F685">
        <f>YEAR(Employee_Data[[#This Row],[HireDate]])</f>
        <v>2019</v>
      </c>
      <c r="G685" s="5">
        <v>43563</v>
      </c>
      <c r="H685">
        <v>3</v>
      </c>
      <c r="I685">
        <v>22</v>
      </c>
      <c r="J685" s="1">
        <v>93903</v>
      </c>
      <c r="K685" s="1">
        <v>1126836</v>
      </c>
    </row>
    <row r="686" spans="1:11" x14ac:dyDescent="0.25">
      <c r="A686" s="3">
        <v>685</v>
      </c>
      <c r="B686" s="4" t="s">
        <v>65</v>
      </c>
      <c r="C686" s="4" t="s">
        <v>728</v>
      </c>
      <c r="D686" s="4" t="s">
        <v>828</v>
      </c>
      <c r="E686">
        <f>MONTH(Employee_Data[[#This Row],[HireDate]])</f>
        <v>9</v>
      </c>
      <c r="F686">
        <f>YEAR(Employee_Data[[#This Row],[HireDate]])</f>
        <v>2022</v>
      </c>
      <c r="G686" s="5">
        <v>44814</v>
      </c>
      <c r="H686">
        <v>5</v>
      </c>
      <c r="I686">
        <v>20</v>
      </c>
      <c r="J686" s="1">
        <v>45149</v>
      </c>
      <c r="K686" s="1">
        <v>541788</v>
      </c>
    </row>
    <row r="687" spans="1:11" x14ac:dyDescent="0.25">
      <c r="A687" s="3">
        <v>686</v>
      </c>
      <c r="B687" s="4" t="s">
        <v>28</v>
      </c>
      <c r="C687" s="4" t="s">
        <v>630</v>
      </c>
      <c r="D687" s="4" t="s">
        <v>828</v>
      </c>
      <c r="E687">
        <f>MONTH(Employee_Data[[#This Row],[HireDate]])</f>
        <v>3</v>
      </c>
      <c r="F687">
        <f>YEAR(Employee_Data[[#This Row],[HireDate]])</f>
        <v>2021</v>
      </c>
      <c r="G687" s="5">
        <v>44262</v>
      </c>
      <c r="H687">
        <v>5</v>
      </c>
      <c r="I687">
        <v>49</v>
      </c>
      <c r="J687" s="1">
        <v>52543</v>
      </c>
      <c r="K687" s="1">
        <v>630516</v>
      </c>
    </row>
    <row r="688" spans="1:11" x14ac:dyDescent="0.25">
      <c r="A688" s="3">
        <v>687</v>
      </c>
      <c r="B688" s="4" t="s">
        <v>115</v>
      </c>
      <c r="C688" s="4" t="s">
        <v>729</v>
      </c>
      <c r="D688" s="4" t="s">
        <v>826</v>
      </c>
      <c r="E688">
        <f>MONTH(Employee_Data[[#This Row],[HireDate]])</f>
        <v>4</v>
      </c>
      <c r="F688">
        <f>YEAR(Employee_Data[[#This Row],[HireDate]])</f>
        <v>2024</v>
      </c>
      <c r="G688" s="5">
        <v>45389</v>
      </c>
      <c r="H688">
        <v>2</v>
      </c>
      <c r="I688">
        <v>46</v>
      </c>
      <c r="J688" s="1">
        <v>90959</v>
      </c>
      <c r="K688" s="1">
        <v>1091508</v>
      </c>
    </row>
    <row r="689" spans="1:11" x14ac:dyDescent="0.25">
      <c r="A689" s="3">
        <v>688</v>
      </c>
      <c r="B689" s="4" t="s">
        <v>74</v>
      </c>
      <c r="C689" s="4" t="s">
        <v>730</v>
      </c>
      <c r="D689" s="4" t="s">
        <v>826</v>
      </c>
      <c r="E689">
        <f>MONTH(Employee_Data[[#This Row],[HireDate]])</f>
        <v>6</v>
      </c>
      <c r="F689">
        <f>YEAR(Employee_Data[[#This Row],[HireDate]])</f>
        <v>2016</v>
      </c>
      <c r="G689" s="5">
        <v>42522</v>
      </c>
      <c r="H689">
        <v>1</v>
      </c>
      <c r="I689">
        <v>42</v>
      </c>
      <c r="J689" s="1">
        <v>79957</v>
      </c>
      <c r="K689" s="1">
        <v>959484</v>
      </c>
    </row>
    <row r="690" spans="1:11" x14ac:dyDescent="0.25">
      <c r="A690" s="3">
        <v>689</v>
      </c>
      <c r="B690" s="4" t="s">
        <v>16</v>
      </c>
      <c r="C690" s="4" t="s">
        <v>432</v>
      </c>
      <c r="D690" s="4" t="s">
        <v>830</v>
      </c>
      <c r="E690">
        <f>MONTH(Employee_Data[[#This Row],[HireDate]])</f>
        <v>2</v>
      </c>
      <c r="F690">
        <f>YEAR(Employee_Data[[#This Row],[HireDate]])</f>
        <v>2021</v>
      </c>
      <c r="G690" s="5">
        <v>44236</v>
      </c>
      <c r="H690">
        <v>2</v>
      </c>
      <c r="I690">
        <v>14</v>
      </c>
      <c r="J690" s="1">
        <v>92019</v>
      </c>
      <c r="K690" s="1">
        <v>1104228</v>
      </c>
    </row>
    <row r="691" spans="1:11" x14ac:dyDescent="0.25">
      <c r="A691" s="3">
        <v>690</v>
      </c>
      <c r="B691" s="4" t="s">
        <v>61</v>
      </c>
      <c r="C691" s="4" t="s">
        <v>74</v>
      </c>
      <c r="D691" s="4" t="s">
        <v>826</v>
      </c>
      <c r="E691">
        <f>MONTH(Employee_Data[[#This Row],[HireDate]])</f>
        <v>4</v>
      </c>
      <c r="F691">
        <f>YEAR(Employee_Data[[#This Row],[HireDate]])</f>
        <v>2020</v>
      </c>
      <c r="G691" s="5">
        <v>43930</v>
      </c>
      <c r="H691">
        <v>5</v>
      </c>
      <c r="I691">
        <v>15</v>
      </c>
      <c r="J691" s="1">
        <v>94496</v>
      </c>
      <c r="K691" s="1">
        <v>1133952</v>
      </c>
    </row>
    <row r="692" spans="1:11" x14ac:dyDescent="0.25">
      <c r="A692" s="3">
        <v>691</v>
      </c>
      <c r="B692" s="4" t="s">
        <v>17</v>
      </c>
      <c r="C692" s="4" t="s">
        <v>178</v>
      </c>
      <c r="D692" s="4" t="s">
        <v>830</v>
      </c>
      <c r="E692">
        <f>MONTH(Employee_Data[[#This Row],[HireDate]])</f>
        <v>8</v>
      </c>
      <c r="F692">
        <f>YEAR(Employee_Data[[#This Row],[HireDate]])</f>
        <v>2016</v>
      </c>
      <c r="G692" s="5">
        <v>42590</v>
      </c>
      <c r="H692">
        <v>4</v>
      </c>
      <c r="I692">
        <v>47</v>
      </c>
      <c r="J692" s="1">
        <v>77674</v>
      </c>
      <c r="K692" s="1">
        <v>932088</v>
      </c>
    </row>
    <row r="693" spans="1:11" x14ac:dyDescent="0.25">
      <c r="A693" s="3">
        <v>692</v>
      </c>
      <c r="B693" s="4" t="s">
        <v>313</v>
      </c>
      <c r="C693" s="4" t="s">
        <v>731</v>
      </c>
      <c r="D693" s="4" t="s">
        <v>829</v>
      </c>
      <c r="E693">
        <f>MONTH(Employee_Data[[#This Row],[HireDate]])</f>
        <v>1</v>
      </c>
      <c r="F693">
        <f>YEAR(Employee_Data[[#This Row],[HireDate]])</f>
        <v>2017</v>
      </c>
      <c r="G693" s="5">
        <v>42750</v>
      </c>
      <c r="H693">
        <v>5</v>
      </c>
      <c r="I693">
        <v>34</v>
      </c>
      <c r="J693" s="1">
        <v>48977</v>
      </c>
      <c r="K693" s="1">
        <v>587724</v>
      </c>
    </row>
    <row r="694" spans="1:11" x14ac:dyDescent="0.25">
      <c r="A694" s="3">
        <v>693</v>
      </c>
      <c r="B694" s="4" t="s">
        <v>145</v>
      </c>
      <c r="C694" s="4" t="s">
        <v>428</v>
      </c>
      <c r="D694" s="4" t="s">
        <v>826</v>
      </c>
      <c r="E694">
        <f>MONTH(Employee_Data[[#This Row],[HireDate]])</f>
        <v>10</v>
      </c>
      <c r="F694">
        <f>YEAR(Employee_Data[[#This Row],[HireDate]])</f>
        <v>2022</v>
      </c>
      <c r="G694" s="5">
        <v>44862</v>
      </c>
      <c r="H694">
        <v>4</v>
      </c>
      <c r="I694">
        <v>14</v>
      </c>
      <c r="J694" s="1">
        <v>42412</v>
      </c>
      <c r="K694" s="1">
        <v>508944</v>
      </c>
    </row>
    <row r="695" spans="1:11" x14ac:dyDescent="0.25">
      <c r="A695" s="3">
        <v>694</v>
      </c>
      <c r="B695" s="4" t="s">
        <v>129</v>
      </c>
      <c r="C695" s="4" t="s">
        <v>732</v>
      </c>
      <c r="D695" s="4" t="s">
        <v>827</v>
      </c>
      <c r="E695">
        <f>MONTH(Employee_Data[[#This Row],[HireDate]])</f>
        <v>3</v>
      </c>
      <c r="F695">
        <f>YEAR(Employee_Data[[#This Row],[HireDate]])</f>
        <v>2023</v>
      </c>
      <c r="G695" s="5">
        <v>45011</v>
      </c>
      <c r="H695">
        <v>4</v>
      </c>
      <c r="I695">
        <v>19</v>
      </c>
      <c r="J695" s="1">
        <v>39462</v>
      </c>
      <c r="K695" s="1">
        <v>473544</v>
      </c>
    </row>
    <row r="696" spans="1:11" x14ac:dyDescent="0.25">
      <c r="A696" s="3">
        <v>695</v>
      </c>
      <c r="B696" s="4" t="s">
        <v>122</v>
      </c>
      <c r="C696" s="4" t="s">
        <v>733</v>
      </c>
      <c r="D696" s="4" t="s">
        <v>830</v>
      </c>
      <c r="E696">
        <f>MONTH(Employee_Data[[#This Row],[HireDate]])</f>
        <v>7</v>
      </c>
      <c r="F696">
        <f>YEAR(Employee_Data[[#This Row],[HireDate]])</f>
        <v>2021</v>
      </c>
      <c r="G696" s="5">
        <v>44408</v>
      </c>
      <c r="H696">
        <v>3</v>
      </c>
      <c r="I696">
        <v>42</v>
      </c>
      <c r="J696" s="1">
        <v>93209</v>
      </c>
      <c r="K696" s="1">
        <v>1118508</v>
      </c>
    </row>
    <row r="697" spans="1:11" x14ac:dyDescent="0.25">
      <c r="A697" s="3">
        <v>696</v>
      </c>
      <c r="B697" s="4" t="s">
        <v>126</v>
      </c>
      <c r="C697" s="4" t="s">
        <v>734</v>
      </c>
      <c r="D697" s="4" t="s">
        <v>829</v>
      </c>
      <c r="E697">
        <f>MONTH(Employee_Data[[#This Row],[HireDate]])</f>
        <v>12</v>
      </c>
      <c r="F697">
        <f>YEAR(Employee_Data[[#This Row],[HireDate]])</f>
        <v>2019</v>
      </c>
      <c r="G697" s="5">
        <v>43806</v>
      </c>
      <c r="H697">
        <v>4</v>
      </c>
      <c r="I697">
        <v>5</v>
      </c>
      <c r="J697" s="1">
        <v>59380</v>
      </c>
      <c r="K697" s="1">
        <v>712560</v>
      </c>
    </row>
    <row r="698" spans="1:11" x14ac:dyDescent="0.25">
      <c r="A698" s="3">
        <v>697</v>
      </c>
      <c r="B698" s="4" t="s">
        <v>82</v>
      </c>
      <c r="C698" s="4" t="s">
        <v>396</v>
      </c>
      <c r="D698" s="4" t="s">
        <v>830</v>
      </c>
      <c r="E698">
        <f>MONTH(Employee_Data[[#This Row],[HireDate]])</f>
        <v>9</v>
      </c>
      <c r="F698">
        <f>YEAR(Employee_Data[[#This Row],[HireDate]])</f>
        <v>2021</v>
      </c>
      <c r="G698" s="5">
        <v>44451</v>
      </c>
      <c r="H698">
        <v>5</v>
      </c>
      <c r="I698">
        <v>45</v>
      </c>
      <c r="J698" s="1">
        <v>82016</v>
      </c>
      <c r="K698" s="1">
        <v>984192</v>
      </c>
    </row>
    <row r="699" spans="1:11" x14ac:dyDescent="0.25">
      <c r="A699" s="3">
        <v>698</v>
      </c>
      <c r="B699" s="4" t="s">
        <v>189</v>
      </c>
      <c r="C699" s="4" t="s">
        <v>735</v>
      </c>
      <c r="D699" s="4" t="s">
        <v>826</v>
      </c>
      <c r="E699">
        <f>MONTH(Employee_Data[[#This Row],[HireDate]])</f>
        <v>7</v>
      </c>
      <c r="F699">
        <f>YEAR(Employee_Data[[#This Row],[HireDate]])</f>
        <v>2019</v>
      </c>
      <c r="G699" s="5">
        <v>43665</v>
      </c>
      <c r="H699">
        <v>1</v>
      </c>
      <c r="I699">
        <v>2</v>
      </c>
      <c r="J699" s="1">
        <v>93727</v>
      </c>
      <c r="K699" s="1">
        <v>1124724</v>
      </c>
    </row>
    <row r="700" spans="1:11" x14ac:dyDescent="0.25">
      <c r="A700" s="3">
        <v>699</v>
      </c>
      <c r="B700" s="4" t="s">
        <v>178</v>
      </c>
      <c r="C700" s="4" t="s">
        <v>736</v>
      </c>
      <c r="D700" s="4" t="s">
        <v>830</v>
      </c>
      <c r="E700">
        <f>MONTH(Employee_Data[[#This Row],[HireDate]])</f>
        <v>5</v>
      </c>
      <c r="F700">
        <f>YEAR(Employee_Data[[#This Row],[HireDate]])</f>
        <v>2017</v>
      </c>
      <c r="G700" s="5">
        <v>42862</v>
      </c>
      <c r="H700">
        <v>3</v>
      </c>
      <c r="I700">
        <v>2</v>
      </c>
      <c r="J700" s="1">
        <v>59153</v>
      </c>
      <c r="K700" s="1">
        <v>709836</v>
      </c>
    </row>
    <row r="701" spans="1:11" x14ac:dyDescent="0.25">
      <c r="A701" s="3">
        <v>700</v>
      </c>
      <c r="B701" s="4" t="s">
        <v>256</v>
      </c>
      <c r="C701" s="4" t="s">
        <v>737</v>
      </c>
      <c r="D701" s="4" t="s">
        <v>829</v>
      </c>
      <c r="E701">
        <f>MONTH(Employee_Data[[#This Row],[HireDate]])</f>
        <v>11</v>
      </c>
      <c r="F701">
        <f>YEAR(Employee_Data[[#This Row],[HireDate]])</f>
        <v>2019</v>
      </c>
      <c r="G701" s="5">
        <v>43799</v>
      </c>
      <c r="H701">
        <v>5</v>
      </c>
      <c r="I701">
        <v>43</v>
      </c>
      <c r="J701" s="1">
        <v>54297</v>
      </c>
      <c r="K701" s="1">
        <v>651564</v>
      </c>
    </row>
    <row r="702" spans="1:11" x14ac:dyDescent="0.25">
      <c r="A702" s="3">
        <v>701</v>
      </c>
      <c r="B702" s="4" t="s">
        <v>314</v>
      </c>
      <c r="C702" s="4" t="s">
        <v>478</v>
      </c>
      <c r="D702" s="4" t="s">
        <v>830</v>
      </c>
      <c r="E702">
        <f>MONTH(Employee_Data[[#This Row],[HireDate]])</f>
        <v>10</v>
      </c>
      <c r="F702">
        <f>YEAR(Employee_Data[[#This Row],[HireDate]])</f>
        <v>2021</v>
      </c>
      <c r="G702" s="5">
        <v>44491</v>
      </c>
      <c r="H702">
        <v>2</v>
      </c>
      <c r="I702">
        <v>40</v>
      </c>
      <c r="J702" s="1">
        <v>26435</v>
      </c>
      <c r="K702" s="1">
        <v>317220</v>
      </c>
    </row>
    <row r="703" spans="1:11" x14ac:dyDescent="0.25">
      <c r="A703" s="3">
        <v>702</v>
      </c>
      <c r="B703" s="4" t="s">
        <v>315</v>
      </c>
      <c r="C703" s="4" t="s">
        <v>553</v>
      </c>
      <c r="D703" s="4" t="s">
        <v>829</v>
      </c>
      <c r="E703">
        <f>MONTH(Employee_Data[[#This Row],[HireDate]])</f>
        <v>12</v>
      </c>
      <c r="F703">
        <f>YEAR(Employee_Data[[#This Row],[HireDate]])</f>
        <v>2023</v>
      </c>
      <c r="G703" s="5">
        <v>45282</v>
      </c>
      <c r="H703">
        <v>5</v>
      </c>
      <c r="I703">
        <v>23</v>
      </c>
      <c r="J703" s="1">
        <v>107796</v>
      </c>
      <c r="K703" s="1">
        <v>1293552</v>
      </c>
    </row>
    <row r="704" spans="1:11" x14ac:dyDescent="0.25">
      <c r="A704" s="3">
        <v>703</v>
      </c>
      <c r="B704" s="4" t="s">
        <v>316</v>
      </c>
      <c r="C704" s="4" t="s">
        <v>395</v>
      </c>
      <c r="D704" s="4" t="s">
        <v>826</v>
      </c>
      <c r="E704">
        <f>MONTH(Employee_Data[[#This Row],[HireDate]])</f>
        <v>9</v>
      </c>
      <c r="F704">
        <f>YEAR(Employee_Data[[#This Row],[HireDate]])</f>
        <v>2016</v>
      </c>
      <c r="G704" s="5">
        <v>42622</v>
      </c>
      <c r="H704">
        <v>4</v>
      </c>
      <c r="I704">
        <v>13</v>
      </c>
      <c r="J704" s="1">
        <v>92709</v>
      </c>
      <c r="K704" s="1">
        <v>1112508</v>
      </c>
    </row>
    <row r="705" spans="1:11" x14ac:dyDescent="0.25">
      <c r="A705" s="3">
        <v>704</v>
      </c>
      <c r="B705" s="4" t="s">
        <v>317</v>
      </c>
      <c r="C705" s="4" t="s">
        <v>738</v>
      </c>
      <c r="D705" s="4" t="s">
        <v>829</v>
      </c>
      <c r="E705">
        <f>MONTH(Employee_Data[[#This Row],[HireDate]])</f>
        <v>1</v>
      </c>
      <c r="F705">
        <f>YEAR(Employee_Data[[#This Row],[HireDate]])</f>
        <v>2017</v>
      </c>
      <c r="G705" s="5">
        <v>42745</v>
      </c>
      <c r="H705">
        <v>3</v>
      </c>
      <c r="I705">
        <v>26</v>
      </c>
      <c r="J705" s="1">
        <v>20247</v>
      </c>
      <c r="K705" s="1">
        <v>242964</v>
      </c>
    </row>
    <row r="706" spans="1:11" x14ac:dyDescent="0.25">
      <c r="A706" s="3">
        <v>705</v>
      </c>
      <c r="B706" s="4" t="s">
        <v>318</v>
      </c>
      <c r="C706" s="4" t="s">
        <v>623</v>
      </c>
      <c r="D706" s="4" t="s">
        <v>827</v>
      </c>
      <c r="E706">
        <f>MONTH(Employee_Data[[#This Row],[HireDate]])</f>
        <v>5</v>
      </c>
      <c r="F706">
        <f>YEAR(Employee_Data[[#This Row],[HireDate]])</f>
        <v>2019</v>
      </c>
      <c r="G706" s="5">
        <v>43597</v>
      </c>
      <c r="H706">
        <v>3</v>
      </c>
      <c r="I706">
        <v>35</v>
      </c>
      <c r="J706" s="1">
        <v>31862</v>
      </c>
      <c r="K706" s="1">
        <v>382344</v>
      </c>
    </row>
    <row r="707" spans="1:11" x14ac:dyDescent="0.25">
      <c r="A707" s="3">
        <v>706</v>
      </c>
      <c r="B707" s="4" t="s">
        <v>147</v>
      </c>
      <c r="C707" s="4" t="s">
        <v>402</v>
      </c>
      <c r="D707" s="4" t="s">
        <v>830</v>
      </c>
      <c r="E707">
        <f>MONTH(Employee_Data[[#This Row],[HireDate]])</f>
        <v>4</v>
      </c>
      <c r="F707">
        <f>YEAR(Employee_Data[[#This Row],[HireDate]])</f>
        <v>2017</v>
      </c>
      <c r="G707" s="5">
        <v>42840</v>
      </c>
      <c r="H707">
        <v>4</v>
      </c>
      <c r="I707">
        <v>16</v>
      </c>
      <c r="J707" s="1">
        <v>64341</v>
      </c>
      <c r="K707" s="1">
        <v>772092</v>
      </c>
    </row>
    <row r="708" spans="1:11" x14ac:dyDescent="0.25">
      <c r="A708" s="3">
        <v>707</v>
      </c>
      <c r="B708" s="4" t="s">
        <v>65</v>
      </c>
      <c r="C708" s="4" t="s">
        <v>739</v>
      </c>
      <c r="D708" s="4" t="s">
        <v>829</v>
      </c>
      <c r="E708">
        <f>MONTH(Employee_Data[[#This Row],[HireDate]])</f>
        <v>7</v>
      </c>
      <c r="F708">
        <f>YEAR(Employee_Data[[#This Row],[HireDate]])</f>
        <v>2023</v>
      </c>
      <c r="G708" s="5">
        <v>45114</v>
      </c>
      <c r="H708">
        <v>2</v>
      </c>
      <c r="I708">
        <v>12</v>
      </c>
      <c r="J708" s="1">
        <v>38827</v>
      </c>
      <c r="K708" s="1">
        <v>465924</v>
      </c>
    </row>
    <row r="709" spans="1:11" x14ac:dyDescent="0.25">
      <c r="A709" s="3">
        <v>708</v>
      </c>
      <c r="B709" s="4" t="s">
        <v>24</v>
      </c>
      <c r="C709" s="4" t="s">
        <v>637</v>
      </c>
      <c r="D709" s="4" t="s">
        <v>830</v>
      </c>
      <c r="E709">
        <f>MONTH(Employee_Data[[#This Row],[HireDate]])</f>
        <v>8</v>
      </c>
      <c r="F709">
        <f>YEAR(Employee_Data[[#This Row],[HireDate]])</f>
        <v>2018</v>
      </c>
      <c r="G709" s="5">
        <v>43335</v>
      </c>
      <c r="H709">
        <v>2</v>
      </c>
      <c r="I709">
        <v>16</v>
      </c>
      <c r="J709" s="1">
        <v>87930</v>
      </c>
      <c r="K709" s="1">
        <v>1055160</v>
      </c>
    </row>
    <row r="710" spans="1:11" x14ac:dyDescent="0.25">
      <c r="A710" s="3">
        <v>709</v>
      </c>
      <c r="B710" s="4" t="s">
        <v>319</v>
      </c>
      <c r="C710" s="4" t="s">
        <v>596</v>
      </c>
      <c r="D710" s="4" t="s">
        <v>829</v>
      </c>
      <c r="E710">
        <f>MONTH(Employee_Data[[#This Row],[HireDate]])</f>
        <v>3</v>
      </c>
      <c r="F710">
        <f>YEAR(Employee_Data[[#This Row],[HireDate]])</f>
        <v>2016</v>
      </c>
      <c r="G710" s="5">
        <v>42446</v>
      </c>
      <c r="H710">
        <v>3</v>
      </c>
      <c r="I710">
        <v>39</v>
      </c>
      <c r="J710" s="1">
        <v>68408</v>
      </c>
      <c r="K710" s="1">
        <v>820896</v>
      </c>
    </row>
    <row r="711" spans="1:11" x14ac:dyDescent="0.25">
      <c r="A711" s="3">
        <v>710</v>
      </c>
      <c r="B711" s="4" t="s">
        <v>29</v>
      </c>
      <c r="C711" s="4" t="s">
        <v>549</v>
      </c>
      <c r="D711" s="4" t="s">
        <v>826</v>
      </c>
      <c r="E711">
        <f>MONTH(Employee_Data[[#This Row],[HireDate]])</f>
        <v>8</v>
      </c>
      <c r="F711">
        <f>YEAR(Employee_Data[[#This Row],[HireDate]])</f>
        <v>2018</v>
      </c>
      <c r="G711" s="5">
        <v>43322</v>
      </c>
      <c r="H711">
        <v>3</v>
      </c>
      <c r="I711">
        <v>10</v>
      </c>
      <c r="J711" s="1">
        <v>105976</v>
      </c>
      <c r="K711" s="1">
        <v>1271712</v>
      </c>
    </row>
    <row r="712" spans="1:11" x14ac:dyDescent="0.25">
      <c r="A712" s="3">
        <v>711</v>
      </c>
      <c r="B712" s="4" t="s">
        <v>320</v>
      </c>
      <c r="C712" s="4" t="s">
        <v>740</v>
      </c>
      <c r="D712" s="4" t="s">
        <v>827</v>
      </c>
      <c r="E712">
        <f>MONTH(Employee_Data[[#This Row],[HireDate]])</f>
        <v>12</v>
      </c>
      <c r="F712">
        <f>YEAR(Employee_Data[[#This Row],[HireDate]])</f>
        <v>2019</v>
      </c>
      <c r="G712" s="5">
        <v>43806</v>
      </c>
      <c r="H712">
        <v>5</v>
      </c>
      <c r="I712">
        <v>31</v>
      </c>
      <c r="J712" s="1">
        <v>106082</v>
      </c>
      <c r="K712" s="1">
        <v>1272984</v>
      </c>
    </row>
    <row r="713" spans="1:11" x14ac:dyDescent="0.25">
      <c r="A713" s="3">
        <v>712</v>
      </c>
      <c r="B713" s="4" t="s">
        <v>98</v>
      </c>
      <c r="C713" s="4" t="s">
        <v>509</v>
      </c>
      <c r="D713" s="4" t="s">
        <v>830</v>
      </c>
      <c r="E713">
        <f>MONTH(Employee_Data[[#This Row],[HireDate]])</f>
        <v>8</v>
      </c>
      <c r="F713">
        <f>YEAR(Employee_Data[[#This Row],[HireDate]])</f>
        <v>2024</v>
      </c>
      <c r="G713" s="5">
        <v>45514</v>
      </c>
      <c r="H713">
        <v>2</v>
      </c>
      <c r="I713">
        <v>4</v>
      </c>
      <c r="J713" s="1">
        <v>20685</v>
      </c>
      <c r="K713" s="1">
        <v>248220</v>
      </c>
    </row>
    <row r="714" spans="1:11" x14ac:dyDescent="0.25">
      <c r="A714" s="3">
        <v>713</v>
      </c>
      <c r="B714" s="4" t="s">
        <v>321</v>
      </c>
      <c r="C714" s="4" t="s">
        <v>404</v>
      </c>
      <c r="D714" s="4" t="s">
        <v>828</v>
      </c>
      <c r="E714">
        <f>MONTH(Employee_Data[[#This Row],[HireDate]])</f>
        <v>7</v>
      </c>
      <c r="F714">
        <f>YEAR(Employee_Data[[#This Row],[HireDate]])</f>
        <v>2024</v>
      </c>
      <c r="G714" s="5">
        <v>45492</v>
      </c>
      <c r="H714">
        <v>3</v>
      </c>
      <c r="I714">
        <v>12</v>
      </c>
      <c r="J714" s="1">
        <v>107553</v>
      </c>
      <c r="K714" s="1">
        <v>1290636</v>
      </c>
    </row>
    <row r="715" spans="1:11" x14ac:dyDescent="0.25">
      <c r="A715" s="3">
        <v>714</v>
      </c>
      <c r="B715" s="4" t="s">
        <v>322</v>
      </c>
      <c r="C715" s="4" t="s">
        <v>741</v>
      </c>
      <c r="D715" s="4" t="s">
        <v>827</v>
      </c>
      <c r="E715">
        <f>MONTH(Employee_Data[[#This Row],[HireDate]])</f>
        <v>10</v>
      </c>
      <c r="F715">
        <f>YEAR(Employee_Data[[#This Row],[HireDate]])</f>
        <v>2019</v>
      </c>
      <c r="G715" s="5">
        <v>43759</v>
      </c>
      <c r="H715">
        <v>5</v>
      </c>
      <c r="I715">
        <v>8</v>
      </c>
      <c r="J715" s="1">
        <v>60269</v>
      </c>
      <c r="K715" s="1">
        <v>723228</v>
      </c>
    </row>
    <row r="716" spans="1:11" x14ac:dyDescent="0.25">
      <c r="A716" s="3">
        <v>715</v>
      </c>
      <c r="B716" s="4" t="s">
        <v>133</v>
      </c>
      <c r="C716" s="4" t="s">
        <v>742</v>
      </c>
      <c r="D716" s="4" t="s">
        <v>826</v>
      </c>
      <c r="E716">
        <f>MONTH(Employee_Data[[#This Row],[HireDate]])</f>
        <v>9</v>
      </c>
      <c r="F716">
        <f>YEAR(Employee_Data[[#This Row],[HireDate]])</f>
        <v>2019</v>
      </c>
      <c r="G716" s="5">
        <v>43731</v>
      </c>
      <c r="H716">
        <v>5</v>
      </c>
      <c r="I716">
        <v>49</v>
      </c>
      <c r="J716" s="1">
        <v>72671</v>
      </c>
      <c r="K716" s="1">
        <v>872052</v>
      </c>
    </row>
    <row r="717" spans="1:11" x14ac:dyDescent="0.25">
      <c r="A717" s="3">
        <v>716</v>
      </c>
      <c r="B717" s="4" t="s">
        <v>193</v>
      </c>
      <c r="C717" s="4" t="s">
        <v>127</v>
      </c>
      <c r="D717" s="4" t="s">
        <v>830</v>
      </c>
      <c r="E717">
        <f>MONTH(Employee_Data[[#This Row],[HireDate]])</f>
        <v>12</v>
      </c>
      <c r="F717">
        <f>YEAR(Employee_Data[[#This Row],[HireDate]])</f>
        <v>2016</v>
      </c>
      <c r="G717" s="5">
        <v>42716</v>
      </c>
      <c r="H717">
        <v>4</v>
      </c>
      <c r="I717">
        <v>17</v>
      </c>
      <c r="J717" s="1">
        <v>101797</v>
      </c>
      <c r="K717" s="1">
        <v>1221564</v>
      </c>
    </row>
    <row r="718" spans="1:11" x14ac:dyDescent="0.25">
      <c r="A718" s="3">
        <v>717</v>
      </c>
      <c r="B718" s="4" t="s">
        <v>323</v>
      </c>
      <c r="C718" s="4" t="s">
        <v>743</v>
      </c>
      <c r="D718" s="4" t="s">
        <v>829</v>
      </c>
      <c r="E718">
        <f>MONTH(Employee_Data[[#This Row],[HireDate]])</f>
        <v>8</v>
      </c>
      <c r="F718">
        <f>YEAR(Employee_Data[[#This Row],[HireDate]])</f>
        <v>2023</v>
      </c>
      <c r="G718" s="5">
        <v>45151</v>
      </c>
      <c r="H718">
        <v>1</v>
      </c>
      <c r="I718">
        <v>27</v>
      </c>
      <c r="J718" s="1">
        <v>47770</v>
      </c>
      <c r="K718" s="1">
        <v>573240</v>
      </c>
    </row>
    <row r="719" spans="1:11" x14ac:dyDescent="0.25">
      <c r="A719" s="3">
        <v>718</v>
      </c>
      <c r="B719" s="4" t="s">
        <v>279</v>
      </c>
      <c r="C719" s="4" t="s">
        <v>371</v>
      </c>
      <c r="D719" s="4" t="s">
        <v>828</v>
      </c>
      <c r="E719">
        <f>MONTH(Employee_Data[[#This Row],[HireDate]])</f>
        <v>7</v>
      </c>
      <c r="F719">
        <f>YEAR(Employee_Data[[#This Row],[HireDate]])</f>
        <v>2024</v>
      </c>
      <c r="G719" s="5">
        <v>45474</v>
      </c>
      <c r="H719">
        <v>1</v>
      </c>
      <c r="I719">
        <v>33</v>
      </c>
      <c r="J719" s="1">
        <v>45414</v>
      </c>
      <c r="K719" s="1">
        <v>544968</v>
      </c>
    </row>
    <row r="720" spans="1:11" x14ac:dyDescent="0.25">
      <c r="A720" s="3">
        <v>719</v>
      </c>
      <c r="B720" s="4" t="s">
        <v>37</v>
      </c>
      <c r="C720" s="4" t="s">
        <v>744</v>
      </c>
      <c r="D720" s="4" t="s">
        <v>827</v>
      </c>
      <c r="E720">
        <f>MONTH(Employee_Data[[#This Row],[HireDate]])</f>
        <v>4</v>
      </c>
      <c r="F720">
        <f>YEAR(Employee_Data[[#This Row],[HireDate]])</f>
        <v>2019</v>
      </c>
      <c r="G720" s="5">
        <v>43577</v>
      </c>
      <c r="H720">
        <v>5</v>
      </c>
      <c r="I720">
        <v>15</v>
      </c>
      <c r="J720" s="1">
        <v>117929</v>
      </c>
      <c r="K720" s="1">
        <v>1415148</v>
      </c>
    </row>
    <row r="721" spans="1:11" x14ac:dyDescent="0.25">
      <c r="A721" s="3">
        <v>720</v>
      </c>
      <c r="B721" s="4" t="s">
        <v>17</v>
      </c>
      <c r="C721" s="4" t="s">
        <v>76</v>
      </c>
      <c r="D721" s="4" t="s">
        <v>826</v>
      </c>
      <c r="E721">
        <f>MONTH(Employee_Data[[#This Row],[HireDate]])</f>
        <v>3</v>
      </c>
      <c r="F721">
        <f>YEAR(Employee_Data[[#This Row],[HireDate]])</f>
        <v>2023</v>
      </c>
      <c r="G721" s="5">
        <v>44993</v>
      </c>
      <c r="H721">
        <v>1</v>
      </c>
      <c r="I721">
        <v>12</v>
      </c>
      <c r="J721" s="1">
        <v>40739</v>
      </c>
      <c r="K721" s="1">
        <v>488868</v>
      </c>
    </row>
    <row r="722" spans="1:11" x14ac:dyDescent="0.25">
      <c r="A722" s="3">
        <v>721</v>
      </c>
      <c r="B722" s="4" t="s">
        <v>192</v>
      </c>
      <c r="C722" s="4" t="s">
        <v>745</v>
      </c>
      <c r="D722" s="4" t="s">
        <v>827</v>
      </c>
      <c r="E722">
        <f>MONTH(Employee_Data[[#This Row],[HireDate]])</f>
        <v>2</v>
      </c>
      <c r="F722">
        <f>YEAR(Employee_Data[[#This Row],[HireDate]])</f>
        <v>2019</v>
      </c>
      <c r="G722" s="5">
        <v>43505</v>
      </c>
      <c r="H722">
        <v>4</v>
      </c>
      <c r="I722">
        <v>3</v>
      </c>
      <c r="J722" s="1">
        <v>84784</v>
      </c>
      <c r="K722" s="1">
        <v>1017408</v>
      </c>
    </row>
    <row r="723" spans="1:11" x14ac:dyDescent="0.25">
      <c r="A723" s="3">
        <v>722</v>
      </c>
      <c r="B723" s="4" t="s">
        <v>324</v>
      </c>
      <c r="C723" s="4" t="s">
        <v>675</v>
      </c>
      <c r="D723" s="4" t="s">
        <v>826</v>
      </c>
      <c r="E723">
        <f>MONTH(Employee_Data[[#This Row],[HireDate]])</f>
        <v>7</v>
      </c>
      <c r="F723">
        <f>YEAR(Employee_Data[[#This Row],[HireDate]])</f>
        <v>2022</v>
      </c>
      <c r="G723" s="5">
        <v>44765</v>
      </c>
      <c r="H723">
        <v>3</v>
      </c>
      <c r="I723">
        <v>33</v>
      </c>
      <c r="J723" s="1">
        <v>32806</v>
      </c>
      <c r="K723" s="1">
        <v>393672</v>
      </c>
    </row>
    <row r="724" spans="1:11" x14ac:dyDescent="0.25">
      <c r="A724" s="3">
        <v>723</v>
      </c>
      <c r="B724" s="4" t="s">
        <v>42</v>
      </c>
      <c r="C724" s="4" t="s">
        <v>746</v>
      </c>
      <c r="D724" s="4" t="s">
        <v>829</v>
      </c>
      <c r="E724">
        <f>MONTH(Employee_Data[[#This Row],[HireDate]])</f>
        <v>2</v>
      </c>
      <c r="F724">
        <f>YEAR(Employee_Data[[#This Row],[HireDate]])</f>
        <v>2022</v>
      </c>
      <c r="G724" s="5">
        <v>44615</v>
      </c>
      <c r="H724">
        <v>4</v>
      </c>
      <c r="I724">
        <v>25</v>
      </c>
      <c r="J724" s="1">
        <v>64521</v>
      </c>
      <c r="K724" s="1">
        <v>774252</v>
      </c>
    </row>
    <row r="725" spans="1:11" x14ac:dyDescent="0.25">
      <c r="A725" s="3">
        <v>724</v>
      </c>
      <c r="B725" s="4" t="s">
        <v>108</v>
      </c>
      <c r="C725" s="4" t="s">
        <v>682</v>
      </c>
      <c r="D725" s="4" t="s">
        <v>830</v>
      </c>
      <c r="E725">
        <f>MONTH(Employee_Data[[#This Row],[HireDate]])</f>
        <v>7</v>
      </c>
      <c r="F725">
        <f>YEAR(Employee_Data[[#This Row],[HireDate]])</f>
        <v>2019</v>
      </c>
      <c r="G725" s="5">
        <v>43666</v>
      </c>
      <c r="H725">
        <v>5</v>
      </c>
      <c r="I725">
        <v>34</v>
      </c>
      <c r="J725" s="1">
        <v>80342</v>
      </c>
      <c r="K725" s="1">
        <v>964104</v>
      </c>
    </row>
    <row r="726" spans="1:11" x14ac:dyDescent="0.25">
      <c r="A726" s="3">
        <v>725</v>
      </c>
      <c r="B726" s="4" t="s">
        <v>73</v>
      </c>
      <c r="C726" s="4" t="s">
        <v>747</v>
      </c>
      <c r="D726" s="4" t="s">
        <v>828</v>
      </c>
      <c r="E726">
        <f>MONTH(Employee_Data[[#This Row],[HireDate]])</f>
        <v>11</v>
      </c>
      <c r="F726">
        <f>YEAR(Employee_Data[[#This Row],[HireDate]])</f>
        <v>2019</v>
      </c>
      <c r="G726" s="5">
        <v>43776</v>
      </c>
      <c r="H726">
        <v>1</v>
      </c>
      <c r="I726">
        <v>48</v>
      </c>
      <c r="J726" s="1">
        <v>26928</v>
      </c>
      <c r="K726" s="1">
        <v>323136</v>
      </c>
    </row>
    <row r="727" spans="1:11" x14ac:dyDescent="0.25">
      <c r="A727" s="3">
        <v>726</v>
      </c>
      <c r="B727" s="4" t="s">
        <v>108</v>
      </c>
      <c r="C727" s="4" t="s">
        <v>748</v>
      </c>
      <c r="D727" s="4" t="s">
        <v>829</v>
      </c>
      <c r="E727">
        <f>MONTH(Employee_Data[[#This Row],[HireDate]])</f>
        <v>6</v>
      </c>
      <c r="F727">
        <f>YEAR(Employee_Data[[#This Row],[HireDate]])</f>
        <v>2018</v>
      </c>
      <c r="G727" s="5">
        <v>43270</v>
      </c>
      <c r="H727">
        <v>4</v>
      </c>
      <c r="I727">
        <v>26</v>
      </c>
      <c r="J727" s="1">
        <v>109190</v>
      </c>
      <c r="K727" s="1">
        <v>1310280</v>
      </c>
    </row>
    <row r="728" spans="1:11" x14ac:dyDescent="0.25">
      <c r="A728" s="3">
        <v>727</v>
      </c>
      <c r="B728" s="4" t="s">
        <v>184</v>
      </c>
      <c r="C728" s="4" t="s">
        <v>749</v>
      </c>
      <c r="D728" s="4" t="s">
        <v>829</v>
      </c>
      <c r="E728">
        <f>MONTH(Employee_Data[[#This Row],[HireDate]])</f>
        <v>12</v>
      </c>
      <c r="F728">
        <f>YEAR(Employee_Data[[#This Row],[HireDate]])</f>
        <v>2020</v>
      </c>
      <c r="G728" s="5">
        <v>44194</v>
      </c>
      <c r="H728">
        <v>4</v>
      </c>
      <c r="I728">
        <v>26</v>
      </c>
      <c r="J728" s="1">
        <v>74468</v>
      </c>
      <c r="K728" s="1">
        <v>893616</v>
      </c>
    </row>
    <row r="729" spans="1:11" x14ac:dyDescent="0.25">
      <c r="A729" s="3">
        <v>728</v>
      </c>
      <c r="B729" s="4" t="s">
        <v>17</v>
      </c>
      <c r="C729" s="4" t="s">
        <v>426</v>
      </c>
      <c r="D729" s="4" t="s">
        <v>826</v>
      </c>
      <c r="E729">
        <f>MONTH(Employee_Data[[#This Row],[HireDate]])</f>
        <v>2</v>
      </c>
      <c r="F729">
        <f>YEAR(Employee_Data[[#This Row],[HireDate]])</f>
        <v>2021</v>
      </c>
      <c r="G729" s="5">
        <v>44236</v>
      </c>
      <c r="H729">
        <v>2</v>
      </c>
      <c r="I729">
        <v>18</v>
      </c>
      <c r="J729" s="1">
        <v>114457</v>
      </c>
      <c r="K729" s="1">
        <v>1373484</v>
      </c>
    </row>
    <row r="730" spans="1:11" x14ac:dyDescent="0.25">
      <c r="A730" s="3">
        <v>729</v>
      </c>
      <c r="B730" s="4" t="s">
        <v>325</v>
      </c>
      <c r="C730" s="4" t="s">
        <v>678</v>
      </c>
      <c r="D730" s="4" t="s">
        <v>828</v>
      </c>
      <c r="E730">
        <f>MONTH(Employee_Data[[#This Row],[HireDate]])</f>
        <v>3</v>
      </c>
      <c r="F730">
        <f>YEAR(Employee_Data[[#This Row],[HireDate]])</f>
        <v>2021</v>
      </c>
      <c r="G730" s="5">
        <v>44277</v>
      </c>
      <c r="H730">
        <v>4</v>
      </c>
      <c r="I730">
        <v>11</v>
      </c>
      <c r="J730" s="1">
        <v>97090</v>
      </c>
      <c r="K730" s="1">
        <v>1165080</v>
      </c>
    </row>
    <row r="731" spans="1:11" x14ac:dyDescent="0.25">
      <c r="A731" s="3">
        <v>730</v>
      </c>
      <c r="B731" s="4" t="s">
        <v>40</v>
      </c>
      <c r="C731" s="4" t="s">
        <v>750</v>
      </c>
      <c r="D731" s="4" t="s">
        <v>827</v>
      </c>
      <c r="E731">
        <f>MONTH(Employee_Data[[#This Row],[HireDate]])</f>
        <v>7</v>
      </c>
      <c r="F731">
        <f>YEAR(Employee_Data[[#This Row],[HireDate]])</f>
        <v>2022</v>
      </c>
      <c r="G731" s="5">
        <v>44743</v>
      </c>
      <c r="H731">
        <v>2</v>
      </c>
      <c r="I731">
        <v>48</v>
      </c>
      <c r="J731" s="1">
        <v>99144</v>
      </c>
      <c r="K731" s="1">
        <v>1189728</v>
      </c>
    </row>
    <row r="732" spans="1:11" x14ac:dyDescent="0.25">
      <c r="A732" s="3">
        <v>731</v>
      </c>
      <c r="B732" s="4" t="s">
        <v>61</v>
      </c>
      <c r="C732" s="4" t="s">
        <v>537</v>
      </c>
      <c r="D732" s="4" t="s">
        <v>827</v>
      </c>
      <c r="E732">
        <f>MONTH(Employee_Data[[#This Row],[HireDate]])</f>
        <v>1</v>
      </c>
      <c r="F732">
        <f>YEAR(Employee_Data[[#This Row],[HireDate]])</f>
        <v>2021</v>
      </c>
      <c r="G732" s="5">
        <v>44214</v>
      </c>
      <c r="H732">
        <v>5</v>
      </c>
      <c r="I732">
        <v>38</v>
      </c>
      <c r="J732" s="1">
        <v>79380</v>
      </c>
      <c r="K732" s="1">
        <v>952560</v>
      </c>
    </row>
    <row r="733" spans="1:11" x14ac:dyDescent="0.25">
      <c r="A733" s="3">
        <v>732</v>
      </c>
      <c r="B733" s="4" t="s">
        <v>82</v>
      </c>
      <c r="C733" s="4" t="s">
        <v>751</v>
      </c>
      <c r="D733" s="4" t="s">
        <v>826</v>
      </c>
      <c r="E733">
        <f>MONTH(Employee_Data[[#This Row],[HireDate]])</f>
        <v>10</v>
      </c>
      <c r="F733">
        <f>YEAR(Employee_Data[[#This Row],[HireDate]])</f>
        <v>2021</v>
      </c>
      <c r="G733" s="5">
        <v>44492</v>
      </c>
      <c r="H733">
        <v>5</v>
      </c>
      <c r="I733">
        <v>44</v>
      </c>
      <c r="J733" s="1">
        <v>65037</v>
      </c>
      <c r="K733" s="1">
        <v>780444</v>
      </c>
    </row>
    <row r="734" spans="1:11" x14ac:dyDescent="0.25">
      <c r="A734" s="3">
        <v>733</v>
      </c>
      <c r="B734" s="4" t="s">
        <v>76</v>
      </c>
      <c r="C734" s="4" t="s">
        <v>689</v>
      </c>
      <c r="D734" s="4" t="s">
        <v>826</v>
      </c>
      <c r="E734">
        <f>MONTH(Employee_Data[[#This Row],[HireDate]])</f>
        <v>3</v>
      </c>
      <c r="F734">
        <f>YEAR(Employee_Data[[#This Row],[HireDate]])</f>
        <v>2020</v>
      </c>
      <c r="G734" s="5">
        <v>43915</v>
      </c>
      <c r="H734">
        <v>3</v>
      </c>
      <c r="I734">
        <v>4</v>
      </c>
      <c r="J734" s="1">
        <v>36686</v>
      </c>
      <c r="K734" s="1">
        <v>440232</v>
      </c>
    </row>
    <row r="735" spans="1:11" x14ac:dyDescent="0.25">
      <c r="A735" s="3">
        <v>734</v>
      </c>
      <c r="B735" s="4" t="s">
        <v>22</v>
      </c>
      <c r="C735" s="4" t="s">
        <v>505</v>
      </c>
      <c r="D735" s="4" t="s">
        <v>826</v>
      </c>
      <c r="E735">
        <f>MONTH(Employee_Data[[#This Row],[HireDate]])</f>
        <v>5</v>
      </c>
      <c r="F735">
        <f>YEAR(Employee_Data[[#This Row],[HireDate]])</f>
        <v>2019</v>
      </c>
      <c r="G735" s="5">
        <v>43593</v>
      </c>
      <c r="H735">
        <v>1</v>
      </c>
      <c r="I735">
        <v>19</v>
      </c>
      <c r="J735" s="1">
        <v>77093</v>
      </c>
      <c r="K735" s="1">
        <v>925116</v>
      </c>
    </row>
    <row r="736" spans="1:11" x14ac:dyDescent="0.25">
      <c r="A736" s="3">
        <v>735</v>
      </c>
      <c r="B736" s="4" t="s">
        <v>326</v>
      </c>
      <c r="C736" s="4" t="s">
        <v>399</v>
      </c>
      <c r="D736" s="4" t="s">
        <v>828</v>
      </c>
      <c r="E736">
        <f>MONTH(Employee_Data[[#This Row],[HireDate]])</f>
        <v>7</v>
      </c>
      <c r="F736">
        <f>YEAR(Employee_Data[[#This Row],[HireDate]])</f>
        <v>2023</v>
      </c>
      <c r="G736" s="5">
        <v>45135</v>
      </c>
      <c r="H736">
        <v>4</v>
      </c>
      <c r="I736">
        <v>14</v>
      </c>
      <c r="J736" s="1">
        <v>96274</v>
      </c>
      <c r="K736" s="1">
        <v>1155288</v>
      </c>
    </row>
    <row r="737" spans="1:11" x14ac:dyDescent="0.25">
      <c r="A737" s="3">
        <v>736</v>
      </c>
      <c r="B737" s="4" t="s">
        <v>218</v>
      </c>
      <c r="C737" s="4" t="s">
        <v>447</v>
      </c>
      <c r="D737" s="4" t="s">
        <v>827</v>
      </c>
      <c r="E737">
        <f>MONTH(Employee_Data[[#This Row],[HireDate]])</f>
        <v>3</v>
      </c>
      <c r="F737">
        <f>YEAR(Employee_Data[[#This Row],[HireDate]])</f>
        <v>2017</v>
      </c>
      <c r="G737" s="5">
        <v>42804</v>
      </c>
      <c r="H737">
        <v>3</v>
      </c>
      <c r="I737">
        <v>15</v>
      </c>
      <c r="J737" s="1">
        <v>106003</v>
      </c>
      <c r="K737" s="1">
        <v>1272036</v>
      </c>
    </row>
    <row r="738" spans="1:11" x14ac:dyDescent="0.25">
      <c r="A738" s="3">
        <v>737</v>
      </c>
      <c r="B738" s="4" t="s">
        <v>244</v>
      </c>
      <c r="C738" s="4" t="s">
        <v>752</v>
      </c>
      <c r="D738" s="4" t="s">
        <v>830</v>
      </c>
      <c r="E738">
        <f>MONTH(Employee_Data[[#This Row],[HireDate]])</f>
        <v>12</v>
      </c>
      <c r="F738">
        <f>YEAR(Employee_Data[[#This Row],[HireDate]])</f>
        <v>2018</v>
      </c>
      <c r="G738" s="5">
        <v>43452</v>
      </c>
      <c r="H738">
        <v>1</v>
      </c>
      <c r="I738">
        <v>4</v>
      </c>
      <c r="J738" s="1">
        <v>21479</v>
      </c>
      <c r="K738" s="1">
        <v>257748</v>
      </c>
    </row>
    <row r="739" spans="1:11" x14ac:dyDescent="0.25">
      <c r="A739" s="3">
        <v>738</v>
      </c>
      <c r="B739" s="4" t="s">
        <v>327</v>
      </c>
      <c r="C739" s="4" t="s">
        <v>395</v>
      </c>
      <c r="D739" s="4" t="s">
        <v>828</v>
      </c>
      <c r="E739">
        <f>MONTH(Employee_Data[[#This Row],[HireDate]])</f>
        <v>4</v>
      </c>
      <c r="F739">
        <f>YEAR(Employee_Data[[#This Row],[HireDate]])</f>
        <v>2022</v>
      </c>
      <c r="G739" s="5">
        <v>44654</v>
      </c>
      <c r="H739">
        <v>2</v>
      </c>
      <c r="I739">
        <v>10</v>
      </c>
      <c r="J739" s="1">
        <v>100251</v>
      </c>
      <c r="K739" s="1">
        <v>1203012</v>
      </c>
    </row>
    <row r="740" spans="1:11" x14ac:dyDescent="0.25">
      <c r="A740" s="3">
        <v>739</v>
      </c>
      <c r="B740" s="4" t="s">
        <v>126</v>
      </c>
      <c r="C740" s="4" t="s">
        <v>753</v>
      </c>
      <c r="D740" s="4" t="s">
        <v>829</v>
      </c>
      <c r="E740">
        <f>MONTH(Employee_Data[[#This Row],[HireDate]])</f>
        <v>1</v>
      </c>
      <c r="F740">
        <f>YEAR(Employee_Data[[#This Row],[HireDate]])</f>
        <v>2023</v>
      </c>
      <c r="G740" s="5">
        <v>44937</v>
      </c>
      <c r="H740">
        <v>2</v>
      </c>
      <c r="I740">
        <v>22</v>
      </c>
      <c r="J740" s="1">
        <v>86178</v>
      </c>
      <c r="K740" s="1">
        <v>1034136</v>
      </c>
    </row>
    <row r="741" spans="1:11" x14ac:dyDescent="0.25">
      <c r="A741" s="3">
        <v>740</v>
      </c>
      <c r="B741" s="4" t="s">
        <v>157</v>
      </c>
      <c r="C741" s="4" t="s">
        <v>754</v>
      </c>
      <c r="D741" s="4" t="s">
        <v>826</v>
      </c>
      <c r="E741">
        <f>MONTH(Employee_Data[[#This Row],[HireDate]])</f>
        <v>2</v>
      </c>
      <c r="F741">
        <f>YEAR(Employee_Data[[#This Row],[HireDate]])</f>
        <v>2022</v>
      </c>
      <c r="G741" s="5">
        <v>44606</v>
      </c>
      <c r="H741">
        <v>2</v>
      </c>
      <c r="I741">
        <v>9</v>
      </c>
      <c r="J741" s="1">
        <v>25497</v>
      </c>
      <c r="K741" s="1">
        <v>305964</v>
      </c>
    </row>
    <row r="742" spans="1:11" x14ac:dyDescent="0.25">
      <c r="A742" s="3">
        <v>741</v>
      </c>
      <c r="B742" s="4" t="s">
        <v>133</v>
      </c>
      <c r="C742" s="4" t="s">
        <v>379</v>
      </c>
      <c r="D742" s="4" t="s">
        <v>826</v>
      </c>
      <c r="E742">
        <f>MONTH(Employee_Data[[#This Row],[HireDate]])</f>
        <v>6</v>
      </c>
      <c r="F742">
        <f>YEAR(Employee_Data[[#This Row],[HireDate]])</f>
        <v>2022</v>
      </c>
      <c r="G742" s="5">
        <v>44714</v>
      </c>
      <c r="H742">
        <v>1</v>
      </c>
      <c r="I742">
        <v>23</v>
      </c>
      <c r="J742" s="1">
        <v>30834</v>
      </c>
      <c r="K742" s="1">
        <v>370008</v>
      </c>
    </row>
    <row r="743" spans="1:11" x14ac:dyDescent="0.25">
      <c r="A743" s="3">
        <v>742</v>
      </c>
      <c r="B743" s="4" t="s">
        <v>175</v>
      </c>
      <c r="C743" s="4" t="s">
        <v>755</v>
      </c>
      <c r="D743" s="4" t="s">
        <v>828</v>
      </c>
      <c r="E743">
        <f>MONTH(Employee_Data[[#This Row],[HireDate]])</f>
        <v>6</v>
      </c>
      <c r="F743">
        <f>YEAR(Employee_Data[[#This Row],[HireDate]])</f>
        <v>2023</v>
      </c>
      <c r="G743" s="5">
        <v>45086</v>
      </c>
      <c r="H743">
        <v>1</v>
      </c>
      <c r="I743">
        <v>49</v>
      </c>
      <c r="J743" s="1">
        <v>20475</v>
      </c>
      <c r="K743" s="1">
        <v>245700</v>
      </c>
    </row>
    <row r="744" spans="1:11" x14ac:dyDescent="0.25">
      <c r="A744" s="3">
        <v>743</v>
      </c>
      <c r="B744" s="4" t="s">
        <v>227</v>
      </c>
      <c r="C744" s="4" t="s">
        <v>604</v>
      </c>
      <c r="D744" s="4" t="s">
        <v>830</v>
      </c>
      <c r="E744">
        <f>MONTH(Employee_Data[[#This Row],[HireDate]])</f>
        <v>2</v>
      </c>
      <c r="F744">
        <f>YEAR(Employee_Data[[#This Row],[HireDate]])</f>
        <v>2018</v>
      </c>
      <c r="G744" s="5">
        <v>43135</v>
      </c>
      <c r="H744">
        <v>4</v>
      </c>
      <c r="I744">
        <v>41</v>
      </c>
      <c r="J744" s="1">
        <v>57783</v>
      </c>
      <c r="K744" s="1">
        <v>693396</v>
      </c>
    </row>
    <row r="745" spans="1:11" x14ac:dyDescent="0.25">
      <c r="A745" s="3">
        <v>744</v>
      </c>
      <c r="B745" s="4" t="s">
        <v>79</v>
      </c>
      <c r="C745" s="4" t="s">
        <v>744</v>
      </c>
      <c r="D745" s="4" t="s">
        <v>829</v>
      </c>
      <c r="E745">
        <f>MONTH(Employee_Data[[#This Row],[HireDate]])</f>
        <v>3</v>
      </c>
      <c r="F745">
        <f>YEAR(Employee_Data[[#This Row],[HireDate]])</f>
        <v>2021</v>
      </c>
      <c r="G745" s="5">
        <v>44283</v>
      </c>
      <c r="H745">
        <v>4</v>
      </c>
      <c r="I745">
        <v>11</v>
      </c>
      <c r="J745" s="1">
        <v>28774</v>
      </c>
      <c r="K745" s="1">
        <v>345288</v>
      </c>
    </row>
    <row r="746" spans="1:11" x14ac:dyDescent="0.25">
      <c r="A746" s="3">
        <v>745</v>
      </c>
      <c r="B746" s="4" t="s">
        <v>230</v>
      </c>
      <c r="C746" s="4" t="s">
        <v>382</v>
      </c>
      <c r="D746" s="4" t="s">
        <v>827</v>
      </c>
      <c r="E746">
        <f>MONTH(Employee_Data[[#This Row],[HireDate]])</f>
        <v>6</v>
      </c>
      <c r="F746">
        <f>YEAR(Employee_Data[[#This Row],[HireDate]])</f>
        <v>2021</v>
      </c>
      <c r="G746" s="5">
        <v>44362</v>
      </c>
      <c r="H746">
        <v>5</v>
      </c>
      <c r="I746">
        <v>49</v>
      </c>
      <c r="J746" s="1">
        <v>33869</v>
      </c>
      <c r="K746" s="1">
        <v>406428</v>
      </c>
    </row>
    <row r="747" spans="1:11" x14ac:dyDescent="0.25">
      <c r="A747" s="3">
        <v>746</v>
      </c>
      <c r="B747" s="4" t="s">
        <v>328</v>
      </c>
      <c r="C747" s="4" t="s">
        <v>458</v>
      </c>
      <c r="D747" s="4" t="s">
        <v>830</v>
      </c>
      <c r="E747">
        <f>MONTH(Employee_Data[[#This Row],[HireDate]])</f>
        <v>12</v>
      </c>
      <c r="F747">
        <f>YEAR(Employee_Data[[#This Row],[HireDate]])</f>
        <v>2019</v>
      </c>
      <c r="G747" s="5">
        <v>43820</v>
      </c>
      <c r="H747">
        <v>2</v>
      </c>
      <c r="I747">
        <v>45</v>
      </c>
      <c r="J747" s="1">
        <v>25418</v>
      </c>
      <c r="K747" s="1">
        <v>305016</v>
      </c>
    </row>
    <row r="748" spans="1:11" x14ac:dyDescent="0.25">
      <c r="A748" s="3">
        <v>747</v>
      </c>
      <c r="B748" s="4" t="s">
        <v>126</v>
      </c>
      <c r="C748" s="4" t="s">
        <v>756</v>
      </c>
      <c r="D748" s="4" t="s">
        <v>830</v>
      </c>
      <c r="E748">
        <f>MONTH(Employee_Data[[#This Row],[HireDate]])</f>
        <v>2</v>
      </c>
      <c r="F748">
        <f>YEAR(Employee_Data[[#This Row],[HireDate]])</f>
        <v>2021</v>
      </c>
      <c r="G748" s="5">
        <v>44232</v>
      </c>
      <c r="H748">
        <v>3</v>
      </c>
      <c r="I748">
        <v>37</v>
      </c>
      <c r="J748" s="1">
        <v>118544</v>
      </c>
      <c r="K748" s="1">
        <v>1422528</v>
      </c>
    </row>
    <row r="749" spans="1:11" x14ac:dyDescent="0.25">
      <c r="A749" s="3">
        <v>748</v>
      </c>
      <c r="B749" s="4" t="s">
        <v>130</v>
      </c>
      <c r="C749" s="4" t="s">
        <v>757</v>
      </c>
      <c r="D749" s="4" t="s">
        <v>827</v>
      </c>
      <c r="E749">
        <f>MONTH(Employee_Data[[#This Row],[HireDate]])</f>
        <v>4</v>
      </c>
      <c r="F749">
        <f>YEAR(Employee_Data[[#This Row],[HireDate]])</f>
        <v>2020</v>
      </c>
      <c r="G749" s="5">
        <v>43933</v>
      </c>
      <c r="H749">
        <v>3</v>
      </c>
      <c r="I749">
        <v>47</v>
      </c>
      <c r="J749" s="1">
        <v>49651</v>
      </c>
      <c r="K749" s="1">
        <v>595812</v>
      </c>
    </row>
    <row r="750" spans="1:11" x14ac:dyDescent="0.25">
      <c r="A750" s="3">
        <v>749</v>
      </c>
      <c r="B750" s="4" t="s">
        <v>136</v>
      </c>
      <c r="C750" s="4" t="s">
        <v>743</v>
      </c>
      <c r="D750" s="4" t="s">
        <v>827</v>
      </c>
      <c r="E750">
        <f>MONTH(Employee_Data[[#This Row],[HireDate]])</f>
        <v>7</v>
      </c>
      <c r="F750">
        <f>YEAR(Employee_Data[[#This Row],[HireDate]])</f>
        <v>2021</v>
      </c>
      <c r="G750" s="5">
        <v>44394</v>
      </c>
      <c r="H750">
        <v>4</v>
      </c>
      <c r="I750">
        <v>38</v>
      </c>
      <c r="J750" s="1">
        <v>36887</v>
      </c>
      <c r="K750" s="1">
        <v>442644</v>
      </c>
    </row>
    <row r="751" spans="1:11" x14ac:dyDescent="0.25">
      <c r="A751" s="3">
        <v>750</v>
      </c>
      <c r="B751" s="4" t="s">
        <v>54</v>
      </c>
      <c r="C751" s="4" t="s">
        <v>758</v>
      </c>
      <c r="D751" s="4" t="s">
        <v>827</v>
      </c>
      <c r="E751">
        <f>MONTH(Employee_Data[[#This Row],[HireDate]])</f>
        <v>4</v>
      </c>
      <c r="F751">
        <f>YEAR(Employee_Data[[#This Row],[HireDate]])</f>
        <v>2022</v>
      </c>
      <c r="G751" s="5">
        <v>44676</v>
      </c>
      <c r="H751">
        <v>1</v>
      </c>
      <c r="I751">
        <v>13</v>
      </c>
      <c r="J751" s="1">
        <v>79840</v>
      </c>
      <c r="K751" s="1">
        <v>958080</v>
      </c>
    </row>
    <row r="752" spans="1:11" x14ac:dyDescent="0.25">
      <c r="A752" s="3">
        <v>751</v>
      </c>
      <c r="B752" s="4" t="s">
        <v>56</v>
      </c>
      <c r="C752" s="4" t="s">
        <v>407</v>
      </c>
      <c r="D752" s="4" t="s">
        <v>827</v>
      </c>
      <c r="E752">
        <f>MONTH(Employee_Data[[#This Row],[HireDate]])</f>
        <v>12</v>
      </c>
      <c r="F752">
        <f>YEAR(Employee_Data[[#This Row],[HireDate]])</f>
        <v>2015</v>
      </c>
      <c r="G752" s="5">
        <v>42361</v>
      </c>
      <c r="H752">
        <v>4</v>
      </c>
      <c r="I752">
        <v>20</v>
      </c>
      <c r="J752" s="1">
        <v>101379</v>
      </c>
      <c r="K752" s="1">
        <v>1216548</v>
      </c>
    </row>
    <row r="753" spans="1:11" x14ac:dyDescent="0.25">
      <c r="A753" s="3">
        <v>752</v>
      </c>
      <c r="B753" s="4" t="s">
        <v>184</v>
      </c>
      <c r="C753" s="4" t="s">
        <v>405</v>
      </c>
      <c r="D753" s="4" t="s">
        <v>826</v>
      </c>
      <c r="E753">
        <f>MONTH(Employee_Data[[#This Row],[HireDate]])</f>
        <v>8</v>
      </c>
      <c r="F753">
        <f>YEAR(Employee_Data[[#This Row],[HireDate]])</f>
        <v>2018</v>
      </c>
      <c r="G753" s="5">
        <v>43333</v>
      </c>
      <c r="H753">
        <v>1</v>
      </c>
      <c r="I753">
        <v>23</v>
      </c>
      <c r="J753" s="1">
        <v>28857</v>
      </c>
      <c r="K753" s="1">
        <v>346284</v>
      </c>
    </row>
    <row r="754" spans="1:11" x14ac:dyDescent="0.25">
      <c r="A754" s="3">
        <v>753</v>
      </c>
      <c r="B754" s="4" t="s">
        <v>126</v>
      </c>
      <c r="C754" s="4" t="s">
        <v>396</v>
      </c>
      <c r="D754" s="4" t="s">
        <v>826</v>
      </c>
      <c r="E754">
        <f>MONTH(Employee_Data[[#This Row],[HireDate]])</f>
        <v>5</v>
      </c>
      <c r="F754">
        <f>YEAR(Employee_Data[[#This Row],[HireDate]])</f>
        <v>2017</v>
      </c>
      <c r="G754" s="5">
        <v>42864</v>
      </c>
      <c r="H754">
        <v>1</v>
      </c>
      <c r="I754">
        <v>42</v>
      </c>
      <c r="J754" s="1">
        <v>28042</v>
      </c>
      <c r="K754" s="1">
        <v>336504</v>
      </c>
    </row>
    <row r="755" spans="1:11" x14ac:dyDescent="0.25">
      <c r="A755" s="3">
        <v>754</v>
      </c>
      <c r="B755" s="4" t="s">
        <v>102</v>
      </c>
      <c r="C755" s="4" t="s">
        <v>259</v>
      </c>
      <c r="D755" s="4" t="s">
        <v>826</v>
      </c>
      <c r="E755">
        <f>MONTH(Employee_Data[[#This Row],[HireDate]])</f>
        <v>3</v>
      </c>
      <c r="F755">
        <f>YEAR(Employee_Data[[#This Row],[HireDate]])</f>
        <v>2016</v>
      </c>
      <c r="G755" s="5">
        <v>42452</v>
      </c>
      <c r="H755">
        <v>1</v>
      </c>
      <c r="I755">
        <v>3</v>
      </c>
      <c r="J755" s="1">
        <v>32626</v>
      </c>
      <c r="K755" s="1">
        <v>391512</v>
      </c>
    </row>
    <row r="756" spans="1:11" x14ac:dyDescent="0.25">
      <c r="A756" s="3">
        <v>755</v>
      </c>
      <c r="B756" s="4" t="s">
        <v>294</v>
      </c>
      <c r="C756" s="4" t="s">
        <v>395</v>
      </c>
      <c r="D756" s="4" t="s">
        <v>827</v>
      </c>
      <c r="E756">
        <f>MONTH(Employee_Data[[#This Row],[HireDate]])</f>
        <v>5</v>
      </c>
      <c r="F756">
        <f>YEAR(Employee_Data[[#This Row],[HireDate]])</f>
        <v>2019</v>
      </c>
      <c r="G756" s="5">
        <v>43593</v>
      </c>
      <c r="H756">
        <v>2</v>
      </c>
      <c r="I756">
        <v>10</v>
      </c>
      <c r="J756" s="1">
        <v>110619</v>
      </c>
      <c r="K756" s="1">
        <v>1327428</v>
      </c>
    </row>
    <row r="757" spans="1:11" x14ac:dyDescent="0.25">
      <c r="A757" s="3">
        <v>756</v>
      </c>
      <c r="B757" s="4" t="s">
        <v>329</v>
      </c>
      <c r="C757" s="4" t="s">
        <v>759</v>
      </c>
      <c r="D757" s="4" t="s">
        <v>827</v>
      </c>
      <c r="E757">
        <f>MONTH(Employee_Data[[#This Row],[HireDate]])</f>
        <v>7</v>
      </c>
      <c r="F757">
        <f>YEAR(Employee_Data[[#This Row],[HireDate]])</f>
        <v>2019</v>
      </c>
      <c r="G757" s="5">
        <v>43651</v>
      </c>
      <c r="H757">
        <v>5</v>
      </c>
      <c r="I757">
        <v>27</v>
      </c>
      <c r="J757" s="1">
        <v>99558</v>
      </c>
      <c r="K757" s="1">
        <v>1194696</v>
      </c>
    </row>
    <row r="758" spans="1:11" x14ac:dyDescent="0.25">
      <c r="A758" s="3">
        <v>757</v>
      </c>
      <c r="B758" s="4" t="s">
        <v>330</v>
      </c>
      <c r="C758" s="4" t="s">
        <v>432</v>
      </c>
      <c r="D758" s="4" t="s">
        <v>830</v>
      </c>
      <c r="E758">
        <f>MONTH(Employee_Data[[#This Row],[HireDate]])</f>
        <v>8</v>
      </c>
      <c r="F758">
        <f>YEAR(Employee_Data[[#This Row],[HireDate]])</f>
        <v>2016</v>
      </c>
      <c r="G758" s="5">
        <v>42598</v>
      </c>
      <c r="H758">
        <v>3</v>
      </c>
      <c r="I758">
        <v>19</v>
      </c>
      <c r="J758" s="1">
        <v>24152</v>
      </c>
      <c r="K758" s="1">
        <v>289824</v>
      </c>
    </row>
    <row r="759" spans="1:11" x14ac:dyDescent="0.25">
      <c r="A759" s="3">
        <v>758</v>
      </c>
      <c r="B759" s="4" t="s">
        <v>170</v>
      </c>
      <c r="C759" s="4" t="s">
        <v>760</v>
      </c>
      <c r="D759" s="4" t="s">
        <v>828</v>
      </c>
      <c r="E759">
        <f>MONTH(Employee_Data[[#This Row],[HireDate]])</f>
        <v>5</v>
      </c>
      <c r="F759">
        <f>YEAR(Employee_Data[[#This Row],[HireDate]])</f>
        <v>2024</v>
      </c>
      <c r="G759" s="5">
        <v>45425</v>
      </c>
      <c r="H759">
        <v>3</v>
      </c>
      <c r="I759">
        <v>37</v>
      </c>
      <c r="J759" s="1">
        <v>93414</v>
      </c>
      <c r="K759" s="1">
        <v>1120968</v>
      </c>
    </row>
    <row r="760" spans="1:11" x14ac:dyDescent="0.25">
      <c r="A760" s="3">
        <v>759</v>
      </c>
      <c r="B760" s="4" t="s">
        <v>289</v>
      </c>
      <c r="C760" s="4" t="s">
        <v>537</v>
      </c>
      <c r="D760" s="4" t="s">
        <v>827</v>
      </c>
      <c r="E760">
        <f>MONTH(Employee_Data[[#This Row],[HireDate]])</f>
        <v>10</v>
      </c>
      <c r="F760">
        <f>YEAR(Employee_Data[[#This Row],[HireDate]])</f>
        <v>2019</v>
      </c>
      <c r="G760" s="5">
        <v>43752</v>
      </c>
      <c r="H760">
        <v>3</v>
      </c>
      <c r="I760">
        <v>44</v>
      </c>
      <c r="J760" s="1">
        <v>32390</v>
      </c>
      <c r="K760" s="1">
        <v>388680</v>
      </c>
    </row>
    <row r="761" spans="1:11" x14ac:dyDescent="0.25">
      <c r="A761" s="3">
        <v>760</v>
      </c>
      <c r="B761" s="4" t="s">
        <v>331</v>
      </c>
      <c r="C761" s="4" t="s">
        <v>399</v>
      </c>
      <c r="D761" s="4" t="s">
        <v>830</v>
      </c>
      <c r="E761">
        <f>MONTH(Employee_Data[[#This Row],[HireDate]])</f>
        <v>12</v>
      </c>
      <c r="F761">
        <f>YEAR(Employee_Data[[#This Row],[HireDate]])</f>
        <v>2022</v>
      </c>
      <c r="G761" s="5">
        <v>44907</v>
      </c>
      <c r="H761">
        <v>5</v>
      </c>
      <c r="I761">
        <v>27</v>
      </c>
      <c r="J761" s="1">
        <v>84583</v>
      </c>
      <c r="K761" s="1">
        <v>1014996</v>
      </c>
    </row>
    <row r="762" spans="1:11" x14ac:dyDescent="0.25">
      <c r="A762" s="3">
        <v>761</v>
      </c>
      <c r="B762" s="4" t="s">
        <v>36</v>
      </c>
      <c r="C762" s="4" t="s">
        <v>761</v>
      </c>
      <c r="D762" s="4" t="s">
        <v>827</v>
      </c>
      <c r="E762">
        <f>MONTH(Employee_Data[[#This Row],[HireDate]])</f>
        <v>9</v>
      </c>
      <c r="F762">
        <f>YEAR(Employee_Data[[#This Row],[HireDate]])</f>
        <v>2018</v>
      </c>
      <c r="G762" s="5">
        <v>43348</v>
      </c>
      <c r="H762">
        <v>3</v>
      </c>
      <c r="I762">
        <v>10</v>
      </c>
      <c r="J762" s="1">
        <v>110396</v>
      </c>
      <c r="K762" s="1">
        <v>1324752</v>
      </c>
    </row>
    <row r="763" spans="1:11" x14ac:dyDescent="0.25">
      <c r="A763" s="3">
        <v>762</v>
      </c>
      <c r="B763" s="4" t="s">
        <v>319</v>
      </c>
      <c r="C763" s="4" t="s">
        <v>762</v>
      </c>
      <c r="D763" s="4" t="s">
        <v>828</v>
      </c>
      <c r="E763">
        <f>MONTH(Employee_Data[[#This Row],[HireDate]])</f>
        <v>1</v>
      </c>
      <c r="F763">
        <f>YEAR(Employee_Data[[#This Row],[HireDate]])</f>
        <v>2024</v>
      </c>
      <c r="G763" s="5">
        <v>45294</v>
      </c>
      <c r="H763">
        <v>1</v>
      </c>
      <c r="I763">
        <v>7</v>
      </c>
      <c r="J763" s="1">
        <v>73231</v>
      </c>
      <c r="K763" s="1">
        <v>878772</v>
      </c>
    </row>
    <row r="764" spans="1:11" x14ac:dyDescent="0.25">
      <c r="A764" s="3">
        <v>763</v>
      </c>
      <c r="B764" s="4" t="s">
        <v>210</v>
      </c>
      <c r="C764" s="4" t="s">
        <v>386</v>
      </c>
      <c r="D764" s="4" t="s">
        <v>829</v>
      </c>
      <c r="E764">
        <f>MONTH(Employee_Data[[#This Row],[HireDate]])</f>
        <v>3</v>
      </c>
      <c r="F764">
        <f>YEAR(Employee_Data[[#This Row],[HireDate]])</f>
        <v>2021</v>
      </c>
      <c r="G764" s="5">
        <v>44278</v>
      </c>
      <c r="H764">
        <v>2</v>
      </c>
      <c r="I764">
        <v>34</v>
      </c>
      <c r="J764" s="1">
        <v>107671</v>
      </c>
      <c r="K764" s="1">
        <v>1292052</v>
      </c>
    </row>
    <row r="765" spans="1:11" x14ac:dyDescent="0.25">
      <c r="A765" s="3">
        <v>764</v>
      </c>
      <c r="B765" s="4" t="s">
        <v>36</v>
      </c>
      <c r="C765" s="4" t="s">
        <v>396</v>
      </c>
      <c r="D765" s="4" t="s">
        <v>830</v>
      </c>
      <c r="E765">
        <f>MONTH(Employee_Data[[#This Row],[HireDate]])</f>
        <v>3</v>
      </c>
      <c r="F765">
        <f>YEAR(Employee_Data[[#This Row],[HireDate]])</f>
        <v>2021</v>
      </c>
      <c r="G765" s="5">
        <v>44260</v>
      </c>
      <c r="H765">
        <v>2</v>
      </c>
      <c r="I765">
        <v>21</v>
      </c>
      <c r="J765" s="1">
        <v>76483</v>
      </c>
      <c r="K765" s="1">
        <v>917796</v>
      </c>
    </row>
    <row r="766" spans="1:11" x14ac:dyDescent="0.25">
      <c r="A766" s="3">
        <v>765</v>
      </c>
      <c r="B766" s="4" t="s">
        <v>293</v>
      </c>
      <c r="C766" s="4" t="s">
        <v>763</v>
      </c>
      <c r="D766" s="4" t="s">
        <v>826</v>
      </c>
      <c r="E766">
        <f>MONTH(Employee_Data[[#This Row],[HireDate]])</f>
        <v>4</v>
      </c>
      <c r="F766">
        <f>YEAR(Employee_Data[[#This Row],[HireDate]])</f>
        <v>2020</v>
      </c>
      <c r="G766" s="5">
        <v>43951</v>
      </c>
      <c r="H766">
        <v>4</v>
      </c>
      <c r="I766">
        <v>28</v>
      </c>
      <c r="J766" s="1">
        <v>66528</v>
      </c>
      <c r="K766" s="1">
        <v>798336</v>
      </c>
    </row>
    <row r="767" spans="1:11" x14ac:dyDescent="0.25">
      <c r="A767" s="3">
        <v>766</v>
      </c>
      <c r="B767" s="4" t="s">
        <v>275</v>
      </c>
      <c r="C767" s="4" t="s">
        <v>539</v>
      </c>
      <c r="D767" s="4" t="s">
        <v>829</v>
      </c>
      <c r="E767">
        <f>MONTH(Employee_Data[[#This Row],[HireDate]])</f>
        <v>2</v>
      </c>
      <c r="F767">
        <f>YEAR(Employee_Data[[#This Row],[HireDate]])</f>
        <v>2024</v>
      </c>
      <c r="G767" s="5">
        <v>45338</v>
      </c>
      <c r="H767">
        <v>5</v>
      </c>
      <c r="I767">
        <v>42</v>
      </c>
      <c r="J767" s="1">
        <v>59382</v>
      </c>
      <c r="K767" s="1">
        <v>712584</v>
      </c>
    </row>
    <row r="768" spans="1:11" x14ac:dyDescent="0.25">
      <c r="A768" s="3">
        <v>767</v>
      </c>
      <c r="B768" s="4" t="s">
        <v>29</v>
      </c>
      <c r="C768" s="4" t="s">
        <v>483</v>
      </c>
      <c r="D768" s="4" t="s">
        <v>830</v>
      </c>
      <c r="E768">
        <f>MONTH(Employee_Data[[#This Row],[HireDate]])</f>
        <v>9</v>
      </c>
      <c r="F768">
        <f>YEAR(Employee_Data[[#This Row],[HireDate]])</f>
        <v>2018</v>
      </c>
      <c r="G768" s="5">
        <v>43362</v>
      </c>
      <c r="H768">
        <v>4</v>
      </c>
      <c r="I768">
        <v>26</v>
      </c>
      <c r="J768" s="1">
        <v>89229</v>
      </c>
      <c r="K768" s="1">
        <v>1070748</v>
      </c>
    </row>
    <row r="769" spans="1:11" x14ac:dyDescent="0.25">
      <c r="A769" s="3">
        <v>768</v>
      </c>
      <c r="B769" s="4" t="s">
        <v>224</v>
      </c>
      <c r="C769" s="4" t="s">
        <v>281</v>
      </c>
      <c r="D769" s="4" t="s">
        <v>830</v>
      </c>
      <c r="E769">
        <f>MONTH(Employee_Data[[#This Row],[HireDate]])</f>
        <v>10</v>
      </c>
      <c r="F769">
        <f>YEAR(Employee_Data[[#This Row],[HireDate]])</f>
        <v>2024</v>
      </c>
      <c r="G769" s="5">
        <v>45593</v>
      </c>
      <c r="H769">
        <v>3</v>
      </c>
      <c r="I769">
        <v>6</v>
      </c>
      <c r="J769" s="1">
        <v>60159</v>
      </c>
      <c r="K769" s="1">
        <v>721908</v>
      </c>
    </row>
    <row r="770" spans="1:11" x14ac:dyDescent="0.25">
      <c r="A770" s="3">
        <v>769</v>
      </c>
      <c r="B770" s="4" t="s">
        <v>42</v>
      </c>
      <c r="C770" s="4" t="s">
        <v>563</v>
      </c>
      <c r="D770" s="4" t="s">
        <v>830</v>
      </c>
      <c r="E770">
        <f>MONTH(Employee_Data[[#This Row],[HireDate]])</f>
        <v>5</v>
      </c>
      <c r="F770">
        <f>YEAR(Employee_Data[[#This Row],[HireDate]])</f>
        <v>2023</v>
      </c>
      <c r="G770" s="5">
        <v>45074</v>
      </c>
      <c r="H770">
        <v>5</v>
      </c>
      <c r="I770">
        <v>10</v>
      </c>
      <c r="J770" s="1">
        <v>82994</v>
      </c>
      <c r="K770" s="1">
        <v>995928</v>
      </c>
    </row>
    <row r="771" spans="1:11" x14ac:dyDescent="0.25">
      <c r="A771" s="3">
        <v>770</v>
      </c>
      <c r="B771" s="4" t="s">
        <v>229</v>
      </c>
      <c r="C771" s="4" t="s">
        <v>764</v>
      </c>
      <c r="D771" s="4" t="s">
        <v>826</v>
      </c>
      <c r="E771">
        <f>MONTH(Employee_Data[[#This Row],[HireDate]])</f>
        <v>8</v>
      </c>
      <c r="F771">
        <f>YEAR(Employee_Data[[#This Row],[HireDate]])</f>
        <v>2017</v>
      </c>
      <c r="G771" s="5">
        <v>42970</v>
      </c>
      <c r="H771">
        <v>4</v>
      </c>
      <c r="I771">
        <v>21</v>
      </c>
      <c r="J771" s="1">
        <v>94063</v>
      </c>
      <c r="K771" s="1">
        <v>1128756</v>
      </c>
    </row>
    <row r="772" spans="1:11" x14ac:dyDescent="0.25">
      <c r="A772" s="3">
        <v>771</v>
      </c>
      <c r="B772" s="4" t="s">
        <v>325</v>
      </c>
      <c r="C772" s="4" t="s">
        <v>765</v>
      </c>
      <c r="D772" s="4" t="s">
        <v>826</v>
      </c>
      <c r="E772">
        <f>MONTH(Employee_Data[[#This Row],[HireDate]])</f>
        <v>2</v>
      </c>
      <c r="F772">
        <f>YEAR(Employee_Data[[#This Row],[HireDate]])</f>
        <v>2019</v>
      </c>
      <c r="G772" s="5">
        <v>43522</v>
      </c>
      <c r="H772">
        <v>2</v>
      </c>
      <c r="I772">
        <v>4</v>
      </c>
      <c r="J772" s="1">
        <v>50478</v>
      </c>
      <c r="K772" s="1">
        <v>605736</v>
      </c>
    </row>
    <row r="773" spans="1:11" x14ac:dyDescent="0.25">
      <c r="A773" s="3">
        <v>772</v>
      </c>
      <c r="B773" s="4" t="s">
        <v>125</v>
      </c>
      <c r="C773" s="4" t="s">
        <v>551</v>
      </c>
      <c r="D773" s="4" t="s">
        <v>830</v>
      </c>
      <c r="E773">
        <f>MONTH(Employee_Data[[#This Row],[HireDate]])</f>
        <v>4</v>
      </c>
      <c r="F773">
        <f>YEAR(Employee_Data[[#This Row],[HireDate]])</f>
        <v>2016</v>
      </c>
      <c r="G773" s="5">
        <v>42485</v>
      </c>
      <c r="H773">
        <v>2</v>
      </c>
      <c r="I773">
        <v>27</v>
      </c>
      <c r="J773" s="1">
        <v>62024</v>
      </c>
      <c r="K773" s="1">
        <v>744288</v>
      </c>
    </row>
    <row r="774" spans="1:11" x14ac:dyDescent="0.25">
      <c r="A774" s="3">
        <v>773</v>
      </c>
      <c r="B774" s="4" t="s">
        <v>98</v>
      </c>
      <c r="C774" s="4" t="s">
        <v>402</v>
      </c>
      <c r="D774" s="4" t="s">
        <v>826</v>
      </c>
      <c r="E774">
        <f>MONTH(Employee_Data[[#This Row],[HireDate]])</f>
        <v>10</v>
      </c>
      <c r="F774">
        <f>YEAR(Employee_Data[[#This Row],[HireDate]])</f>
        <v>2017</v>
      </c>
      <c r="G774" s="5">
        <v>43033</v>
      </c>
      <c r="H774">
        <v>2</v>
      </c>
      <c r="I774">
        <v>42</v>
      </c>
      <c r="J774" s="1">
        <v>95334</v>
      </c>
      <c r="K774" s="1">
        <v>1144008</v>
      </c>
    </row>
    <row r="775" spans="1:11" x14ac:dyDescent="0.25">
      <c r="A775" s="3">
        <v>774</v>
      </c>
      <c r="B775" s="4" t="s">
        <v>45</v>
      </c>
      <c r="C775" s="4" t="s">
        <v>680</v>
      </c>
      <c r="D775" s="4" t="s">
        <v>826</v>
      </c>
      <c r="E775">
        <f>MONTH(Employee_Data[[#This Row],[HireDate]])</f>
        <v>11</v>
      </c>
      <c r="F775">
        <f>YEAR(Employee_Data[[#This Row],[HireDate]])</f>
        <v>2017</v>
      </c>
      <c r="G775" s="5">
        <v>43042</v>
      </c>
      <c r="H775">
        <v>2</v>
      </c>
      <c r="I775">
        <v>20</v>
      </c>
      <c r="J775" s="1">
        <v>22444</v>
      </c>
      <c r="K775" s="1">
        <v>269328</v>
      </c>
    </row>
    <row r="776" spans="1:11" x14ac:dyDescent="0.25">
      <c r="A776" s="3">
        <v>775</v>
      </c>
      <c r="B776" s="4" t="s">
        <v>332</v>
      </c>
      <c r="C776" s="4" t="s">
        <v>508</v>
      </c>
      <c r="D776" s="4" t="s">
        <v>826</v>
      </c>
      <c r="E776">
        <f>MONTH(Employee_Data[[#This Row],[HireDate]])</f>
        <v>10</v>
      </c>
      <c r="F776">
        <f>YEAR(Employee_Data[[#This Row],[HireDate]])</f>
        <v>2016</v>
      </c>
      <c r="G776" s="5">
        <v>42656</v>
      </c>
      <c r="H776">
        <v>5</v>
      </c>
      <c r="I776">
        <v>25</v>
      </c>
      <c r="J776" s="1">
        <v>62811</v>
      </c>
      <c r="K776" s="1">
        <v>753732</v>
      </c>
    </row>
    <row r="777" spans="1:11" x14ac:dyDescent="0.25">
      <c r="A777" s="3">
        <v>776</v>
      </c>
      <c r="B777" s="4" t="s">
        <v>103</v>
      </c>
      <c r="C777" s="4" t="s">
        <v>520</v>
      </c>
      <c r="D777" s="4" t="s">
        <v>828</v>
      </c>
      <c r="E777">
        <f>MONTH(Employee_Data[[#This Row],[HireDate]])</f>
        <v>1</v>
      </c>
      <c r="F777">
        <f>YEAR(Employee_Data[[#This Row],[HireDate]])</f>
        <v>2021</v>
      </c>
      <c r="G777" s="5">
        <v>44227</v>
      </c>
      <c r="H777">
        <v>3</v>
      </c>
      <c r="I777">
        <v>26</v>
      </c>
      <c r="J777" s="1">
        <v>20385</v>
      </c>
      <c r="K777" s="1">
        <v>244620</v>
      </c>
    </row>
    <row r="778" spans="1:11" x14ac:dyDescent="0.25">
      <c r="A778" s="3">
        <v>777</v>
      </c>
      <c r="B778" s="4" t="s">
        <v>323</v>
      </c>
      <c r="C778" s="4" t="s">
        <v>766</v>
      </c>
      <c r="D778" s="4" t="s">
        <v>828</v>
      </c>
      <c r="E778">
        <f>MONTH(Employee_Data[[#This Row],[HireDate]])</f>
        <v>6</v>
      </c>
      <c r="F778">
        <f>YEAR(Employee_Data[[#This Row],[HireDate]])</f>
        <v>2020</v>
      </c>
      <c r="G778" s="5">
        <v>44002</v>
      </c>
      <c r="H778">
        <v>4</v>
      </c>
      <c r="I778">
        <v>39</v>
      </c>
      <c r="J778" s="1">
        <v>49788</v>
      </c>
      <c r="K778" s="1">
        <v>597456</v>
      </c>
    </row>
    <row r="779" spans="1:11" x14ac:dyDescent="0.25">
      <c r="A779" s="3">
        <v>778</v>
      </c>
      <c r="B779" s="4" t="s">
        <v>134</v>
      </c>
      <c r="C779" s="4" t="s">
        <v>767</v>
      </c>
      <c r="D779" s="4" t="s">
        <v>830</v>
      </c>
      <c r="E779">
        <f>MONTH(Employee_Data[[#This Row],[HireDate]])</f>
        <v>6</v>
      </c>
      <c r="F779">
        <f>YEAR(Employee_Data[[#This Row],[HireDate]])</f>
        <v>2020</v>
      </c>
      <c r="G779" s="5">
        <v>43985</v>
      </c>
      <c r="H779">
        <v>3</v>
      </c>
      <c r="I779">
        <v>41</v>
      </c>
      <c r="J779" s="1">
        <v>75872</v>
      </c>
      <c r="K779" s="1">
        <v>910464</v>
      </c>
    </row>
    <row r="780" spans="1:11" x14ac:dyDescent="0.25">
      <c r="A780" s="3">
        <v>779</v>
      </c>
      <c r="B780" s="4" t="s">
        <v>128</v>
      </c>
      <c r="C780" s="4" t="s">
        <v>634</v>
      </c>
      <c r="D780" s="4" t="s">
        <v>829</v>
      </c>
      <c r="E780">
        <f>MONTH(Employee_Data[[#This Row],[HireDate]])</f>
        <v>1</v>
      </c>
      <c r="F780">
        <f>YEAR(Employee_Data[[#This Row],[HireDate]])</f>
        <v>2021</v>
      </c>
      <c r="G780" s="5">
        <v>44202</v>
      </c>
      <c r="H780">
        <v>2</v>
      </c>
      <c r="I780">
        <v>34</v>
      </c>
      <c r="J780" s="1">
        <v>30861</v>
      </c>
      <c r="K780" s="1">
        <v>370332</v>
      </c>
    </row>
    <row r="781" spans="1:11" x14ac:dyDescent="0.25">
      <c r="A781" s="3">
        <v>780</v>
      </c>
      <c r="B781" s="4" t="s">
        <v>90</v>
      </c>
      <c r="C781" s="4" t="s">
        <v>638</v>
      </c>
      <c r="D781" s="4" t="s">
        <v>827</v>
      </c>
      <c r="E781">
        <f>MONTH(Employee_Data[[#This Row],[HireDate]])</f>
        <v>4</v>
      </c>
      <c r="F781">
        <f>YEAR(Employee_Data[[#This Row],[HireDate]])</f>
        <v>2017</v>
      </c>
      <c r="G781" s="5">
        <v>42834</v>
      </c>
      <c r="H781">
        <v>3</v>
      </c>
      <c r="I781">
        <v>28</v>
      </c>
      <c r="J781" s="1">
        <v>78479</v>
      </c>
      <c r="K781" s="1">
        <v>941748</v>
      </c>
    </row>
    <row r="782" spans="1:11" x14ac:dyDescent="0.25">
      <c r="A782" s="3">
        <v>781</v>
      </c>
      <c r="B782" s="4" t="s">
        <v>333</v>
      </c>
      <c r="C782" s="4" t="s">
        <v>590</v>
      </c>
      <c r="D782" s="4" t="s">
        <v>826</v>
      </c>
      <c r="E782">
        <f>MONTH(Employee_Data[[#This Row],[HireDate]])</f>
        <v>10</v>
      </c>
      <c r="F782">
        <f>YEAR(Employee_Data[[#This Row],[HireDate]])</f>
        <v>2017</v>
      </c>
      <c r="G782" s="5">
        <v>43018</v>
      </c>
      <c r="H782">
        <v>3</v>
      </c>
      <c r="I782">
        <v>20</v>
      </c>
      <c r="J782" s="1">
        <v>57160</v>
      </c>
      <c r="K782" s="1">
        <v>685920</v>
      </c>
    </row>
    <row r="783" spans="1:11" x14ac:dyDescent="0.25">
      <c r="A783" s="3">
        <v>782</v>
      </c>
      <c r="B783" s="4" t="s">
        <v>246</v>
      </c>
      <c r="C783" s="4" t="s">
        <v>574</v>
      </c>
      <c r="D783" s="4" t="s">
        <v>830</v>
      </c>
      <c r="E783">
        <f>MONTH(Employee_Data[[#This Row],[HireDate]])</f>
        <v>1</v>
      </c>
      <c r="F783">
        <f>YEAR(Employee_Data[[#This Row],[HireDate]])</f>
        <v>2019</v>
      </c>
      <c r="G783" s="5">
        <v>43489</v>
      </c>
      <c r="H783">
        <v>2</v>
      </c>
      <c r="I783">
        <v>46</v>
      </c>
      <c r="J783" s="1">
        <v>51882</v>
      </c>
      <c r="K783" s="1">
        <v>622584</v>
      </c>
    </row>
    <row r="784" spans="1:11" x14ac:dyDescent="0.25">
      <c r="A784" s="3">
        <v>783</v>
      </c>
      <c r="B784" s="4" t="s">
        <v>280</v>
      </c>
      <c r="C784" s="4" t="s">
        <v>525</v>
      </c>
      <c r="D784" s="4" t="s">
        <v>830</v>
      </c>
      <c r="E784">
        <f>MONTH(Employee_Data[[#This Row],[HireDate]])</f>
        <v>2</v>
      </c>
      <c r="F784">
        <f>YEAR(Employee_Data[[#This Row],[HireDate]])</f>
        <v>2017</v>
      </c>
      <c r="G784" s="5">
        <v>42783</v>
      </c>
      <c r="H784">
        <v>3</v>
      </c>
      <c r="I784">
        <v>26</v>
      </c>
      <c r="J784" s="1">
        <v>43530</v>
      </c>
      <c r="K784" s="1">
        <v>522360</v>
      </c>
    </row>
    <row r="785" spans="1:11" x14ac:dyDescent="0.25">
      <c r="A785" s="3">
        <v>784</v>
      </c>
      <c r="B785" s="4" t="s">
        <v>20</v>
      </c>
      <c r="C785" s="4" t="s">
        <v>420</v>
      </c>
      <c r="D785" s="4" t="s">
        <v>829</v>
      </c>
      <c r="E785">
        <f>MONTH(Employee_Data[[#This Row],[HireDate]])</f>
        <v>12</v>
      </c>
      <c r="F785">
        <f>YEAR(Employee_Data[[#This Row],[HireDate]])</f>
        <v>2016</v>
      </c>
      <c r="G785" s="5">
        <v>42722</v>
      </c>
      <c r="H785">
        <v>4</v>
      </c>
      <c r="I785">
        <v>16</v>
      </c>
      <c r="J785" s="1">
        <v>88281</v>
      </c>
      <c r="K785" s="1">
        <v>1059372</v>
      </c>
    </row>
    <row r="786" spans="1:11" x14ac:dyDescent="0.25">
      <c r="A786" s="3">
        <v>785</v>
      </c>
      <c r="B786" s="4" t="s">
        <v>143</v>
      </c>
      <c r="C786" s="4" t="s">
        <v>551</v>
      </c>
      <c r="D786" s="4" t="s">
        <v>828</v>
      </c>
      <c r="E786">
        <f>MONTH(Employee_Data[[#This Row],[HireDate]])</f>
        <v>12</v>
      </c>
      <c r="F786">
        <f>YEAR(Employee_Data[[#This Row],[HireDate]])</f>
        <v>2018</v>
      </c>
      <c r="G786" s="5">
        <v>43445</v>
      </c>
      <c r="H786">
        <v>3</v>
      </c>
      <c r="I786">
        <v>9</v>
      </c>
      <c r="J786" s="1">
        <v>97588</v>
      </c>
      <c r="K786" s="1">
        <v>1171056</v>
      </c>
    </row>
    <row r="787" spans="1:11" x14ac:dyDescent="0.25">
      <c r="A787" s="3">
        <v>786</v>
      </c>
      <c r="B787" s="4" t="s">
        <v>36</v>
      </c>
      <c r="C787" s="4" t="s">
        <v>768</v>
      </c>
      <c r="D787" s="4" t="s">
        <v>826</v>
      </c>
      <c r="E787">
        <f>MONTH(Employee_Data[[#This Row],[HireDate]])</f>
        <v>7</v>
      </c>
      <c r="F787">
        <f>YEAR(Employee_Data[[#This Row],[HireDate]])</f>
        <v>2017</v>
      </c>
      <c r="G787" s="5">
        <v>42945</v>
      </c>
      <c r="H787">
        <v>5</v>
      </c>
      <c r="I787">
        <v>18</v>
      </c>
      <c r="J787" s="1">
        <v>101268</v>
      </c>
      <c r="K787" s="1">
        <v>1215216</v>
      </c>
    </row>
    <row r="788" spans="1:11" x14ac:dyDescent="0.25">
      <c r="A788" s="3">
        <v>787</v>
      </c>
      <c r="B788" s="4" t="s">
        <v>224</v>
      </c>
      <c r="C788" s="4" t="s">
        <v>382</v>
      </c>
      <c r="D788" s="4" t="s">
        <v>827</v>
      </c>
      <c r="E788">
        <f>MONTH(Employee_Data[[#This Row],[HireDate]])</f>
        <v>5</v>
      </c>
      <c r="F788">
        <f>YEAR(Employee_Data[[#This Row],[HireDate]])</f>
        <v>2021</v>
      </c>
      <c r="G788" s="5">
        <v>44346</v>
      </c>
      <c r="H788">
        <v>4</v>
      </c>
      <c r="I788">
        <v>25</v>
      </c>
      <c r="J788" s="1">
        <v>22043</v>
      </c>
      <c r="K788" s="1">
        <v>264516</v>
      </c>
    </row>
    <row r="789" spans="1:11" x14ac:dyDescent="0.25">
      <c r="A789" s="3">
        <v>788</v>
      </c>
      <c r="B789" s="4" t="s">
        <v>307</v>
      </c>
      <c r="C789" s="4" t="s">
        <v>479</v>
      </c>
      <c r="D789" s="4" t="s">
        <v>830</v>
      </c>
      <c r="E789">
        <f>MONTH(Employee_Data[[#This Row],[HireDate]])</f>
        <v>3</v>
      </c>
      <c r="F789">
        <f>YEAR(Employee_Data[[#This Row],[HireDate]])</f>
        <v>2017</v>
      </c>
      <c r="G789" s="5">
        <v>42795</v>
      </c>
      <c r="H789">
        <v>5</v>
      </c>
      <c r="I789">
        <v>4</v>
      </c>
      <c r="J789" s="1">
        <v>109639</v>
      </c>
      <c r="K789" s="1">
        <v>1315668</v>
      </c>
    </row>
    <row r="790" spans="1:11" x14ac:dyDescent="0.25">
      <c r="A790" s="3">
        <v>789</v>
      </c>
      <c r="B790" s="4" t="s">
        <v>291</v>
      </c>
      <c r="C790" s="4" t="s">
        <v>726</v>
      </c>
      <c r="D790" s="4" t="s">
        <v>829</v>
      </c>
      <c r="E790">
        <f>MONTH(Employee_Data[[#This Row],[HireDate]])</f>
        <v>1</v>
      </c>
      <c r="F790">
        <f>YEAR(Employee_Data[[#This Row],[HireDate]])</f>
        <v>2020</v>
      </c>
      <c r="G790" s="5">
        <v>43856</v>
      </c>
      <c r="H790">
        <v>3</v>
      </c>
      <c r="I790">
        <v>36</v>
      </c>
      <c r="J790" s="1">
        <v>104604</v>
      </c>
      <c r="K790" s="1">
        <v>1255248</v>
      </c>
    </row>
    <row r="791" spans="1:11" x14ac:dyDescent="0.25">
      <c r="A791" s="3">
        <v>790</v>
      </c>
      <c r="B791" s="4" t="s">
        <v>26</v>
      </c>
      <c r="C791" s="4" t="s">
        <v>449</v>
      </c>
      <c r="D791" s="4" t="s">
        <v>829</v>
      </c>
      <c r="E791">
        <f>MONTH(Employee_Data[[#This Row],[HireDate]])</f>
        <v>3</v>
      </c>
      <c r="F791">
        <f>YEAR(Employee_Data[[#This Row],[HireDate]])</f>
        <v>2017</v>
      </c>
      <c r="G791" s="5">
        <v>42800</v>
      </c>
      <c r="H791">
        <v>5</v>
      </c>
      <c r="I791">
        <v>27</v>
      </c>
      <c r="J791" s="1">
        <v>63112</v>
      </c>
      <c r="K791" s="1">
        <v>757344</v>
      </c>
    </row>
    <row r="792" spans="1:11" x14ac:dyDescent="0.25">
      <c r="A792" s="3">
        <v>791</v>
      </c>
      <c r="B792" s="4" t="s">
        <v>42</v>
      </c>
      <c r="C792" s="4" t="s">
        <v>537</v>
      </c>
      <c r="D792" s="4" t="s">
        <v>828</v>
      </c>
      <c r="E792">
        <f>MONTH(Employee_Data[[#This Row],[HireDate]])</f>
        <v>2</v>
      </c>
      <c r="F792">
        <f>YEAR(Employee_Data[[#This Row],[HireDate]])</f>
        <v>2023</v>
      </c>
      <c r="G792" s="5">
        <v>44978</v>
      </c>
      <c r="H792">
        <v>4</v>
      </c>
      <c r="I792">
        <v>45</v>
      </c>
      <c r="J792" s="1">
        <v>77068</v>
      </c>
      <c r="K792" s="1">
        <v>924816</v>
      </c>
    </row>
    <row r="793" spans="1:11" x14ac:dyDescent="0.25">
      <c r="A793" s="3">
        <v>792</v>
      </c>
      <c r="B793" s="4" t="s">
        <v>98</v>
      </c>
      <c r="C793" s="4" t="s">
        <v>365</v>
      </c>
      <c r="D793" s="4" t="s">
        <v>828</v>
      </c>
      <c r="E793">
        <f>MONTH(Employee_Data[[#This Row],[HireDate]])</f>
        <v>8</v>
      </c>
      <c r="F793">
        <f>YEAR(Employee_Data[[#This Row],[HireDate]])</f>
        <v>2017</v>
      </c>
      <c r="G793" s="5">
        <v>42957</v>
      </c>
      <c r="H793">
        <v>3</v>
      </c>
      <c r="I793">
        <v>27</v>
      </c>
      <c r="J793" s="1">
        <v>106094</v>
      </c>
      <c r="K793" s="1">
        <v>1273128</v>
      </c>
    </row>
    <row r="794" spans="1:11" x14ac:dyDescent="0.25">
      <c r="A794" s="3">
        <v>793</v>
      </c>
      <c r="B794" s="4" t="s">
        <v>115</v>
      </c>
      <c r="C794" s="4" t="s">
        <v>769</v>
      </c>
      <c r="D794" s="4" t="s">
        <v>829</v>
      </c>
      <c r="E794">
        <f>MONTH(Employee_Data[[#This Row],[HireDate]])</f>
        <v>10</v>
      </c>
      <c r="F794">
        <f>YEAR(Employee_Data[[#This Row],[HireDate]])</f>
        <v>2023</v>
      </c>
      <c r="G794" s="5">
        <v>45220</v>
      </c>
      <c r="H794">
        <v>1</v>
      </c>
      <c r="I794">
        <v>5</v>
      </c>
      <c r="J794" s="1">
        <v>40697</v>
      </c>
      <c r="K794" s="1">
        <v>488364</v>
      </c>
    </row>
    <row r="795" spans="1:11" x14ac:dyDescent="0.25">
      <c r="A795" s="3">
        <v>794</v>
      </c>
      <c r="B795" s="4" t="s">
        <v>210</v>
      </c>
      <c r="C795" s="4" t="s">
        <v>555</v>
      </c>
      <c r="D795" s="4" t="s">
        <v>828</v>
      </c>
      <c r="E795">
        <f>MONTH(Employee_Data[[#This Row],[HireDate]])</f>
        <v>7</v>
      </c>
      <c r="F795">
        <f>YEAR(Employee_Data[[#This Row],[HireDate]])</f>
        <v>2022</v>
      </c>
      <c r="G795" s="5">
        <v>44772</v>
      </c>
      <c r="H795">
        <v>5</v>
      </c>
      <c r="I795">
        <v>1</v>
      </c>
      <c r="J795" s="1">
        <v>62063</v>
      </c>
      <c r="K795" s="1">
        <v>744756</v>
      </c>
    </row>
    <row r="796" spans="1:11" x14ac:dyDescent="0.25">
      <c r="A796" s="3">
        <v>795</v>
      </c>
      <c r="B796" s="4" t="s">
        <v>331</v>
      </c>
      <c r="C796" s="4" t="s">
        <v>770</v>
      </c>
      <c r="D796" s="4" t="s">
        <v>828</v>
      </c>
      <c r="E796">
        <f>MONTH(Employee_Data[[#This Row],[HireDate]])</f>
        <v>1</v>
      </c>
      <c r="F796">
        <f>YEAR(Employee_Data[[#This Row],[HireDate]])</f>
        <v>2020</v>
      </c>
      <c r="G796" s="5">
        <v>43856</v>
      </c>
      <c r="H796">
        <v>2</v>
      </c>
      <c r="I796">
        <v>10</v>
      </c>
      <c r="J796" s="1">
        <v>78422</v>
      </c>
      <c r="K796" s="1">
        <v>941064</v>
      </c>
    </row>
    <row r="797" spans="1:11" x14ac:dyDescent="0.25">
      <c r="A797" s="3">
        <v>796</v>
      </c>
      <c r="B797" s="4" t="s">
        <v>121</v>
      </c>
      <c r="C797" s="4" t="s">
        <v>50</v>
      </c>
      <c r="D797" s="4" t="s">
        <v>827</v>
      </c>
      <c r="E797">
        <f>MONTH(Employee_Data[[#This Row],[HireDate]])</f>
        <v>5</v>
      </c>
      <c r="F797">
        <f>YEAR(Employee_Data[[#This Row],[HireDate]])</f>
        <v>2017</v>
      </c>
      <c r="G797" s="5">
        <v>42880</v>
      </c>
      <c r="H797">
        <v>3</v>
      </c>
      <c r="I797">
        <v>46</v>
      </c>
      <c r="J797" s="1">
        <v>61254</v>
      </c>
      <c r="K797" s="1">
        <v>735048</v>
      </c>
    </row>
    <row r="798" spans="1:11" x14ac:dyDescent="0.25">
      <c r="A798" s="3">
        <v>797</v>
      </c>
      <c r="B798" s="4" t="s">
        <v>276</v>
      </c>
      <c r="C798" s="4" t="s">
        <v>708</v>
      </c>
      <c r="D798" s="4" t="s">
        <v>828</v>
      </c>
      <c r="E798">
        <f>MONTH(Employee_Data[[#This Row],[HireDate]])</f>
        <v>4</v>
      </c>
      <c r="F798">
        <f>YEAR(Employee_Data[[#This Row],[HireDate]])</f>
        <v>2020</v>
      </c>
      <c r="G798" s="5">
        <v>43949</v>
      </c>
      <c r="H798">
        <v>1</v>
      </c>
      <c r="I798">
        <v>15</v>
      </c>
      <c r="J798" s="1">
        <v>60685</v>
      </c>
      <c r="K798" s="1">
        <v>728220</v>
      </c>
    </row>
    <row r="799" spans="1:11" x14ac:dyDescent="0.25">
      <c r="A799" s="3">
        <v>798</v>
      </c>
      <c r="B799" s="4" t="s">
        <v>210</v>
      </c>
      <c r="C799" s="4" t="s">
        <v>608</v>
      </c>
      <c r="D799" s="4" t="s">
        <v>829</v>
      </c>
      <c r="E799">
        <f>MONTH(Employee_Data[[#This Row],[HireDate]])</f>
        <v>5</v>
      </c>
      <c r="F799">
        <f>YEAR(Employee_Data[[#This Row],[HireDate]])</f>
        <v>2022</v>
      </c>
      <c r="G799" s="5">
        <v>44690</v>
      </c>
      <c r="H799">
        <v>5</v>
      </c>
      <c r="I799">
        <v>17</v>
      </c>
      <c r="J799" s="1">
        <v>85243</v>
      </c>
      <c r="K799" s="1">
        <v>1022916</v>
      </c>
    </row>
    <row r="800" spans="1:11" x14ac:dyDescent="0.25">
      <c r="A800" s="3">
        <v>799</v>
      </c>
      <c r="B800" s="4" t="s">
        <v>128</v>
      </c>
      <c r="C800" s="4" t="s">
        <v>420</v>
      </c>
      <c r="D800" s="4" t="s">
        <v>828</v>
      </c>
      <c r="E800">
        <f>MONTH(Employee_Data[[#This Row],[HireDate]])</f>
        <v>9</v>
      </c>
      <c r="F800">
        <f>YEAR(Employee_Data[[#This Row],[HireDate]])</f>
        <v>2019</v>
      </c>
      <c r="G800" s="5">
        <v>43720</v>
      </c>
      <c r="H800">
        <v>1</v>
      </c>
      <c r="I800">
        <v>5</v>
      </c>
      <c r="J800" s="1">
        <v>119465</v>
      </c>
      <c r="K800" s="1">
        <v>1433580</v>
      </c>
    </row>
    <row r="801" spans="1:11" x14ac:dyDescent="0.25">
      <c r="A801" s="3">
        <v>800</v>
      </c>
      <c r="B801" s="4" t="s">
        <v>39</v>
      </c>
      <c r="C801" s="4" t="s">
        <v>768</v>
      </c>
      <c r="D801" s="4" t="s">
        <v>830</v>
      </c>
      <c r="E801">
        <f>MONTH(Employee_Data[[#This Row],[HireDate]])</f>
        <v>2</v>
      </c>
      <c r="F801">
        <f>YEAR(Employee_Data[[#This Row],[HireDate]])</f>
        <v>2022</v>
      </c>
      <c r="G801" s="5">
        <v>44617</v>
      </c>
      <c r="H801">
        <v>3</v>
      </c>
      <c r="I801">
        <v>42</v>
      </c>
      <c r="J801" s="1">
        <v>112137</v>
      </c>
      <c r="K801" s="1">
        <v>1345644</v>
      </c>
    </row>
    <row r="802" spans="1:11" x14ac:dyDescent="0.25">
      <c r="A802" s="3">
        <v>801</v>
      </c>
      <c r="B802" s="4" t="s">
        <v>72</v>
      </c>
      <c r="C802" s="4" t="s">
        <v>771</v>
      </c>
      <c r="D802" s="4" t="s">
        <v>827</v>
      </c>
      <c r="E802">
        <f>MONTH(Employee_Data[[#This Row],[HireDate]])</f>
        <v>4</v>
      </c>
      <c r="F802">
        <f>YEAR(Employee_Data[[#This Row],[HireDate]])</f>
        <v>2017</v>
      </c>
      <c r="G802" s="5">
        <v>42850</v>
      </c>
      <c r="H802">
        <v>5</v>
      </c>
      <c r="I802">
        <v>40</v>
      </c>
      <c r="J802" s="1">
        <v>117191</v>
      </c>
      <c r="K802" s="1">
        <v>1406292</v>
      </c>
    </row>
    <row r="803" spans="1:11" x14ac:dyDescent="0.25">
      <c r="A803" s="3">
        <v>802</v>
      </c>
      <c r="B803" s="4" t="s">
        <v>44</v>
      </c>
      <c r="C803" s="4" t="s">
        <v>772</v>
      </c>
      <c r="D803" s="4" t="s">
        <v>830</v>
      </c>
      <c r="E803">
        <f>MONTH(Employee_Data[[#This Row],[HireDate]])</f>
        <v>1</v>
      </c>
      <c r="F803">
        <f>YEAR(Employee_Data[[#This Row],[HireDate]])</f>
        <v>2017</v>
      </c>
      <c r="G803" s="5">
        <v>42747</v>
      </c>
      <c r="H803">
        <v>5</v>
      </c>
      <c r="I803">
        <v>36</v>
      </c>
      <c r="J803" s="1">
        <v>78480</v>
      </c>
      <c r="K803" s="1">
        <v>941760</v>
      </c>
    </row>
    <row r="804" spans="1:11" x14ac:dyDescent="0.25">
      <c r="A804" s="3">
        <v>803</v>
      </c>
      <c r="B804" s="4" t="s">
        <v>224</v>
      </c>
      <c r="C804" s="4" t="s">
        <v>773</v>
      </c>
      <c r="D804" s="4" t="s">
        <v>829</v>
      </c>
      <c r="E804">
        <f>MONTH(Employee_Data[[#This Row],[HireDate]])</f>
        <v>7</v>
      </c>
      <c r="F804">
        <f>YEAR(Employee_Data[[#This Row],[HireDate]])</f>
        <v>2019</v>
      </c>
      <c r="G804" s="5">
        <v>43648</v>
      </c>
      <c r="H804">
        <v>2</v>
      </c>
      <c r="I804">
        <v>13</v>
      </c>
      <c r="J804" s="1">
        <v>60803</v>
      </c>
      <c r="K804" s="1">
        <v>729636</v>
      </c>
    </row>
    <row r="805" spans="1:11" x14ac:dyDescent="0.25">
      <c r="A805" s="3">
        <v>804</v>
      </c>
      <c r="B805" s="4" t="s">
        <v>184</v>
      </c>
      <c r="C805" s="4" t="s">
        <v>486</v>
      </c>
      <c r="D805" s="4" t="s">
        <v>828</v>
      </c>
      <c r="E805">
        <f>MONTH(Employee_Data[[#This Row],[HireDate]])</f>
        <v>4</v>
      </c>
      <c r="F805">
        <f>YEAR(Employee_Data[[#This Row],[HireDate]])</f>
        <v>2018</v>
      </c>
      <c r="G805" s="5">
        <v>43208</v>
      </c>
      <c r="H805">
        <v>4</v>
      </c>
      <c r="I805">
        <v>28</v>
      </c>
      <c r="J805" s="1">
        <v>47177</v>
      </c>
      <c r="K805" s="1">
        <v>566124</v>
      </c>
    </row>
    <row r="806" spans="1:11" x14ac:dyDescent="0.25">
      <c r="A806" s="3">
        <v>805</v>
      </c>
      <c r="B806" s="4" t="s">
        <v>126</v>
      </c>
      <c r="C806" s="4" t="s">
        <v>402</v>
      </c>
      <c r="D806" s="4" t="s">
        <v>827</v>
      </c>
      <c r="E806">
        <f>MONTH(Employee_Data[[#This Row],[HireDate]])</f>
        <v>11</v>
      </c>
      <c r="F806">
        <f>YEAR(Employee_Data[[#This Row],[HireDate]])</f>
        <v>2019</v>
      </c>
      <c r="G806" s="5">
        <v>43772</v>
      </c>
      <c r="H806">
        <v>2</v>
      </c>
      <c r="I806">
        <v>43</v>
      </c>
      <c r="J806" s="1">
        <v>117202</v>
      </c>
      <c r="K806" s="1">
        <v>1406424</v>
      </c>
    </row>
    <row r="807" spans="1:11" x14ac:dyDescent="0.25">
      <c r="A807" s="3">
        <v>806</v>
      </c>
      <c r="B807" s="4" t="s">
        <v>90</v>
      </c>
      <c r="C807" s="4" t="s">
        <v>774</v>
      </c>
      <c r="D807" s="4" t="s">
        <v>828</v>
      </c>
      <c r="E807">
        <f>MONTH(Employee_Data[[#This Row],[HireDate]])</f>
        <v>8</v>
      </c>
      <c r="F807">
        <f>YEAR(Employee_Data[[#This Row],[HireDate]])</f>
        <v>2017</v>
      </c>
      <c r="G807" s="5">
        <v>42967</v>
      </c>
      <c r="H807">
        <v>5</v>
      </c>
      <c r="I807">
        <v>47</v>
      </c>
      <c r="J807" s="1">
        <v>21594</v>
      </c>
      <c r="K807" s="1">
        <v>259128</v>
      </c>
    </row>
    <row r="808" spans="1:11" x14ac:dyDescent="0.25">
      <c r="A808" s="3">
        <v>807</v>
      </c>
      <c r="B808" s="4" t="s">
        <v>334</v>
      </c>
      <c r="C808" s="4" t="s">
        <v>775</v>
      </c>
      <c r="D808" s="4" t="s">
        <v>826</v>
      </c>
      <c r="E808">
        <f>MONTH(Employee_Data[[#This Row],[HireDate]])</f>
        <v>9</v>
      </c>
      <c r="F808">
        <f>YEAR(Employee_Data[[#This Row],[HireDate]])</f>
        <v>2024</v>
      </c>
      <c r="G808" s="5">
        <v>45537</v>
      </c>
      <c r="H808">
        <v>1</v>
      </c>
      <c r="I808">
        <v>26</v>
      </c>
      <c r="J808" s="1">
        <v>49261</v>
      </c>
      <c r="K808" s="1">
        <v>591132</v>
      </c>
    </row>
    <row r="809" spans="1:11" x14ac:dyDescent="0.25">
      <c r="A809" s="3">
        <v>808</v>
      </c>
      <c r="B809" s="4" t="s">
        <v>313</v>
      </c>
      <c r="C809" s="4" t="s">
        <v>384</v>
      </c>
      <c r="D809" s="4" t="s">
        <v>826</v>
      </c>
      <c r="E809">
        <f>MONTH(Employee_Data[[#This Row],[HireDate]])</f>
        <v>10</v>
      </c>
      <c r="F809">
        <f>YEAR(Employee_Data[[#This Row],[HireDate]])</f>
        <v>2020</v>
      </c>
      <c r="G809" s="5">
        <v>44126</v>
      </c>
      <c r="H809">
        <v>3</v>
      </c>
      <c r="I809">
        <v>29</v>
      </c>
      <c r="J809" s="1">
        <v>43294</v>
      </c>
      <c r="K809" s="1">
        <v>519528</v>
      </c>
    </row>
    <row r="810" spans="1:11" x14ac:dyDescent="0.25">
      <c r="A810" s="3">
        <v>809</v>
      </c>
      <c r="B810" s="4" t="s">
        <v>246</v>
      </c>
      <c r="C810" s="4" t="s">
        <v>366</v>
      </c>
      <c r="D810" s="4" t="s">
        <v>830</v>
      </c>
      <c r="E810">
        <f>MONTH(Employee_Data[[#This Row],[HireDate]])</f>
        <v>4</v>
      </c>
      <c r="F810">
        <f>YEAR(Employee_Data[[#This Row],[HireDate]])</f>
        <v>2023</v>
      </c>
      <c r="G810" s="5">
        <v>45030</v>
      </c>
      <c r="H810">
        <v>3</v>
      </c>
      <c r="I810">
        <v>33</v>
      </c>
      <c r="J810" s="1">
        <v>113083</v>
      </c>
      <c r="K810" s="1">
        <v>1356996</v>
      </c>
    </row>
    <row r="811" spans="1:11" x14ac:dyDescent="0.25">
      <c r="A811" s="3">
        <v>810</v>
      </c>
      <c r="B811" s="4" t="s">
        <v>191</v>
      </c>
      <c r="C811" s="4" t="s">
        <v>608</v>
      </c>
      <c r="D811" s="4" t="s">
        <v>828</v>
      </c>
      <c r="E811">
        <f>MONTH(Employee_Data[[#This Row],[HireDate]])</f>
        <v>7</v>
      </c>
      <c r="F811">
        <f>YEAR(Employee_Data[[#This Row],[HireDate]])</f>
        <v>2019</v>
      </c>
      <c r="G811" s="5">
        <v>43657</v>
      </c>
      <c r="H811">
        <v>3</v>
      </c>
      <c r="I811">
        <v>26</v>
      </c>
      <c r="J811" s="1">
        <v>106597</v>
      </c>
      <c r="K811" s="1">
        <v>1279164</v>
      </c>
    </row>
    <row r="812" spans="1:11" x14ac:dyDescent="0.25">
      <c r="A812" s="3">
        <v>811</v>
      </c>
      <c r="B812" s="4" t="s">
        <v>73</v>
      </c>
      <c r="C812" s="4" t="s">
        <v>396</v>
      </c>
      <c r="D812" s="4" t="s">
        <v>828</v>
      </c>
      <c r="E812">
        <f>MONTH(Employee_Data[[#This Row],[HireDate]])</f>
        <v>12</v>
      </c>
      <c r="F812">
        <f>YEAR(Employee_Data[[#This Row],[HireDate]])</f>
        <v>2016</v>
      </c>
      <c r="G812" s="5">
        <v>42716</v>
      </c>
      <c r="H812">
        <v>5</v>
      </c>
      <c r="I812">
        <v>19</v>
      </c>
      <c r="J812" s="1">
        <v>30131</v>
      </c>
      <c r="K812" s="1">
        <v>361572</v>
      </c>
    </row>
    <row r="813" spans="1:11" x14ac:dyDescent="0.25">
      <c r="A813" s="3">
        <v>812</v>
      </c>
      <c r="B813" s="4" t="s">
        <v>277</v>
      </c>
      <c r="C813" s="4" t="s">
        <v>431</v>
      </c>
      <c r="D813" s="4" t="s">
        <v>829</v>
      </c>
      <c r="E813">
        <f>MONTH(Employee_Data[[#This Row],[HireDate]])</f>
        <v>3</v>
      </c>
      <c r="F813">
        <f>YEAR(Employee_Data[[#This Row],[HireDate]])</f>
        <v>2022</v>
      </c>
      <c r="G813" s="5">
        <v>44644</v>
      </c>
      <c r="H813">
        <v>1</v>
      </c>
      <c r="I813">
        <v>47</v>
      </c>
      <c r="J813" s="1">
        <v>74264</v>
      </c>
      <c r="K813" s="1">
        <v>891168</v>
      </c>
    </row>
    <row r="814" spans="1:11" x14ac:dyDescent="0.25">
      <c r="A814" s="3">
        <v>813</v>
      </c>
      <c r="B814" s="4" t="s">
        <v>335</v>
      </c>
      <c r="C814" s="4" t="s">
        <v>776</v>
      </c>
      <c r="D814" s="4" t="s">
        <v>829</v>
      </c>
      <c r="E814">
        <f>MONTH(Employee_Data[[#This Row],[HireDate]])</f>
        <v>2</v>
      </c>
      <c r="F814">
        <f>YEAR(Employee_Data[[#This Row],[HireDate]])</f>
        <v>2023</v>
      </c>
      <c r="G814" s="5">
        <v>44976</v>
      </c>
      <c r="H814">
        <v>1</v>
      </c>
      <c r="I814">
        <v>32</v>
      </c>
      <c r="J814" s="1">
        <v>96609</v>
      </c>
      <c r="K814" s="1">
        <v>1159308</v>
      </c>
    </row>
    <row r="815" spans="1:11" x14ac:dyDescent="0.25">
      <c r="A815" s="3">
        <v>814</v>
      </c>
      <c r="B815" s="4" t="s">
        <v>159</v>
      </c>
      <c r="C815" s="4" t="s">
        <v>537</v>
      </c>
      <c r="D815" s="4" t="s">
        <v>826</v>
      </c>
      <c r="E815">
        <f>MONTH(Employee_Data[[#This Row],[HireDate]])</f>
        <v>12</v>
      </c>
      <c r="F815">
        <f>YEAR(Employee_Data[[#This Row],[HireDate]])</f>
        <v>2018</v>
      </c>
      <c r="G815" s="5">
        <v>43460</v>
      </c>
      <c r="H815">
        <v>2</v>
      </c>
      <c r="I815">
        <v>14</v>
      </c>
      <c r="J815" s="1">
        <v>84938</v>
      </c>
      <c r="K815" s="1">
        <v>1019256</v>
      </c>
    </row>
    <row r="816" spans="1:11" x14ac:dyDescent="0.25">
      <c r="A816" s="3">
        <v>815</v>
      </c>
      <c r="B816" s="4" t="s">
        <v>289</v>
      </c>
      <c r="C816" s="4" t="s">
        <v>725</v>
      </c>
      <c r="D816" s="4" t="s">
        <v>828</v>
      </c>
      <c r="E816">
        <f>MONTH(Employee_Data[[#This Row],[HireDate]])</f>
        <v>8</v>
      </c>
      <c r="F816">
        <f>YEAR(Employee_Data[[#This Row],[HireDate]])</f>
        <v>2017</v>
      </c>
      <c r="G816" s="5">
        <v>42953</v>
      </c>
      <c r="H816">
        <v>3</v>
      </c>
      <c r="I816">
        <v>15</v>
      </c>
      <c r="J816" s="1">
        <v>46993</v>
      </c>
      <c r="K816" s="1">
        <v>563916</v>
      </c>
    </row>
    <row r="817" spans="1:11" x14ac:dyDescent="0.25">
      <c r="A817" s="3">
        <v>816</v>
      </c>
      <c r="B817" s="4" t="s">
        <v>32</v>
      </c>
      <c r="C817" s="4" t="s">
        <v>382</v>
      </c>
      <c r="D817" s="4" t="s">
        <v>830</v>
      </c>
      <c r="E817">
        <f>MONTH(Employee_Data[[#This Row],[HireDate]])</f>
        <v>7</v>
      </c>
      <c r="F817">
        <f>YEAR(Employee_Data[[#This Row],[HireDate]])</f>
        <v>2024</v>
      </c>
      <c r="G817" s="5">
        <v>45478</v>
      </c>
      <c r="H817">
        <v>2</v>
      </c>
      <c r="I817">
        <v>4</v>
      </c>
      <c r="J817" s="1">
        <v>46585</v>
      </c>
      <c r="K817" s="1">
        <v>559020</v>
      </c>
    </row>
    <row r="818" spans="1:11" x14ac:dyDescent="0.25">
      <c r="A818" s="3">
        <v>817</v>
      </c>
      <c r="B818" s="4" t="s">
        <v>336</v>
      </c>
      <c r="C818" s="4" t="s">
        <v>388</v>
      </c>
      <c r="D818" s="4" t="s">
        <v>828</v>
      </c>
      <c r="E818">
        <f>MONTH(Employee_Data[[#This Row],[HireDate]])</f>
        <v>6</v>
      </c>
      <c r="F818">
        <f>YEAR(Employee_Data[[#This Row],[HireDate]])</f>
        <v>2021</v>
      </c>
      <c r="G818" s="5">
        <v>44366</v>
      </c>
      <c r="H818">
        <v>5</v>
      </c>
      <c r="I818">
        <v>26</v>
      </c>
      <c r="J818" s="1">
        <v>30347</v>
      </c>
      <c r="K818" s="1">
        <v>364164</v>
      </c>
    </row>
    <row r="819" spans="1:11" x14ac:dyDescent="0.25">
      <c r="A819" s="3">
        <v>818</v>
      </c>
      <c r="B819" s="4" t="s">
        <v>326</v>
      </c>
      <c r="C819" s="4" t="s">
        <v>471</v>
      </c>
      <c r="D819" s="4" t="s">
        <v>826</v>
      </c>
      <c r="E819">
        <f>MONTH(Employee_Data[[#This Row],[HireDate]])</f>
        <v>4</v>
      </c>
      <c r="F819">
        <f>YEAR(Employee_Data[[#This Row],[HireDate]])</f>
        <v>2021</v>
      </c>
      <c r="G819" s="5">
        <v>44290</v>
      </c>
      <c r="H819">
        <v>1</v>
      </c>
      <c r="I819">
        <v>7</v>
      </c>
      <c r="J819" s="1">
        <v>62759</v>
      </c>
      <c r="K819" s="1">
        <v>753108</v>
      </c>
    </row>
    <row r="820" spans="1:11" x14ac:dyDescent="0.25">
      <c r="A820" s="3">
        <v>819</v>
      </c>
      <c r="B820" s="4" t="s">
        <v>91</v>
      </c>
      <c r="C820" s="4" t="s">
        <v>553</v>
      </c>
      <c r="D820" s="4" t="s">
        <v>827</v>
      </c>
      <c r="E820">
        <f>MONTH(Employee_Data[[#This Row],[HireDate]])</f>
        <v>4</v>
      </c>
      <c r="F820">
        <f>YEAR(Employee_Data[[#This Row],[HireDate]])</f>
        <v>2018</v>
      </c>
      <c r="G820" s="5">
        <v>43195</v>
      </c>
      <c r="H820">
        <v>2</v>
      </c>
      <c r="I820">
        <v>13</v>
      </c>
      <c r="J820" s="1">
        <v>73239</v>
      </c>
      <c r="K820" s="1">
        <v>878868</v>
      </c>
    </row>
    <row r="821" spans="1:11" x14ac:dyDescent="0.25">
      <c r="A821" s="3">
        <v>820</v>
      </c>
      <c r="B821" s="4" t="s">
        <v>38</v>
      </c>
      <c r="C821" s="4" t="s">
        <v>407</v>
      </c>
      <c r="D821" s="4" t="s">
        <v>826</v>
      </c>
      <c r="E821">
        <f>MONTH(Employee_Data[[#This Row],[HireDate]])</f>
        <v>1</v>
      </c>
      <c r="F821">
        <f>YEAR(Employee_Data[[#This Row],[HireDate]])</f>
        <v>2023</v>
      </c>
      <c r="G821" s="5">
        <v>44957</v>
      </c>
      <c r="H821">
        <v>2</v>
      </c>
      <c r="I821">
        <v>24</v>
      </c>
      <c r="J821" s="1">
        <v>46975</v>
      </c>
      <c r="K821" s="1">
        <v>563700</v>
      </c>
    </row>
    <row r="822" spans="1:11" x14ac:dyDescent="0.25">
      <c r="A822" s="3">
        <v>821</v>
      </c>
      <c r="B822" s="4" t="s">
        <v>210</v>
      </c>
      <c r="C822" s="4" t="s">
        <v>432</v>
      </c>
      <c r="D822" s="4" t="s">
        <v>830</v>
      </c>
      <c r="E822">
        <f>MONTH(Employee_Data[[#This Row],[HireDate]])</f>
        <v>12</v>
      </c>
      <c r="F822">
        <f>YEAR(Employee_Data[[#This Row],[HireDate]])</f>
        <v>2021</v>
      </c>
      <c r="G822" s="5">
        <v>44552</v>
      </c>
      <c r="H822">
        <v>2</v>
      </c>
      <c r="I822">
        <v>29</v>
      </c>
      <c r="J822" s="1">
        <v>57441</v>
      </c>
      <c r="K822" s="1">
        <v>689292</v>
      </c>
    </row>
    <row r="823" spans="1:11" x14ac:dyDescent="0.25">
      <c r="A823" s="3">
        <v>822</v>
      </c>
      <c r="B823" s="4" t="s">
        <v>32</v>
      </c>
      <c r="C823" s="4" t="s">
        <v>777</v>
      </c>
      <c r="D823" s="4" t="s">
        <v>830</v>
      </c>
      <c r="E823">
        <f>MONTH(Employee_Data[[#This Row],[HireDate]])</f>
        <v>8</v>
      </c>
      <c r="F823">
        <f>YEAR(Employee_Data[[#This Row],[HireDate]])</f>
        <v>2024</v>
      </c>
      <c r="G823" s="5">
        <v>45521</v>
      </c>
      <c r="H823">
        <v>3</v>
      </c>
      <c r="I823">
        <v>20</v>
      </c>
      <c r="J823" s="1">
        <v>31490</v>
      </c>
      <c r="K823" s="1">
        <v>377880</v>
      </c>
    </row>
    <row r="824" spans="1:11" x14ac:dyDescent="0.25">
      <c r="A824" s="3">
        <v>823</v>
      </c>
      <c r="B824" s="4" t="s">
        <v>213</v>
      </c>
      <c r="C824" s="4" t="s">
        <v>765</v>
      </c>
      <c r="D824" s="4" t="s">
        <v>830</v>
      </c>
      <c r="E824">
        <f>MONTH(Employee_Data[[#This Row],[HireDate]])</f>
        <v>1</v>
      </c>
      <c r="F824">
        <f>YEAR(Employee_Data[[#This Row],[HireDate]])</f>
        <v>2022</v>
      </c>
      <c r="G824" s="5">
        <v>44571</v>
      </c>
      <c r="H824">
        <v>5</v>
      </c>
      <c r="I824">
        <v>27</v>
      </c>
      <c r="J824" s="1">
        <v>21720</v>
      </c>
      <c r="K824" s="1">
        <v>260640</v>
      </c>
    </row>
    <row r="825" spans="1:11" x14ac:dyDescent="0.25">
      <c r="A825" s="3">
        <v>824</v>
      </c>
      <c r="B825" s="4" t="s">
        <v>337</v>
      </c>
      <c r="C825" s="4" t="s">
        <v>778</v>
      </c>
      <c r="D825" s="4" t="s">
        <v>829</v>
      </c>
      <c r="E825">
        <f>MONTH(Employee_Data[[#This Row],[HireDate]])</f>
        <v>8</v>
      </c>
      <c r="F825">
        <f>YEAR(Employee_Data[[#This Row],[HireDate]])</f>
        <v>2016</v>
      </c>
      <c r="G825" s="5">
        <v>42607</v>
      </c>
      <c r="H825">
        <v>3</v>
      </c>
      <c r="I825">
        <v>20</v>
      </c>
      <c r="J825" s="1">
        <v>59874</v>
      </c>
      <c r="K825" s="1">
        <v>718488</v>
      </c>
    </row>
    <row r="826" spans="1:11" x14ac:dyDescent="0.25">
      <c r="A826" s="3">
        <v>825</v>
      </c>
      <c r="B826" s="4" t="s">
        <v>54</v>
      </c>
      <c r="C826" s="4" t="s">
        <v>779</v>
      </c>
      <c r="D826" s="4" t="s">
        <v>827</v>
      </c>
      <c r="E826">
        <f>MONTH(Employee_Data[[#This Row],[HireDate]])</f>
        <v>7</v>
      </c>
      <c r="F826">
        <f>YEAR(Employee_Data[[#This Row],[HireDate]])</f>
        <v>2017</v>
      </c>
      <c r="G826" s="5">
        <v>42942</v>
      </c>
      <c r="H826">
        <v>4</v>
      </c>
      <c r="I826">
        <v>37</v>
      </c>
      <c r="J826" s="1">
        <v>102503</v>
      </c>
      <c r="K826" s="1">
        <v>1230036</v>
      </c>
    </row>
    <row r="827" spans="1:11" x14ac:dyDescent="0.25">
      <c r="A827" s="3">
        <v>826</v>
      </c>
      <c r="B827" s="4" t="s">
        <v>338</v>
      </c>
      <c r="C827" s="4" t="s">
        <v>330</v>
      </c>
      <c r="D827" s="4" t="s">
        <v>829</v>
      </c>
      <c r="E827">
        <f>MONTH(Employee_Data[[#This Row],[HireDate]])</f>
        <v>9</v>
      </c>
      <c r="F827">
        <f>YEAR(Employee_Data[[#This Row],[HireDate]])</f>
        <v>2020</v>
      </c>
      <c r="G827" s="5">
        <v>44079</v>
      </c>
      <c r="H827">
        <v>5</v>
      </c>
      <c r="I827">
        <v>36</v>
      </c>
      <c r="J827" s="1">
        <v>84460</v>
      </c>
      <c r="K827" s="1">
        <v>1013520</v>
      </c>
    </row>
    <row r="828" spans="1:11" x14ac:dyDescent="0.25">
      <c r="A828" s="3">
        <v>827</v>
      </c>
      <c r="B828" s="4" t="s">
        <v>45</v>
      </c>
      <c r="C828" s="4" t="s">
        <v>226</v>
      </c>
      <c r="D828" s="4" t="s">
        <v>828</v>
      </c>
      <c r="E828">
        <f>MONTH(Employee_Data[[#This Row],[HireDate]])</f>
        <v>10</v>
      </c>
      <c r="F828">
        <f>YEAR(Employee_Data[[#This Row],[HireDate]])</f>
        <v>2020</v>
      </c>
      <c r="G828" s="5">
        <v>44129</v>
      </c>
      <c r="H828">
        <v>1</v>
      </c>
      <c r="I828">
        <v>8</v>
      </c>
      <c r="J828" s="1">
        <v>41991</v>
      </c>
      <c r="K828" s="1">
        <v>503892</v>
      </c>
    </row>
    <row r="829" spans="1:11" x14ac:dyDescent="0.25">
      <c r="A829" s="3">
        <v>828</v>
      </c>
      <c r="B829" s="4" t="s">
        <v>339</v>
      </c>
      <c r="C829" s="4" t="s">
        <v>762</v>
      </c>
      <c r="D829" s="4" t="s">
        <v>829</v>
      </c>
      <c r="E829">
        <f>MONTH(Employee_Data[[#This Row],[HireDate]])</f>
        <v>9</v>
      </c>
      <c r="F829">
        <f>YEAR(Employee_Data[[#This Row],[HireDate]])</f>
        <v>2022</v>
      </c>
      <c r="G829" s="5">
        <v>44827</v>
      </c>
      <c r="H829">
        <v>1</v>
      </c>
      <c r="I829">
        <v>27</v>
      </c>
      <c r="J829" s="1">
        <v>77431</v>
      </c>
      <c r="K829" s="1">
        <v>929172</v>
      </c>
    </row>
    <row r="830" spans="1:11" x14ac:dyDescent="0.25">
      <c r="A830" s="3">
        <v>829</v>
      </c>
      <c r="B830" s="4" t="s">
        <v>210</v>
      </c>
      <c r="C830" s="4" t="s">
        <v>281</v>
      </c>
      <c r="D830" s="4" t="s">
        <v>829</v>
      </c>
      <c r="E830">
        <f>MONTH(Employee_Data[[#This Row],[HireDate]])</f>
        <v>9</v>
      </c>
      <c r="F830">
        <f>YEAR(Employee_Data[[#This Row],[HireDate]])</f>
        <v>2016</v>
      </c>
      <c r="G830" s="5">
        <v>42619</v>
      </c>
      <c r="H830">
        <v>5</v>
      </c>
      <c r="I830">
        <v>47</v>
      </c>
      <c r="J830" s="1">
        <v>118967</v>
      </c>
      <c r="K830" s="1">
        <v>1427604</v>
      </c>
    </row>
    <row r="831" spans="1:11" x14ac:dyDescent="0.25">
      <c r="A831" s="3">
        <v>830</v>
      </c>
      <c r="B831" s="4" t="s">
        <v>38</v>
      </c>
      <c r="C831" s="4" t="s">
        <v>780</v>
      </c>
      <c r="D831" s="4" t="s">
        <v>828</v>
      </c>
      <c r="E831">
        <f>MONTH(Employee_Data[[#This Row],[HireDate]])</f>
        <v>12</v>
      </c>
      <c r="F831">
        <f>YEAR(Employee_Data[[#This Row],[HireDate]])</f>
        <v>2022</v>
      </c>
      <c r="G831" s="5">
        <v>44907</v>
      </c>
      <c r="H831">
        <v>4</v>
      </c>
      <c r="I831">
        <v>7</v>
      </c>
      <c r="J831" s="1">
        <v>33250</v>
      </c>
      <c r="K831" s="1">
        <v>399000</v>
      </c>
    </row>
    <row r="832" spans="1:11" x14ac:dyDescent="0.25">
      <c r="A832" s="3">
        <v>831</v>
      </c>
      <c r="B832" s="4" t="s">
        <v>116</v>
      </c>
      <c r="C832" s="4" t="s">
        <v>416</v>
      </c>
      <c r="D832" s="4" t="s">
        <v>830</v>
      </c>
      <c r="E832">
        <f>MONTH(Employee_Data[[#This Row],[HireDate]])</f>
        <v>7</v>
      </c>
      <c r="F832">
        <f>YEAR(Employee_Data[[#This Row],[HireDate]])</f>
        <v>2021</v>
      </c>
      <c r="G832" s="5">
        <v>44401</v>
      </c>
      <c r="H832">
        <v>3</v>
      </c>
      <c r="I832">
        <v>12</v>
      </c>
      <c r="J832" s="1">
        <v>35872</v>
      </c>
      <c r="K832" s="1">
        <v>430464</v>
      </c>
    </row>
    <row r="833" spans="1:11" x14ac:dyDescent="0.25">
      <c r="A833" s="3">
        <v>832</v>
      </c>
      <c r="B833" s="4" t="s">
        <v>41</v>
      </c>
      <c r="C833" s="4" t="s">
        <v>422</v>
      </c>
      <c r="D833" s="4" t="s">
        <v>826</v>
      </c>
      <c r="E833">
        <f>MONTH(Employee_Data[[#This Row],[HireDate]])</f>
        <v>7</v>
      </c>
      <c r="F833">
        <f>YEAR(Employee_Data[[#This Row],[HireDate]])</f>
        <v>2018</v>
      </c>
      <c r="G833" s="5">
        <v>43289</v>
      </c>
      <c r="H833">
        <v>4</v>
      </c>
      <c r="I833">
        <v>27</v>
      </c>
      <c r="J833" s="1">
        <v>43061</v>
      </c>
      <c r="K833" s="1">
        <v>516732</v>
      </c>
    </row>
    <row r="834" spans="1:11" x14ac:dyDescent="0.25">
      <c r="A834" s="3">
        <v>833</v>
      </c>
      <c r="B834" s="4" t="s">
        <v>85</v>
      </c>
      <c r="C834" s="4" t="s">
        <v>781</v>
      </c>
      <c r="D834" s="4" t="s">
        <v>826</v>
      </c>
      <c r="E834">
        <f>MONTH(Employee_Data[[#This Row],[HireDate]])</f>
        <v>8</v>
      </c>
      <c r="F834">
        <f>YEAR(Employee_Data[[#This Row],[HireDate]])</f>
        <v>2020</v>
      </c>
      <c r="G834" s="5">
        <v>44058</v>
      </c>
      <c r="H834">
        <v>2</v>
      </c>
      <c r="I834">
        <v>31</v>
      </c>
      <c r="J834" s="1">
        <v>39918</v>
      </c>
      <c r="K834" s="1">
        <v>479016</v>
      </c>
    </row>
    <row r="835" spans="1:11" x14ac:dyDescent="0.25">
      <c r="A835" s="3">
        <v>834</v>
      </c>
      <c r="B835" s="4" t="s">
        <v>219</v>
      </c>
      <c r="C835" s="4" t="s">
        <v>405</v>
      </c>
      <c r="D835" s="4" t="s">
        <v>826</v>
      </c>
      <c r="E835">
        <f>MONTH(Employee_Data[[#This Row],[HireDate]])</f>
        <v>9</v>
      </c>
      <c r="F835">
        <f>YEAR(Employee_Data[[#This Row],[HireDate]])</f>
        <v>2019</v>
      </c>
      <c r="G835" s="5">
        <v>43738</v>
      </c>
      <c r="H835">
        <v>3</v>
      </c>
      <c r="I835">
        <v>17</v>
      </c>
      <c r="J835" s="1">
        <v>90109</v>
      </c>
      <c r="K835" s="1">
        <v>1081308</v>
      </c>
    </row>
    <row r="836" spans="1:11" x14ac:dyDescent="0.25">
      <c r="A836" s="3">
        <v>835</v>
      </c>
      <c r="B836" s="4" t="s">
        <v>100</v>
      </c>
      <c r="C836" s="4" t="s">
        <v>782</v>
      </c>
      <c r="D836" s="4" t="s">
        <v>829</v>
      </c>
      <c r="E836">
        <f>MONTH(Employee_Data[[#This Row],[HireDate]])</f>
        <v>10</v>
      </c>
      <c r="F836">
        <f>YEAR(Employee_Data[[#This Row],[HireDate]])</f>
        <v>2017</v>
      </c>
      <c r="G836" s="5">
        <v>43021</v>
      </c>
      <c r="H836">
        <v>2</v>
      </c>
      <c r="I836">
        <v>29</v>
      </c>
      <c r="J836" s="1">
        <v>38843</v>
      </c>
      <c r="K836" s="1">
        <v>466116</v>
      </c>
    </row>
    <row r="837" spans="1:11" x14ac:dyDescent="0.25">
      <c r="A837" s="3">
        <v>836</v>
      </c>
      <c r="B837" s="4" t="s">
        <v>186</v>
      </c>
      <c r="C837" s="4" t="s">
        <v>441</v>
      </c>
      <c r="D837" s="4" t="s">
        <v>826</v>
      </c>
      <c r="E837">
        <f>MONTH(Employee_Data[[#This Row],[HireDate]])</f>
        <v>10</v>
      </c>
      <c r="F837">
        <f>YEAR(Employee_Data[[#This Row],[HireDate]])</f>
        <v>2019</v>
      </c>
      <c r="G837" s="5">
        <v>43749</v>
      </c>
      <c r="H837">
        <v>4</v>
      </c>
      <c r="I837">
        <v>38</v>
      </c>
      <c r="J837" s="1">
        <v>91694</v>
      </c>
      <c r="K837" s="1">
        <v>1100328</v>
      </c>
    </row>
    <row r="838" spans="1:11" x14ac:dyDescent="0.25">
      <c r="A838" s="3">
        <v>837</v>
      </c>
      <c r="B838" s="4" t="s">
        <v>241</v>
      </c>
      <c r="C838" s="4" t="s">
        <v>469</v>
      </c>
      <c r="D838" s="4" t="s">
        <v>827</v>
      </c>
      <c r="E838">
        <f>MONTH(Employee_Data[[#This Row],[HireDate]])</f>
        <v>9</v>
      </c>
      <c r="F838">
        <f>YEAR(Employee_Data[[#This Row],[HireDate]])</f>
        <v>2020</v>
      </c>
      <c r="G838" s="5">
        <v>44083</v>
      </c>
      <c r="H838">
        <v>4</v>
      </c>
      <c r="I838">
        <v>2</v>
      </c>
      <c r="J838" s="1">
        <v>39402</v>
      </c>
      <c r="K838" s="1">
        <v>472824</v>
      </c>
    </row>
    <row r="839" spans="1:11" x14ac:dyDescent="0.25">
      <c r="A839" s="3">
        <v>838</v>
      </c>
      <c r="B839" s="4" t="s">
        <v>303</v>
      </c>
      <c r="C839" s="4" t="s">
        <v>741</v>
      </c>
      <c r="D839" s="4" t="s">
        <v>830</v>
      </c>
      <c r="E839">
        <f>MONTH(Employee_Data[[#This Row],[HireDate]])</f>
        <v>12</v>
      </c>
      <c r="F839">
        <f>YEAR(Employee_Data[[#This Row],[HireDate]])</f>
        <v>2019</v>
      </c>
      <c r="G839" s="5">
        <v>43824</v>
      </c>
      <c r="H839">
        <v>3</v>
      </c>
      <c r="I839">
        <v>23</v>
      </c>
      <c r="J839" s="1">
        <v>50912</v>
      </c>
      <c r="K839" s="1">
        <v>610944</v>
      </c>
    </row>
    <row r="840" spans="1:11" x14ac:dyDescent="0.25">
      <c r="A840" s="3">
        <v>839</v>
      </c>
      <c r="B840" s="4" t="s">
        <v>340</v>
      </c>
      <c r="C840" s="4" t="s">
        <v>783</v>
      </c>
      <c r="D840" s="4" t="s">
        <v>826</v>
      </c>
      <c r="E840">
        <f>MONTH(Employee_Data[[#This Row],[HireDate]])</f>
        <v>8</v>
      </c>
      <c r="F840">
        <f>YEAR(Employee_Data[[#This Row],[HireDate]])</f>
        <v>2018</v>
      </c>
      <c r="G840" s="5">
        <v>43343</v>
      </c>
      <c r="H840">
        <v>5</v>
      </c>
      <c r="I840">
        <v>30</v>
      </c>
      <c r="J840" s="1">
        <v>24132</v>
      </c>
      <c r="K840" s="1">
        <v>289584</v>
      </c>
    </row>
    <row r="841" spans="1:11" x14ac:dyDescent="0.25">
      <c r="A841" s="3">
        <v>840</v>
      </c>
      <c r="B841" s="4" t="s">
        <v>175</v>
      </c>
      <c r="C841" s="4" t="s">
        <v>784</v>
      </c>
      <c r="D841" s="4" t="s">
        <v>827</v>
      </c>
      <c r="E841">
        <f>MONTH(Employee_Data[[#This Row],[HireDate]])</f>
        <v>8</v>
      </c>
      <c r="F841">
        <f>YEAR(Employee_Data[[#This Row],[HireDate]])</f>
        <v>2017</v>
      </c>
      <c r="G841" s="5">
        <v>42958</v>
      </c>
      <c r="H841">
        <v>1</v>
      </c>
      <c r="I841">
        <v>23</v>
      </c>
      <c r="J841" s="1">
        <v>84856</v>
      </c>
      <c r="K841" s="1">
        <v>1018272</v>
      </c>
    </row>
    <row r="842" spans="1:11" x14ac:dyDescent="0.25">
      <c r="A842" s="3">
        <v>841</v>
      </c>
      <c r="B842" s="4" t="s">
        <v>204</v>
      </c>
      <c r="C842" s="4" t="s">
        <v>761</v>
      </c>
      <c r="D842" s="4" t="s">
        <v>830</v>
      </c>
      <c r="E842">
        <f>MONTH(Employee_Data[[#This Row],[HireDate]])</f>
        <v>7</v>
      </c>
      <c r="F842">
        <f>YEAR(Employee_Data[[#This Row],[HireDate]])</f>
        <v>2020</v>
      </c>
      <c r="G842" s="5">
        <v>44043</v>
      </c>
      <c r="H842">
        <v>4</v>
      </c>
      <c r="I842">
        <v>37</v>
      </c>
      <c r="J842" s="1">
        <v>95898</v>
      </c>
      <c r="K842" s="1">
        <v>1150776</v>
      </c>
    </row>
    <row r="843" spans="1:11" x14ac:dyDescent="0.25">
      <c r="A843" s="3">
        <v>842</v>
      </c>
      <c r="B843" s="4" t="s">
        <v>218</v>
      </c>
      <c r="C843" s="4" t="s">
        <v>522</v>
      </c>
      <c r="D843" s="4" t="s">
        <v>828</v>
      </c>
      <c r="E843">
        <f>MONTH(Employee_Data[[#This Row],[HireDate]])</f>
        <v>8</v>
      </c>
      <c r="F843">
        <f>YEAR(Employee_Data[[#This Row],[HireDate]])</f>
        <v>2017</v>
      </c>
      <c r="G843" s="5">
        <v>42966</v>
      </c>
      <c r="H843">
        <v>1</v>
      </c>
      <c r="I843">
        <v>41</v>
      </c>
      <c r="J843" s="1">
        <v>43100</v>
      </c>
      <c r="K843" s="1">
        <v>517200</v>
      </c>
    </row>
    <row r="844" spans="1:11" x14ac:dyDescent="0.25">
      <c r="A844" s="3">
        <v>843</v>
      </c>
      <c r="B844" s="4" t="s">
        <v>341</v>
      </c>
      <c r="C844" s="4" t="s">
        <v>785</v>
      </c>
      <c r="D844" s="4" t="s">
        <v>826</v>
      </c>
      <c r="E844">
        <f>MONTH(Employee_Data[[#This Row],[HireDate]])</f>
        <v>2</v>
      </c>
      <c r="F844">
        <f>YEAR(Employee_Data[[#This Row],[HireDate]])</f>
        <v>2022</v>
      </c>
      <c r="G844" s="5">
        <v>44620</v>
      </c>
      <c r="H844">
        <v>2</v>
      </c>
      <c r="I844">
        <v>39</v>
      </c>
      <c r="J844" s="1">
        <v>73541</v>
      </c>
      <c r="K844" s="1">
        <v>882492</v>
      </c>
    </row>
    <row r="845" spans="1:11" x14ac:dyDescent="0.25">
      <c r="A845" s="3">
        <v>844</v>
      </c>
      <c r="B845" s="4" t="s">
        <v>21</v>
      </c>
      <c r="C845" s="4" t="s">
        <v>464</v>
      </c>
      <c r="D845" s="4" t="s">
        <v>828</v>
      </c>
      <c r="E845">
        <f>MONTH(Employee_Data[[#This Row],[HireDate]])</f>
        <v>1</v>
      </c>
      <c r="F845">
        <f>YEAR(Employee_Data[[#This Row],[HireDate]])</f>
        <v>2018</v>
      </c>
      <c r="G845" s="5">
        <v>43117</v>
      </c>
      <c r="H845">
        <v>3</v>
      </c>
      <c r="I845">
        <v>1</v>
      </c>
      <c r="J845" s="1">
        <v>30397</v>
      </c>
      <c r="K845" s="1">
        <v>364764</v>
      </c>
    </row>
    <row r="846" spans="1:11" x14ac:dyDescent="0.25">
      <c r="A846" s="3">
        <v>845</v>
      </c>
      <c r="B846" s="4" t="s">
        <v>342</v>
      </c>
      <c r="C846" s="4" t="s">
        <v>413</v>
      </c>
      <c r="D846" s="4" t="s">
        <v>827</v>
      </c>
      <c r="E846">
        <f>MONTH(Employee_Data[[#This Row],[HireDate]])</f>
        <v>11</v>
      </c>
      <c r="F846">
        <f>YEAR(Employee_Data[[#This Row],[HireDate]])</f>
        <v>2021</v>
      </c>
      <c r="G846" s="5">
        <v>44503</v>
      </c>
      <c r="H846">
        <v>1</v>
      </c>
      <c r="I846">
        <v>5</v>
      </c>
      <c r="J846" s="1">
        <v>102580</v>
      </c>
      <c r="K846" s="1">
        <v>1230960</v>
      </c>
    </row>
    <row r="847" spans="1:11" x14ac:dyDescent="0.25">
      <c r="A847" s="3">
        <v>846</v>
      </c>
      <c r="B847" s="4" t="s">
        <v>14</v>
      </c>
      <c r="C847" s="4" t="s">
        <v>756</v>
      </c>
      <c r="D847" s="4" t="s">
        <v>830</v>
      </c>
      <c r="E847">
        <f>MONTH(Employee_Data[[#This Row],[HireDate]])</f>
        <v>11</v>
      </c>
      <c r="F847">
        <f>YEAR(Employee_Data[[#This Row],[HireDate]])</f>
        <v>2016</v>
      </c>
      <c r="G847" s="5">
        <v>42702</v>
      </c>
      <c r="H847">
        <v>3</v>
      </c>
      <c r="I847">
        <v>2</v>
      </c>
      <c r="J847" s="1">
        <v>52381</v>
      </c>
      <c r="K847" s="1">
        <v>628572</v>
      </c>
    </row>
    <row r="848" spans="1:11" x14ac:dyDescent="0.25">
      <c r="A848" s="3">
        <v>847</v>
      </c>
      <c r="B848" s="4" t="s">
        <v>73</v>
      </c>
      <c r="C848" s="4" t="s">
        <v>464</v>
      </c>
      <c r="D848" s="4" t="s">
        <v>826</v>
      </c>
      <c r="E848">
        <f>MONTH(Employee_Data[[#This Row],[HireDate]])</f>
        <v>9</v>
      </c>
      <c r="F848">
        <f>YEAR(Employee_Data[[#This Row],[HireDate]])</f>
        <v>2020</v>
      </c>
      <c r="G848" s="5">
        <v>44075</v>
      </c>
      <c r="H848">
        <v>3</v>
      </c>
      <c r="I848">
        <v>17</v>
      </c>
      <c r="J848" s="1">
        <v>50730</v>
      </c>
      <c r="K848" s="1">
        <v>608760</v>
      </c>
    </row>
    <row r="849" spans="1:11" x14ac:dyDescent="0.25">
      <c r="A849" s="3">
        <v>848</v>
      </c>
      <c r="B849" s="4" t="s">
        <v>343</v>
      </c>
      <c r="C849" s="4" t="s">
        <v>486</v>
      </c>
      <c r="D849" s="4" t="s">
        <v>827</v>
      </c>
      <c r="E849">
        <f>MONTH(Employee_Data[[#This Row],[HireDate]])</f>
        <v>12</v>
      </c>
      <c r="F849">
        <f>YEAR(Employee_Data[[#This Row],[HireDate]])</f>
        <v>2021</v>
      </c>
      <c r="G849" s="5">
        <v>44541</v>
      </c>
      <c r="H849">
        <v>4</v>
      </c>
      <c r="I849">
        <v>14</v>
      </c>
      <c r="J849" s="1">
        <v>23385</v>
      </c>
      <c r="K849" s="1">
        <v>280620</v>
      </c>
    </row>
    <row r="850" spans="1:11" x14ac:dyDescent="0.25">
      <c r="A850" s="3">
        <v>849</v>
      </c>
      <c r="B850" s="4" t="s">
        <v>112</v>
      </c>
      <c r="C850" s="4" t="s">
        <v>12</v>
      </c>
      <c r="D850" s="4" t="s">
        <v>829</v>
      </c>
      <c r="E850">
        <f>MONTH(Employee_Data[[#This Row],[HireDate]])</f>
        <v>5</v>
      </c>
      <c r="F850">
        <f>YEAR(Employee_Data[[#This Row],[HireDate]])</f>
        <v>2022</v>
      </c>
      <c r="G850" s="5">
        <v>44698</v>
      </c>
      <c r="H850">
        <v>5</v>
      </c>
      <c r="I850">
        <v>11</v>
      </c>
      <c r="J850" s="1">
        <v>114026</v>
      </c>
      <c r="K850" s="1">
        <v>1368312</v>
      </c>
    </row>
    <row r="851" spans="1:11" x14ac:dyDescent="0.25">
      <c r="A851" s="3">
        <v>850</v>
      </c>
      <c r="B851" s="4" t="s">
        <v>75</v>
      </c>
      <c r="C851" s="4" t="s">
        <v>603</v>
      </c>
      <c r="D851" s="4" t="s">
        <v>829</v>
      </c>
      <c r="E851">
        <f>MONTH(Employee_Data[[#This Row],[HireDate]])</f>
        <v>3</v>
      </c>
      <c r="F851">
        <f>YEAR(Employee_Data[[#This Row],[HireDate]])</f>
        <v>2019</v>
      </c>
      <c r="G851" s="5">
        <v>43544</v>
      </c>
      <c r="H851">
        <v>4</v>
      </c>
      <c r="I851">
        <v>37</v>
      </c>
      <c r="J851" s="1">
        <v>60399</v>
      </c>
      <c r="K851" s="1">
        <v>724788</v>
      </c>
    </row>
    <row r="852" spans="1:11" x14ac:dyDescent="0.25">
      <c r="A852" s="3">
        <v>851</v>
      </c>
      <c r="B852" s="4" t="s">
        <v>161</v>
      </c>
      <c r="C852" s="4" t="s">
        <v>572</v>
      </c>
      <c r="D852" s="4" t="s">
        <v>826</v>
      </c>
      <c r="E852">
        <f>MONTH(Employee_Data[[#This Row],[HireDate]])</f>
        <v>10</v>
      </c>
      <c r="F852">
        <f>YEAR(Employee_Data[[#This Row],[HireDate]])</f>
        <v>2018</v>
      </c>
      <c r="G852" s="5">
        <v>43401</v>
      </c>
      <c r="H852">
        <v>1</v>
      </c>
      <c r="I852">
        <v>34</v>
      </c>
      <c r="J852" s="1">
        <v>75740</v>
      </c>
      <c r="K852" s="1">
        <v>908880</v>
      </c>
    </row>
    <row r="853" spans="1:11" x14ac:dyDescent="0.25">
      <c r="A853" s="3">
        <v>852</v>
      </c>
      <c r="B853" s="4" t="s">
        <v>128</v>
      </c>
      <c r="C853" s="4" t="s">
        <v>603</v>
      </c>
      <c r="D853" s="4" t="s">
        <v>829</v>
      </c>
      <c r="E853">
        <f>MONTH(Employee_Data[[#This Row],[HireDate]])</f>
        <v>5</v>
      </c>
      <c r="F853">
        <f>YEAR(Employee_Data[[#This Row],[HireDate]])</f>
        <v>2023</v>
      </c>
      <c r="G853" s="5">
        <v>45060</v>
      </c>
      <c r="H853">
        <v>4</v>
      </c>
      <c r="I853">
        <v>7</v>
      </c>
      <c r="J853" s="1">
        <v>96628</v>
      </c>
      <c r="K853" s="1">
        <v>1159536</v>
      </c>
    </row>
    <row r="854" spans="1:11" x14ac:dyDescent="0.25">
      <c r="A854" s="3">
        <v>853</v>
      </c>
      <c r="B854" s="4" t="s">
        <v>126</v>
      </c>
      <c r="C854" s="4" t="s">
        <v>411</v>
      </c>
      <c r="D854" s="4" t="s">
        <v>829</v>
      </c>
      <c r="E854">
        <f>MONTH(Employee_Data[[#This Row],[HireDate]])</f>
        <v>11</v>
      </c>
      <c r="F854">
        <f>YEAR(Employee_Data[[#This Row],[HireDate]])</f>
        <v>2015</v>
      </c>
      <c r="G854" s="5">
        <v>42334</v>
      </c>
      <c r="H854">
        <v>1</v>
      </c>
      <c r="I854">
        <v>17</v>
      </c>
      <c r="J854" s="1">
        <v>47202</v>
      </c>
      <c r="K854" s="1">
        <v>566424</v>
      </c>
    </row>
    <row r="855" spans="1:11" x14ac:dyDescent="0.25">
      <c r="A855" s="3">
        <v>854</v>
      </c>
      <c r="B855" s="4" t="s">
        <v>344</v>
      </c>
      <c r="C855" s="4" t="s">
        <v>786</v>
      </c>
      <c r="D855" s="4" t="s">
        <v>830</v>
      </c>
      <c r="E855">
        <f>MONTH(Employee_Data[[#This Row],[HireDate]])</f>
        <v>9</v>
      </c>
      <c r="F855">
        <f>YEAR(Employee_Data[[#This Row],[HireDate]])</f>
        <v>2017</v>
      </c>
      <c r="G855" s="5">
        <v>42979</v>
      </c>
      <c r="H855">
        <v>4</v>
      </c>
      <c r="I855">
        <v>32</v>
      </c>
      <c r="J855" s="1">
        <v>21807</v>
      </c>
      <c r="K855" s="1">
        <v>261684</v>
      </c>
    </row>
    <row r="856" spans="1:11" x14ac:dyDescent="0.25">
      <c r="A856" s="3">
        <v>855</v>
      </c>
      <c r="B856" s="4" t="s">
        <v>110</v>
      </c>
      <c r="C856" s="4" t="s">
        <v>379</v>
      </c>
      <c r="D856" s="4" t="s">
        <v>826</v>
      </c>
      <c r="E856">
        <f>MONTH(Employee_Data[[#This Row],[HireDate]])</f>
        <v>5</v>
      </c>
      <c r="F856">
        <f>YEAR(Employee_Data[[#This Row],[HireDate]])</f>
        <v>2019</v>
      </c>
      <c r="G856" s="5">
        <v>43616</v>
      </c>
      <c r="H856">
        <v>1</v>
      </c>
      <c r="I856">
        <v>30</v>
      </c>
      <c r="J856" s="1">
        <v>109309</v>
      </c>
      <c r="K856" s="1">
        <v>1311708</v>
      </c>
    </row>
    <row r="857" spans="1:11" x14ac:dyDescent="0.25">
      <c r="A857" s="3">
        <v>856</v>
      </c>
      <c r="B857" s="4" t="s">
        <v>159</v>
      </c>
      <c r="C857" s="4" t="s">
        <v>787</v>
      </c>
      <c r="D857" s="4" t="s">
        <v>827</v>
      </c>
      <c r="E857">
        <f>MONTH(Employee_Data[[#This Row],[HireDate]])</f>
        <v>6</v>
      </c>
      <c r="F857">
        <f>YEAR(Employee_Data[[#This Row],[HireDate]])</f>
        <v>2018</v>
      </c>
      <c r="G857" s="5">
        <v>43277</v>
      </c>
      <c r="H857">
        <v>1</v>
      </c>
      <c r="I857">
        <v>2</v>
      </c>
      <c r="J857" s="1">
        <v>53536</v>
      </c>
      <c r="K857" s="1">
        <v>642432</v>
      </c>
    </row>
    <row r="858" spans="1:11" x14ac:dyDescent="0.25">
      <c r="A858" s="3">
        <v>857</v>
      </c>
      <c r="B858" s="4" t="s">
        <v>226</v>
      </c>
      <c r="C858" s="4" t="s">
        <v>50</v>
      </c>
      <c r="D858" s="4" t="s">
        <v>827</v>
      </c>
      <c r="E858">
        <f>MONTH(Employee_Data[[#This Row],[HireDate]])</f>
        <v>3</v>
      </c>
      <c r="F858">
        <f>YEAR(Employee_Data[[#This Row],[HireDate]])</f>
        <v>2024</v>
      </c>
      <c r="G858" s="5">
        <v>45382</v>
      </c>
      <c r="H858">
        <v>5</v>
      </c>
      <c r="I858">
        <v>5</v>
      </c>
      <c r="J858" s="1">
        <v>70839</v>
      </c>
      <c r="K858" s="1">
        <v>850068</v>
      </c>
    </row>
    <row r="859" spans="1:11" x14ac:dyDescent="0.25">
      <c r="A859" s="3">
        <v>858</v>
      </c>
      <c r="B859" s="4" t="s">
        <v>273</v>
      </c>
      <c r="C859" s="4" t="s">
        <v>402</v>
      </c>
      <c r="D859" s="4" t="s">
        <v>827</v>
      </c>
      <c r="E859">
        <f>MONTH(Employee_Data[[#This Row],[HireDate]])</f>
        <v>4</v>
      </c>
      <c r="F859">
        <f>YEAR(Employee_Data[[#This Row],[HireDate]])</f>
        <v>2024</v>
      </c>
      <c r="G859" s="5">
        <v>45393</v>
      </c>
      <c r="H859">
        <v>2</v>
      </c>
      <c r="I859">
        <v>22</v>
      </c>
      <c r="J859" s="1">
        <v>86871</v>
      </c>
      <c r="K859" s="1">
        <v>1042452</v>
      </c>
    </row>
    <row r="860" spans="1:11" x14ac:dyDescent="0.25">
      <c r="A860" s="3">
        <v>859</v>
      </c>
      <c r="B860" s="4" t="s">
        <v>118</v>
      </c>
      <c r="C860" s="4" t="s">
        <v>483</v>
      </c>
      <c r="D860" s="4" t="s">
        <v>830</v>
      </c>
      <c r="E860">
        <f>MONTH(Employee_Data[[#This Row],[HireDate]])</f>
        <v>12</v>
      </c>
      <c r="F860">
        <f>YEAR(Employee_Data[[#This Row],[HireDate]])</f>
        <v>2021</v>
      </c>
      <c r="G860" s="5">
        <v>44548</v>
      </c>
      <c r="H860">
        <v>4</v>
      </c>
      <c r="I860">
        <v>10</v>
      </c>
      <c r="J860" s="1">
        <v>22828</v>
      </c>
      <c r="K860" s="1">
        <v>273936</v>
      </c>
    </row>
    <row r="861" spans="1:11" x14ac:dyDescent="0.25">
      <c r="A861" s="3">
        <v>860</v>
      </c>
      <c r="B861" s="4" t="s">
        <v>96</v>
      </c>
      <c r="C861" s="4" t="s">
        <v>464</v>
      </c>
      <c r="D861" s="4" t="s">
        <v>830</v>
      </c>
      <c r="E861">
        <f>MONTH(Employee_Data[[#This Row],[HireDate]])</f>
        <v>4</v>
      </c>
      <c r="F861">
        <f>YEAR(Employee_Data[[#This Row],[HireDate]])</f>
        <v>2019</v>
      </c>
      <c r="G861" s="5">
        <v>43572</v>
      </c>
      <c r="H861">
        <v>5</v>
      </c>
      <c r="I861">
        <v>31</v>
      </c>
      <c r="J861" s="1">
        <v>116880</v>
      </c>
      <c r="K861" s="1">
        <v>1402560</v>
      </c>
    </row>
    <row r="862" spans="1:11" x14ac:dyDescent="0.25">
      <c r="A862" s="3">
        <v>861</v>
      </c>
      <c r="B862" s="4" t="s">
        <v>273</v>
      </c>
      <c r="C862" s="4" t="s">
        <v>512</v>
      </c>
      <c r="D862" s="4" t="s">
        <v>830</v>
      </c>
      <c r="E862">
        <f>MONTH(Employee_Data[[#This Row],[HireDate]])</f>
        <v>3</v>
      </c>
      <c r="F862">
        <f>YEAR(Employee_Data[[#This Row],[HireDate]])</f>
        <v>2022</v>
      </c>
      <c r="G862" s="5">
        <v>44650</v>
      </c>
      <c r="H862">
        <v>5</v>
      </c>
      <c r="I862">
        <v>30</v>
      </c>
      <c r="J862" s="1">
        <v>108116</v>
      </c>
      <c r="K862" s="1">
        <v>1297392</v>
      </c>
    </row>
    <row r="863" spans="1:11" x14ac:dyDescent="0.25">
      <c r="A863" s="3">
        <v>862</v>
      </c>
      <c r="B863" s="4" t="s">
        <v>178</v>
      </c>
      <c r="C863" s="4" t="s">
        <v>684</v>
      </c>
      <c r="D863" s="4" t="s">
        <v>829</v>
      </c>
      <c r="E863">
        <f>MONTH(Employee_Data[[#This Row],[HireDate]])</f>
        <v>8</v>
      </c>
      <c r="F863">
        <f>YEAR(Employee_Data[[#This Row],[HireDate]])</f>
        <v>2021</v>
      </c>
      <c r="G863" s="5">
        <v>44432</v>
      </c>
      <c r="H863">
        <v>2</v>
      </c>
      <c r="I863">
        <v>17</v>
      </c>
      <c r="J863" s="1">
        <v>46419</v>
      </c>
      <c r="K863" s="1">
        <v>557028</v>
      </c>
    </row>
    <row r="864" spans="1:11" x14ac:dyDescent="0.25">
      <c r="A864" s="3">
        <v>863</v>
      </c>
      <c r="B864" s="4" t="s">
        <v>345</v>
      </c>
      <c r="C864" s="4" t="s">
        <v>627</v>
      </c>
      <c r="D864" s="4" t="s">
        <v>827</v>
      </c>
      <c r="E864">
        <f>MONTH(Employee_Data[[#This Row],[HireDate]])</f>
        <v>2</v>
      </c>
      <c r="F864">
        <f>YEAR(Employee_Data[[#This Row],[HireDate]])</f>
        <v>2018</v>
      </c>
      <c r="G864" s="5">
        <v>43148</v>
      </c>
      <c r="H864">
        <v>1</v>
      </c>
      <c r="I864">
        <v>24</v>
      </c>
      <c r="J864" s="1">
        <v>50840</v>
      </c>
      <c r="K864" s="1">
        <v>610080</v>
      </c>
    </row>
    <row r="865" spans="1:11" x14ac:dyDescent="0.25">
      <c r="A865" s="3">
        <v>864</v>
      </c>
      <c r="B865" s="4" t="s">
        <v>30</v>
      </c>
      <c r="C865" s="4" t="s">
        <v>424</v>
      </c>
      <c r="D865" s="4" t="s">
        <v>826</v>
      </c>
      <c r="E865">
        <f>MONTH(Employee_Data[[#This Row],[HireDate]])</f>
        <v>12</v>
      </c>
      <c r="F865">
        <f>YEAR(Employee_Data[[#This Row],[HireDate]])</f>
        <v>2016</v>
      </c>
      <c r="G865" s="5">
        <v>42730</v>
      </c>
      <c r="H865">
        <v>3</v>
      </c>
      <c r="I865">
        <v>15</v>
      </c>
      <c r="J865" s="1">
        <v>32128</v>
      </c>
      <c r="K865" s="1">
        <v>385536</v>
      </c>
    </row>
    <row r="866" spans="1:11" x14ac:dyDescent="0.25">
      <c r="A866" s="3">
        <v>865</v>
      </c>
      <c r="B866" s="4" t="s">
        <v>118</v>
      </c>
      <c r="C866" s="4" t="s">
        <v>428</v>
      </c>
      <c r="D866" s="4" t="s">
        <v>827</v>
      </c>
      <c r="E866">
        <f>MONTH(Employee_Data[[#This Row],[HireDate]])</f>
        <v>2</v>
      </c>
      <c r="F866">
        <f>YEAR(Employee_Data[[#This Row],[HireDate]])</f>
        <v>2022</v>
      </c>
      <c r="G866" s="5">
        <v>44613</v>
      </c>
      <c r="H866">
        <v>1</v>
      </c>
      <c r="I866">
        <v>22</v>
      </c>
      <c r="J866" s="1">
        <v>100512</v>
      </c>
      <c r="K866" s="1">
        <v>1206144</v>
      </c>
    </row>
    <row r="867" spans="1:11" x14ac:dyDescent="0.25">
      <c r="A867" s="3">
        <v>866</v>
      </c>
      <c r="B867" s="4" t="s">
        <v>291</v>
      </c>
      <c r="C867" s="4" t="s">
        <v>788</v>
      </c>
      <c r="D867" s="4" t="s">
        <v>826</v>
      </c>
      <c r="E867">
        <f>MONTH(Employee_Data[[#This Row],[HireDate]])</f>
        <v>3</v>
      </c>
      <c r="F867">
        <f>YEAR(Employee_Data[[#This Row],[HireDate]])</f>
        <v>2020</v>
      </c>
      <c r="G867" s="5">
        <v>43894</v>
      </c>
      <c r="H867">
        <v>5</v>
      </c>
      <c r="I867">
        <v>6</v>
      </c>
      <c r="J867" s="1">
        <v>51400</v>
      </c>
      <c r="K867" s="1">
        <v>616800</v>
      </c>
    </row>
    <row r="868" spans="1:11" x14ac:dyDescent="0.25">
      <c r="A868" s="3">
        <v>867</v>
      </c>
      <c r="B868" s="4" t="s">
        <v>74</v>
      </c>
      <c r="C868" s="4" t="s">
        <v>226</v>
      </c>
      <c r="D868" s="4" t="s">
        <v>827</v>
      </c>
      <c r="E868">
        <f>MONTH(Employee_Data[[#This Row],[HireDate]])</f>
        <v>7</v>
      </c>
      <c r="F868">
        <f>YEAR(Employee_Data[[#This Row],[HireDate]])</f>
        <v>2017</v>
      </c>
      <c r="G868" s="5">
        <v>42936</v>
      </c>
      <c r="H868">
        <v>5</v>
      </c>
      <c r="I868">
        <v>8</v>
      </c>
      <c r="J868" s="1">
        <v>53499</v>
      </c>
      <c r="K868" s="1">
        <v>641988</v>
      </c>
    </row>
    <row r="869" spans="1:11" x14ac:dyDescent="0.25">
      <c r="A869" s="3">
        <v>868</v>
      </c>
      <c r="B869" s="4" t="s">
        <v>301</v>
      </c>
      <c r="C869" s="4" t="s">
        <v>458</v>
      </c>
      <c r="D869" s="4" t="s">
        <v>830</v>
      </c>
      <c r="E869">
        <f>MONTH(Employee_Data[[#This Row],[HireDate]])</f>
        <v>4</v>
      </c>
      <c r="F869">
        <f>YEAR(Employee_Data[[#This Row],[HireDate]])</f>
        <v>2017</v>
      </c>
      <c r="G869" s="5">
        <v>42838</v>
      </c>
      <c r="H869">
        <v>1</v>
      </c>
      <c r="I869">
        <v>21</v>
      </c>
      <c r="J869" s="1">
        <v>78094</v>
      </c>
      <c r="K869" s="1">
        <v>937128</v>
      </c>
    </row>
    <row r="870" spans="1:11" x14ac:dyDescent="0.25">
      <c r="A870" s="3">
        <v>869</v>
      </c>
      <c r="B870" s="4" t="s">
        <v>63</v>
      </c>
      <c r="C870" s="4" t="s">
        <v>789</v>
      </c>
      <c r="D870" s="4" t="s">
        <v>830</v>
      </c>
      <c r="E870">
        <f>MONTH(Employee_Data[[#This Row],[HireDate]])</f>
        <v>11</v>
      </c>
      <c r="F870">
        <f>YEAR(Employee_Data[[#This Row],[HireDate]])</f>
        <v>2018</v>
      </c>
      <c r="G870" s="5">
        <v>43411</v>
      </c>
      <c r="H870">
        <v>1</v>
      </c>
      <c r="I870">
        <v>16</v>
      </c>
      <c r="J870" s="1">
        <v>21530</v>
      </c>
      <c r="K870" s="1">
        <v>258360</v>
      </c>
    </row>
    <row r="871" spans="1:11" x14ac:dyDescent="0.25">
      <c r="A871" s="3">
        <v>870</v>
      </c>
      <c r="B871" s="4" t="s">
        <v>47</v>
      </c>
      <c r="C871" s="4" t="s">
        <v>790</v>
      </c>
      <c r="D871" s="4" t="s">
        <v>826</v>
      </c>
      <c r="E871">
        <f>MONTH(Employee_Data[[#This Row],[HireDate]])</f>
        <v>8</v>
      </c>
      <c r="F871">
        <f>YEAR(Employee_Data[[#This Row],[HireDate]])</f>
        <v>2017</v>
      </c>
      <c r="G871" s="5">
        <v>42970</v>
      </c>
      <c r="H871">
        <v>2</v>
      </c>
      <c r="I871">
        <v>4</v>
      </c>
      <c r="J871" s="1">
        <v>106854</v>
      </c>
      <c r="K871" s="1">
        <v>1282248</v>
      </c>
    </row>
    <row r="872" spans="1:11" x14ac:dyDescent="0.25">
      <c r="A872" s="3">
        <v>871</v>
      </c>
      <c r="B872" s="4" t="s">
        <v>166</v>
      </c>
      <c r="C872" s="4" t="s">
        <v>443</v>
      </c>
      <c r="D872" s="4" t="s">
        <v>829</v>
      </c>
      <c r="E872">
        <f>MONTH(Employee_Data[[#This Row],[HireDate]])</f>
        <v>4</v>
      </c>
      <c r="F872">
        <f>YEAR(Employee_Data[[#This Row],[HireDate]])</f>
        <v>2017</v>
      </c>
      <c r="G872" s="5">
        <v>42828</v>
      </c>
      <c r="H872">
        <v>2</v>
      </c>
      <c r="I872">
        <v>21</v>
      </c>
      <c r="J872" s="1">
        <v>111882</v>
      </c>
      <c r="K872" s="1">
        <v>1342584</v>
      </c>
    </row>
    <row r="873" spans="1:11" x14ac:dyDescent="0.25">
      <c r="A873" s="3">
        <v>872</v>
      </c>
      <c r="B873" s="4" t="s">
        <v>119</v>
      </c>
      <c r="C873" s="4" t="s">
        <v>791</v>
      </c>
      <c r="D873" s="4" t="s">
        <v>828</v>
      </c>
      <c r="E873">
        <f>MONTH(Employee_Data[[#This Row],[HireDate]])</f>
        <v>1</v>
      </c>
      <c r="F873">
        <f>YEAR(Employee_Data[[#This Row],[HireDate]])</f>
        <v>2022</v>
      </c>
      <c r="G873" s="5">
        <v>44565</v>
      </c>
      <c r="H873">
        <v>2</v>
      </c>
      <c r="I873">
        <v>34</v>
      </c>
      <c r="J873" s="1">
        <v>62633</v>
      </c>
      <c r="K873" s="1">
        <v>751596</v>
      </c>
    </row>
    <row r="874" spans="1:11" x14ac:dyDescent="0.25">
      <c r="A874" s="3">
        <v>873</v>
      </c>
      <c r="B874" s="4" t="s">
        <v>193</v>
      </c>
      <c r="C874" s="4" t="s">
        <v>792</v>
      </c>
      <c r="D874" s="4" t="s">
        <v>829</v>
      </c>
      <c r="E874">
        <f>MONTH(Employee_Data[[#This Row],[HireDate]])</f>
        <v>7</v>
      </c>
      <c r="F874">
        <f>YEAR(Employee_Data[[#This Row],[HireDate]])</f>
        <v>2022</v>
      </c>
      <c r="G874" s="5">
        <v>44765</v>
      </c>
      <c r="H874">
        <v>1</v>
      </c>
      <c r="I874">
        <v>36</v>
      </c>
      <c r="J874" s="1">
        <v>95907</v>
      </c>
      <c r="K874" s="1">
        <v>1150884</v>
      </c>
    </row>
    <row r="875" spans="1:11" x14ac:dyDescent="0.25">
      <c r="A875" s="3">
        <v>874</v>
      </c>
      <c r="B875" s="4" t="s">
        <v>18</v>
      </c>
      <c r="C875" s="4" t="s">
        <v>653</v>
      </c>
      <c r="D875" s="4" t="s">
        <v>829</v>
      </c>
      <c r="E875">
        <f>MONTH(Employee_Data[[#This Row],[HireDate]])</f>
        <v>6</v>
      </c>
      <c r="F875">
        <f>YEAR(Employee_Data[[#This Row],[HireDate]])</f>
        <v>2016</v>
      </c>
      <c r="G875" s="5">
        <v>42538</v>
      </c>
      <c r="H875">
        <v>3</v>
      </c>
      <c r="I875">
        <v>14</v>
      </c>
      <c r="J875" s="1">
        <v>64363</v>
      </c>
      <c r="K875" s="1">
        <v>772356</v>
      </c>
    </row>
    <row r="876" spans="1:11" x14ac:dyDescent="0.25">
      <c r="A876" s="3">
        <v>875</v>
      </c>
      <c r="B876" s="4" t="s">
        <v>346</v>
      </c>
      <c r="C876" s="4" t="s">
        <v>483</v>
      </c>
      <c r="D876" s="4" t="s">
        <v>826</v>
      </c>
      <c r="E876">
        <f>MONTH(Employee_Data[[#This Row],[HireDate]])</f>
        <v>11</v>
      </c>
      <c r="F876">
        <f>YEAR(Employee_Data[[#This Row],[HireDate]])</f>
        <v>2017</v>
      </c>
      <c r="G876" s="5">
        <v>43052</v>
      </c>
      <c r="H876">
        <v>3</v>
      </c>
      <c r="I876">
        <v>36</v>
      </c>
      <c r="J876" s="1">
        <v>73796</v>
      </c>
      <c r="K876" s="1">
        <v>885552</v>
      </c>
    </row>
    <row r="877" spans="1:11" x14ac:dyDescent="0.25">
      <c r="A877" s="3">
        <v>876</v>
      </c>
      <c r="B877" s="4" t="s">
        <v>30</v>
      </c>
      <c r="C877" s="4" t="s">
        <v>793</v>
      </c>
      <c r="D877" s="4" t="s">
        <v>826</v>
      </c>
      <c r="E877">
        <f>MONTH(Employee_Data[[#This Row],[HireDate]])</f>
        <v>9</v>
      </c>
      <c r="F877">
        <f>YEAR(Employee_Data[[#This Row],[HireDate]])</f>
        <v>2016</v>
      </c>
      <c r="G877" s="5">
        <v>42625</v>
      </c>
      <c r="H877">
        <v>5</v>
      </c>
      <c r="I877">
        <v>45</v>
      </c>
      <c r="J877" s="1">
        <v>91619</v>
      </c>
      <c r="K877" s="1">
        <v>1099428</v>
      </c>
    </row>
    <row r="878" spans="1:11" x14ac:dyDescent="0.25">
      <c r="A878" s="3">
        <v>877</v>
      </c>
      <c r="B878" s="4" t="s">
        <v>130</v>
      </c>
      <c r="C878" s="4" t="s">
        <v>389</v>
      </c>
      <c r="D878" s="4" t="s">
        <v>826</v>
      </c>
      <c r="E878">
        <f>MONTH(Employee_Data[[#This Row],[HireDate]])</f>
        <v>5</v>
      </c>
      <c r="F878">
        <f>YEAR(Employee_Data[[#This Row],[HireDate]])</f>
        <v>2016</v>
      </c>
      <c r="G878" s="5">
        <v>42504</v>
      </c>
      <c r="H878">
        <v>3</v>
      </c>
      <c r="I878">
        <v>18</v>
      </c>
      <c r="J878" s="1">
        <v>27661</v>
      </c>
      <c r="K878" s="1">
        <v>331932</v>
      </c>
    </row>
    <row r="879" spans="1:11" x14ac:dyDescent="0.25">
      <c r="A879" s="3">
        <v>878</v>
      </c>
      <c r="B879" s="4" t="s">
        <v>210</v>
      </c>
      <c r="C879" s="4" t="s">
        <v>165</v>
      </c>
      <c r="D879" s="4" t="s">
        <v>829</v>
      </c>
      <c r="E879">
        <f>MONTH(Employee_Data[[#This Row],[HireDate]])</f>
        <v>2</v>
      </c>
      <c r="F879">
        <f>YEAR(Employee_Data[[#This Row],[HireDate]])</f>
        <v>2022</v>
      </c>
      <c r="G879" s="5">
        <v>44599</v>
      </c>
      <c r="H879">
        <v>4</v>
      </c>
      <c r="I879">
        <v>20</v>
      </c>
      <c r="J879" s="1">
        <v>27447</v>
      </c>
      <c r="K879" s="1">
        <v>329364</v>
      </c>
    </row>
    <row r="880" spans="1:11" x14ac:dyDescent="0.25">
      <c r="A880" s="3">
        <v>879</v>
      </c>
      <c r="B880" s="4" t="s">
        <v>104</v>
      </c>
      <c r="C880" s="4" t="s">
        <v>722</v>
      </c>
      <c r="D880" s="4" t="s">
        <v>826</v>
      </c>
      <c r="E880">
        <f>MONTH(Employee_Data[[#This Row],[HireDate]])</f>
        <v>7</v>
      </c>
      <c r="F880">
        <f>YEAR(Employee_Data[[#This Row],[HireDate]])</f>
        <v>2021</v>
      </c>
      <c r="G880" s="5">
        <v>44386</v>
      </c>
      <c r="H880">
        <v>3</v>
      </c>
      <c r="I880">
        <v>3</v>
      </c>
      <c r="J880" s="1">
        <v>111649</v>
      </c>
      <c r="K880" s="1">
        <v>1339788</v>
      </c>
    </row>
    <row r="881" spans="1:11" x14ac:dyDescent="0.25">
      <c r="A881" s="3">
        <v>880</v>
      </c>
      <c r="B881" s="4" t="s">
        <v>347</v>
      </c>
      <c r="C881" s="4" t="s">
        <v>388</v>
      </c>
      <c r="D881" s="4" t="s">
        <v>827</v>
      </c>
      <c r="E881">
        <f>MONTH(Employee_Data[[#This Row],[HireDate]])</f>
        <v>9</v>
      </c>
      <c r="F881">
        <f>YEAR(Employee_Data[[#This Row],[HireDate]])</f>
        <v>2017</v>
      </c>
      <c r="G881" s="5">
        <v>43003</v>
      </c>
      <c r="H881">
        <v>2</v>
      </c>
      <c r="I881">
        <v>42</v>
      </c>
      <c r="J881" s="1">
        <v>52631</v>
      </c>
      <c r="K881" s="1">
        <v>631572</v>
      </c>
    </row>
    <row r="882" spans="1:11" x14ac:dyDescent="0.25">
      <c r="A882" s="3">
        <v>881</v>
      </c>
      <c r="B882" s="4" t="s">
        <v>21</v>
      </c>
      <c r="C882" s="4" t="s">
        <v>437</v>
      </c>
      <c r="D882" s="4" t="s">
        <v>828</v>
      </c>
      <c r="E882">
        <f>MONTH(Employee_Data[[#This Row],[HireDate]])</f>
        <v>7</v>
      </c>
      <c r="F882">
        <f>YEAR(Employee_Data[[#This Row],[HireDate]])</f>
        <v>2019</v>
      </c>
      <c r="G882" s="5">
        <v>43659</v>
      </c>
      <c r="H882">
        <v>1</v>
      </c>
      <c r="I882">
        <v>29</v>
      </c>
      <c r="J882" s="1">
        <v>116888</v>
      </c>
      <c r="K882" s="1">
        <v>1402656</v>
      </c>
    </row>
    <row r="883" spans="1:11" x14ac:dyDescent="0.25">
      <c r="A883" s="3">
        <v>882</v>
      </c>
      <c r="B883" s="4" t="s">
        <v>348</v>
      </c>
      <c r="C883" s="4" t="s">
        <v>473</v>
      </c>
      <c r="D883" s="4" t="s">
        <v>829</v>
      </c>
      <c r="E883">
        <f>MONTH(Employee_Data[[#This Row],[HireDate]])</f>
        <v>6</v>
      </c>
      <c r="F883">
        <f>YEAR(Employee_Data[[#This Row],[HireDate]])</f>
        <v>2021</v>
      </c>
      <c r="G883" s="5">
        <v>44352</v>
      </c>
      <c r="H883">
        <v>4</v>
      </c>
      <c r="I883">
        <v>27</v>
      </c>
      <c r="J883" s="1">
        <v>89493</v>
      </c>
      <c r="K883" s="1">
        <v>1073916</v>
      </c>
    </row>
    <row r="884" spans="1:11" x14ac:dyDescent="0.25">
      <c r="A884" s="3">
        <v>883</v>
      </c>
      <c r="B884" s="4" t="s">
        <v>102</v>
      </c>
      <c r="C884" s="4" t="s">
        <v>477</v>
      </c>
      <c r="D884" s="4" t="s">
        <v>828</v>
      </c>
      <c r="E884">
        <f>MONTH(Employee_Data[[#This Row],[HireDate]])</f>
        <v>9</v>
      </c>
      <c r="F884">
        <f>YEAR(Employee_Data[[#This Row],[HireDate]])</f>
        <v>2018</v>
      </c>
      <c r="G884" s="5">
        <v>43356</v>
      </c>
      <c r="H884">
        <v>3</v>
      </c>
      <c r="I884">
        <v>27</v>
      </c>
      <c r="J884" s="1">
        <v>74269</v>
      </c>
      <c r="K884" s="1">
        <v>891228</v>
      </c>
    </row>
    <row r="885" spans="1:11" x14ac:dyDescent="0.25">
      <c r="A885" s="3">
        <v>884</v>
      </c>
      <c r="B885" s="4" t="s">
        <v>238</v>
      </c>
      <c r="C885" s="4" t="s">
        <v>384</v>
      </c>
      <c r="D885" s="4" t="s">
        <v>830</v>
      </c>
      <c r="E885">
        <f>MONTH(Employee_Data[[#This Row],[HireDate]])</f>
        <v>9</v>
      </c>
      <c r="F885">
        <f>YEAR(Employee_Data[[#This Row],[HireDate]])</f>
        <v>2016</v>
      </c>
      <c r="G885" s="5">
        <v>42636</v>
      </c>
      <c r="H885">
        <v>2</v>
      </c>
      <c r="I885">
        <v>18</v>
      </c>
      <c r="J885" s="1">
        <v>74244</v>
      </c>
      <c r="K885" s="1">
        <v>890928</v>
      </c>
    </row>
    <row r="886" spans="1:11" x14ac:dyDescent="0.25">
      <c r="A886" s="3">
        <v>885</v>
      </c>
      <c r="B886" s="4" t="s">
        <v>349</v>
      </c>
      <c r="C886" s="4" t="s">
        <v>612</v>
      </c>
      <c r="D886" s="4" t="s">
        <v>830</v>
      </c>
      <c r="E886">
        <f>MONTH(Employee_Data[[#This Row],[HireDate]])</f>
        <v>2</v>
      </c>
      <c r="F886">
        <f>YEAR(Employee_Data[[#This Row],[HireDate]])</f>
        <v>2023</v>
      </c>
      <c r="G886" s="5">
        <v>44969</v>
      </c>
      <c r="H886">
        <v>5</v>
      </c>
      <c r="I886">
        <v>38</v>
      </c>
      <c r="J886" s="1">
        <v>70169</v>
      </c>
      <c r="K886" s="1">
        <v>842028</v>
      </c>
    </row>
    <row r="887" spans="1:11" x14ac:dyDescent="0.25">
      <c r="A887" s="3">
        <v>886</v>
      </c>
      <c r="B887" s="4" t="s">
        <v>164</v>
      </c>
      <c r="C887" s="4" t="s">
        <v>281</v>
      </c>
      <c r="D887" s="4" t="s">
        <v>827</v>
      </c>
      <c r="E887">
        <f>MONTH(Employee_Data[[#This Row],[HireDate]])</f>
        <v>1</v>
      </c>
      <c r="F887">
        <f>YEAR(Employee_Data[[#This Row],[HireDate]])</f>
        <v>2018</v>
      </c>
      <c r="G887" s="5">
        <v>43116</v>
      </c>
      <c r="H887">
        <v>1</v>
      </c>
      <c r="I887">
        <v>17</v>
      </c>
      <c r="J887" s="1">
        <v>100050</v>
      </c>
      <c r="K887" s="1">
        <v>1200600</v>
      </c>
    </row>
    <row r="888" spans="1:11" x14ac:dyDescent="0.25">
      <c r="A888" s="3">
        <v>887</v>
      </c>
      <c r="B888" s="4" t="s">
        <v>126</v>
      </c>
      <c r="C888" s="4" t="s">
        <v>464</v>
      </c>
      <c r="D888" s="4" t="s">
        <v>827</v>
      </c>
      <c r="E888">
        <f>MONTH(Employee_Data[[#This Row],[HireDate]])</f>
        <v>12</v>
      </c>
      <c r="F888">
        <f>YEAR(Employee_Data[[#This Row],[HireDate]])</f>
        <v>2023</v>
      </c>
      <c r="G888" s="5">
        <v>45287</v>
      </c>
      <c r="H888">
        <v>5</v>
      </c>
      <c r="I888">
        <v>28</v>
      </c>
      <c r="J888" s="1">
        <v>72776</v>
      </c>
      <c r="K888" s="1">
        <v>873312</v>
      </c>
    </row>
    <row r="889" spans="1:11" x14ac:dyDescent="0.25">
      <c r="A889" s="3">
        <v>888</v>
      </c>
      <c r="B889" s="4" t="s">
        <v>47</v>
      </c>
      <c r="C889" s="4" t="s">
        <v>278</v>
      </c>
      <c r="D889" s="4" t="s">
        <v>827</v>
      </c>
      <c r="E889">
        <f>MONTH(Employee_Data[[#This Row],[HireDate]])</f>
        <v>1</v>
      </c>
      <c r="F889">
        <f>YEAR(Employee_Data[[#This Row],[HireDate]])</f>
        <v>2019</v>
      </c>
      <c r="G889" s="5">
        <v>43472</v>
      </c>
      <c r="H889">
        <v>1</v>
      </c>
      <c r="I889">
        <v>48</v>
      </c>
      <c r="J889" s="1">
        <v>106563</v>
      </c>
      <c r="K889" s="1">
        <v>1278756</v>
      </c>
    </row>
    <row r="890" spans="1:11" x14ac:dyDescent="0.25">
      <c r="A890" s="3">
        <v>889</v>
      </c>
      <c r="B890" s="4" t="s">
        <v>350</v>
      </c>
      <c r="C890" s="4" t="s">
        <v>281</v>
      </c>
      <c r="D890" s="4" t="s">
        <v>829</v>
      </c>
      <c r="E890">
        <f>MONTH(Employee_Data[[#This Row],[HireDate]])</f>
        <v>6</v>
      </c>
      <c r="F890">
        <f>YEAR(Employee_Data[[#This Row],[HireDate]])</f>
        <v>2022</v>
      </c>
      <c r="G890" s="5">
        <v>44714</v>
      </c>
      <c r="H890">
        <v>5</v>
      </c>
      <c r="I890">
        <v>41</v>
      </c>
      <c r="J890" s="1">
        <v>115775</v>
      </c>
      <c r="K890" s="1">
        <v>1389300</v>
      </c>
    </row>
    <row r="891" spans="1:11" x14ac:dyDescent="0.25">
      <c r="A891" s="3">
        <v>890</v>
      </c>
      <c r="B891" s="4" t="s">
        <v>110</v>
      </c>
      <c r="C891" s="4" t="s">
        <v>399</v>
      </c>
      <c r="D891" s="4" t="s">
        <v>827</v>
      </c>
      <c r="E891">
        <f>MONTH(Employee_Data[[#This Row],[HireDate]])</f>
        <v>2</v>
      </c>
      <c r="F891">
        <f>YEAR(Employee_Data[[#This Row],[HireDate]])</f>
        <v>2017</v>
      </c>
      <c r="G891" s="5">
        <v>42794</v>
      </c>
      <c r="H891">
        <v>1</v>
      </c>
      <c r="I891">
        <v>20</v>
      </c>
      <c r="J891" s="1">
        <v>106591</v>
      </c>
      <c r="K891" s="1">
        <v>1279092</v>
      </c>
    </row>
    <row r="892" spans="1:11" x14ac:dyDescent="0.25">
      <c r="A892" s="3">
        <v>891</v>
      </c>
      <c r="B892" s="4" t="s">
        <v>210</v>
      </c>
      <c r="C892" s="4" t="s">
        <v>529</v>
      </c>
      <c r="D892" s="4" t="s">
        <v>826</v>
      </c>
      <c r="E892">
        <f>MONTH(Employee_Data[[#This Row],[HireDate]])</f>
        <v>1</v>
      </c>
      <c r="F892">
        <f>YEAR(Employee_Data[[#This Row],[HireDate]])</f>
        <v>2020</v>
      </c>
      <c r="G892" s="5">
        <v>43834</v>
      </c>
      <c r="H892">
        <v>2</v>
      </c>
      <c r="I892">
        <v>9</v>
      </c>
      <c r="J892" s="1">
        <v>55724</v>
      </c>
      <c r="K892" s="1">
        <v>668688</v>
      </c>
    </row>
    <row r="893" spans="1:11" x14ac:dyDescent="0.25">
      <c r="A893" s="3">
        <v>892</v>
      </c>
      <c r="B893" s="4" t="s">
        <v>124</v>
      </c>
      <c r="C893" s="4" t="s">
        <v>794</v>
      </c>
      <c r="D893" s="4" t="s">
        <v>830</v>
      </c>
      <c r="E893">
        <f>MONTH(Employee_Data[[#This Row],[HireDate]])</f>
        <v>3</v>
      </c>
      <c r="F893">
        <f>YEAR(Employee_Data[[#This Row],[HireDate]])</f>
        <v>2020</v>
      </c>
      <c r="G893" s="5">
        <v>43902</v>
      </c>
      <c r="H893">
        <v>4</v>
      </c>
      <c r="I893">
        <v>3</v>
      </c>
      <c r="J893" s="1">
        <v>88942</v>
      </c>
      <c r="K893" s="1">
        <v>1067304</v>
      </c>
    </row>
    <row r="894" spans="1:11" x14ac:dyDescent="0.25">
      <c r="A894" s="3">
        <v>893</v>
      </c>
      <c r="B894" s="4" t="s">
        <v>238</v>
      </c>
      <c r="C894" s="4" t="s">
        <v>352</v>
      </c>
      <c r="D894" s="4" t="s">
        <v>829</v>
      </c>
      <c r="E894">
        <f>MONTH(Employee_Data[[#This Row],[HireDate]])</f>
        <v>10</v>
      </c>
      <c r="F894">
        <f>YEAR(Employee_Data[[#This Row],[HireDate]])</f>
        <v>2024</v>
      </c>
      <c r="G894" s="5">
        <v>45572</v>
      </c>
      <c r="H894">
        <v>3</v>
      </c>
      <c r="I894">
        <v>40</v>
      </c>
      <c r="J894" s="1">
        <v>69426</v>
      </c>
      <c r="K894" s="1">
        <v>833112</v>
      </c>
    </row>
    <row r="895" spans="1:11" x14ac:dyDescent="0.25">
      <c r="A895" s="3">
        <v>894</v>
      </c>
      <c r="B895" s="4" t="s">
        <v>133</v>
      </c>
      <c r="C895" s="4" t="s">
        <v>402</v>
      </c>
      <c r="D895" s="4" t="s">
        <v>828</v>
      </c>
      <c r="E895">
        <f>MONTH(Employee_Data[[#This Row],[HireDate]])</f>
        <v>5</v>
      </c>
      <c r="F895">
        <f>YEAR(Employee_Data[[#This Row],[HireDate]])</f>
        <v>2018</v>
      </c>
      <c r="G895" s="5">
        <v>43228</v>
      </c>
      <c r="H895">
        <v>5</v>
      </c>
      <c r="I895">
        <v>14</v>
      </c>
      <c r="J895" s="1">
        <v>108442</v>
      </c>
      <c r="K895" s="1">
        <v>1301304</v>
      </c>
    </row>
    <row r="896" spans="1:11" x14ac:dyDescent="0.25">
      <c r="A896" s="3">
        <v>895</v>
      </c>
      <c r="B896" s="4" t="s">
        <v>351</v>
      </c>
      <c r="C896" s="4" t="s">
        <v>289</v>
      </c>
      <c r="D896" s="4" t="s">
        <v>829</v>
      </c>
      <c r="E896">
        <f>MONTH(Employee_Data[[#This Row],[HireDate]])</f>
        <v>6</v>
      </c>
      <c r="F896">
        <f>YEAR(Employee_Data[[#This Row],[HireDate]])</f>
        <v>2022</v>
      </c>
      <c r="G896" s="5">
        <v>44715</v>
      </c>
      <c r="H896">
        <v>1</v>
      </c>
      <c r="I896">
        <v>28</v>
      </c>
      <c r="J896" s="1">
        <v>115331</v>
      </c>
      <c r="K896" s="1">
        <v>1383972</v>
      </c>
    </row>
    <row r="897" spans="1:11" x14ac:dyDescent="0.25">
      <c r="A897" s="3">
        <v>896</v>
      </c>
      <c r="B897" s="4" t="s">
        <v>30</v>
      </c>
      <c r="C897" s="4" t="s">
        <v>447</v>
      </c>
      <c r="D897" s="4" t="s">
        <v>827</v>
      </c>
      <c r="E897">
        <f>MONTH(Employee_Data[[#This Row],[HireDate]])</f>
        <v>11</v>
      </c>
      <c r="F897">
        <f>YEAR(Employee_Data[[#This Row],[HireDate]])</f>
        <v>2017</v>
      </c>
      <c r="G897" s="5">
        <v>43069</v>
      </c>
      <c r="H897">
        <v>2</v>
      </c>
      <c r="I897">
        <v>8</v>
      </c>
      <c r="J897" s="1">
        <v>99218</v>
      </c>
      <c r="K897" s="1">
        <v>1190616</v>
      </c>
    </row>
    <row r="898" spans="1:11" x14ac:dyDescent="0.25">
      <c r="A898" s="3">
        <v>897</v>
      </c>
      <c r="B898" s="4" t="s">
        <v>99</v>
      </c>
      <c r="C898" s="4" t="s">
        <v>795</v>
      </c>
      <c r="D898" s="4" t="s">
        <v>827</v>
      </c>
      <c r="E898">
        <f>MONTH(Employee_Data[[#This Row],[HireDate]])</f>
        <v>9</v>
      </c>
      <c r="F898">
        <f>YEAR(Employee_Data[[#This Row],[HireDate]])</f>
        <v>2016</v>
      </c>
      <c r="G898" s="5">
        <v>42642</v>
      </c>
      <c r="H898">
        <v>4</v>
      </c>
      <c r="I898">
        <v>33</v>
      </c>
      <c r="J898" s="1">
        <v>66739</v>
      </c>
      <c r="K898" s="1">
        <v>800868</v>
      </c>
    </row>
    <row r="899" spans="1:11" x14ac:dyDescent="0.25">
      <c r="A899" s="3">
        <v>898</v>
      </c>
      <c r="B899" s="4" t="s">
        <v>126</v>
      </c>
      <c r="C899" s="4" t="s">
        <v>796</v>
      </c>
      <c r="D899" s="4" t="s">
        <v>828</v>
      </c>
      <c r="E899">
        <f>MONTH(Employee_Data[[#This Row],[HireDate]])</f>
        <v>2</v>
      </c>
      <c r="F899">
        <f>YEAR(Employee_Data[[#This Row],[HireDate]])</f>
        <v>2020</v>
      </c>
      <c r="G899" s="5">
        <v>43873</v>
      </c>
      <c r="H899">
        <v>4</v>
      </c>
      <c r="I899">
        <v>39</v>
      </c>
      <c r="J899" s="1">
        <v>106171</v>
      </c>
      <c r="K899" s="1">
        <v>1274052</v>
      </c>
    </row>
    <row r="900" spans="1:11" x14ac:dyDescent="0.25">
      <c r="A900" s="3">
        <v>899</v>
      </c>
      <c r="B900" s="4" t="s">
        <v>119</v>
      </c>
      <c r="C900" s="4" t="s">
        <v>692</v>
      </c>
      <c r="D900" s="4" t="s">
        <v>830</v>
      </c>
      <c r="E900">
        <f>MONTH(Employee_Data[[#This Row],[HireDate]])</f>
        <v>10</v>
      </c>
      <c r="F900">
        <f>YEAR(Employee_Data[[#This Row],[HireDate]])</f>
        <v>2015</v>
      </c>
      <c r="G900" s="5">
        <v>42308</v>
      </c>
      <c r="H900">
        <v>1</v>
      </c>
      <c r="I900">
        <v>11</v>
      </c>
      <c r="J900" s="1">
        <v>85868</v>
      </c>
      <c r="K900" s="1">
        <v>1030416</v>
      </c>
    </row>
    <row r="901" spans="1:11" x14ac:dyDescent="0.25">
      <c r="A901" s="3">
        <v>900</v>
      </c>
      <c r="B901" s="4" t="s">
        <v>118</v>
      </c>
      <c r="C901" s="4" t="s">
        <v>554</v>
      </c>
      <c r="D901" s="4" t="s">
        <v>827</v>
      </c>
      <c r="E901">
        <f>MONTH(Employee_Data[[#This Row],[HireDate]])</f>
        <v>8</v>
      </c>
      <c r="F901">
        <f>YEAR(Employee_Data[[#This Row],[HireDate]])</f>
        <v>2024</v>
      </c>
      <c r="G901" s="5">
        <v>45508</v>
      </c>
      <c r="H901">
        <v>1</v>
      </c>
      <c r="I901">
        <v>25</v>
      </c>
      <c r="J901" s="1">
        <v>70456</v>
      </c>
      <c r="K901" s="1">
        <v>845472</v>
      </c>
    </row>
    <row r="902" spans="1:11" x14ac:dyDescent="0.25">
      <c r="A902" s="3">
        <v>901</v>
      </c>
      <c r="B902" s="4" t="s">
        <v>352</v>
      </c>
      <c r="C902" s="4" t="s">
        <v>662</v>
      </c>
      <c r="D902" s="4" t="s">
        <v>828</v>
      </c>
      <c r="E902">
        <f>MONTH(Employee_Data[[#This Row],[HireDate]])</f>
        <v>10</v>
      </c>
      <c r="F902">
        <f>YEAR(Employee_Data[[#This Row],[HireDate]])</f>
        <v>2024</v>
      </c>
      <c r="G902" s="5">
        <v>45570</v>
      </c>
      <c r="H902">
        <v>1</v>
      </c>
      <c r="I902">
        <v>47</v>
      </c>
      <c r="J902" s="1">
        <v>36412</v>
      </c>
      <c r="K902" s="1">
        <v>436944</v>
      </c>
    </row>
    <row r="903" spans="1:11" x14ac:dyDescent="0.25">
      <c r="A903" s="3">
        <v>902</v>
      </c>
      <c r="B903" s="4" t="s">
        <v>222</v>
      </c>
      <c r="C903" s="4" t="s">
        <v>366</v>
      </c>
      <c r="D903" s="4" t="s">
        <v>830</v>
      </c>
      <c r="E903">
        <f>MONTH(Employee_Data[[#This Row],[HireDate]])</f>
        <v>5</v>
      </c>
      <c r="F903">
        <f>YEAR(Employee_Data[[#This Row],[HireDate]])</f>
        <v>2024</v>
      </c>
      <c r="G903" s="5">
        <v>45438</v>
      </c>
      <c r="H903">
        <v>3</v>
      </c>
      <c r="I903">
        <v>31</v>
      </c>
      <c r="J903" s="1">
        <v>47532</v>
      </c>
      <c r="K903" s="1">
        <v>570384</v>
      </c>
    </row>
    <row r="904" spans="1:11" x14ac:dyDescent="0.25">
      <c r="A904" s="3">
        <v>903</v>
      </c>
      <c r="B904" s="4" t="s">
        <v>103</v>
      </c>
      <c r="C904" s="4" t="s">
        <v>97</v>
      </c>
      <c r="D904" s="4" t="s">
        <v>827</v>
      </c>
      <c r="E904">
        <f>MONTH(Employee_Data[[#This Row],[HireDate]])</f>
        <v>2</v>
      </c>
      <c r="F904">
        <f>YEAR(Employee_Data[[#This Row],[HireDate]])</f>
        <v>2020</v>
      </c>
      <c r="G904" s="5">
        <v>43876</v>
      </c>
      <c r="H904">
        <v>3</v>
      </c>
      <c r="I904">
        <v>14</v>
      </c>
      <c r="J904" s="1">
        <v>116487</v>
      </c>
      <c r="K904" s="1">
        <v>1397844</v>
      </c>
    </row>
    <row r="905" spans="1:11" x14ac:dyDescent="0.25">
      <c r="A905" s="3">
        <v>904</v>
      </c>
      <c r="B905" s="4" t="s">
        <v>18</v>
      </c>
      <c r="C905" s="4" t="s">
        <v>507</v>
      </c>
      <c r="D905" s="4" t="s">
        <v>828</v>
      </c>
      <c r="E905">
        <f>MONTH(Employee_Data[[#This Row],[HireDate]])</f>
        <v>1</v>
      </c>
      <c r="F905">
        <f>YEAR(Employee_Data[[#This Row],[HireDate]])</f>
        <v>2020</v>
      </c>
      <c r="G905" s="5">
        <v>43850</v>
      </c>
      <c r="H905">
        <v>3</v>
      </c>
      <c r="I905">
        <v>7</v>
      </c>
      <c r="J905" s="1">
        <v>82768</v>
      </c>
      <c r="K905" s="1">
        <v>993216</v>
      </c>
    </row>
    <row r="906" spans="1:11" x14ac:dyDescent="0.25">
      <c r="A906" s="3">
        <v>905</v>
      </c>
      <c r="B906" s="4" t="s">
        <v>353</v>
      </c>
      <c r="C906" s="4" t="s">
        <v>797</v>
      </c>
      <c r="D906" s="4" t="s">
        <v>826</v>
      </c>
      <c r="E906">
        <f>MONTH(Employee_Data[[#This Row],[HireDate]])</f>
        <v>8</v>
      </c>
      <c r="F906">
        <f>YEAR(Employee_Data[[#This Row],[HireDate]])</f>
        <v>2020</v>
      </c>
      <c r="G906" s="5">
        <v>44058</v>
      </c>
      <c r="H906">
        <v>3</v>
      </c>
      <c r="I906">
        <v>48</v>
      </c>
      <c r="J906" s="1">
        <v>39761</v>
      </c>
      <c r="K906" s="1">
        <v>477132</v>
      </c>
    </row>
    <row r="907" spans="1:11" x14ac:dyDescent="0.25">
      <c r="A907" s="3">
        <v>906</v>
      </c>
      <c r="B907" s="4" t="s">
        <v>119</v>
      </c>
      <c r="C907" s="4" t="s">
        <v>424</v>
      </c>
      <c r="D907" s="4" t="s">
        <v>830</v>
      </c>
      <c r="E907">
        <f>MONTH(Employee_Data[[#This Row],[HireDate]])</f>
        <v>10</v>
      </c>
      <c r="F907">
        <f>YEAR(Employee_Data[[#This Row],[HireDate]])</f>
        <v>2022</v>
      </c>
      <c r="G907" s="5">
        <v>44855</v>
      </c>
      <c r="H907">
        <v>2</v>
      </c>
      <c r="I907">
        <v>6</v>
      </c>
      <c r="J907" s="1">
        <v>70967</v>
      </c>
      <c r="K907" s="1">
        <v>851604</v>
      </c>
    </row>
    <row r="908" spans="1:11" x14ac:dyDescent="0.25">
      <c r="A908" s="3">
        <v>907</v>
      </c>
      <c r="B908" s="4" t="s">
        <v>20</v>
      </c>
      <c r="C908" s="4" t="s">
        <v>798</v>
      </c>
      <c r="D908" s="4" t="s">
        <v>827</v>
      </c>
      <c r="E908">
        <f>MONTH(Employee_Data[[#This Row],[HireDate]])</f>
        <v>4</v>
      </c>
      <c r="F908">
        <f>YEAR(Employee_Data[[#This Row],[HireDate]])</f>
        <v>2024</v>
      </c>
      <c r="G908" s="5">
        <v>45403</v>
      </c>
      <c r="H908">
        <v>2</v>
      </c>
      <c r="I908">
        <v>34</v>
      </c>
      <c r="J908" s="1">
        <v>73948</v>
      </c>
      <c r="K908" s="1">
        <v>887376</v>
      </c>
    </row>
    <row r="909" spans="1:11" x14ac:dyDescent="0.25">
      <c r="A909" s="3">
        <v>908</v>
      </c>
      <c r="B909" s="4" t="s">
        <v>145</v>
      </c>
      <c r="C909" s="4" t="s">
        <v>50</v>
      </c>
      <c r="D909" s="4" t="s">
        <v>828</v>
      </c>
      <c r="E909">
        <f>MONTH(Employee_Data[[#This Row],[HireDate]])</f>
        <v>1</v>
      </c>
      <c r="F909">
        <f>YEAR(Employee_Data[[#This Row],[HireDate]])</f>
        <v>2018</v>
      </c>
      <c r="G909" s="5">
        <v>43104</v>
      </c>
      <c r="H909">
        <v>3</v>
      </c>
      <c r="I909">
        <v>26</v>
      </c>
      <c r="J909" s="1">
        <v>102193</v>
      </c>
      <c r="K909" s="1">
        <v>1226316</v>
      </c>
    </row>
    <row r="910" spans="1:11" x14ac:dyDescent="0.25">
      <c r="A910" s="3">
        <v>909</v>
      </c>
      <c r="B910" s="4" t="s">
        <v>64</v>
      </c>
      <c r="C910" s="4" t="s">
        <v>90</v>
      </c>
      <c r="D910" s="4" t="s">
        <v>830</v>
      </c>
      <c r="E910">
        <f>MONTH(Employee_Data[[#This Row],[HireDate]])</f>
        <v>2</v>
      </c>
      <c r="F910">
        <f>YEAR(Employee_Data[[#This Row],[HireDate]])</f>
        <v>2021</v>
      </c>
      <c r="G910" s="5">
        <v>44230</v>
      </c>
      <c r="H910">
        <v>3</v>
      </c>
      <c r="I910">
        <v>6</v>
      </c>
      <c r="J910" s="1">
        <v>57305</v>
      </c>
      <c r="K910" s="1">
        <v>687660</v>
      </c>
    </row>
    <row r="911" spans="1:11" x14ac:dyDescent="0.25">
      <c r="A911" s="3">
        <v>910</v>
      </c>
      <c r="B911" s="4" t="s">
        <v>81</v>
      </c>
      <c r="C911" s="4" t="s">
        <v>799</v>
      </c>
      <c r="D911" s="4" t="s">
        <v>829</v>
      </c>
      <c r="E911">
        <f>MONTH(Employee_Data[[#This Row],[HireDate]])</f>
        <v>1</v>
      </c>
      <c r="F911">
        <f>YEAR(Employee_Data[[#This Row],[HireDate]])</f>
        <v>2018</v>
      </c>
      <c r="G911" s="5">
        <v>43130</v>
      </c>
      <c r="H911">
        <v>5</v>
      </c>
      <c r="I911">
        <v>37</v>
      </c>
      <c r="J911" s="1">
        <v>54524</v>
      </c>
      <c r="K911" s="1">
        <v>654288</v>
      </c>
    </row>
    <row r="912" spans="1:11" x14ac:dyDescent="0.25">
      <c r="A912" s="3">
        <v>911</v>
      </c>
      <c r="B912" s="4" t="s">
        <v>75</v>
      </c>
      <c r="C912" s="4" t="s">
        <v>382</v>
      </c>
      <c r="D912" s="4" t="s">
        <v>828</v>
      </c>
      <c r="E912">
        <f>MONTH(Employee_Data[[#This Row],[HireDate]])</f>
        <v>7</v>
      </c>
      <c r="F912">
        <f>YEAR(Employee_Data[[#This Row],[HireDate]])</f>
        <v>2024</v>
      </c>
      <c r="G912" s="5">
        <v>45489</v>
      </c>
      <c r="H912">
        <v>2</v>
      </c>
      <c r="I912">
        <v>40</v>
      </c>
      <c r="J912" s="1">
        <v>74840</v>
      </c>
      <c r="K912" s="1">
        <v>898080</v>
      </c>
    </row>
    <row r="913" spans="1:11" x14ac:dyDescent="0.25">
      <c r="A913" s="3">
        <v>912</v>
      </c>
      <c r="B913" s="4" t="s">
        <v>193</v>
      </c>
      <c r="C913" s="4" t="s">
        <v>590</v>
      </c>
      <c r="D913" s="4" t="s">
        <v>830</v>
      </c>
      <c r="E913">
        <f>MONTH(Employee_Data[[#This Row],[HireDate]])</f>
        <v>11</v>
      </c>
      <c r="F913">
        <f>YEAR(Employee_Data[[#This Row],[HireDate]])</f>
        <v>2017</v>
      </c>
      <c r="G913" s="5">
        <v>43048</v>
      </c>
      <c r="H913">
        <v>3</v>
      </c>
      <c r="I913">
        <v>46</v>
      </c>
      <c r="J913" s="1">
        <v>104281</v>
      </c>
      <c r="K913" s="1">
        <v>1251372</v>
      </c>
    </row>
    <row r="914" spans="1:11" x14ac:dyDescent="0.25">
      <c r="A914" s="3">
        <v>913</v>
      </c>
      <c r="B914" s="4" t="s">
        <v>354</v>
      </c>
      <c r="C914" s="4" t="s">
        <v>440</v>
      </c>
      <c r="D914" s="4" t="s">
        <v>828</v>
      </c>
      <c r="E914">
        <f>MONTH(Employee_Data[[#This Row],[HireDate]])</f>
        <v>10</v>
      </c>
      <c r="F914">
        <f>YEAR(Employee_Data[[#This Row],[HireDate]])</f>
        <v>2018</v>
      </c>
      <c r="G914" s="5">
        <v>43399</v>
      </c>
      <c r="H914">
        <v>4</v>
      </c>
      <c r="I914">
        <v>10</v>
      </c>
      <c r="J914" s="1">
        <v>51862</v>
      </c>
      <c r="K914" s="1">
        <v>622344</v>
      </c>
    </row>
    <row r="915" spans="1:11" x14ac:dyDescent="0.25">
      <c r="A915" s="3">
        <v>914</v>
      </c>
      <c r="B915" s="4" t="s">
        <v>42</v>
      </c>
      <c r="C915" s="4" t="s">
        <v>464</v>
      </c>
      <c r="D915" s="4" t="s">
        <v>830</v>
      </c>
      <c r="E915">
        <f>MONTH(Employee_Data[[#This Row],[HireDate]])</f>
        <v>10</v>
      </c>
      <c r="F915">
        <f>YEAR(Employee_Data[[#This Row],[HireDate]])</f>
        <v>2018</v>
      </c>
      <c r="G915" s="5">
        <v>43394</v>
      </c>
      <c r="H915">
        <v>1</v>
      </c>
      <c r="I915">
        <v>26</v>
      </c>
      <c r="J915" s="1">
        <v>46063</v>
      </c>
      <c r="K915" s="1">
        <v>552756</v>
      </c>
    </row>
    <row r="916" spans="1:11" x14ac:dyDescent="0.25">
      <c r="A916" s="3">
        <v>915</v>
      </c>
      <c r="B916" s="4" t="s">
        <v>335</v>
      </c>
      <c r="C916" s="4" t="s">
        <v>576</v>
      </c>
      <c r="D916" s="4" t="s">
        <v>828</v>
      </c>
      <c r="E916">
        <f>MONTH(Employee_Data[[#This Row],[HireDate]])</f>
        <v>12</v>
      </c>
      <c r="F916">
        <f>YEAR(Employee_Data[[#This Row],[HireDate]])</f>
        <v>2018</v>
      </c>
      <c r="G916" s="5">
        <v>43448</v>
      </c>
      <c r="H916">
        <v>2</v>
      </c>
      <c r="I916">
        <v>29</v>
      </c>
      <c r="J916" s="1">
        <v>88509</v>
      </c>
      <c r="K916" s="1">
        <v>1062108</v>
      </c>
    </row>
    <row r="917" spans="1:11" x14ac:dyDescent="0.25">
      <c r="A917" s="3">
        <v>916</v>
      </c>
      <c r="B917" s="4" t="s">
        <v>184</v>
      </c>
      <c r="C917" s="4" t="s">
        <v>380</v>
      </c>
      <c r="D917" s="4" t="s">
        <v>826</v>
      </c>
      <c r="E917">
        <f>MONTH(Employee_Data[[#This Row],[HireDate]])</f>
        <v>6</v>
      </c>
      <c r="F917">
        <f>YEAR(Employee_Data[[#This Row],[HireDate]])</f>
        <v>2022</v>
      </c>
      <c r="G917" s="5">
        <v>44738</v>
      </c>
      <c r="H917">
        <v>2</v>
      </c>
      <c r="I917">
        <v>19</v>
      </c>
      <c r="J917" s="1">
        <v>36684</v>
      </c>
      <c r="K917" s="1">
        <v>440208</v>
      </c>
    </row>
    <row r="918" spans="1:11" x14ac:dyDescent="0.25">
      <c r="A918" s="3">
        <v>917</v>
      </c>
      <c r="B918" s="4" t="s">
        <v>155</v>
      </c>
      <c r="C918" s="4" t="s">
        <v>548</v>
      </c>
      <c r="D918" s="4" t="s">
        <v>826</v>
      </c>
      <c r="E918">
        <f>MONTH(Employee_Data[[#This Row],[HireDate]])</f>
        <v>1</v>
      </c>
      <c r="F918">
        <f>YEAR(Employee_Data[[#This Row],[HireDate]])</f>
        <v>2016</v>
      </c>
      <c r="G918" s="5">
        <v>42390</v>
      </c>
      <c r="H918">
        <v>5</v>
      </c>
      <c r="I918">
        <v>36</v>
      </c>
      <c r="J918" s="1">
        <v>119999</v>
      </c>
      <c r="K918" s="1">
        <v>1439988</v>
      </c>
    </row>
    <row r="919" spans="1:11" x14ac:dyDescent="0.25">
      <c r="A919" s="3">
        <v>918</v>
      </c>
      <c r="B919" s="4" t="s">
        <v>276</v>
      </c>
      <c r="C919" s="4" t="s">
        <v>726</v>
      </c>
      <c r="D919" s="4" t="s">
        <v>829</v>
      </c>
      <c r="E919">
        <f>MONTH(Employee_Data[[#This Row],[HireDate]])</f>
        <v>4</v>
      </c>
      <c r="F919">
        <f>YEAR(Employee_Data[[#This Row],[HireDate]])</f>
        <v>2020</v>
      </c>
      <c r="G919" s="5">
        <v>43950</v>
      </c>
      <c r="H919">
        <v>5</v>
      </c>
      <c r="I919">
        <v>32</v>
      </c>
      <c r="J919" s="1">
        <v>98150</v>
      </c>
      <c r="K919" s="1">
        <v>1177800</v>
      </c>
    </row>
    <row r="920" spans="1:11" x14ac:dyDescent="0.25">
      <c r="A920" s="3">
        <v>919</v>
      </c>
      <c r="B920" s="4" t="s">
        <v>355</v>
      </c>
      <c r="C920" s="4" t="s">
        <v>366</v>
      </c>
      <c r="D920" s="4" t="s">
        <v>829</v>
      </c>
      <c r="E920">
        <f>MONTH(Employee_Data[[#This Row],[HireDate]])</f>
        <v>1</v>
      </c>
      <c r="F920">
        <f>YEAR(Employee_Data[[#This Row],[HireDate]])</f>
        <v>2024</v>
      </c>
      <c r="G920" s="5">
        <v>45305</v>
      </c>
      <c r="H920">
        <v>2</v>
      </c>
      <c r="I920">
        <v>47</v>
      </c>
      <c r="J920" s="1">
        <v>62139</v>
      </c>
      <c r="K920" s="1">
        <v>745668</v>
      </c>
    </row>
    <row r="921" spans="1:11" x14ac:dyDescent="0.25">
      <c r="A921" s="3">
        <v>920</v>
      </c>
      <c r="B921" s="4" t="s">
        <v>201</v>
      </c>
      <c r="C921" s="4" t="s">
        <v>570</v>
      </c>
      <c r="D921" s="4" t="s">
        <v>826</v>
      </c>
      <c r="E921">
        <f>MONTH(Employee_Data[[#This Row],[HireDate]])</f>
        <v>8</v>
      </c>
      <c r="F921">
        <f>YEAR(Employee_Data[[#This Row],[HireDate]])</f>
        <v>2018</v>
      </c>
      <c r="G921" s="5">
        <v>43334</v>
      </c>
      <c r="H921">
        <v>5</v>
      </c>
      <c r="I921">
        <v>32</v>
      </c>
      <c r="J921" s="1">
        <v>28958</v>
      </c>
      <c r="K921" s="1">
        <v>347496</v>
      </c>
    </row>
    <row r="922" spans="1:11" x14ac:dyDescent="0.25">
      <c r="A922" s="3">
        <v>921</v>
      </c>
      <c r="B922" s="4" t="s">
        <v>105</v>
      </c>
      <c r="C922" s="4" t="s">
        <v>741</v>
      </c>
      <c r="D922" s="4" t="s">
        <v>828</v>
      </c>
      <c r="E922">
        <f>MONTH(Employee_Data[[#This Row],[HireDate]])</f>
        <v>7</v>
      </c>
      <c r="F922">
        <f>YEAR(Employee_Data[[#This Row],[HireDate]])</f>
        <v>2016</v>
      </c>
      <c r="G922" s="5">
        <v>42579</v>
      </c>
      <c r="H922">
        <v>1</v>
      </c>
      <c r="I922">
        <v>41</v>
      </c>
      <c r="J922" s="1">
        <v>91795</v>
      </c>
      <c r="K922" s="1">
        <v>1101540</v>
      </c>
    </row>
    <row r="923" spans="1:11" x14ac:dyDescent="0.25">
      <c r="A923" s="3">
        <v>922</v>
      </c>
      <c r="B923" s="4" t="s">
        <v>323</v>
      </c>
      <c r="C923" s="4" t="s">
        <v>788</v>
      </c>
      <c r="D923" s="4" t="s">
        <v>826</v>
      </c>
      <c r="E923">
        <f>MONTH(Employee_Data[[#This Row],[HireDate]])</f>
        <v>2</v>
      </c>
      <c r="F923">
        <f>YEAR(Employee_Data[[#This Row],[HireDate]])</f>
        <v>2023</v>
      </c>
      <c r="G923" s="5">
        <v>44974</v>
      </c>
      <c r="H923">
        <v>3</v>
      </c>
      <c r="I923">
        <v>44</v>
      </c>
      <c r="J923" s="1">
        <v>81206</v>
      </c>
      <c r="K923" s="1">
        <v>974472</v>
      </c>
    </row>
    <row r="924" spans="1:11" x14ac:dyDescent="0.25">
      <c r="A924" s="3">
        <v>923</v>
      </c>
      <c r="B924" s="4" t="s">
        <v>118</v>
      </c>
      <c r="C924" s="4" t="s">
        <v>520</v>
      </c>
      <c r="D924" s="4" t="s">
        <v>826</v>
      </c>
      <c r="E924">
        <f>MONTH(Employee_Data[[#This Row],[HireDate]])</f>
        <v>10</v>
      </c>
      <c r="F924">
        <f>YEAR(Employee_Data[[#This Row],[HireDate]])</f>
        <v>2020</v>
      </c>
      <c r="G924" s="5">
        <v>44114</v>
      </c>
      <c r="H924">
        <v>3</v>
      </c>
      <c r="I924">
        <v>13</v>
      </c>
      <c r="J924" s="1">
        <v>82097</v>
      </c>
      <c r="K924" s="1">
        <v>985164</v>
      </c>
    </row>
    <row r="925" spans="1:11" x14ac:dyDescent="0.25">
      <c r="A925" s="3">
        <v>924</v>
      </c>
      <c r="B925" s="4" t="s">
        <v>356</v>
      </c>
      <c r="C925" s="4" t="s">
        <v>800</v>
      </c>
      <c r="D925" s="4" t="s">
        <v>826</v>
      </c>
      <c r="E925">
        <f>MONTH(Employee_Data[[#This Row],[HireDate]])</f>
        <v>1</v>
      </c>
      <c r="F925">
        <f>YEAR(Employee_Data[[#This Row],[HireDate]])</f>
        <v>2022</v>
      </c>
      <c r="G925" s="5">
        <v>44584</v>
      </c>
      <c r="H925">
        <v>4</v>
      </c>
      <c r="I925">
        <v>31</v>
      </c>
      <c r="J925" s="1">
        <v>21887</v>
      </c>
      <c r="K925" s="1">
        <v>262644</v>
      </c>
    </row>
    <row r="926" spans="1:11" x14ac:dyDescent="0.25">
      <c r="A926" s="3">
        <v>925</v>
      </c>
      <c r="B926" s="4" t="s">
        <v>197</v>
      </c>
      <c r="C926" s="4" t="s">
        <v>366</v>
      </c>
      <c r="D926" s="4" t="s">
        <v>827</v>
      </c>
      <c r="E926">
        <f>MONTH(Employee_Data[[#This Row],[HireDate]])</f>
        <v>7</v>
      </c>
      <c r="F926">
        <f>YEAR(Employee_Data[[#This Row],[HireDate]])</f>
        <v>2018</v>
      </c>
      <c r="G926" s="5">
        <v>43287</v>
      </c>
      <c r="H926">
        <v>4</v>
      </c>
      <c r="I926">
        <v>10</v>
      </c>
      <c r="J926" s="1">
        <v>63162</v>
      </c>
      <c r="K926" s="1">
        <v>757944</v>
      </c>
    </row>
    <row r="927" spans="1:11" x14ac:dyDescent="0.25">
      <c r="A927" s="3">
        <v>926</v>
      </c>
      <c r="B927" s="4" t="s">
        <v>116</v>
      </c>
      <c r="C927" s="4" t="s">
        <v>415</v>
      </c>
      <c r="D927" s="4" t="s">
        <v>826</v>
      </c>
      <c r="E927">
        <f>MONTH(Employee_Data[[#This Row],[HireDate]])</f>
        <v>6</v>
      </c>
      <c r="F927">
        <f>YEAR(Employee_Data[[#This Row],[HireDate]])</f>
        <v>2018</v>
      </c>
      <c r="G927" s="5">
        <v>43260</v>
      </c>
      <c r="H927">
        <v>3</v>
      </c>
      <c r="I927">
        <v>48</v>
      </c>
      <c r="J927" s="1">
        <v>114763</v>
      </c>
      <c r="K927" s="1">
        <v>1377156</v>
      </c>
    </row>
    <row r="928" spans="1:11" x14ac:dyDescent="0.25">
      <c r="A928" s="3">
        <v>927</v>
      </c>
      <c r="B928" s="4" t="s">
        <v>357</v>
      </c>
      <c r="C928" s="4" t="s">
        <v>801</v>
      </c>
      <c r="D928" s="4" t="s">
        <v>830</v>
      </c>
      <c r="E928">
        <f>MONTH(Employee_Data[[#This Row],[HireDate]])</f>
        <v>4</v>
      </c>
      <c r="F928">
        <f>YEAR(Employee_Data[[#This Row],[HireDate]])</f>
        <v>2019</v>
      </c>
      <c r="G928" s="5">
        <v>43572</v>
      </c>
      <c r="H928">
        <v>2</v>
      </c>
      <c r="I928">
        <v>17</v>
      </c>
      <c r="J928" s="1">
        <v>78201</v>
      </c>
      <c r="K928" s="1">
        <v>938412</v>
      </c>
    </row>
    <row r="929" spans="1:11" x14ac:dyDescent="0.25">
      <c r="A929" s="3">
        <v>928</v>
      </c>
      <c r="B929" s="4" t="s">
        <v>53</v>
      </c>
      <c r="C929" s="4" t="s">
        <v>802</v>
      </c>
      <c r="D929" s="4" t="s">
        <v>830</v>
      </c>
      <c r="E929">
        <f>MONTH(Employee_Data[[#This Row],[HireDate]])</f>
        <v>3</v>
      </c>
      <c r="F929">
        <f>YEAR(Employee_Data[[#This Row],[HireDate]])</f>
        <v>2020</v>
      </c>
      <c r="G929" s="5">
        <v>43912</v>
      </c>
      <c r="H929">
        <v>5</v>
      </c>
      <c r="I929">
        <v>14</v>
      </c>
      <c r="J929" s="1">
        <v>61497</v>
      </c>
      <c r="K929" s="1">
        <v>737964</v>
      </c>
    </row>
    <row r="930" spans="1:11" x14ac:dyDescent="0.25">
      <c r="A930" s="3">
        <v>929</v>
      </c>
      <c r="B930" s="4" t="s">
        <v>117</v>
      </c>
      <c r="C930" s="4" t="s">
        <v>464</v>
      </c>
      <c r="D930" s="4" t="s">
        <v>829</v>
      </c>
      <c r="E930">
        <f>MONTH(Employee_Data[[#This Row],[HireDate]])</f>
        <v>11</v>
      </c>
      <c r="F930">
        <f>YEAR(Employee_Data[[#This Row],[HireDate]])</f>
        <v>2018</v>
      </c>
      <c r="G930" s="5">
        <v>43409</v>
      </c>
      <c r="H930">
        <v>2</v>
      </c>
      <c r="I930">
        <v>20</v>
      </c>
      <c r="J930" s="1">
        <v>84511</v>
      </c>
      <c r="K930" s="1">
        <v>1014132</v>
      </c>
    </row>
    <row r="931" spans="1:11" x14ac:dyDescent="0.25">
      <c r="A931" s="3">
        <v>930</v>
      </c>
      <c r="B931" s="4" t="s">
        <v>16</v>
      </c>
      <c r="C931" s="4" t="s">
        <v>803</v>
      </c>
      <c r="D931" s="4" t="s">
        <v>830</v>
      </c>
      <c r="E931">
        <f>MONTH(Employee_Data[[#This Row],[HireDate]])</f>
        <v>10</v>
      </c>
      <c r="F931">
        <f>YEAR(Employee_Data[[#This Row],[HireDate]])</f>
        <v>2015</v>
      </c>
      <c r="G931" s="5">
        <v>42308</v>
      </c>
      <c r="H931">
        <v>4</v>
      </c>
      <c r="I931">
        <v>47</v>
      </c>
      <c r="J931" s="1">
        <v>32387</v>
      </c>
      <c r="K931" s="1">
        <v>388644</v>
      </c>
    </row>
    <row r="932" spans="1:11" x14ac:dyDescent="0.25">
      <c r="A932" s="3">
        <v>931</v>
      </c>
      <c r="B932" s="4" t="s">
        <v>35</v>
      </c>
      <c r="C932" s="4" t="s">
        <v>597</v>
      </c>
      <c r="D932" s="4" t="s">
        <v>830</v>
      </c>
      <c r="E932">
        <f>MONTH(Employee_Data[[#This Row],[HireDate]])</f>
        <v>11</v>
      </c>
      <c r="F932">
        <f>YEAR(Employee_Data[[#This Row],[HireDate]])</f>
        <v>2020</v>
      </c>
      <c r="G932" s="5">
        <v>44150</v>
      </c>
      <c r="H932">
        <v>2</v>
      </c>
      <c r="I932">
        <v>14</v>
      </c>
      <c r="J932" s="1">
        <v>117082</v>
      </c>
      <c r="K932" s="1">
        <v>1404984</v>
      </c>
    </row>
    <row r="933" spans="1:11" x14ac:dyDescent="0.25">
      <c r="A933" s="3">
        <v>932</v>
      </c>
      <c r="B933" s="4" t="s">
        <v>95</v>
      </c>
      <c r="C933" s="4" t="s">
        <v>461</v>
      </c>
      <c r="D933" s="4" t="s">
        <v>829</v>
      </c>
      <c r="E933">
        <f>MONTH(Employee_Data[[#This Row],[HireDate]])</f>
        <v>11</v>
      </c>
      <c r="F933">
        <f>YEAR(Employee_Data[[#This Row],[HireDate]])</f>
        <v>2018</v>
      </c>
      <c r="G933" s="5">
        <v>43433</v>
      </c>
      <c r="H933">
        <v>3</v>
      </c>
      <c r="I933">
        <v>14</v>
      </c>
      <c r="J933" s="1">
        <v>75887</v>
      </c>
      <c r="K933" s="1">
        <v>910644</v>
      </c>
    </row>
    <row r="934" spans="1:11" x14ac:dyDescent="0.25">
      <c r="A934" s="3">
        <v>933</v>
      </c>
      <c r="B934" s="4" t="s">
        <v>193</v>
      </c>
      <c r="C934" s="4" t="s">
        <v>372</v>
      </c>
      <c r="D934" s="4" t="s">
        <v>829</v>
      </c>
      <c r="E934">
        <f>MONTH(Employee_Data[[#This Row],[HireDate]])</f>
        <v>2</v>
      </c>
      <c r="F934">
        <f>YEAR(Employee_Data[[#This Row],[HireDate]])</f>
        <v>2019</v>
      </c>
      <c r="G934" s="5">
        <v>43511</v>
      </c>
      <c r="H934">
        <v>2</v>
      </c>
      <c r="I934">
        <v>2</v>
      </c>
      <c r="J934" s="1">
        <v>92379</v>
      </c>
      <c r="K934" s="1">
        <v>1108548</v>
      </c>
    </row>
    <row r="935" spans="1:11" x14ac:dyDescent="0.25">
      <c r="A935" s="3">
        <v>934</v>
      </c>
      <c r="B935" s="4" t="s">
        <v>184</v>
      </c>
      <c r="C935" s="4" t="s">
        <v>382</v>
      </c>
      <c r="D935" s="4" t="s">
        <v>830</v>
      </c>
      <c r="E935">
        <f>MONTH(Employee_Data[[#This Row],[HireDate]])</f>
        <v>3</v>
      </c>
      <c r="F935">
        <f>YEAR(Employee_Data[[#This Row],[HireDate]])</f>
        <v>2019</v>
      </c>
      <c r="G935" s="5">
        <v>43527</v>
      </c>
      <c r="H935">
        <v>4</v>
      </c>
      <c r="I935">
        <v>19</v>
      </c>
      <c r="J935" s="1">
        <v>102725</v>
      </c>
      <c r="K935" s="1">
        <v>1232700</v>
      </c>
    </row>
    <row r="936" spans="1:11" x14ac:dyDescent="0.25">
      <c r="A936" s="3">
        <v>935</v>
      </c>
      <c r="B936" s="4" t="s">
        <v>129</v>
      </c>
      <c r="C936" s="4" t="s">
        <v>366</v>
      </c>
      <c r="D936" s="4" t="s">
        <v>826</v>
      </c>
      <c r="E936">
        <f>MONTH(Employee_Data[[#This Row],[HireDate]])</f>
        <v>10</v>
      </c>
      <c r="F936">
        <f>YEAR(Employee_Data[[#This Row],[HireDate]])</f>
        <v>2018</v>
      </c>
      <c r="G936" s="5">
        <v>43381</v>
      </c>
      <c r="H936">
        <v>5</v>
      </c>
      <c r="I936">
        <v>38</v>
      </c>
      <c r="J936" s="1">
        <v>29250</v>
      </c>
      <c r="K936" s="1">
        <v>351000</v>
      </c>
    </row>
    <row r="937" spans="1:11" x14ac:dyDescent="0.25">
      <c r="A937" s="3">
        <v>936</v>
      </c>
      <c r="B937" s="4" t="s">
        <v>328</v>
      </c>
      <c r="C937" s="4" t="s">
        <v>804</v>
      </c>
      <c r="D937" s="4" t="s">
        <v>828</v>
      </c>
      <c r="E937">
        <f>MONTH(Employee_Data[[#This Row],[HireDate]])</f>
        <v>9</v>
      </c>
      <c r="F937">
        <f>YEAR(Employee_Data[[#This Row],[HireDate]])</f>
        <v>2023</v>
      </c>
      <c r="G937" s="5">
        <v>45185</v>
      </c>
      <c r="H937">
        <v>2</v>
      </c>
      <c r="I937">
        <v>2</v>
      </c>
      <c r="J937" s="1">
        <v>69213</v>
      </c>
      <c r="K937" s="1">
        <v>830556</v>
      </c>
    </row>
    <row r="938" spans="1:11" x14ac:dyDescent="0.25">
      <c r="A938" s="3">
        <v>937</v>
      </c>
      <c r="B938" s="4" t="s">
        <v>265</v>
      </c>
      <c r="C938" s="4" t="s">
        <v>447</v>
      </c>
      <c r="D938" s="4" t="s">
        <v>826</v>
      </c>
      <c r="E938">
        <f>MONTH(Employee_Data[[#This Row],[HireDate]])</f>
        <v>3</v>
      </c>
      <c r="F938">
        <f>YEAR(Employee_Data[[#This Row],[HireDate]])</f>
        <v>2016</v>
      </c>
      <c r="G938" s="5">
        <v>42436</v>
      </c>
      <c r="H938">
        <v>5</v>
      </c>
      <c r="I938">
        <v>15</v>
      </c>
      <c r="J938" s="1">
        <v>66572</v>
      </c>
      <c r="K938" s="1">
        <v>798864</v>
      </c>
    </row>
    <row r="939" spans="1:11" x14ac:dyDescent="0.25">
      <c r="A939" s="3">
        <v>938</v>
      </c>
      <c r="B939" s="4" t="s">
        <v>204</v>
      </c>
      <c r="C939" s="4" t="s">
        <v>402</v>
      </c>
      <c r="D939" s="4" t="s">
        <v>827</v>
      </c>
      <c r="E939">
        <f>MONTH(Employee_Data[[#This Row],[HireDate]])</f>
        <v>11</v>
      </c>
      <c r="F939">
        <f>YEAR(Employee_Data[[#This Row],[HireDate]])</f>
        <v>2020</v>
      </c>
      <c r="G939" s="5">
        <v>44165</v>
      </c>
      <c r="H939">
        <v>2</v>
      </c>
      <c r="I939">
        <v>29</v>
      </c>
      <c r="J939" s="1">
        <v>93369</v>
      </c>
      <c r="K939" s="1">
        <v>1120428</v>
      </c>
    </row>
    <row r="940" spans="1:11" x14ac:dyDescent="0.25">
      <c r="A940" s="3">
        <v>939</v>
      </c>
      <c r="B940" s="4" t="s">
        <v>18</v>
      </c>
      <c r="C940" s="4" t="s">
        <v>384</v>
      </c>
      <c r="D940" s="4" t="s">
        <v>830</v>
      </c>
      <c r="E940">
        <f>MONTH(Employee_Data[[#This Row],[HireDate]])</f>
        <v>9</v>
      </c>
      <c r="F940">
        <f>YEAR(Employee_Data[[#This Row],[HireDate]])</f>
        <v>2023</v>
      </c>
      <c r="G940" s="5">
        <v>45170</v>
      </c>
      <c r="H940">
        <v>5</v>
      </c>
      <c r="I940">
        <v>25</v>
      </c>
      <c r="J940" s="1">
        <v>109350</v>
      </c>
      <c r="K940" s="1">
        <v>1312200</v>
      </c>
    </row>
    <row r="941" spans="1:11" x14ac:dyDescent="0.25">
      <c r="A941" s="3">
        <v>940</v>
      </c>
      <c r="B941" s="4" t="s">
        <v>128</v>
      </c>
      <c r="C941" s="4" t="s">
        <v>484</v>
      </c>
      <c r="D941" s="4" t="s">
        <v>827</v>
      </c>
      <c r="E941">
        <f>MONTH(Employee_Data[[#This Row],[HireDate]])</f>
        <v>1</v>
      </c>
      <c r="F941">
        <f>YEAR(Employee_Data[[#This Row],[HireDate]])</f>
        <v>2017</v>
      </c>
      <c r="G941" s="5">
        <v>42756</v>
      </c>
      <c r="H941">
        <v>2</v>
      </c>
      <c r="I941">
        <v>28</v>
      </c>
      <c r="J941" s="1">
        <v>101477</v>
      </c>
      <c r="K941" s="1">
        <v>1217724</v>
      </c>
    </row>
    <row r="942" spans="1:11" x14ac:dyDescent="0.25">
      <c r="A942" s="3">
        <v>941</v>
      </c>
      <c r="B942" s="4" t="s">
        <v>273</v>
      </c>
      <c r="C942" s="4" t="s">
        <v>805</v>
      </c>
      <c r="D942" s="4" t="s">
        <v>829</v>
      </c>
      <c r="E942">
        <f>MONTH(Employee_Data[[#This Row],[HireDate]])</f>
        <v>6</v>
      </c>
      <c r="F942">
        <f>YEAR(Employee_Data[[#This Row],[HireDate]])</f>
        <v>2023</v>
      </c>
      <c r="G942" s="5">
        <v>45091</v>
      </c>
      <c r="H942">
        <v>2</v>
      </c>
      <c r="I942">
        <v>23</v>
      </c>
      <c r="J942" s="1">
        <v>48827</v>
      </c>
      <c r="K942" s="1">
        <v>585924</v>
      </c>
    </row>
    <row r="943" spans="1:11" x14ac:dyDescent="0.25">
      <c r="A943" s="3">
        <v>942</v>
      </c>
      <c r="B943" s="4" t="s">
        <v>252</v>
      </c>
      <c r="C943" s="4" t="s">
        <v>416</v>
      </c>
      <c r="D943" s="4" t="s">
        <v>826</v>
      </c>
      <c r="E943">
        <f>MONTH(Employee_Data[[#This Row],[HireDate]])</f>
        <v>4</v>
      </c>
      <c r="F943">
        <f>YEAR(Employee_Data[[#This Row],[HireDate]])</f>
        <v>2022</v>
      </c>
      <c r="G943" s="5">
        <v>44660</v>
      </c>
      <c r="H943">
        <v>1</v>
      </c>
      <c r="I943">
        <v>16</v>
      </c>
      <c r="J943" s="1">
        <v>93861</v>
      </c>
      <c r="K943" s="1">
        <v>1126332</v>
      </c>
    </row>
    <row r="944" spans="1:11" x14ac:dyDescent="0.25">
      <c r="A944" s="3">
        <v>943</v>
      </c>
      <c r="B944" s="4" t="s">
        <v>126</v>
      </c>
      <c r="C944" s="4" t="s">
        <v>806</v>
      </c>
      <c r="D944" s="4" t="s">
        <v>828</v>
      </c>
      <c r="E944">
        <f>MONTH(Employee_Data[[#This Row],[HireDate]])</f>
        <v>4</v>
      </c>
      <c r="F944">
        <f>YEAR(Employee_Data[[#This Row],[HireDate]])</f>
        <v>2016</v>
      </c>
      <c r="G944" s="5">
        <v>42488</v>
      </c>
      <c r="H944">
        <v>5</v>
      </c>
      <c r="I944">
        <v>47</v>
      </c>
      <c r="J944" s="1">
        <v>90065</v>
      </c>
      <c r="K944" s="1">
        <v>1080780</v>
      </c>
    </row>
    <row r="945" spans="1:11" x14ac:dyDescent="0.25">
      <c r="A945" s="3">
        <v>944</v>
      </c>
      <c r="B945" s="4" t="s">
        <v>42</v>
      </c>
      <c r="C945" s="4" t="s">
        <v>396</v>
      </c>
      <c r="D945" s="4" t="s">
        <v>826</v>
      </c>
      <c r="E945">
        <f>MONTH(Employee_Data[[#This Row],[HireDate]])</f>
        <v>9</v>
      </c>
      <c r="F945">
        <f>YEAR(Employee_Data[[#This Row],[HireDate]])</f>
        <v>2020</v>
      </c>
      <c r="G945" s="5">
        <v>44076</v>
      </c>
      <c r="H945">
        <v>2</v>
      </c>
      <c r="I945">
        <v>43</v>
      </c>
      <c r="J945" s="1">
        <v>110894</v>
      </c>
      <c r="K945" s="1">
        <v>1330728</v>
      </c>
    </row>
    <row r="946" spans="1:11" x14ac:dyDescent="0.25">
      <c r="A946" s="3">
        <v>945</v>
      </c>
      <c r="B946" s="4" t="s">
        <v>358</v>
      </c>
      <c r="C946" s="4" t="s">
        <v>807</v>
      </c>
      <c r="D946" s="4" t="s">
        <v>828</v>
      </c>
      <c r="E946">
        <f>MONTH(Employee_Data[[#This Row],[HireDate]])</f>
        <v>1</v>
      </c>
      <c r="F946">
        <f>YEAR(Employee_Data[[#This Row],[HireDate]])</f>
        <v>2024</v>
      </c>
      <c r="G946" s="5">
        <v>45308</v>
      </c>
      <c r="H946">
        <v>3</v>
      </c>
      <c r="I946">
        <v>11</v>
      </c>
      <c r="J946" s="1">
        <v>24843</v>
      </c>
      <c r="K946" s="1">
        <v>298116</v>
      </c>
    </row>
    <row r="947" spans="1:11" x14ac:dyDescent="0.25">
      <c r="A947" s="3">
        <v>946</v>
      </c>
      <c r="B947" s="4" t="s">
        <v>276</v>
      </c>
      <c r="C947" s="4" t="s">
        <v>107</v>
      </c>
      <c r="D947" s="4" t="s">
        <v>826</v>
      </c>
      <c r="E947">
        <f>MONTH(Employee_Data[[#This Row],[HireDate]])</f>
        <v>9</v>
      </c>
      <c r="F947">
        <f>YEAR(Employee_Data[[#This Row],[HireDate]])</f>
        <v>2024</v>
      </c>
      <c r="G947" s="5">
        <v>45545</v>
      </c>
      <c r="H947">
        <v>5</v>
      </c>
      <c r="I947">
        <v>43</v>
      </c>
      <c r="J947" s="1">
        <v>48143</v>
      </c>
      <c r="K947" s="1">
        <v>577716</v>
      </c>
    </row>
    <row r="948" spans="1:11" x14ac:dyDescent="0.25">
      <c r="A948" s="3">
        <v>947</v>
      </c>
      <c r="B948" s="4" t="s">
        <v>73</v>
      </c>
      <c r="C948" s="4" t="s">
        <v>382</v>
      </c>
      <c r="D948" s="4" t="s">
        <v>828</v>
      </c>
      <c r="E948">
        <f>MONTH(Employee_Data[[#This Row],[HireDate]])</f>
        <v>5</v>
      </c>
      <c r="F948">
        <f>YEAR(Employee_Data[[#This Row],[HireDate]])</f>
        <v>2021</v>
      </c>
      <c r="G948" s="5">
        <v>44330</v>
      </c>
      <c r="H948">
        <v>3</v>
      </c>
      <c r="I948">
        <v>37</v>
      </c>
      <c r="J948" s="1">
        <v>31123</v>
      </c>
      <c r="K948" s="1">
        <v>373476</v>
      </c>
    </row>
    <row r="949" spans="1:11" x14ac:dyDescent="0.25">
      <c r="A949" s="3">
        <v>948</v>
      </c>
      <c r="B949" s="4" t="s">
        <v>103</v>
      </c>
      <c r="C949" s="4" t="s">
        <v>396</v>
      </c>
      <c r="D949" s="4" t="s">
        <v>827</v>
      </c>
      <c r="E949">
        <f>MONTH(Employee_Data[[#This Row],[HireDate]])</f>
        <v>1</v>
      </c>
      <c r="F949">
        <f>YEAR(Employee_Data[[#This Row],[HireDate]])</f>
        <v>2021</v>
      </c>
      <c r="G949" s="5">
        <v>44211</v>
      </c>
      <c r="H949">
        <v>1</v>
      </c>
      <c r="I949">
        <v>37</v>
      </c>
      <c r="J949" s="1">
        <v>38200</v>
      </c>
      <c r="K949" s="1">
        <v>458400</v>
      </c>
    </row>
    <row r="950" spans="1:11" x14ac:dyDescent="0.25">
      <c r="A950" s="3">
        <v>949</v>
      </c>
      <c r="B950" s="4" t="s">
        <v>75</v>
      </c>
      <c r="C950" s="4" t="s">
        <v>808</v>
      </c>
      <c r="D950" s="4" t="s">
        <v>827</v>
      </c>
      <c r="E950">
        <f>MONTH(Employee_Data[[#This Row],[HireDate]])</f>
        <v>3</v>
      </c>
      <c r="F950">
        <f>YEAR(Employee_Data[[#This Row],[HireDate]])</f>
        <v>2020</v>
      </c>
      <c r="G950" s="5">
        <v>43912</v>
      </c>
      <c r="H950">
        <v>5</v>
      </c>
      <c r="I950">
        <v>43</v>
      </c>
      <c r="J950" s="1">
        <v>20345</v>
      </c>
      <c r="K950" s="1">
        <v>244140</v>
      </c>
    </row>
    <row r="951" spans="1:11" x14ac:dyDescent="0.25">
      <c r="A951" s="3">
        <v>950</v>
      </c>
      <c r="B951" s="4" t="s">
        <v>24</v>
      </c>
      <c r="C951" s="4" t="s">
        <v>701</v>
      </c>
      <c r="D951" s="4" t="s">
        <v>827</v>
      </c>
      <c r="E951">
        <f>MONTH(Employee_Data[[#This Row],[HireDate]])</f>
        <v>4</v>
      </c>
      <c r="F951">
        <f>YEAR(Employee_Data[[#This Row],[HireDate]])</f>
        <v>2018</v>
      </c>
      <c r="G951" s="5">
        <v>43214</v>
      </c>
      <c r="H951">
        <v>1</v>
      </c>
      <c r="I951">
        <v>26</v>
      </c>
      <c r="J951" s="1">
        <v>100862</v>
      </c>
      <c r="K951" s="1">
        <v>1210344</v>
      </c>
    </row>
    <row r="952" spans="1:11" x14ac:dyDescent="0.25">
      <c r="A952" s="3">
        <v>951</v>
      </c>
      <c r="B952" s="4" t="s">
        <v>259</v>
      </c>
      <c r="C952" s="4" t="s">
        <v>689</v>
      </c>
      <c r="D952" s="4" t="s">
        <v>830</v>
      </c>
      <c r="E952">
        <f>MONTH(Employee_Data[[#This Row],[HireDate]])</f>
        <v>1</v>
      </c>
      <c r="F952">
        <f>YEAR(Employee_Data[[#This Row],[HireDate]])</f>
        <v>2018</v>
      </c>
      <c r="G952" s="5">
        <v>43101</v>
      </c>
      <c r="H952">
        <v>4</v>
      </c>
      <c r="I952">
        <v>39</v>
      </c>
      <c r="J952" s="1">
        <v>51544</v>
      </c>
      <c r="K952" s="1">
        <v>618528</v>
      </c>
    </row>
    <row r="953" spans="1:11" x14ac:dyDescent="0.25">
      <c r="A953" s="3">
        <v>952</v>
      </c>
      <c r="B953" s="4" t="s">
        <v>128</v>
      </c>
      <c r="C953" s="4" t="s">
        <v>809</v>
      </c>
      <c r="D953" s="4" t="s">
        <v>830</v>
      </c>
      <c r="E953">
        <f>MONTH(Employee_Data[[#This Row],[HireDate]])</f>
        <v>9</v>
      </c>
      <c r="F953">
        <f>YEAR(Employee_Data[[#This Row],[HireDate]])</f>
        <v>2020</v>
      </c>
      <c r="G953" s="5">
        <v>44090</v>
      </c>
      <c r="H953">
        <v>4</v>
      </c>
      <c r="I953">
        <v>37</v>
      </c>
      <c r="J953" s="1">
        <v>104116</v>
      </c>
      <c r="K953" s="1">
        <v>1249392</v>
      </c>
    </row>
    <row r="954" spans="1:11" x14ac:dyDescent="0.25">
      <c r="A954" s="3">
        <v>953</v>
      </c>
      <c r="B954" s="4" t="s">
        <v>119</v>
      </c>
      <c r="C954" s="4" t="s">
        <v>684</v>
      </c>
      <c r="D954" s="4" t="s">
        <v>826</v>
      </c>
      <c r="E954">
        <f>MONTH(Employee_Data[[#This Row],[HireDate]])</f>
        <v>7</v>
      </c>
      <c r="F954">
        <f>YEAR(Employee_Data[[#This Row],[HireDate]])</f>
        <v>2023</v>
      </c>
      <c r="G954" s="5">
        <v>45121</v>
      </c>
      <c r="H954">
        <v>2</v>
      </c>
      <c r="I954">
        <v>26</v>
      </c>
      <c r="J954" s="1">
        <v>26919</v>
      </c>
      <c r="K954" s="1">
        <v>323028</v>
      </c>
    </row>
    <row r="955" spans="1:11" x14ac:dyDescent="0.25">
      <c r="A955" s="3">
        <v>954</v>
      </c>
      <c r="B955" s="4" t="s">
        <v>170</v>
      </c>
      <c r="C955" s="4" t="s">
        <v>469</v>
      </c>
      <c r="D955" s="4" t="s">
        <v>829</v>
      </c>
      <c r="E955">
        <f>MONTH(Employee_Data[[#This Row],[HireDate]])</f>
        <v>7</v>
      </c>
      <c r="F955">
        <f>YEAR(Employee_Data[[#This Row],[HireDate]])</f>
        <v>2018</v>
      </c>
      <c r="G955" s="5">
        <v>43308</v>
      </c>
      <c r="H955">
        <v>3</v>
      </c>
      <c r="I955">
        <v>11</v>
      </c>
      <c r="J955" s="1">
        <v>118882</v>
      </c>
      <c r="K955" s="1">
        <v>1426584</v>
      </c>
    </row>
    <row r="956" spans="1:11" x14ac:dyDescent="0.25">
      <c r="A956" s="3">
        <v>955</v>
      </c>
      <c r="B956" s="4" t="s">
        <v>197</v>
      </c>
      <c r="C956" s="4" t="s">
        <v>407</v>
      </c>
      <c r="D956" s="4" t="s">
        <v>830</v>
      </c>
      <c r="E956">
        <f>MONTH(Employee_Data[[#This Row],[HireDate]])</f>
        <v>4</v>
      </c>
      <c r="F956">
        <f>YEAR(Employee_Data[[#This Row],[HireDate]])</f>
        <v>2016</v>
      </c>
      <c r="G956" s="5">
        <v>42462</v>
      </c>
      <c r="H956">
        <v>1</v>
      </c>
      <c r="I956">
        <v>25</v>
      </c>
      <c r="J956" s="1">
        <v>55208</v>
      </c>
      <c r="K956" s="1">
        <v>662496</v>
      </c>
    </row>
    <row r="957" spans="1:11" x14ac:dyDescent="0.25">
      <c r="A957" s="3">
        <v>956</v>
      </c>
      <c r="B957" s="4" t="s">
        <v>106</v>
      </c>
      <c r="C957" s="4" t="s">
        <v>721</v>
      </c>
      <c r="D957" s="4" t="s">
        <v>827</v>
      </c>
      <c r="E957">
        <f>MONTH(Employee_Data[[#This Row],[HireDate]])</f>
        <v>5</v>
      </c>
      <c r="F957">
        <f>YEAR(Employee_Data[[#This Row],[HireDate]])</f>
        <v>2022</v>
      </c>
      <c r="G957" s="5">
        <v>44683</v>
      </c>
      <c r="H957">
        <v>1</v>
      </c>
      <c r="I957">
        <v>23</v>
      </c>
      <c r="J957" s="1">
        <v>85822</v>
      </c>
      <c r="K957" s="1">
        <v>1029864</v>
      </c>
    </row>
    <row r="958" spans="1:11" x14ac:dyDescent="0.25">
      <c r="A958" s="3">
        <v>957</v>
      </c>
      <c r="B958" s="4" t="s">
        <v>359</v>
      </c>
      <c r="C958" s="4" t="s">
        <v>810</v>
      </c>
      <c r="D958" s="4" t="s">
        <v>830</v>
      </c>
      <c r="E958">
        <f>MONTH(Employee_Data[[#This Row],[HireDate]])</f>
        <v>1</v>
      </c>
      <c r="F958">
        <f>YEAR(Employee_Data[[#This Row],[HireDate]])</f>
        <v>2020</v>
      </c>
      <c r="G958" s="5">
        <v>43846</v>
      </c>
      <c r="H958">
        <v>2</v>
      </c>
      <c r="I958">
        <v>33</v>
      </c>
      <c r="J958" s="1">
        <v>89269</v>
      </c>
      <c r="K958" s="1">
        <v>1071228</v>
      </c>
    </row>
    <row r="959" spans="1:11" x14ac:dyDescent="0.25">
      <c r="A959" s="3">
        <v>958</v>
      </c>
      <c r="B959" s="4" t="s">
        <v>166</v>
      </c>
      <c r="C959" s="4" t="s">
        <v>775</v>
      </c>
      <c r="D959" s="4" t="s">
        <v>830</v>
      </c>
      <c r="E959">
        <f>MONTH(Employee_Data[[#This Row],[HireDate]])</f>
        <v>5</v>
      </c>
      <c r="F959">
        <f>YEAR(Employee_Data[[#This Row],[HireDate]])</f>
        <v>2024</v>
      </c>
      <c r="G959" s="5">
        <v>45438</v>
      </c>
      <c r="H959">
        <v>1</v>
      </c>
      <c r="I959">
        <v>33</v>
      </c>
      <c r="J959" s="1">
        <v>84200</v>
      </c>
      <c r="K959" s="1">
        <v>1010400</v>
      </c>
    </row>
    <row r="960" spans="1:11" x14ac:dyDescent="0.25">
      <c r="A960" s="3">
        <v>959</v>
      </c>
      <c r="B960" s="4" t="s">
        <v>20</v>
      </c>
      <c r="C960" s="4" t="s">
        <v>428</v>
      </c>
      <c r="D960" s="4" t="s">
        <v>827</v>
      </c>
      <c r="E960">
        <f>MONTH(Employee_Data[[#This Row],[HireDate]])</f>
        <v>9</v>
      </c>
      <c r="F960">
        <f>YEAR(Employee_Data[[#This Row],[HireDate]])</f>
        <v>2020</v>
      </c>
      <c r="G960" s="5">
        <v>44082</v>
      </c>
      <c r="H960">
        <v>4</v>
      </c>
      <c r="I960">
        <v>24</v>
      </c>
      <c r="J960" s="1">
        <v>57584</v>
      </c>
      <c r="K960" s="1">
        <v>691008</v>
      </c>
    </row>
    <row r="961" spans="1:11" x14ac:dyDescent="0.25">
      <c r="A961" s="3">
        <v>960</v>
      </c>
      <c r="B961" s="4" t="s">
        <v>90</v>
      </c>
      <c r="C961" s="4" t="s">
        <v>492</v>
      </c>
      <c r="D961" s="4" t="s">
        <v>830</v>
      </c>
      <c r="E961">
        <f>MONTH(Employee_Data[[#This Row],[HireDate]])</f>
        <v>5</v>
      </c>
      <c r="F961">
        <f>YEAR(Employee_Data[[#This Row],[HireDate]])</f>
        <v>2020</v>
      </c>
      <c r="G961" s="5">
        <v>43957</v>
      </c>
      <c r="H961">
        <v>1</v>
      </c>
      <c r="I961">
        <v>20</v>
      </c>
      <c r="J961" s="1">
        <v>83972</v>
      </c>
      <c r="K961" s="1">
        <v>1007664</v>
      </c>
    </row>
    <row r="962" spans="1:11" x14ac:dyDescent="0.25">
      <c r="A962" s="3">
        <v>961</v>
      </c>
      <c r="B962" s="4" t="s">
        <v>360</v>
      </c>
      <c r="C962" s="4" t="s">
        <v>537</v>
      </c>
      <c r="D962" s="4" t="s">
        <v>829</v>
      </c>
      <c r="E962">
        <f>MONTH(Employee_Data[[#This Row],[HireDate]])</f>
        <v>11</v>
      </c>
      <c r="F962">
        <f>YEAR(Employee_Data[[#This Row],[HireDate]])</f>
        <v>2018</v>
      </c>
      <c r="G962" s="5">
        <v>43412</v>
      </c>
      <c r="H962">
        <v>1</v>
      </c>
      <c r="I962">
        <v>36</v>
      </c>
      <c r="J962" s="1">
        <v>74000</v>
      </c>
      <c r="K962" s="1">
        <v>888000</v>
      </c>
    </row>
    <row r="963" spans="1:11" x14ac:dyDescent="0.25">
      <c r="A963" s="3">
        <v>962</v>
      </c>
      <c r="B963" s="4" t="s">
        <v>328</v>
      </c>
      <c r="C963" s="4" t="s">
        <v>626</v>
      </c>
      <c r="D963" s="4" t="s">
        <v>828</v>
      </c>
      <c r="E963">
        <f>MONTH(Employee_Data[[#This Row],[HireDate]])</f>
        <v>9</v>
      </c>
      <c r="F963">
        <f>YEAR(Employee_Data[[#This Row],[HireDate]])</f>
        <v>2021</v>
      </c>
      <c r="G963" s="5">
        <v>44460</v>
      </c>
      <c r="H963">
        <v>5</v>
      </c>
      <c r="I963">
        <v>40</v>
      </c>
      <c r="J963" s="1">
        <v>52070</v>
      </c>
      <c r="K963" s="1">
        <v>624840</v>
      </c>
    </row>
    <row r="964" spans="1:11" x14ac:dyDescent="0.25">
      <c r="A964" s="3">
        <v>963</v>
      </c>
      <c r="B964" s="4" t="s">
        <v>156</v>
      </c>
      <c r="C964" s="4" t="s">
        <v>811</v>
      </c>
      <c r="D964" s="4" t="s">
        <v>830</v>
      </c>
      <c r="E964">
        <f>MONTH(Employee_Data[[#This Row],[HireDate]])</f>
        <v>8</v>
      </c>
      <c r="F964">
        <f>YEAR(Employee_Data[[#This Row],[HireDate]])</f>
        <v>2021</v>
      </c>
      <c r="G964" s="5">
        <v>44435</v>
      </c>
      <c r="H964">
        <v>4</v>
      </c>
      <c r="I964">
        <v>47</v>
      </c>
      <c r="J964" s="1">
        <v>95040</v>
      </c>
      <c r="K964" s="1">
        <v>1140480</v>
      </c>
    </row>
    <row r="965" spans="1:11" x14ac:dyDescent="0.25">
      <c r="A965" s="3">
        <v>964</v>
      </c>
      <c r="B965" s="4" t="s">
        <v>79</v>
      </c>
      <c r="C965" s="4" t="s">
        <v>365</v>
      </c>
      <c r="D965" s="4" t="s">
        <v>827</v>
      </c>
      <c r="E965">
        <f>MONTH(Employee_Data[[#This Row],[HireDate]])</f>
        <v>5</v>
      </c>
      <c r="F965">
        <f>YEAR(Employee_Data[[#This Row],[HireDate]])</f>
        <v>2017</v>
      </c>
      <c r="G965" s="5">
        <v>42874</v>
      </c>
      <c r="H965">
        <v>2</v>
      </c>
      <c r="I965">
        <v>38</v>
      </c>
      <c r="J965" s="1">
        <v>64117</v>
      </c>
      <c r="K965" s="1">
        <v>769404</v>
      </c>
    </row>
    <row r="966" spans="1:11" x14ac:dyDescent="0.25">
      <c r="A966" s="3">
        <v>965</v>
      </c>
      <c r="B966" s="4" t="s">
        <v>93</v>
      </c>
      <c r="C966" s="4" t="s">
        <v>812</v>
      </c>
      <c r="D966" s="4" t="s">
        <v>829</v>
      </c>
      <c r="E966">
        <f>MONTH(Employee_Data[[#This Row],[HireDate]])</f>
        <v>7</v>
      </c>
      <c r="F966">
        <f>YEAR(Employee_Data[[#This Row],[HireDate]])</f>
        <v>2023</v>
      </c>
      <c r="G966" s="5">
        <v>45113</v>
      </c>
      <c r="H966">
        <v>5</v>
      </c>
      <c r="I966">
        <v>49</v>
      </c>
      <c r="J966" s="1">
        <v>118630</v>
      </c>
      <c r="K966" s="1">
        <v>1423560</v>
      </c>
    </row>
    <row r="967" spans="1:11" x14ac:dyDescent="0.25">
      <c r="A967" s="3">
        <v>966</v>
      </c>
      <c r="B967" s="4" t="s">
        <v>231</v>
      </c>
      <c r="C967" s="4" t="s">
        <v>431</v>
      </c>
      <c r="D967" s="4" t="s">
        <v>829</v>
      </c>
      <c r="E967">
        <f>MONTH(Employee_Data[[#This Row],[HireDate]])</f>
        <v>1</v>
      </c>
      <c r="F967">
        <f>YEAR(Employee_Data[[#This Row],[HireDate]])</f>
        <v>2022</v>
      </c>
      <c r="G967" s="5">
        <v>44581</v>
      </c>
      <c r="H967">
        <v>1</v>
      </c>
      <c r="I967">
        <v>38</v>
      </c>
      <c r="J967" s="1">
        <v>71667</v>
      </c>
      <c r="K967" s="1">
        <v>860004</v>
      </c>
    </row>
    <row r="968" spans="1:11" x14ac:dyDescent="0.25">
      <c r="A968" s="3">
        <v>967</v>
      </c>
      <c r="B968" s="4" t="s">
        <v>224</v>
      </c>
      <c r="C968" s="4" t="s">
        <v>813</v>
      </c>
      <c r="D968" s="4" t="s">
        <v>828</v>
      </c>
      <c r="E968">
        <f>MONTH(Employee_Data[[#This Row],[HireDate]])</f>
        <v>5</v>
      </c>
      <c r="F968">
        <f>YEAR(Employee_Data[[#This Row],[HireDate]])</f>
        <v>2019</v>
      </c>
      <c r="G968" s="5">
        <v>43615</v>
      </c>
      <c r="H968">
        <v>4</v>
      </c>
      <c r="I968">
        <v>36</v>
      </c>
      <c r="J968" s="1">
        <v>73884</v>
      </c>
      <c r="K968" s="1">
        <v>886608</v>
      </c>
    </row>
    <row r="969" spans="1:11" x14ac:dyDescent="0.25">
      <c r="A969" s="3">
        <v>968</v>
      </c>
      <c r="B969" s="4" t="s">
        <v>361</v>
      </c>
      <c r="C969" s="4" t="s">
        <v>814</v>
      </c>
      <c r="D969" s="4" t="s">
        <v>828</v>
      </c>
      <c r="E969">
        <f>MONTH(Employee_Data[[#This Row],[HireDate]])</f>
        <v>1</v>
      </c>
      <c r="F969">
        <f>YEAR(Employee_Data[[#This Row],[HireDate]])</f>
        <v>2024</v>
      </c>
      <c r="G969" s="5">
        <v>45320</v>
      </c>
      <c r="H969">
        <v>1</v>
      </c>
      <c r="I969">
        <v>2</v>
      </c>
      <c r="J969" s="1">
        <v>88585</v>
      </c>
      <c r="K969" s="1">
        <v>1063020</v>
      </c>
    </row>
    <row r="970" spans="1:11" x14ac:dyDescent="0.25">
      <c r="A970" s="3">
        <v>969</v>
      </c>
      <c r="B970" s="4" t="s">
        <v>299</v>
      </c>
      <c r="C970" s="4" t="s">
        <v>815</v>
      </c>
      <c r="D970" s="4" t="s">
        <v>830</v>
      </c>
      <c r="E970">
        <f>MONTH(Employee_Data[[#This Row],[HireDate]])</f>
        <v>12</v>
      </c>
      <c r="F970">
        <f>YEAR(Employee_Data[[#This Row],[HireDate]])</f>
        <v>2022</v>
      </c>
      <c r="G970" s="5">
        <v>44916</v>
      </c>
      <c r="H970">
        <v>4</v>
      </c>
      <c r="I970">
        <v>6</v>
      </c>
      <c r="J970" s="1">
        <v>100892</v>
      </c>
      <c r="K970" s="1">
        <v>1210704</v>
      </c>
    </row>
    <row r="971" spans="1:11" x14ac:dyDescent="0.25">
      <c r="A971" s="3">
        <v>970</v>
      </c>
      <c r="B971" s="4" t="s">
        <v>110</v>
      </c>
      <c r="C971" s="4" t="s">
        <v>385</v>
      </c>
      <c r="D971" s="4" t="s">
        <v>829</v>
      </c>
      <c r="E971">
        <f>MONTH(Employee_Data[[#This Row],[HireDate]])</f>
        <v>12</v>
      </c>
      <c r="F971">
        <f>YEAR(Employee_Data[[#This Row],[HireDate]])</f>
        <v>2017</v>
      </c>
      <c r="G971" s="5">
        <v>43092</v>
      </c>
      <c r="H971">
        <v>2</v>
      </c>
      <c r="I971">
        <v>46</v>
      </c>
      <c r="J971" s="1">
        <v>91312</v>
      </c>
      <c r="K971" s="1">
        <v>1095744</v>
      </c>
    </row>
    <row r="972" spans="1:11" x14ac:dyDescent="0.25">
      <c r="A972" s="3">
        <v>971</v>
      </c>
      <c r="B972" s="4" t="s">
        <v>270</v>
      </c>
      <c r="C972" s="4" t="s">
        <v>576</v>
      </c>
      <c r="D972" s="4" t="s">
        <v>828</v>
      </c>
      <c r="E972">
        <f>MONTH(Employee_Data[[#This Row],[HireDate]])</f>
        <v>1</v>
      </c>
      <c r="F972">
        <f>YEAR(Employee_Data[[#This Row],[HireDate]])</f>
        <v>2016</v>
      </c>
      <c r="G972" s="5">
        <v>42379</v>
      </c>
      <c r="H972">
        <v>5</v>
      </c>
      <c r="I972">
        <v>42</v>
      </c>
      <c r="J972" s="1">
        <v>119288</v>
      </c>
      <c r="K972" s="1">
        <v>1431456</v>
      </c>
    </row>
    <row r="973" spans="1:11" x14ac:dyDescent="0.25">
      <c r="A973" s="3">
        <v>972</v>
      </c>
      <c r="B973" s="4" t="s">
        <v>18</v>
      </c>
      <c r="C973" s="4" t="s">
        <v>469</v>
      </c>
      <c r="D973" s="4" t="s">
        <v>827</v>
      </c>
      <c r="E973">
        <f>MONTH(Employee_Data[[#This Row],[HireDate]])</f>
        <v>7</v>
      </c>
      <c r="F973">
        <f>YEAR(Employee_Data[[#This Row],[HireDate]])</f>
        <v>2023</v>
      </c>
      <c r="G973" s="5">
        <v>45133</v>
      </c>
      <c r="H973">
        <v>1</v>
      </c>
      <c r="I973">
        <v>18</v>
      </c>
      <c r="J973" s="1">
        <v>102639</v>
      </c>
      <c r="K973" s="1">
        <v>1231668</v>
      </c>
    </row>
    <row r="974" spans="1:11" x14ac:dyDescent="0.25">
      <c r="A974" s="3">
        <v>973</v>
      </c>
      <c r="B974" s="4" t="s">
        <v>193</v>
      </c>
      <c r="C974" s="4" t="s">
        <v>632</v>
      </c>
      <c r="D974" s="4" t="s">
        <v>827</v>
      </c>
      <c r="E974">
        <f>MONTH(Employee_Data[[#This Row],[HireDate]])</f>
        <v>4</v>
      </c>
      <c r="F974">
        <f>YEAR(Employee_Data[[#This Row],[HireDate]])</f>
        <v>2018</v>
      </c>
      <c r="G974" s="5">
        <v>43193</v>
      </c>
      <c r="H974">
        <v>4</v>
      </c>
      <c r="I974">
        <v>24</v>
      </c>
      <c r="J974" s="1">
        <v>51750</v>
      </c>
      <c r="K974" s="1">
        <v>621000</v>
      </c>
    </row>
    <row r="975" spans="1:11" x14ac:dyDescent="0.25">
      <c r="A975" s="3">
        <v>974</v>
      </c>
      <c r="B975" s="4" t="s">
        <v>30</v>
      </c>
      <c r="C975" s="4" t="s">
        <v>816</v>
      </c>
      <c r="D975" s="4" t="s">
        <v>827</v>
      </c>
      <c r="E975">
        <f>MONTH(Employee_Data[[#This Row],[HireDate]])</f>
        <v>8</v>
      </c>
      <c r="F975">
        <f>YEAR(Employee_Data[[#This Row],[HireDate]])</f>
        <v>2018</v>
      </c>
      <c r="G975" s="5">
        <v>43329</v>
      </c>
      <c r="H975">
        <v>4</v>
      </c>
      <c r="I975">
        <v>5</v>
      </c>
      <c r="J975" s="1">
        <v>66764</v>
      </c>
      <c r="K975" s="1">
        <v>801168</v>
      </c>
    </row>
    <row r="976" spans="1:11" x14ac:dyDescent="0.25">
      <c r="A976" s="3">
        <v>975</v>
      </c>
      <c r="B976" s="4" t="s">
        <v>63</v>
      </c>
      <c r="C976" s="4" t="s">
        <v>497</v>
      </c>
      <c r="D976" s="4" t="s">
        <v>827</v>
      </c>
      <c r="E976">
        <f>MONTH(Employee_Data[[#This Row],[HireDate]])</f>
        <v>8</v>
      </c>
      <c r="F976">
        <f>YEAR(Employee_Data[[#This Row],[HireDate]])</f>
        <v>2023</v>
      </c>
      <c r="G976" s="5">
        <v>45169</v>
      </c>
      <c r="H976">
        <v>5</v>
      </c>
      <c r="I976">
        <v>6</v>
      </c>
      <c r="J976" s="1">
        <v>53011</v>
      </c>
      <c r="K976" s="1">
        <v>636132</v>
      </c>
    </row>
    <row r="977" spans="1:11" x14ac:dyDescent="0.25">
      <c r="A977" s="3">
        <v>976</v>
      </c>
      <c r="B977" s="4" t="s">
        <v>12</v>
      </c>
      <c r="C977" s="4" t="s">
        <v>508</v>
      </c>
      <c r="D977" s="4" t="s">
        <v>829</v>
      </c>
      <c r="E977">
        <f>MONTH(Employee_Data[[#This Row],[HireDate]])</f>
        <v>1</v>
      </c>
      <c r="F977">
        <f>YEAR(Employee_Data[[#This Row],[HireDate]])</f>
        <v>2018</v>
      </c>
      <c r="G977" s="5">
        <v>43117</v>
      </c>
      <c r="H977">
        <v>3</v>
      </c>
      <c r="I977">
        <v>12</v>
      </c>
      <c r="J977" s="1">
        <v>106368</v>
      </c>
      <c r="K977" s="1">
        <v>1276416</v>
      </c>
    </row>
    <row r="978" spans="1:11" x14ac:dyDescent="0.25">
      <c r="A978" s="3">
        <v>977</v>
      </c>
      <c r="B978" s="4" t="s">
        <v>75</v>
      </c>
      <c r="C978" s="4" t="s">
        <v>722</v>
      </c>
      <c r="D978" s="4" t="s">
        <v>828</v>
      </c>
      <c r="E978">
        <f>MONTH(Employee_Data[[#This Row],[HireDate]])</f>
        <v>10</v>
      </c>
      <c r="F978">
        <f>YEAR(Employee_Data[[#This Row],[HireDate]])</f>
        <v>2019</v>
      </c>
      <c r="G978" s="5">
        <v>43751</v>
      </c>
      <c r="H978">
        <v>5</v>
      </c>
      <c r="I978">
        <v>2</v>
      </c>
      <c r="J978" s="1">
        <v>29927</v>
      </c>
      <c r="K978" s="1">
        <v>359124</v>
      </c>
    </row>
    <row r="979" spans="1:11" x14ac:dyDescent="0.25">
      <c r="A979" s="3">
        <v>978</v>
      </c>
      <c r="B979" s="4" t="s">
        <v>362</v>
      </c>
      <c r="C979" s="4" t="s">
        <v>817</v>
      </c>
      <c r="D979" s="4" t="s">
        <v>830</v>
      </c>
      <c r="E979">
        <f>MONTH(Employee_Data[[#This Row],[HireDate]])</f>
        <v>12</v>
      </c>
      <c r="F979">
        <f>YEAR(Employee_Data[[#This Row],[HireDate]])</f>
        <v>2020</v>
      </c>
      <c r="G979" s="5">
        <v>44192</v>
      </c>
      <c r="H979">
        <v>2</v>
      </c>
      <c r="I979">
        <v>7</v>
      </c>
      <c r="J979" s="1">
        <v>87312</v>
      </c>
      <c r="K979" s="1">
        <v>1047744</v>
      </c>
    </row>
    <row r="980" spans="1:11" x14ac:dyDescent="0.25">
      <c r="A980" s="3">
        <v>979</v>
      </c>
      <c r="B980" s="4" t="s">
        <v>90</v>
      </c>
      <c r="C980" s="4" t="s">
        <v>531</v>
      </c>
      <c r="D980" s="4" t="s">
        <v>829</v>
      </c>
      <c r="E980">
        <f>MONTH(Employee_Data[[#This Row],[HireDate]])</f>
        <v>2</v>
      </c>
      <c r="F980">
        <f>YEAR(Employee_Data[[#This Row],[HireDate]])</f>
        <v>2018</v>
      </c>
      <c r="G980" s="5">
        <v>43159</v>
      </c>
      <c r="H980">
        <v>2</v>
      </c>
      <c r="I980">
        <v>12</v>
      </c>
      <c r="J980" s="1">
        <v>79782</v>
      </c>
      <c r="K980" s="1">
        <v>957384</v>
      </c>
    </row>
    <row r="981" spans="1:11" x14ac:dyDescent="0.25">
      <c r="A981" s="3">
        <v>980</v>
      </c>
      <c r="B981" s="4" t="s">
        <v>363</v>
      </c>
      <c r="C981" s="4" t="s">
        <v>575</v>
      </c>
      <c r="D981" s="4" t="s">
        <v>828</v>
      </c>
      <c r="E981">
        <f>MONTH(Employee_Data[[#This Row],[HireDate]])</f>
        <v>9</v>
      </c>
      <c r="F981">
        <f>YEAR(Employee_Data[[#This Row],[HireDate]])</f>
        <v>2017</v>
      </c>
      <c r="G981" s="5">
        <v>43005</v>
      </c>
      <c r="H981">
        <v>2</v>
      </c>
      <c r="I981">
        <v>24</v>
      </c>
      <c r="J981" s="1">
        <v>101460</v>
      </c>
      <c r="K981" s="1">
        <v>1217520</v>
      </c>
    </row>
    <row r="982" spans="1:11" x14ac:dyDescent="0.25">
      <c r="A982" s="3">
        <v>981</v>
      </c>
      <c r="B982" s="4" t="s">
        <v>87</v>
      </c>
      <c r="C982" s="4" t="s">
        <v>818</v>
      </c>
      <c r="D982" s="4" t="s">
        <v>828</v>
      </c>
      <c r="E982">
        <f>MONTH(Employee_Data[[#This Row],[HireDate]])</f>
        <v>1</v>
      </c>
      <c r="F982">
        <f>YEAR(Employee_Data[[#This Row],[HireDate]])</f>
        <v>2022</v>
      </c>
      <c r="G982" s="5">
        <v>44571</v>
      </c>
      <c r="H982">
        <v>1</v>
      </c>
      <c r="I982">
        <v>49</v>
      </c>
      <c r="J982" s="1">
        <v>78410</v>
      </c>
      <c r="K982" s="1">
        <v>940920</v>
      </c>
    </row>
    <row r="983" spans="1:11" x14ac:dyDescent="0.25">
      <c r="A983" s="3">
        <v>982</v>
      </c>
      <c r="B983" s="4" t="s">
        <v>158</v>
      </c>
      <c r="C983" s="4" t="s">
        <v>600</v>
      </c>
      <c r="D983" s="4" t="s">
        <v>830</v>
      </c>
      <c r="E983">
        <f>MONTH(Employee_Data[[#This Row],[HireDate]])</f>
        <v>9</v>
      </c>
      <c r="F983">
        <f>YEAR(Employee_Data[[#This Row],[HireDate]])</f>
        <v>2023</v>
      </c>
      <c r="G983" s="5">
        <v>45197</v>
      </c>
      <c r="H983">
        <v>2</v>
      </c>
      <c r="I983">
        <v>33</v>
      </c>
      <c r="J983" s="1">
        <v>71263</v>
      </c>
      <c r="K983" s="1">
        <v>855156</v>
      </c>
    </row>
    <row r="984" spans="1:11" x14ac:dyDescent="0.25">
      <c r="A984" s="3">
        <v>983</v>
      </c>
      <c r="B984" s="4" t="s">
        <v>210</v>
      </c>
      <c r="C984" s="4" t="s">
        <v>399</v>
      </c>
      <c r="D984" s="4" t="s">
        <v>828</v>
      </c>
      <c r="E984">
        <f>MONTH(Employee_Data[[#This Row],[HireDate]])</f>
        <v>4</v>
      </c>
      <c r="F984">
        <f>YEAR(Employee_Data[[#This Row],[HireDate]])</f>
        <v>2018</v>
      </c>
      <c r="G984" s="5">
        <v>43218</v>
      </c>
      <c r="H984">
        <v>2</v>
      </c>
      <c r="I984">
        <v>38</v>
      </c>
      <c r="J984" s="1">
        <v>53672</v>
      </c>
      <c r="K984" s="1">
        <v>644064</v>
      </c>
    </row>
    <row r="985" spans="1:11" x14ac:dyDescent="0.25">
      <c r="A985" s="3">
        <v>984</v>
      </c>
      <c r="B985" s="4" t="s">
        <v>310</v>
      </c>
      <c r="C985" s="4" t="s">
        <v>819</v>
      </c>
      <c r="D985" s="4" t="s">
        <v>830</v>
      </c>
      <c r="E985">
        <f>MONTH(Employee_Data[[#This Row],[HireDate]])</f>
        <v>8</v>
      </c>
      <c r="F985">
        <f>YEAR(Employee_Data[[#This Row],[HireDate]])</f>
        <v>2017</v>
      </c>
      <c r="G985" s="5">
        <v>42968</v>
      </c>
      <c r="H985">
        <v>4</v>
      </c>
      <c r="I985">
        <v>36</v>
      </c>
      <c r="J985" s="1">
        <v>95651</v>
      </c>
      <c r="K985" s="1">
        <v>1147812</v>
      </c>
    </row>
    <row r="986" spans="1:11" x14ac:dyDescent="0.25">
      <c r="A986" s="3">
        <v>985</v>
      </c>
      <c r="B986" s="4" t="s">
        <v>39</v>
      </c>
      <c r="C986" s="4" t="s">
        <v>402</v>
      </c>
      <c r="D986" s="4" t="s">
        <v>830</v>
      </c>
      <c r="E986">
        <f>MONTH(Employee_Data[[#This Row],[HireDate]])</f>
        <v>3</v>
      </c>
      <c r="F986">
        <f>YEAR(Employee_Data[[#This Row],[HireDate]])</f>
        <v>2019</v>
      </c>
      <c r="G986" s="5">
        <v>43545</v>
      </c>
      <c r="H986">
        <v>5</v>
      </c>
      <c r="I986">
        <v>1</v>
      </c>
      <c r="J986" s="1">
        <v>65539</v>
      </c>
      <c r="K986" s="1">
        <v>786468</v>
      </c>
    </row>
    <row r="987" spans="1:11" x14ac:dyDescent="0.25">
      <c r="A987" s="3">
        <v>986</v>
      </c>
      <c r="B987" s="4" t="s">
        <v>91</v>
      </c>
      <c r="C987" s="4" t="s">
        <v>820</v>
      </c>
      <c r="D987" s="4" t="s">
        <v>826</v>
      </c>
      <c r="E987">
        <f>MONTH(Employee_Data[[#This Row],[HireDate]])</f>
        <v>5</v>
      </c>
      <c r="F987">
        <f>YEAR(Employee_Data[[#This Row],[HireDate]])</f>
        <v>2021</v>
      </c>
      <c r="G987" s="5">
        <v>44320</v>
      </c>
      <c r="H987">
        <v>5</v>
      </c>
      <c r="I987">
        <v>7</v>
      </c>
      <c r="J987" s="1">
        <v>76619</v>
      </c>
      <c r="K987" s="1">
        <v>919428</v>
      </c>
    </row>
    <row r="988" spans="1:11" x14ac:dyDescent="0.25">
      <c r="A988" s="3">
        <v>987</v>
      </c>
      <c r="B988" s="4" t="s">
        <v>91</v>
      </c>
      <c r="C988" s="4" t="s">
        <v>821</v>
      </c>
      <c r="D988" s="4" t="s">
        <v>828</v>
      </c>
      <c r="E988">
        <f>MONTH(Employee_Data[[#This Row],[HireDate]])</f>
        <v>4</v>
      </c>
      <c r="F988">
        <f>YEAR(Employee_Data[[#This Row],[HireDate]])</f>
        <v>2024</v>
      </c>
      <c r="G988" s="5">
        <v>45386</v>
      </c>
      <c r="H988">
        <v>2</v>
      </c>
      <c r="I988">
        <v>8</v>
      </c>
      <c r="J988" s="1">
        <v>44193</v>
      </c>
      <c r="K988" s="1">
        <v>530316</v>
      </c>
    </row>
    <row r="989" spans="1:11" x14ac:dyDescent="0.25">
      <c r="A989" s="3">
        <v>988</v>
      </c>
      <c r="B989" s="4" t="s">
        <v>128</v>
      </c>
      <c r="C989" s="4" t="s">
        <v>675</v>
      </c>
      <c r="D989" s="4" t="s">
        <v>828</v>
      </c>
      <c r="E989">
        <f>MONTH(Employee_Data[[#This Row],[HireDate]])</f>
        <v>5</v>
      </c>
      <c r="F989">
        <f>YEAR(Employee_Data[[#This Row],[HireDate]])</f>
        <v>2022</v>
      </c>
      <c r="G989" s="5">
        <v>44689</v>
      </c>
      <c r="H989">
        <v>1</v>
      </c>
      <c r="I989">
        <v>46</v>
      </c>
      <c r="J989" s="1">
        <v>89452</v>
      </c>
      <c r="K989" s="1">
        <v>1073424</v>
      </c>
    </row>
    <row r="990" spans="1:11" x14ac:dyDescent="0.25">
      <c r="A990" s="3">
        <v>989</v>
      </c>
      <c r="B990" s="4" t="s">
        <v>219</v>
      </c>
      <c r="C990" s="4" t="s">
        <v>537</v>
      </c>
      <c r="D990" s="4" t="s">
        <v>827</v>
      </c>
      <c r="E990">
        <f>MONTH(Employee_Data[[#This Row],[HireDate]])</f>
        <v>1</v>
      </c>
      <c r="F990">
        <f>YEAR(Employee_Data[[#This Row],[HireDate]])</f>
        <v>2020</v>
      </c>
      <c r="G990" s="5">
        <v>43832</v>
      </c>
      <c r="H990">
        <v>3</v>
      </c>
      <c r="I990">
        <v>1</v>
      </c>
      <c r="J990" s="1">
        <v>117439</v>
      </c>
      <c r="K990" s="1">
        <v>1409268</v>
      </c>
    </row>
    <row r="991" spans="1:11" x14ac:dyDescent="0.25">
      <c r="A991" s="3">
        <v>990</v>
      </c>
      <c r="B991" s="4" t="s">
        <v>364</v>
      </c>
      <c r="C991" s="4" t="s">
        <v>402</v>
      </c>
      <c r="D991" s="4" t="s">
        <v>830</v>
      </c>
      <c r="E991">
        <f>MONTH(Employee_Data[[#This Row],[HireDate]])</f>
        <v>8</v>
      </c>
      <c r="F991">
        <f>YEAR(Employee_Data[[#This Row],[HireDate]])</f>
        <v>2019</v>
      </c>
      <c r="G991" s="5">
        <v>43683</v>
      </c>
      <c r="H991">
        <v>4</v>
      </c>
      <c r="I991">
        <v>44</v>
      </c>
      <c r="J991" s="1">
        <v>55636</v>
      </c>
      <c r="K991" s="1">
        <v>667632</v>
      </c>
    </row>
    <row r="992" spans="1:11" x14ac:dyDescent="0.25">
      <c r="A992" s="3">
        <v>991</v>
      </c>
      <c r="B992" s="4" t="s">
        <v>110</v>
      </c>
      <c r="C992" s="4" t="s">
        <v>537</v>
      </c>
      <c r="D992" s="4" t="s">
        <v>828</v>
      </c>
      <c r="E992">
        <f>MONTH(Employee_Data[[#This Row],[HireDate]])</f>
        <v>9</v>
      </c>
      <c r="F992">
        <f>YEAR(Employee_Data[[#This Row],[HireDate]])</f>
        <v>2024</v>
      </c>
      <c r="G992" s="5">
        <v>45547</v>
      </c>
      <c r="H992">
        <v>3</v>
      </c>
      <c r="I992">
        <v>3</v>
      </c>
      <c r="J992" s="1">
        <v>87587</v>
      </c>
      <c r="K992" s="1">
        <v>1051044</v>
      </c>
    </row>
    <row r="993" spans="1:11" x14ac:dyDescent="0.25">
      <c r="A993" s="3">
        <v>992</v>
      </c>
      <c r="B993" s="4" t="s">
        <v>49</v>
      </c>
      <c r="C993" s="4" t="s">
        <v>822</v>
      </c>
      <c r="D993" s="4" t="s">
        <v>829</v>
      </c>
      <c r="E993">
        <f>MONTH(Employee_Data[[#This Row],[HireDate]])</f>
        <v>2</v>
      </c>
      <c r="F993">
        <f>YEAR(Employee_Data[[#This Row],[HireDate]])</f>
        <v>2020</v>
      </c>
      <c r="G993" s="5">
        <v>43883</v>
      </c>
      <c r="H993">
        <v>5</v>
      </c>
      <c r="I993">
        <v>32</v>
      </c>
      <c r="J993" s="1">
        <v>116292</v>
      </c>
      <c r="K993" s="1">
        <v>1395504</v>
      </c>
    </row>
    <row r="994" spans="1:11" x14ac:dyDescent="0.25">
      <c r="A994" s="3">
        <v>993</v>
      </c>
      <c r="B994" s="4" t="s">
        <v>210</v>
      </c>
      <c r="C994" s="4" t="s">
        <v>447</v>
      </c>
      <c r="D994" s="4" t="s">
        <v>830</v>
      </c>
      <c r="E994">
        <f>MONTH(Employee_Data[[#This Row],[HireDate]])</f>
        <v>6</v>
      </c>
      <c r="F994">
        <f>YEAR(Employee_Data[[#This Row],[HireDate]])</f>
        <v>2019</v>
      </c>
      <c r="G994" s="5">
        <v>43633</v>
      </c>
      <c r="H994">
        <v>3</v>
      </c>
      <c r="I994">
        <v>9</v>
      </c>
      <c r="J994" s="1">
        <v>64114</v>
      </c>
      <c r="K994" s="1">
        <v>769368</v>
      </c>
    </row>
    <row r="995" spans="1:11" x14ac:dyDescent="0.25">
      <c r="A995" s="3">
        <v>994</v>
      </c>
      <c r="B995" s="4" t="s">
        <v>18</v>
      </c>
      <c r="C995" s="4" t="s">
        <v>660</v>
      </c>
      <c r="D995" s="4" t="s">
        <v>829</v>
      </c>
      <c r="E995">
        <f>MONTH(Employee_Data[[#This Row],[HireDate]])</f>
        <v>7</v>
      </c>
      <c r="F995">
        <f>YEAR(Employee_Data[[#This Row],[HireDate]])</f>
        <v>2022</v>
      </c>
      <c r="G995" s="5">
        <v>44746</v>
      </c>
      <c r="H995">
        <v>3</v>
      </c>
      <c r="I995">
        <v>31</v>
      </c>
      <c r="J995" s="1">
        <v>86551</v>
      </c>
      <c r="K995" s="1">
        <v>1038612</v>
      </c>
    </row>
    <row r="996" spans="1:11" x14ac:dyDescent="0.25">
      <c r="A996" s="3">
        <v>995</v>
      </c>
      <c r="B996" s="4" t="s">
        <v>360</v>
      </c>
      <c r="C996" s="4" t="s">
        <v>233</v>
      </c>
      <c r="D996" s="4" t="s">
        <v>826</v>
      </c>
      <c r="E996">
        <f>MONTH(Employee_Data[[#This Row],[HireDate]])</f>
        <v>3</v>
      </c>
      <c r="F996">
        <f>YEAR(Employee_Data[[#This Row],[HireDate]])</f>
        <v>2018</v>
      </c>
      <c r="G996" s="5">
        <v>43173</v>
      </c>
      <c r="H996">
        <v>1</v>
      </c>
      <c r="I996">
        <v>40</v>
      </c>
      <c r="J996" s="1">
        <v>99135</v>
      </c>
      <c r="K996" s="1">
        <v>1189620</v>
      </c>
    </row>
    <row r="997" spans="1:11" x14ac:dyDescent="0.25">
      <c r="A997" s="3">
        <v>996</v>
      </c>
      <c r="B997" s="4" t="s">
        <v>32</v>
      </c>
      <c r="C997" s="4" t="s">
        <v>823</v>
      </c>
      <c r="D997" s="4" t="s">
        <v>829</v>
      </c>
      <c r="E997">
        <f>MONTH(Employee_Data[[#This Row],[HireDate]])</f>
        <v>8</v>
      </c>
      <c r="F997">
        <f>YEAR(Employee_Data[[#This Row],[HireDate]])</f>
        <v>2021</v>
      </c>
      <c r="G997" s="5">
        <v>44412</v>
      </c>
      <c r="H997">
        <v>4</v>
      </c>
      <c r="I997">
        <v>13</v>
      </c>
      <c r="J997" s="1">
        <v>54284</v>
      </c>
      <c r="K997" s="1">
        <v>651408</v>
      </c>
    </row>
    <row r="998" spans="1:11" x14ac:dyDescent="0.25">
      <c r="A998" s="3">
        <v>997</v>
      </c>
      <c r="B998" s="4" t="s">
        <v>200</v>
      </c>
      <c r="C998" s="4" t="s">
        <v>777</v>
      </c>
      <c r="D998" s="4" t="s">
        <v>829</v>
      </c>
      <c r="E998">
        <f>MONTH(Employee_Data[[#This Row],[HireDate]])</f>
        <v>9</v>
      </c>
      <c r="F998">
        <f>YEAR(Employee_Data[[#This Row],[HireDate]])</f>
        <v>2021</v>
      </c>
      <c r="G998" s="5">
        <v>44463</v>
      </c>
      <c r="H998">
        <v>1</v>
      </c>
      <c r="I998">
        <v>35</v>
      </c>
      <c r="J998" s="1">
        <v>91215</v>
      </c>
      <c r="K998" s="1">
        <v>1094580</v>
      </c>
    </row>
    <row r="999" spans="1:11" x14ac:dyDescent="0.25">
      <c r="A999" s="3">
        <v>998</v>
      </c>
      <c r="B999" s="4" t="s">
        <v>290</v>
      </c>
      <c r="C999" s="4" t="s">
        <v>409</v>
      </c>
      <c r="D999" s="4" t="s">
        <v>830</v>
      </c>
      <c r="E999">
        <f>MONTH(Employee_Data[[#This Row],[HireDate]])</f>
        <v>2</v>
      </c>
      <c r="F999">
        <f>YEAR(Employee_Data[[#This Row],[HireDate]])</f>
        <v>2016</v>
      </c>
      <c r="G999" s="5">
        <v>42404</v>
      </c>
      <c r="H999">
        <v>4</v>
      </c>
      <c r="I999">
        <v>8</v>
      </c>
      <c r="J999" s="1">
        <v>61112</v>
      </c>
      <c r="K999" s="1">
        <v>733344</v>
      </c>
    </row>
    <row r="1000" spans="1:11" x14ac:dyDescent="0.25">
      <c r="A1000" s="3">
        <v>999</v>
      </c>
      <c r="B1000" s="4" t="s">
        <v>108</v>
      </c>
      <c r="C1000" s="4" t="s">
        <v>824</v>
      </c>
      <c r="D1000" s="4" t="s">
        <v>827</v>
      </c>
      <c r="E1000">
        <f>MONTH(Employee_Data[[#This Row],[HireDate]])</f>
        <v>5</v>
      </c>
      <c r="F1000">
        <f>YEAR(Employee_Data[[#This Row],[HireDate]])</f>
        <v>2018</v>
      </c>
      <c r="G1000" s="5">
        <v>43225</v>
      </c>
      <c r="H1000">
        <v>5</v>
      </c>
      <c r="I1000">
        <v>23</v>
      </c>
      <c r="J1000" s="1">
        <v>93390</v>
      </c>
      <c r="K1000" s="1">
        <v>1120680</v>
      </c>
    </row>
    <row r="1001" spans="1:11" x14ac:dyDescent="0.25">
      <c r="A1001" s="3">
        <v>1000</v>
      </c>
      <c r="B1001" s="4" t="s">
        <v>177</v>
      </c>
      <c r="C1001" s="4" t="s">
        <v>825</v>
      </c>
      <c r="D1001" s="4" t="s">
        <v>829</v>
      </c>
      <c r="E1001">
        <f>MONTH(Employee_Data[[#This Row],[HireDate]])</f>
        <v>5</v>
      </c>
      <c r="F1001">
        <f>YEAR(Employee_Data[[#This Row],[HireDate]])</f>
        <v>2024</v>
      </c>
      <c r="G1001" s="5">
        <v>45413</v>
      </c>
      <c r="H1001">
        <v>5</v>
      </c>
      <c r="I1001">
        <v>46</v>
      </c>
      <c r="J1001" s="1">
        <v>74738</v>
      </c>
      <c r="K1001" s="1">
        <v>896856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FA31-D8DD-4ED7-B6CC-B6C85CB14A90}">
  <sheetPr codeName="Sheet2"/>
  <dimension ref="A1:Y42"/>
  <sheetViews>
    <sheetView topLeftCell="A4" zoomScale="70" zoomScaleNormal="70" workbookViewId="0">
      <selection activeCell="A20" sqref="A20"/>
    </sheetView>
  </sheetViews>
  <sheetFormatPr defaultRowHeight="15" x14ac:dyDescent="0.25"/>
  <cols>
    <col min="1" max="1" width="32.140625" bestFit="1" customWidth="1"/>
    <col min="2" max="2" width="34.42578125" bestFit="1" customWidth="1"/>
    <col min="4" max="4" width="14.7109375" bestFit="1" customWidth="1"/>
    <col min="5" max="5" width="19" bestFit="1" customWidth="1"/>
    <col min="7" max="7" width="14" style="11" bestFit="1" customWidth="1"/>
    <col min="8" max="8" width="22.28515625" bestFit="1" customWidth="1"/>
    <col min="10" max="10" width="14" bestFit="1" customWidth="1"/>
    <col min="11" max="11" width="26" bestFit="1" customWidth="1"/>
  </cols>
  <sheetData>
    <row r="1" spans="1:25" ht="15" customHeight="1" x14ac:dyDescent="0.25">
      <c r="A1" s="31" t="s">
        <v>843</v>
      </c>
      <c r="B1" s="31"/>
      <c r="C1" s="31"/>
      <c r="D1" s="31"/>
      <c r="E1" s="31"/>
      <c r="F1" s="32"/>
      <c r="G1" s="37" t="s">
        <v>845</v>
      </c>
      <c r="H1" s="38"/>
      <c r="I1" s="38"/>
      <c r="J1" s="38"/>
      <c r="K1" s="38"/>
      <c r="L1" s="38"/>
      <c r="M1" s="38"/>
      <c r="N1" s="38"/>
      <c r="O1" s="38"/>
      <c r="P1" s="38"/>
      <c r="Q1" s="38"/>
      <c r="R1" s="38"/>
      <c r="S1" s="38"/>
      <c r="T1" s="38"/>
      <c r="U1" s="38"/>
      <c r="V1" s="38"/>
      <c r="W1" s="38"/>
      <c r="X1" s="38"/>
      <c r="Y1" s="38"/>
    </row>
    <row r="2" spans="1:25" ht="15" customHeight="1" x14ac:dyDescent="0.25">
      <c r="A2" s="33"/>
      <c r="B2" s="33"/>
      <c r="C2" s="33"/>
      <c r="D2" s="33"/>
      <c r="E2" s="33"/>
      <c r="F2" s="34"/>
      <c r="G2" s="39"/>
      <c r="H2" s="40"/>
      <c r="I2" s="40"/>
      <c r="J2" s="40"/>
      <c r="K2" s="40"/>
      <c r="L2" s="40"/>
      <c r="M2" s="40"/>
      <c r="N2" s="40"/>
      <c r="O2" s="40"/>
      <c r="P2" s="40"/>
      <c r="Q2" s="40"/>
      <c r="R2" s="40"/>
      <c r="S2" s="40"/>
      <c r="T2" s="40"/>
      <c r="U2" s="40"/>
      <c r="V2" s="40"/>
      <c r="W2" s="40"/>
      <c r="X2" s="40"/>
      <c r="Y2" s="40"/>
    </row>
    <row r="4" spans="1:25" x14ac:dyDescent="0.25">
      <c r="A4" s="41" t="s">
        <v>834</v>
      </c>
      <c r="B4" s="41"/>
      <c r="D4" s="35" t="s">
        <v>836</v>
      </c>
      <c r="E4" s="35"/>
    </row>
    <row r="5" spans="1:25" x14ac:dyDescent="0.25">
      <c r="A5" s="9" t="s">
        <v>832</v>
      </c>
      <c r="B5" t="s">
        <v>835</v>
      </c>
      <c r="D5" s="9" t="s">
        <v>3</v>
      </c>
      <c r="E5" t="s">
        <v>835</v>
      </c>
    </row>
    <row r="6" spans="1:25" x14ac:dyDescent="0.25">
      <c r="A6" s="10">
        <v>2016</v>
      </c>
      <c r="B6">
        <v>101</v>
      </c>
      <c r="D6" s="10" t="s">
        <v>830</v>
      </c>
      <c r="E6">
        <v>215</v>
      </c>
    </row>
    <row r="7" spans="1:25" x14ac:dyDescent="0.25">
      <c r="A7" s="10">
        <v>2017</v>
      </c>
      <c r="B7">
        <v>109</v>
      </c>
      <c r="D7" s="10" t="s">
        <v>829</v>
      </c>
      <c r="E7">
        <v>213</v>
      </c>
    </row>
    <row r="8" spans="1:25" x14ac:dyDescent="0.25">
      <c r="A8" s="10">
        <v>2018</v>
      </c>
      <c r="B8">
        <v>120</v>
      </c>
      <c r="D8" s="10" t="s">
        <v>826</v>
      </c>
      <c r="E8">
        <v>201</v>
      </c>
    </row>
    <row r="9" spans="1:25" x14ac:dyDescent="0.25">
      <c r="A9" s="10">
        <v>2019</v>
      </c>
      <c r="B9">
        <v>106</v>
      </c>
      <c r="D9" s="10" t="s">
        <v>828</v>
      </c>
      <c r="E9">
        <v>186</v>
      </c>
    </row>
    <row r="10" spans="1:25" x14ac:dyDescent="0.25">
      <c r="A10" s="10">
        <v>2020</v>
      </c>
      <c r="B10">
        <v>109</v>
      </c>
      <c r="D10" s="10" t="s">
        <v>827</v>
      </c>
      <c r="E10">
        <v>185</v>
      </c>
    </row>
    <row r="11" spans="1:25" x14ac:dyDescent="0.25">
      <c r="A11" s="10">
        <v>2021</v>
      </c>
      <c r="B11">
        <v>129</v>
      </c>
      <c r="D11" s="16" t="s">
        <v>831</v>
      </c>
      <c r="E11" s="17">
        <v>1000</v>
      </c>
      <c r="H11" s="1"/>
    </row>
    <row r="12" spans="1:25" x14ac:dyDescent="0.25">
      <c r="A12" s="10">
        <v>2022</v>
      </c>
      <c r="B12">
        <v>108</v>
      </c>
    </row>
    <row r="13" spans="1:25" x14ac:dyDescent="0.25">
      <c r="A13" s="10">
        <v>2023</v>
      </c>
      <c r="B13">
        <v>112</v>
      </c>
      <c r="D13" s="35" t="s">
        <v>838</v>
      </c>
      <c r="E13" s="35"/>
    </row>
    <row r="14" spans="1:25" x14ac:dyDescent="0.25">
      <c r="A14" s="10">
        <v>2024</v>
      </c>
      <c r="B14">
        <v>96</v>
      </c>
      <c r="D14" s="12" t="s">
        <v>3</v>
      </c>
      <c r="E14" t="s">
        <v>837</v>
      </c>
    </row>
    <row r="15" spans="1:25" x14ac:dyDescent="0.25">
      <c r="A15" s="10" t="s">
        <v>831</v>
      </c>
      <c r="B15">
        <v>990</v>
      </c>
      <c r="D15" s="13" t="s">
        <v>830</v>
      </c>
      <c r="E15" s="1">
        <v>72091.572093023249</v>
      </c>
    </row>
    <row r="16" spans="1:25" x14ac:dyDescent="0.25">
      <c r="D16" s="13" t="s">
        <v>829</v>
      </c>
      <c r="E16" s="1">
        <v>75066.018779342718</v>
      </c>
    </row>
    <row r="17" spans="1:14" x14ac:dyDescent="0.25">
      <c r="D17" s="13" t="s">
        <v>826</v>
      </c>
      <c r="E17" s="1">
        <v>68618.900497512441</v>
      </c>
    </row>
    <row r="18" spans="1:14" x14ac:dyDescent="0.25">
      <c r="A18" s="20" t="s">
        <v>842</v>
      </c>
      <c r="B18" s="20"/>
      <c r="D18" s="13" t="s">
        <v>828</v>
      </c>
      <c r="E18" s="1">
        <v>69628.758064516136</v>
      </c>
    </row>
    <row r="19" spans="1:14" x14ac:dyDescent="0.25">
      <c r="A19" s="9" t="s">
        <v>832</v>
      </c>
      <c r="B19" t="s">
        <v>839</v>
      </c>
      <c r="D19" s="13" t="s">
        <v>827</v>
      </c>
      <c r="E19" s="1">
        <v>67473.978378378379</v>
      </c>
    </row>
    <row r="20" spans="1:14" x14ac:dyDescent="0.25">
      <c r="A20" s="10">
        <v>2016</v>
      </c>
      <c r="B20" s="2">
        <v>3.0594059405940595</v>
      </c>
      <c r="D20" s="14" t="s">
        <v>841</v>
      </c>
      <c r="E20" s="15">
        <f>AVERAGE(E15:E19)</f>
        <v>70575.845562554576</v>
      </c>
    </row>
    <row r="21" spans="1:14" x14ac:dyDescent="0.25">
      <c r="A21" s="10">
        <v>2017</v>
      </c>
      <c r="B21" s="2">
        <v>3.0183486238532109</v>
      </c>
    </row>
    <row r="22" spans="1:14" x14ac:dyDescent="0.25">
      <c r="A22" s="10">
        <v>2018</v>
      </c>
      <c r="B22" s="2">
        <v>3.125</v>
      </c>
      <c r="D22" s="23" t="s">
        <v>840</v>
      </c>
      <c r="E22" s="23"/>
    </row>
    <row r="23" spans="1:14" x14ac:dyDescent="0.25">
      <c r="A23" s="10">
        <v>2019</v>
      </c>
      <c r="B23" s="2">
        <v>3.0849056603773586</v>
      </c>
      <c r="D23" s="9" t="s">
        <v>3</v>
      </c>
      <c r="E23" t="s">
        <v>839</v>
      </c>
    </row>
    <row r="24" spans="1:14" x14ac:dyDescent="0.25">
      <c r="A24" s="10">
        <v>2020</v>
      </c>
      <c r="B24" s="2">
        <v>2.9541284403669725</v>
      </c>
      <c r="D24" s="10" t="s">
        <v>830</v>
      </c>
      <c r="E24" s="2">
        <v>3.172093023255814</v>
      </c>
    </row>
    <row r="25" spans="1:14" x14ac:dyDescent="0.25">
      <c r="A25" s="10">
        <v>2021</v>
      </c>
      <c r="B25" s="2">
        <v>3.2403100775193798</v>
      </c>
      <c r="D25" s="10" t="s">
        <v>829</v>
      </c>
      <c r="E25" s="2">
        <v>3.0187793427230045</v>
      </c>
    </row>
    <row r="26" spans="1:14" x14ac:dyDescent="0.25">
      <c r="A26" s="10">
        <v>2022</v>
      </c>
      <c r="B26" s="2">
        <v>2.8148148148148149</v>
      </c>
      <c r="D26" s="10" t="s">
        <v>826</v>
      </c>
      <c r="E26" s="2">
        <v>3.0099502487562191</v>
      </c>
    </row>
    <row r="27" spans="1:14" x14ac:dyDescent="0.25">
      <c r="A27" s="10">
        <v>2023</v>
      </c>
      <c r="B27" s="2">
        <v>2.9821428571428572</v>
      </c>
      <c r="D27" s="10" t="s">
        <v>828</v>
      </c>
      <c r="E27" s="2">
        <v>2.9623655913978495</v>
      </c>
    </row>
    <row r="28" spans="1:14" x14ac:dyDescent="0.25">
      <c r="A28" s="10">
        <v>2024</v>
      </c>
      <c r="B28" s="2">
        <v>2.875</v>
      </c>
      <c r="D28" s="10" t="s">
        <v>827</v>
      </c>
      <c r="E28" s="2">
        <v>2.9567567567567568</v>
      </c>
      <c r="N28" t="s">
        <v>846</v>
      </c>
    </row>
    <row r="29" spans="1:14" x14ac:dyDescent="0.25">
      <c r="D29" s="18" t="s">
        <v>841</v>
      </c>
      <c r="E29" s="19">
        <f>AVERAGE(E24:E28)</f>
        <v>3.0239889925779293</v>
      </c>
    </row>
    <row r="31" spans="1:14" x14ac:dyDescent="0.25">
      <c r="D31" s="36" t="s">
        <v>849</v>
      </c>
      <c r="E31" s="36"/>
    </row>
    <row r="32" spans="1:14" x14ac:dyDescent="0.25">
      <c r="D32" s="9" t="s">
        <v>3</v>
      </c>
      <c r="E32" t="s">
        <v>844</v>
      </c>
    </row>
    <row r="33" spans="4:5" x14ac:dyDescent="0.25">
      <c r="D33" s="10">
        <v>2016</v>
      </c>
      <c r="E33" s="21">
        <v>627</v>
      </c>
    </row>
    <row r="34" spans="4:5" x14ac:dyDescent="0.25">
      <c r="D34" s="10">
        <v>2017</v>
      </c>
      <c r="E34" s="21">
        <v>553</v>
      </c>
    </row>
    <row r="35" spans="4:5" x14ac:dyDescent="0.25">
      <c r="D35" s="10">
        <v>2018</v>
      </c>
      <c r="E35" s="21">
        <v>450</v>
      </c>
    </row>
    <row r="36" spans="4:5" x14ac:dyDescent="0.25">
      <c r="D36" s="10">
        <v>2019</v>
      </c>
      <c r="E36" s="21">
        <v>578</v>
      </c>
    </row>
    <row r="37" spans="4:5" x14ac:dyDescent="0.25">
      <c r="D37" s="10">
        <v>2020</v>
      </c>
      <c r="E37" s="21">
        <v>461</v>
      </c>
    </row>
    <row r="38" spans="4:5" x14ac:dyDescent="0.25">
      <c r="D38" s="10">
        <v>2021</v>
      </c>
      <c r="E38" s="21">
        <v>550</v>
      </c>
    </row>
    <row r="39" spans="4:5" x14ac:dyDescent="0.25">
      <c r="D39" s="10">
        <v>2022</v>
      </c>
      <c r="E39" s="21">
        <v>396</v>
      </c>
    </row>
    <row r="40" spans="4:5" x14ac:dyDescent="0.25">
      <c r="D40" s="10">
        <v>2023</v>
      </c>
      <c r="E40" s="21">
        <v>395</v>
      </c>
    </row>
    <row r="41" spans="4:5" x14ac:dyDescent="0.25">
      <c r="D41" s="10">
        <v>2024</v>
      </c>
      <c r="E41" s="21">
        <v>630</v>
      </c>
    </row>
    <row r="42" spans="4:5" x14ac:dyDescent="0.25">
      <c r="D42" s="16" t="s">
        <v>831</v>
      </c>
      <c r="E42" s="22">
        <v>4640</v>
      </c>
    </row>
  </sheetData>
  <mergeCells count="6">
    <mergeCell ref="A1:F2"/>
    <mergeCell ref="D13:E13"/>
    <mergeCell ref="D31:E31"/>
    <mergeCell ref="G1:Y2"/>
    <mergeCell ref="A4:B4"/>
    <mergeCell ref="D4:E4"/>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A8A0-4388-47D0-9401-CE3B14376123}">
  <dimension ref="A1:F25"/>
  <sheetViews>
    <sheetView tabSelected="1" workbookViewId="0">
      <selection activeCell="J5" sqref="J5"/>
    </sheetView>
  </sheetViews>
  <sheetFormatPr defaultRowHeight="15" x14ac:dyDescent="0.25"/>
  <cols>
    <col min="2" max="2" width="19.85546875" customWidth="1"/>
    <col min="3" max="3" width="28.7109375" customWidth="1"/>
    <col min="4" max="4" width="43.42578125" customWidth="1"/>
    <col min="5" max="5" width="43.5703125" customWidth="1"/>
  </cols>
  <sheetData>
    <row r="1" spans="1:5" x14ac:dyDescent="0.25">
      <c r="A1" t="s">
        <v>832</v>
      </c>
      <c r="B1" t="s">
        <v>888</v>
      </c>
      <c r="C1" t="s">
        <v>909</v>
      </c>
      <c r="D1" t="s">
        <v>910</v>
      </c>
      <c r="E1" t="s">
        <v>911</v>
      </c>
    </row>
    <row r="2" spans="1:5" x14ac:dyDescent="0.25">
      <c r="A2">
        <v>2016</v>
      </c>
      <c r="B2" s="2">
        <v>3.0594059405940595</v>
      </c>
    </row>
    <row r="3" spans="1:5" x14ac:dyDescent="0.25">
      <c r="A3">
        <v>2017</v>
      </c>
      <c r="B3" s="2">
        <v>3.0183486238532109</v>
      </c>
    </row>
    <row r="4" spans="1:5" x14ac:dyDescent="0.25">
      <c r="A4">
        <v>2018</v>
      </c>
      <c r="B4" s="2">
        <v>3.125</v>
      </c>
    </row>
    <row r="5" spans="1:5" x14ac:dyDescent="0.25">
      <c r="A5">
        <v>2019</v>
      </c>
      <c r="B5" s="2">
        <v>3.0849056603773586</v>
      </c>
    </row>
    <row r="6" spans="1:5" x14ac:dyDescent="0.25">
      <c r="A6">
        <v>2020</v>
      </c>
      <c r="B6" s="2">
        <v>2.9541284403669725</v>
      </c>
    </row>
    <row r="7" spans="1:5" x14ac:dyDescent="0.25">
      <c r="A7">
        <v>2021</v>
      </c>
      <c r="B7" s="2">
        <v>3.2403100775193798</v>
      </c>
    </row>
    <row r="8" spans="1:5" x14ac:dyDescent="0.25">
      <c r="A8">
        <v>2022</v>
      </c>
      <c r="B8" s="2">
        <v>2.8148148148148149</v>
      </c>
    </row>
    <row r="9" spans="1:5" x14ac:dyDescent="0.25">
      <c r="A9">
        <v>2023</v>
      </c>
      <c r="B9" s="2">
        <v>2.9821428571428572</v>
      </c>
    </row>
    <row r="10" spans="1:5" x14ac:dyDescent="0.25">
      <c r="A10">
        <v>2024</v>
      </c>
      <c r="B10" s="2">
        <v>2.875</v>
      </c>
      <c r="C10" s="2">
        <v>2.875</v>
      </c>
      <c r="D10" s="2">
        <v>2.875</v>
      </c>
      <c r="E10" s="2">
        <v>2.875</v>
      </c>
    </row>
    <row r="11" spans="1:5" x14ac:dyDescent="0.25">
      <c r="A11">
        <v>2025</v>
      </c>
      <c r="C11" s="2">
        <f>_xlfn.FORECAST.ETS(A11,$B$2:$B$10,$A$2:$A$10,1,1)</f>
        <v>2.9289267544844324</v>
      </c>
      <c r="D11" s="2">
        <f>C11-_xlfn.FORECAST.ETS.CONFINT(A11,$B$2:$B$10,$A$2:$A$10,0.95,1,1)</f>
        <v>2.7194748165829252</v>
      </c>
      <c r="E11" s="2">
        <f>C11+_xlfn.FORECAST.ETS.CONFINT(A11,$B$2:$B$10,$A$2:$A$10,0.95,1,1)</f>
        <v>3.1383786923859396</v>
      </c>
    </row>
    <row r="12" spans="1:5" x14ac:dyDescent="0.25">
      <c r="A12">
        <v>2026</v>
      </c>
      <c r="C12" s="2">
        <f>_xlfn.FORECAST.ETS(A12,$B$2:$B$10,$A$2:$A$10,1,1)</f>
        <v>2.8363830937199146</v>
      </c>
      <c r="D12" s="2">
        <f>C12-_xlfn.FORECAST.ETS.CONFINT(A12,$B$2:$B$10,$A$2:$A$10,0.95,1,1)</f>
        <v>2.6269302132868075</v>
      </c>
      <c r="E12" s="2">
        <f>C12+_xlfn.FORECAST.ETS.CONFINT(A12,$B$2:$B$10,$A$2:$A$10,0.95,1,1)</f>
        <v>3.0458359741530217</v>
      </c>
    </row>
    <row r="13" spans="1:5" x14ac:dyDescent="0.25">
      <c r="A13">
        <v>2027</v>
      </c>
      <c r="C13" s="2">
        <f>_xlfn.FORECAST.ETS(A13,$B$2:$B$10,$A$2:$A$10,1,1)</f>
        <v>2.8857003604413238</v>
      </c>
      <c r="D13" s="2">
        <f>C13-_xlfn.FORECAST.ETS.CONFINT(A13,$B$2:$B$10,$A$2:$A$10,0.95,1,1)</f>
        <v>2.6745119334533922</v>
      </c>
      <c r="E13" s="2">
        <f>C13+_xlfn.FORECAST.ETS.CONFINT(A13,$B$2:$B$10,$A$2:$A$10,0.95,1,1)</f>
        <v>3.0968887874292554</v>
      </c>
    </row>
    <row r="14" spans="1:5" x14ac:dyDescent="0.25">
      <c r="A14">
        <v>2028</v>
      </c>
      <c r="C14" s="2">
        <f>_xlfn.FORECAST.ETS(A14,$B$2:$B$10,$A$2:$A$10,1,1)</f>
        <v>2.793156699676806</v>
      </c>
      <c r="D14" s="2">
        <f>C14-_xlfn.FORECAST.ETS.CONFINT(A14,$B$2:$B$10,$A$2:$A$10,0.95,1,1)</f>
        <v>2.5819656760832497</v>
      </c>
      <c r="E14" s="2">
        <f>C14+_xlfn.FORECAST.ETS.CONFINT(A14,$B$2:$B$10,$A$2:$A$10,0.95,1,1)</f>
        <v>3.0043477232703624</v>
      </c>
    </row>
    <row r="15" spans="1:5" x14ac:dyDescent="0.25">
      <c r="A15">
        <v>2029</v>
      </c>
      <c r="C15" s="2">
        <f>_xlfn.FORECAST.ETS(A15,$B$2:$B$10,$A$2:$A$10,1,1)</f>
        <v>2.8424739663982157</v>
      </c>
      <c r="D15" s="2">
        <f>C15-_xlfn.FORECAST.ETS.CONFINT(A15,$B$2:$B$10,$A$2:$A$10,0.95,1,1)</f>
        <v>2.6295079985117087</v>
      </c>
      <c r="E15" s="2">
        <f>C15+_xlfn.FORECAST.ETS.CONFINT(A15,$B$2:$B$10,$A$2:$A$10,0.95,1,1)</f>
        <v>3.0554399342847227</v>
      </c>
    </row>
    <row r="16" spans="1:5" x14ac:dyDescent="0.25">
      <c r="A16">
        <v>2030</v>
      </c>
      <c r="C16" s="2">
        <f>_xlfn.FORECAST.ETS(A16,$B$2:$B$10,$A$2:$A$10,1,1)</f>
        <v>2.7499303056336979</v>
      </c>
      <c r="D16" s="2">
        <f>C16-_xlfn.FORECAST.ETS.CONFINT(A16,$B$2:$B$10,$A$2:$A$10,0.95,1,1)</f>
        <v>2.5369592909076628</v>
      </c>
      <c r="E16" s="2">
        <f>C16+_xlfn.FORECAST.ETS.CONFINT(A16,$B$2:$B$10,$A$2:$A$10,0.95,1,1)</f>
        <v>2.962901320359733</v>
      </c>
    </row>
    <row r="19" spans="6:6" x14ac:dyDescent="0.25">
      <c r="F19" s="43" t="s">
        <v>912</v>
      </c>
    </row>
    <row r="20" spans="6:6" x14ac:dyDescent="0.25">
      <c r="F20" t="s">
        <v>913</v>
      </c>
    </row>
    <row r="21" spans="6:6" x14ac:dyDescent="0.25">
      <c r="F21" t="s">
        <v>914</v>
      </c>
    </row>
    <row r="23" spans="6:6" x14ac:dyDescent="0.25">
      <c r="F23" s="43" t="s">
        <v>915</v>
      </c>
    </row>
    <row r="24" spans="6:6" x14ac:dyDescent="0.25">
      <c r="F24" t="s">
        <v>916</v>
      </c>
    </row>
    <row r="25" spans="6:6" x14ac:dyDescent="0.25">
      <c r="F25" t="s">
        <v>917</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A642-5EF9-46BA-8DDF-E338189DCEF2}">
  <dimension ref="A1:I14"/>
  <sheetViews>
    <sheetView zoomScaleNormal="100" workbookViewId="0">
      <selection activeCell="I15" sqref="I15"/>
    </sheetView>
  </sheetViews>
  <sheetFormatPr defaultRowHeight="15" x14ac:dyDescent="0.25"/>
  <cols>
    <col min="1" max="1" width="39.7109375" customWidth="1"/>
    <col min="2" max="2" width="28.140625" customWidth="1"/>
    <col min="3" max="3" width="27.140625" customWidth="1"/>
    <col min="4" max="4" width="18" bestFit="1" customWidth="1"/>
    <col min="5" max="5" width="17.140625" customWidth="1"/>
    <col min="6" max="6" width="21.5703125" customWidth="1"/>
    <col min="8" max="8" width="24.28515625" bestFit="1" customWidth="1"/>
    <col min="9" max="9" width="26" bestFit="1" customWidth="1"/>
    <col min="11" max="11" width="29.42578125" customWidth="1"/>
  </cols>
  <sheetData>
    <row r="1" spans="1:9" x14ac:dyDescent="0.25">
      <c r="A1" s="43" t="s">
        <v>832</v>
      </c>
      <c r="B1" s="43" t="s">
        <v>835</v>
      </c>
      <c r="C1" s="43" t="s">
        <v>887</v>
      </c>
      <c r="D1" s="43" t="s">
        <v>888</v>
      </c>
      <c r="H1" s="43" t="s">
        <v>891</v>
      </c>
      <c r="I1" s="43" t="s">
        <v>892</v>
      </c>
    </row>
    <row r="2" spans="1:9" x14ac:dyDescent="0.25">
      <c r="A2">
        <f>'Tables and Charts'!A20</f>
        <v>2016</v>
      </c>
      <c r="B2" cm="1">
        <f t="array" ref="B2:B10">'Tables and Charts'!B6:B14</f>
        <v>101</v>
      </c>
      <c r="C2" cm="1">
        <f t="array" ref="C2:C10">'Tables and Charts'!E33:E41</f>
        <v>627</v>
      </c>
      <c r="D2" s="2" cm="1">
        <f t="array" ref="D2:D10">'Tables and Charts'!B20:B28</f>
        <v>3.0594059405940595</v>
      </c>
      <c r="H2" s="43" t="s">
        <v>893</v>
      </c>
      <c r="I2" t="s">
        <v>894</v>
      </c>
    </row>
    <row r="3" spans="1:9" x14ac:dyDescent="0.25">
      <c r="A3">
        <f>'Tables and Charts'!A21</f>
        <v>2017</v>
      </c>
      <c r="B3">
        <v>109</v>
      </c>
      <c r="C3">
        <v>553</v>
      </c>
      <c r="D3" s="2">
        <v>3.0183486238532109</v>
      </c>
      <c r="H3" s="43" t="s">
        <v>895</v>
      </c>
      <c r="I3" t="s">
        <v>896</v>
      </c>
    </row>
    <row r="4" spans="1:9" x14ac:dyDescent="0.25">
      <c r="A4">
        <f>'Tables and Charts'!A22</f>
        <v>2018</v>
      </c>
      <c r="B4">
        <v>120</v>
      </c>
      <c r="C4">
        <v>450</v>
      </c>
      <c r="D4" s="2">
        <v>3.125</v>
      </c>
      <c r="H4" s="43" t="s">
        <v>897</v>
      </c>
      <c r="I4" t="s">
        <v>898</v>
      </c>
    </row>
    <row r="5" spans="1:9" x14ac:dyDescent="0.25">
      <c r="A5">
        <f>'Tables and Charts'!A23</f>
        <v>2019</v>
      </c>
      <c r="B5">
        <v>106</v>
      </c>
      <c r="C5">
        <v>578</v>
      </c>
      <c r="D5" s="2">
        <v>3.0849056603773586</v>
      </c>
      <c r="H5" s="43" t="s">
        <v>899</v>
      </c>
      <c r="I5" t="s">
        <v>900</v>
      </c>
    </row>
    <row r="6" spans="1:9" x14ac:dyDescent="0.25">
      <c r="A6">
        <f>'Tables and Charts'!A24</f>
        <v>2020</v>
      </c>
      <c r="B6">
        <v>109</v>
      </c>
      <c r="C6">
        <v>461</v>
      </c>
      <c r="D6" s="2">
        <v>2.9541284403669725</v>
      </c>
      <c r="H6" s="43" t="s">
        <v>901</v>
      </c>
      <c r="I6" t="s">
        <v>902</v>
      </c>
    </row>
    <row r="7" spans="1:9" x14ac:dyDescent="0.25">
      <c r="A7">
        <f>'Tables and Charts'!A25</f>
        <v>2021</v>
      </c>
      <c r="B7">
        <v>129</v>
      </c>
      <c r="C7">
        <v>550</v>
      </c>
      <c r="D7" s="2">
        <v>3.2403100775193798</v>
      </c>
      <c r="H7" s="43" t="s">
        <v>903</v>
      </c>
      <c r="I7" t="s">
        <v>904</v>
      </c>
    </row>
    <row r="8" spans="1:9" x14ac:dyDescent="0.25">
      <c r="A8">
        <f>'Tables and Charts'!A26</f>
        <v>2022</v>
      </c>
      <c r="B8">
        <v>108</v>
      </c>
      <c r="C8">
        <v>396</v>
      </c>
      <c r="D8" s="2">
        <v>2.8148148148148149</v>
      </c>
      <c r="H8" s="28"/>
      <c r="I8" s="28"/>
    </row>
    <row r="9" spans="1:9" x14ac:dyDescent="0.25">
      <c r="A9">
        <f>'Tables and Charts'!A27</f>
        <v>2023</v>
      </c>
      <c r="B9">
        <v>112</v>
      </c>
      <c r="C9">
        <v>395</v>
      </c>
      <c r="D9" s="2">
        <v>2.9821428571428572</v>
      </c>
      <c r="H9" s="28"/>
      <c r="I9" s="28"/>
    </row>
    <row r="10" spans="1:9" x14ac:dyDescent="0.25">
      <c r="A10">
        <f>'Tables and Charts'!A28</f>
        <v>2024</v>
      </c>
      <c r="B10">
        <v>96</v>
      </c>
      <c r="C10">
        <v>630</v>
      </c>
      <c r="D10" s="2">
        <v>2.875</v>
      </c>
      <c r="H10" s="28"/>
      <c r="I10" s="28"/>
    </row>
    <row r="11" spans="1:9" x14ac:dyDescent="0.25">
      <c r="A11">
        <v>2025</v>
      </c>
      <c r="D11" s="2">
        <f>_xlfn.FORECAST.LINEAR(2025,_xlfn.ANCHORARRAY(D2),A2:A10)</f>
        <v>2.9078501280963209</v>
      </c>
      <c r="H11" s="28"/>
      <c r="I11" s="28"/>
    </row>
    <row r="12" spans="1:9" x14ac:dyDescent="0.25">
      <c r="A12" s="43" t="s">
        <v>889</v>
      </c>
      <c r="B12" s="43" t="s">
        <v>891</v>
      </c>
      <c r="C12" s="43" t="s">
        <v>892</v>
      </c>
      <c r="E12" s="43" t="s">
        <v>832</v>
      </c>
      <c r="F12" s="43" t="s">
        <v>908</v>
      </c>
    </row>
    <row r="13" spans="1:9" x14ac:dyDescent="0.25">
      <c r="A13" t="s">
        <v>890</v>
      </c>
      <c r="B13" s="44">
        <f>CORREL(_xlfn.ANCHORARRAY(C2),_xlfn.ANCHORARRAY(D2))</f>
        <v>0.26344875509026794</v>
      </c>
      <c r="C13" s="46" t="s">
        <v>906</v>
      </c>
      <c r="E13">
        <v>2025</v>
      </c>
      <c r="F13" s="44">
        <f>_xlfn.FORECAST.LINEAR(2025,_xlfn.ANCHORARRAY(D2),A2:A10)</f>
        <v>2.9078501280963209</v>
      </c>
    </row>
    <row r="14" spans="1:9" x14ac:dyDescent="0.25">
      <c r="A14" t="s">
        <v>905</v>
      </c>
      <c r="B14" s="44">
        <f>CORREL(_xlfn.ANCHORARRAY(B2),_xlfn.ANCHORARRAY(D2))</f>
        <v>0.69674770862680602</v>
      </c>
      <c r="C14" s="45" t="s">
        <v>907</v>
      </c>
      <c r="E14">
        <v>2026</v>
      </c>
      <c r="F14" s="44">
        <f>_xlfn.FORECAST.LINEAR(2026,D2:D11,A2:A11)</f>
        <v>2.8859966778340578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6E705-5895-4D2D-BB60-796F5D6FA517}">
  <dimension ref="A1:C52"/>
  <sheetViews>
    <sheetView topLeftCell="A16" workbookViewId="0">
      <selection activeCell="C36" sqref="C36"/>
    </sheetView>
  </sheetViews>
  <sheetFormatPr defaultRowHeight="15" x14ac:dyDescent="0.25"/>
  <cols>
    <col min="3" max="3" width="33" customWidth="1"/>
  </cols>
  <sheetData>
    <row r="1" spans="1:3" ht="23.25" x14ac:dyDescent="0.25">
      <c r="A1" s="42" t="s">
        <v>847</v>
      </c>
      <c r="B1" s="42"/>
      <c r="C1" s="42"/>
    </row>
    <row r="2" spans="1:3" x14ac:dyDescent="0.25">
      <c r="A2" t="s">
        <v>851</v>
      </c>
    </row>
    <row r="3" spans="1:3" x14ac:dyDescent="0.25">
      <c r="A3" t="s">
        <v>852</v>
      </c>
    </row>
    <row r="4" spans="1:3" x14ac:dyDescent="0.25">
      <c r="A4" t="s">
        <v>853</v>
      </c>
    </row>
    <row r="5" spans="1:3" x14ac:dyDescent="0.25">
      <c r="A5" t="s">
        <v>854</v>
      </c>
    </row>
    <row r="6" spans="1:3" x14ac:dyDescent="0.25">
      <c r="A6" t="s">
        <v>855</v>
      </c>
    </row>
    <row r="10" spans="1:3" ht="23.25" x14ac:dyDescent="0.25">
      <c r="A10" s="42" t="s">
        <v>848</v>
      </c>
      <c r="B10" s="42"/>
      <c r="C10" s="42"/>
    </row>
    <row r="11" spans="1:3" ht="18" x14ac:dyDescent="0.25">
      <c r="A11" s="24" t="s">
        <v>856</v>
      </c>
    </row>
    <row r="12" spans="1:3" x14ac:dyDescent="0.25">
      <c r="A12" s="26" t="s">
        <v>857</v>
      </c>
    </row>
    <row r="13" spans="1:3" x14ac:dyDescent="0.25">
      <c r="A13" s="25" t="s">
        <v>858</v>
      </c>
    </row>
    <row r="14" spans="1:3" ht="18" x14ac:dyDescent="0.25">
      <c r="A14" s="24" t="s">
        <v>859</v>
      </c>
    </row>
    <row r="15" spans="1:3" x14ac:dyDescent="0.25">
      <c r="A15" s="25" t="s">
        <v>860</v>
      </c>
    </row>
    <row r="19" spans="1:3" ht="23.25" x14ac:dyDescent="0.25">
      <c r="A19" s="42" t="s">
        <v>850</v>
      </c>
      <c r="B19" s="42"/>
      <c r="C19" s="42"/>
    </row>
    <row r="20" spans="1:3" ht="18" x14ac:dyDescent="0.25">
      <c r="A20" s="24" t="s">
        <v>861</v>
      </c>
    </row>
    <row r="21" spans="1:3" x14ac:dyDescent="0.25">
      <c r="A21" t="s">
        <v>862</v>
      </c>
    </row>
    <row r="22" spans="1:3" x14ac:dyDescent="0.25">
      <c r="A22" t="s">
        <v>863</v>
      </c>
    </row>
    <row r="23" spans="1:3" ht="18" x14ac:dyDescent="0.25">
      <c r="A23" s="24" t="s">
        <v>864</v>
      </c>
    </row>
    <row r="24" spans="1:3" x14ac:dyDescent="0.25">
      <c r="A24" t="s">
        <v>865</v>
      </c>
    </row>
    <row r="25" spans="1:3" x14ac:dyDescent="0.25">
      <c r="A25" t="s">
        <v>866</v>
      </c>
    </row>
    <row r="26" spans="1:3" ht="18" x14ac:dyDescent="0.25">
      <c r="A26" s="24" t="s">
        <v>867</v>
      </c>
    </row>
    <row r="27" spans="1:3" x14ac:dyDescent="0.25">
      <c r="A27" t="s">
        <v>868</v>
      </c>
    </row>
    <row r="28" spans="1:3" x14ac:dyDescent="0.25">
      <c r="A28" t="s">
        <v>869</v>
      </c>
    </row>
    <row r="30" spans="1:3" ht="23.25" x14ac:dyDescent="0.35">
      <c r="A30" s="30" t="s">
        <v>870</v>
      </c>
      <c r="B30" s="30"/>
      <c r="C30" s="30"/>
    </row>
    <row r="31" spans="1:3" ht="30" x14ac:dyDescent="0.25">
      <c r="A31" s="27" t="s">
        <v>871</v>
      </c>
      <c r="B31" s="27" t="s">
        <v>872</v>
      </c>
      <c r="C31" s="27" t="s">
        <v>873</v>
      </c>
    </row>
    <row r="32" spans="1:3" ht="45" x14ac:dyDescent="0.25">
      <c r="A32" s="28" t="s">
        <v>874</v>
      </c>
      <c r="B32" s="29">
        <v>1000</v>
      </c>
      <c r="C32" s="28" t="s">
        <v>875</v>
      </c>
    </row>
    <row r="33" spans="1:3" ht="30" x14ac:dyDescent="0.25">
      <c r="A33" s="28" t="s">
        <v>876</v>
      </c>
      <c r="B33" s="29">
        <v>24989</v>
      </c>
      <c r="C33" s="28" t="s">
        <v>877</v>
      </c>
    </row>
    <row r="34" spans="1:3" ht="60" x14ac:dyDescent="0.25">
      <c r="A34" s="28" t="s">
        <v>878</v>
      </c>
      <c r="B34" s="28" t="s">
        <v>879</v>
      </c>
      <c r="C34" s="28" t="s">
        <v>880</v>
      </c>
    </row>
    <row r="35" spans="1:3" ht="45" x14ac:dyDescent="0.25">
      <c r="A35" s="28" t="s">
        <v>881</v>
      </c>
      <c r="B35" s="28" t="s">
        <v>882</v>
      </c>
      <c r="C35" s="28" t="s">
        <v>883</v>
      </c>
    </row>
    <row r="36" spans="1:3" ht="30" x14ac:dyDescent="0.25">
      <c r="A36" s="28" t="s">
        <v>884</v>
      </c>
      <c r="B36" s="28" t="s">
        <v>885</v>
      </c>
      <c r="C36" s="28" t="s">
        <v>886</v>
      </c>
    </row>
    <row r="37" spans="1:3" x14ac:dyDescent="0.25">
      <c r="A37" s="28"/>
    </row>
    <row r="47" spans="1:3" x14ac:dyDescent="0.25">
      <c r="B47" s="27"/>
      <c r="C47" s="27"/>
    </row>
    <row r="48" spans="1:3" x14ac:dyDescent="0.25">
      <c r="B48" s="29"/>
      <c r="C48" s="28"/>
    </row>
    <row r="49" spans="2:3" x14ac:dyDescent="0.25">
      <c r="B49" s="29"/>
      <c r="C49" s="28"/>
    </row>
    <row r="50" spans="2:3" x14ac:dyDescent="0.25">
      <c r="B50" s="28"/>
      <c r="C50" s="28"/>
    </row>
    <row r="51" spans="2:3" x14ac:dyDescent="0.25">
      <c r="B51" s="28"/>
      <c r="C51" s="28"/>
    </row>
    <row r="52" spans="2:3" x14ac:dyDescent="0.25">
      <c r="B52" s="28"/>
      <c r="C52" s="28"/>
    </row>
  </sheetData>
  <mergeCells count="3">
    <mergeCell ref="A1:C1"/>
    <mergeCell ref="A10:C10"/>
    <mergeCell ref="A19:C19"/>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Employee_Data</vt:lpstr>
      <vt:lpstr>Tables and Charts</vt:lpstr>
      <vt:lpstr>Forecasting</vt:lpstr>
      <vt:lpstr>Correlation</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Ian C</cp:lastModifiedBy>
  <dcterms:created xsi:type="dcterms:W3CDTF">2025-10-31T04:58:39Z</dcterms:created>
  <dcterms:modified xsi:type="dcterms:W3CDTF">2025-11-03T17:16:48Z</dcterms:modified>
</cp:coreProperties>
</file>